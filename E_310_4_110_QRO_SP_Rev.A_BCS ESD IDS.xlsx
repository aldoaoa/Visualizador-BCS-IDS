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onebcs-my.sharepoint.com/personal/aldo_orozco_bcs-ais_com/Documents/"/>
    </mc:Choice>
  </mc:AlternateContent>
  <xr:revisionPtr revIDLastSave="2703" documentId="8_{2F4A9963-B6A2-403F-A9E4-560A43B41652}" xr6:coauthVersionLast="47" xr6:coauthVersionMax="47" xr10:uidLastSave="{B75C0045-E7CF-4A25-B57D-C4FCB4DEA427}"/>
  <bookViews>
    <workbookView xWindow="-28920" yWindow="-120" windowWidth="29040" windowHeight="15720" xr2:uid="{3E6CAE9D-2BC7-4481-83F0-6C31CCA3C88A}"/>
  </bookViews>
  <sheets>
    <sheet name="MOBILIARIO" sheetId="16" r:id="rId1"/>
    <sheet name="PISO" sheetId="9" r:id="rId2"/>
    <sheet name="Magazines" sheetId="10" r:id="rId3"/>
    <sheet name="Calendario de líneas" sheetId="12" r:id="rId4"/>
    <sheet name="Calendario de Ionizador" sheetId="13" r:id="rId5"/>
    <sheet name="Percentage Variation Calculator" sheetId="14" r:id="rId6"/>
    <sheet name="Sheet1" sheetId="11" r:id="rId7"/>
  </sheets>
  <definedNames>
    <definedName name="_xlnm._FilterDatabase" localSheetId="4" hidden="1">'Calendario de Ionizador'!$A$1:$O$2</definedName>
    <definedName name="_xlnm._FilterDatabase" localSheetId="0" hidden="1">MOBILIARIO!$A$5:$Q$1006</definedName>
    <definedName name="_xlnm._FilterDatabase" localSheetId="1" hidden="1">PISO!$A$5:$R$859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34" i="16" l="1"/>
  <c r="N235" i="16"/>
  <c r="N236" i="16"/>
  <c r="N237" i="16"/>
  <c r="M235" i="16"/>
  <c r="O235" i="16" s="1"/>
  <c r="M236" i="16"/>
  <c r="O236" i="16" s="1"/>
  <c r="M237" i="16"/>
  <c r="O237" i="16" s="1"/>
  <c r="M234" i="16"/>
  <c r="O234" i="16" s="1"/>
  <c r="K233" i="16"/>
  <c r="K234" i="16"/>
  <c r="K235" i="16"/>
  <c r="K236" i="16"/>
  <c r="K237" i="16"/>
  <c r="G233" i="16"/>
  <c r="H233" i="16"/>
  <c r="J233" i="16" s="1"/>
  <c r="G234" i="16"/>
  <c r="H234" i="16"/>
  <c r="J234" i="16" s="1"/>
  <c r="G235" i="16"/>
  <c r="H235" i="16"/>
  <c r="J235" i="16" s="1"/>
  <c r="G236" i="16"/>
  <c r="H236" i="16"/>
  <c r="J236" i="16" s="1"/>
  <c r="G237" i="16"/>
  <c r="H237" i="16"/>
  <c r="J237" i="16" s="1"/>
  <c r="O907" i="16"/>
  <c r="O906" i="16"/>
  <c r="O905" i="16"/>
  <c r="O904" i="16"/>
  <c r="N907" i="16"/>
  <c r="P907" i="16" s="1"/>
  <c r="N906" i="16"/>
  <c r="P906" i="16" s="1"/>
  <c r="N905" i="16"/>
  <c r="P905" i="16" s="1"/>
  <c r="N904" i="16"/>
  <c r="P904" i="16" s="1"/>
  <c r="K907" i="16"/>
  <c r="K906" i="16"/>
  <c r="K905" i="16"/>
  <c r="K904" i="16"/>
  <c r="H907" i="16"/>
  <c r="J907" i="16" s="1"/>
  <c r="G907" i="16"/>
  <c r="H906" i="16"/>
  <c r="J906" i="16" s="1"/>
  <c r="G906" i="16"/>
  <c r="H905" i="16"/>
  <c r="J905" i="16" s="1"/>
  <c r="G905" i="16"/>
  <c r="H904" i="16"/>
  <c r="J904" i="16" s="1"/>
  <c r="G904" i="16"/>
  <c r="O859" i="9"/>
  <c r="O858" i="9"/>
  <c r="O857" i="9"/>
  <c r="O856" i="9"/>
  <c r="O855" i="9"/>
  <c r="O854" i="9"/>
  <c r="O853" i="9"/>
  <c r="O852" i="9"/>
  <c r="O851" i="9"/>
  <c r="O850" i="9"/>
  <c r="O843" i="9"/>
  <c r="O842" i="9"/>
  <c r="O841" i="9"/>
  <c r="O840" i="9"/>
  <c r="O839" i="9"/>
  <c r="O838" i="9"/>
  <c r="O837" i="9"/>
  <c r="O836" i="9"/>
  <c r="O835" i="9"/>
  <c r="O834" i="9"/>
  <c r="O833" i="9"/>
  <c r="O832" i="9"/>
  <c r="O831" i="9"/>
  <c r="O830" i="9"/>
  <c r="O829" i="9"/>
  <c r="O828" i="9"/>
  <c r="O827" i="9"/>
  <c r="O826" i="9"/>
  <c r="O825" i="9"/>
  <c r="O824" i="9"/>
  <c r="O823" i="9"/>
  <c r="O822" i="9"/>
  <c r="O821" i="9"/>
  <c r="O820" i="9"/>
  <c r="O819" i="9"/>
  <c r="O817" i="9"/>
  <c r="O816" i="9"/>
  <c r="O815" i="9"/>
  <c r="O814" i="9"/>
  <c r="O813" i="9"/>
  <c r="O812" i="9"/>
  <c r="O811" i="9"/>
  <c r="O810" i="9"/>
  <c r="O809" i="9"/>
  <c r="O808" i="9"/>
  <c r="O807" i="9"/>
  <c r="O806" i="9"/>
  <c r="O805" i="9"/>
  <c r="O804" i="9"/>
  <c r="O803" i="9"/>
  <c r="O802" i="9"/>
  <c r="O801" i="9"/>
  <c r="O800" i="9"/>
  <c r="O799" i="9"/>
  <c r="O798" i="9"/>
  <c r="O796" i="9"/>
  <c r="O795" i="9"/>
  <c r="O794" i="9"/>
  <c r="O781" i="9"/>
  <c r="O780" i="9"/>
  <c r="O779" i="9"/>
  <c r="O778" i="9"/>
  <c r="O777" i="9"/>
  <c r="O776" i="9"/>
  <c r="O775" i="9"/>
  <c r="O774" i="9"/>
  <c r="O773" i="9"/>
  <c r="O772" i="9"/>
  <c r="O771" i="9"/>
  <c r="O770" i="9"/>
  <c r="O769" i="9"/>
  <c r="O768" i="9"/>
  <c r="O767" i="9"/>
  <c r="O766" i="9"/>
  <c r="O765" i="9"/>
  <c r="O764" i="9"/>
  <c r="O763" i="9"/>
  <c r="O762" i="9"/>
  <c r="O761" i="9"/>
  <c r="O760" i="9"/>
  <c r="O759" i="9"/>
  <c r="O758" i="9"/>
  <c r="O757" i="9"/>
  <c r="O756" i="9"/>
  <c r="O755" i="9"/>
  <c r="O754" i="9"/>
  <c r="O753" i="9"/>
  <c r="O752" i="9"/>
  <c r="O751" i="9"/>
  <c r="O750" i="9"/>
  <c r="O749" i="9"/>
  <c r="O748" i="9"/>
  <c r="O747" i="9"/>
  <c r="O746" i="9"/>
  <c r="O745" i="9"/>
  <c r="O744" i="9"/>
  <c r="O743" i="9"/>
  <c r="O742" i="9"/>
  <c r="O741" i="9"/>
  <c r="O740" i="9"/>
  <c r="O739" i="9"/>
  <c r="O738" i="9"/>
  <c r="O737" i="9"/>
  <c r="O736" i="9"/>
  <c r="O735" i="9"/>
  <c r="O734" i="9"/>
  <c r="O733" i="9"/>
  <c r="O732" i="9"/>
  <c r="O731" i="9"/>
  <c r="O730" i="9"/>
  <c r="O729" i="9"/>
  <c r="O728" i="9"/>
  <c r="O727" i="9"/>
  <c r="O726" i="9"/>
  <c r="O725" i="9"/>
  <c r="O724" i="9"/>
  <c r="O723" i="9"/>
  <c r="O722" i="9"/>
  <c r="O721" i="9"/>
  <c r="O720" i="9"/>
  <c r="O719" i="9"/>
  <c r="O718" i="9"/>
  <c r="O717" i="9"/>
  <c r="O716" i="9"/>
  <c r="O715" i="9"/>
  <c r="O714" i="9"/>
  <c r="O713" i="9"/>
  <c r="O712" i="9"/>
  <c r="O711" i="9"/>
  <c r="O710" i="9"/>
  <c r="O709" i="9"/>
  <c r="O708" i="9"/>
  <c r="O707" i="9"/>
  <c r="O706" i="9"/>
  <c r="O705" i="9"/>
  <c r="O704" i="9"/>
  <c r="O703" i="9"/>
  <c r="O702" i="9"/>
  <c r="O701" i="9"/>
  <c r="O700" i="9"/>
  <c r="O699" i="9"/>
  <c r="O698" i="9"/>
  <c r="O697" i="9"/>
  <c r="O696" i="9"/>
  <c r="O695" i="9"/>
  <c r="O694" i="9"/>
  <c r="O693" i="9"/>
  <c r="O692" i="9"/>
  <c r="O691" i="9"/>
  <c r="O690" i="9"/>
  <c r="O689" i="9"/>
  <c r="O688" i="9"/>
  <c r="O687" i="9"/>
  <c r="O686" i="9"/>
  <c r="O685" i="9"/>
  <c r="O684" i="9"/>
  <c r="O683" i="9"/>
  <c r="O682" i="9"/>
  <c r="O681" i="9"/>
  <c r="O680" i="9"/>
  <c r="O679" i="9"/>
  <c r="O678" i="9"/>
  <c r="O677" i="9"/>
  <c r="O676" i="9"/>
  <c r="O675" i="9"/>
  <c r="O674" i="9"/>
  <c r="O673" i="9"/>
  <c r="O672" i="9"/>
  <c r="O671" i="9"/>
  <c r="O670" i="9"/>
  <c r="O669" i="9"/>
  <c r="O668" i="9"/>
  <c r="O667" i="9"/>
  <c r="O666" i="9"/>
  <c r="O665" i="9"/>
  <c r="O644" i="9"/>
  <c r="O643" i="9"/>
  <c r="O642" i="9"/>
  <c r="O641" i="9"/>
  <c r="O640" i="9"/>
  <c r="O639" i="9"/>
  <c r="O638" i="9"/>
  <c r="O637" i="9"/>
  <c r="O636" i="9"/>
  <c r="O635" i="9"/>
  <c r="O634" i="9"/>
  <c r="O633" i="9"/>
  <c r="O632" i="9"/>
  <c r="O631" i="9"/>
  <c r="O630" i="9"/>
  <c r="O629" i="9"/>
  <c r="O628" i="9"/>
  <c r="O627" i="9"/>
  <c r="O626" i="9"/>
  <c r="O625" i="9"/>
  <c r="O624" i="9"/>
  <c r="O623" i="9"/>
  <c r="O622" i="9"/>
  <c r="O621" i="9"/>
  <c r="O620" i="9"/>
  <c r="O619" i="9"/>
  <c r="O618" i="9"/>
  <c r="O617" i="9"/>
  <c r="O616" i="9"/>
  <c r="O615" i="9"/>
  <c r="O614" i="9"/>
  <c r="O613" i="9"/>
  <c r="O612" i="9"/>
  <c r="O611" i="9"/>
  <c r="O610" i="9"/>
  <c r="O609" i="9"/>
  <c r="O608" i="9"/>
  <c r="O607" i="9"/>
  <c r="O606" i="9"/>
  <c r="O605" i="9"/>
  <c r="O604" i="9"/>
  <c r="O603" i="9"/>
  <c r="O602" i="9"/>
  <c r="O601" i="9"/>
  <c r="O600" i="9"/>
  <c r="O599" i="9"/>
  <c r="O598" i="9"/>
  <c r="O597" i="9"/>
  <c r="O596" i="9"/>
  <c r="O595" i="9"/>
  <c r="O594" i="9"/>
  <c r="O593" i="9"/>
  <c r="O592" i="9"/>
  <c r="O591" i="9"/>
  <c r="O590" i="9"/>
  <c r="O589" i="9"/>
  <c r="O588" i="9"/>
  <c r="O587" i="9"/>
  <c r="O586" i="9"/>
  <c r="O585" i="9"/>
  <c r="O584" i="9"/>
  <c r="O583" i="9"/>
  <c r="O582" i="9"/>
  <c r="O581" i="9"/>
  <c r="O580" i="9"/>
  <c r="O579" i="9"/>
  <c r="O578" i="9"/>
  <c r="O577" i="9"/>
  <c r="O576" i="9"/>
  <c r="O575" i="9"/>
  <c r="O574" i="9"/>
  <c r="O573" i="9"/>
  <c r="O572" i="9"/>
  <c r="O571" i="9"/>
  <c r="O570" i="9"/>
  <c r="O569" i="9"/>
  <c r="O568" i="9"/>
  <c r="O567" i="9"/>
  <c r="O566" i="9"/>
  <c r="O565" i="9"/>
  <c r="O564" i="9"/>
  <c r="O563" i="9"/>
  <c r="O562" i="9"/>
  <c r="O561" i="9"/>
  <c r="O560" i="9"/>
  <c r="O559" i="9"/>
  <c r="O558" i="9"/>
  <c r="O557" i="9"/>
  <c r="O556" i="9"/>
  <c r="O555" i="9"/>
  <c r="O554" i="9"/>
  <c r="O553" i="9"/>
  <c r="O552" i="9"/>
  <c r="O551" i="9"/>
  <c r="O550" i="9"/>
  <c r="O549" i="9"/>
  <c r="O548" i="9"/>
  <c r="O547" i="9"/>
  <c r="O546" i="9"/>
  <c r="O545" i="9"/>
  <c r="O544" i="9"/>
  <c r="O543" i="9"/>
  <c r="O542" i="9"/>
  <c r="O541" i="9"/>
  <c r="O540" i="9"/>
  <c r="O539" i="9"/>
  <c r="O538" i="9"/>
  <c r="O537" i="9"/>
  <c r="O536" i="9"/>
  <c r="O535" i="9"/>
  <c r="O534" i="9"/>
  <c r="O533" i="9"/>
  <c r="O532" i="9"/>
  <c r="O531" i="9"/>
  <c r="O530" i="9"/>
  <c r="O529" i="9"/>
  <c r="O528" i="9"/>
  <c r="O527" i="9"/>
  <c r="O526" i="9"/>
  <c r="O525" i="9"/>
  <c r="O524" i="9"/>
  <c r="O523" i="9"/>
  <c r="O522" i="9"/>
  <c r="O521" i="9"/>
  <c r="O520" i="9"/>
  <c r="O519" i="9"/>
  <c r="O518" i="9"/>
  <c r="O517" i="9"/>
  <c r="O516" i="9"/>
  <c r="O515" i="9"/>
  <c r="O514" i="9"/>
  <c r="O513" i="9"/>
  <c r="O512" i="9"/>
  <c r="O511" i="9"/>
  <c r="O510" i="9"/>
  <c r="O509" i="9"/>
  <c r="O508" i="9"/>
  <c r="O484" i="9"/>
  <c r="O466" i="9"/>
  <c r="O454" i="9"/>
  <c r="O453" i="9"/>
  <c r="O452" i="9"/>
  <c r="O451" i="9"/>
  <c r="O450" i="9"/>
  <c r="O449" i="9"/>
  <c r="O448" i="9"/>
  <c r="O447" i="9"/>
  <c r="O446" i="9"/>
  <c r="O442" i="9"/>
  <c r="O441" i="9"/>
  <c r="O440" i="9"/>
  <c r="O439" i="9"/>
  <c r="O438" i="9"/>
  <c r="O437" i="9"/>
  <c r="O436" i="9"/>
  <c r="O435" i="9"/>
  <c r="O434" i="9"/>
  <c r="O433" i="9"/>
  <c r="O432" i="9"/>
  <c r="O431" i="9"/>
  <c r="O430" i="9"/>
  <c r="O429" i="9"/>
  <c r="O428" i="9"/>
  <c r="O427" i="9"/>
  <c r="O426" i="9"/>
  <c r="O425" i="9"/>
  <c r="O424" i="9"/>
  <c r="O423" i="9"/>
  <c r="O422" i="9"/>
  <c r="O421" i="9"/>
  <c r="O420" i="9"/>
  <c r="O419" i="9"/>
  <c r="O418" i="9"/>
  <c r="O417" i="9"/>
  <c r="O416" i="9"/>
  <c r="O415" i="9"/>
  <c r="O414" i="9"/>
  <c r="O413" i="9"/>
  <c r="O412" i="9"/>
  <c r="O411" i="9"/>
  <c r="O410" i="9"/>
  <c r="O408" i="9"/>
  <c r="O407" i="9"/>
  <c r="O406" i="9"/>
  <c r="O405" i="9"/>
  <c r="O404" i="9"/>
  <c r="O403" i="9"/>
  <c r="O402" i="9"/>
  <c r="O401" i="9"/>
  <c r="O400" i="9"/>
  <c r="O399" i="9"/>
  <c r="O398" i="9"/>
  <c r="O397" i="9"/>
  <c r="O396" i="9"/>
  <c r="O395" i="9"/>
  <c r="O394" i="9"/>
  <c r="O393" i="9"/>
  <c r="O392" i="9"/>
  <c r="O391" i="9"/>
  <c r="O390" i="9"/>
  <c r="O389" i="9"/>
  <c r="O388" i="9"/>
  <c r="O387" i="9"/>
  <c r="O386" i="9"/>
  <c r="O385" i="9"/>
  <c r="O384" i="9"/>
  <c r="O383" i="9"/>
  <c r="O382" i="9"/>
  <c r="O381" i="9"/>
  <c r="O380" i="9"/>
  <c r="O379" i="9"/>
  <c r="O378" i="9"/>
  <c r="O377" i="9"/>
  <c r="O376" i="9"/>
  <c r="O375" i="9"/>
  <c r="O373" i="9"/>
  <c r="O372" i="9"/>
  <c r="O371" i="9"/>
  <c r="O370" i="9"/>
  <c r="O369" i="9"/>
  <c r="O368" i="9"/>
  <c r="O367" i="9"/>
  <c r="O366" i="9"/>
  <c r="O365" i="9"/>
  <c r="O364" i="9"/>
  <c r="O363" i="9"/>
  <c r="O362" i="9"/>
  <c r="O361" i="9"/>
  <c r="O360" i="9"/>
  <c r="O359" i="9"/>
  <c r="O358" i="9"/>
  <c r="O357" i="9"/>
  <c r="O356" i="9"/>
  <c r="O355" i="9"/>
  <c r="O354" i="9"/>
  <c r="O353" i="9"/>
  <c r="O352" i="9"/>
  <c r="O351" i="9"/>
  <c r="O350" i="9"/>
  <c r="O349" i="9"/>
  <c r="O348" i="9"/>
  <c r="O347" i="9"/>
  <c r="O346" i="9"/>
  <c r="O345" i="9"/>
  <c r="O344" i="9"/>
  <c r="O343" i="9"/>
  <c r="O342" i="9"/>
  <c r="O304" i="9"/>
  <c r="O303" i="9"/>
  <c r="O302" i="9"/>
  <c r="O301" i="9"/>
  <c r="O300" i="9"/>
  <c r="O299" i="9"/>
  <c r="O298" i="9"/>
  <c r="O297" i="9"/>
  <c r="O296" i="9"/>
  <c r="O295" i="9"/>
  <c r="O294" i="9"/>
  <c r="O293" i="9"/>
  <c r="O292" i="9"/>
  <c r="O291" i="9"/>
  <c r="O290" i="9"/>
  <c r="O289" i="9"/>
  <c r="O288" i="9"/>
  <c r="O287" i="9"/>
  <c r="O286" i="9"/>
  <c r="O285" i="9"/>
  <c r="O284" i="9"/>
  <c r="O283" i="9"/>
  <c r="O282" i="9"/>
  <c r="O281" i="9"/>
  <c r="O280" i="9"/>
  <c r="O279" i="9"/>
  <c r="O278" i="9"/>
  <c r="O277" i="9"/>
  <c r="O276" i="9"/>
  <c r="O275" i="9"/>
  <c r="O274" i="9"/>
  <c r="O273" i="9"/>
  <c r="O272" i="9"/>
  <c r="O271" i="9"/>
  <c r="O270" i="9"/>
  <c r="O269" i="9"/>
  <c r="O268" i="9"/>
  <c r="O267" i="9"/>
  <c r="O266" i="9"/>
  <c r="O265" i="9"/>
  <c r="O264" i="9"/>
  <c r="O260" i="9"/>
  <c r="O259" i="9"/>
  <c r="O258" i="9"/>
  <c r="O257" i="9"/>
  <c r="O256" i="9"/>
  <c r="O255" i="9"/>
  <c r="O254" i="9"/>
  <c r="O253" i="9"/>
  <c r="O252" i="9"/>
  <c r="O251" i="9"/>
  <c r="O250" i="9"/>
  <c r="O249" i="9"/>
  <c r="O248" i="9"/>
  <c r="O247" i="9"/>
  <c r="O246" i="9"/>
  <c r="O245" i="9"/>
  <c r="O244" i="9"/>
  <c r="O243" i="9"/>
  <c r="O242" i="9"/>
  <c r="O241" i="9"/>
  <c r="O240" i="9"/>
  <c r="O239" i="9"/>
  <c r="O238" i="9"/>
  <c r="O237" i="9"/>
  <c r="O236" i="9"/>
  <c r="O235" i="9"/>
  <c r="O234" i="9"/>
  <c r="O233" i="9"/>
  <c r="O232" i="9"/>
  <c r="O231" i="9"/>
  <c r="O230" i="9"/>
  <c r="O229" i="9"/>
  <c r="O228" i="9"/>
  <c r="O227" i="9"/>
  <c r="O226" i="9"/>
  <c r="O225" i="9"/>
  <c r="O224" i="9"/>
  <c r="O223" i="9"/>
  <c r="O222" i="9"/>
  <c r="O221" i="9"/>
  <c r="O220" i="9"/>
  <c r="O219" i="9"/>
  <c r="O218" i="9"/>
  <c r="O217" i="9"/>
  <c r="O216" i="9"/>
  <c r="O215" i="9"/>
  <c r="O214" i="9"/>
  <c r="O213" i="9"/>
  <c r="O212" i="9"/>
  <c r="O211" i="9"/>
  <c r="O210" i="9"/>
  <c r="O209" i="9"/>
  <c r="O208" i="9"/>
  <c r="O207" i="9"/>
  <c r="O206" i="9"/>
  <c r="O205" i="9"/>
  <c r="O204" i="9"/>
  <c r="O203" i="9"/>
  <c r="O202" i="9"/>
  <c r="O201" i="9"/>
  <c r="O200" i="9"/>
  <c r="O199" i="9"/>
  <c r="O196" i="9"/>
  <c r="O195" i="9"/>
  <c r="O194" i="9"/>
  <c r="O192" i="9"/>
  <c r="O191" i="9"/>
  <c r="O190" i="9"/>
  <c r="O187" i="9"/>
  <c r="O186" i="9"/>
  <c r="O185" i="9"/>
  <c r="O184" i="9"/>
  <c r="O183" i="9"/>
  <c r="O182" i="9"/>
  <c r="O181" i="9"/>
  <c r="O180" i="9"/>
  <c r="O179" i="9"/>
  <c r="O178" i="9"/>
  <c r="O177" i="9"/>
  <c r="O176" i="9"/>
  <c r="O175" i="9"/>
  <c r="O174" i="9"/>
  <c r="O173" i="9"/>
  <c r="O172" i="9"/>
  <c r="O171" i="9"/>
  <c r="O170" i="9"/>
  <c r="O169" i="9"/>
  <c r="O168" i="9"/>
  <c r="O167" i="9"/>
  <c r="O166" i="9"/>
  <c r="O165" i="9"/>
  <c r="O164" i="9"/>
  <c r="O163" i="9"/>
  <c r="O162" i="9"/>
  <c r="O161" i="9"/>
  <c r="O160" i="9"/>
  <c r="O159" i="9"/>
  <c r="O158" i="9"/>
  <c r="O157" i="9"/>
  <c r="O156" i="9"/>
  <c r="O155" i="9"/>
  <c r="O154" i="9"/>
  <c r="O136" i="9"/>
  <c r="O135" i="9"/>
  <c r="O134" i="9"/>
  <c r="O133" i="9"/>
  <c r="O129" i="9"/>
  <c r="O128" i="9"/>
  <c r="O127" i="9"/>
  <c r="O126" i="9"/>
  <c r="O125" i="9"/>
  <c r="O123" i="9"/>
  <c r="O122" i="9"/>
  <c r="O121" i="9"/>
  <c r="O120" i="9"/>
  <c r="O119" i="9"/>
  <c r="O118" i="9"/>
  <c r="O117" i="9"/>
  <c r="O116" i="9"/>
  <c r="O115" i="9"/>
  <c r="O114" i="9"/>
  <c r="O113" i="9"/>
  <c r="O112" i="9"/>
  <c r="O111" i="9"/>
  <c r="O110" i="9"/>
  <c r="O109" i="9"/>
  <c r="O108" i="9"/>
  <c r="O102" i="9"/>
  <c r="O101" i="9"/>
  <c r="O100" i="9"/>
  <c r="O99" i="9"/>
  <c r="O98" i="9"/>
  <c r="O97" i="9"/>
  <c r="O96" i="9"/>
  <c r="O95" i="9"/>
  <c r="O93" i="9"/>
  <c r="O92" i="9"/>
  <c r="O91" i="9"/>
  <c r="O90" i="9"/>
  <c r="O89" i="9"/>
  <c r="O88" i="9"/>
  <c r="O87" i="9"/>
  <c r="O86" i="9"/>
  <c r="O85" i="9"/>
  <c r="O84" i="9"/>
  <c r="O83" i="9"/>
  <c r="O82" i="9"/>
  <c r="O81" i="9"/>
  <c r="O80" i="9"/>
  <c r="O79" i="9"/>
  <c r="O78" i="9"/>
  <c r="O77" i="9"/>
  <c r="O76" i="9"/>
  <c r="O75" i="9"/>
  <c r="O74" i="9"/>
  <c r="O72" i="9"/>
  <c r="O71" i="9"/>
  <c r="O70" i="9"/>
  <c r="O69" i="9"/>
  <c r="O68" i="9"/>
  <c r="O67" i="9"/>
  <c r="O66" i="9"/>
  <c r="O65" i="9"/>
  <c r="O64" i="9"/>
  <c r="O63" i="9"/>
  <c r="O62" i="9"/>
  <c r="O61" i="9"/>
  <c r="O60" i="9"/>
  <c r="O59" i="9"/>
  <c r="O58" i="9"/>
  <c r="O57" i="9"/>
  <c r="O56"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N1006" i="16"/>
  <c r="N1005" i="16"/>
  <c r="N986" i="16"/>
  <c r="N985" i="16"/>
  <c r="N984" i="16"/>
  <c r="N983" i="16"/>
  <c r="N982" i="16"/>
  <c r="N981" i="16"/>
  <c r="N980" i="16"/>
  <c r="N979" i="16"/>
  <c r="N978" i="16"/>
  <c r="N977" i="16"/>
  <c r="N976" i="16"/>
  <c r="N975" i="16"/>
  <c r="N974" i="16"/>
  <c r="N973" i="16"/>
  <c r="N972" i="16"/>
  <c r="N971" i="16"/>
  <c r="N970" i="16"/>
  <c r="N969" i="16"/>
  <c r="N968" i="16"/>
  <c r="N967" i="16"/>
  <c r="N966" i="16"/>
  <c r="N965" i="16"/>
  <c r="N964" i="16"/>
  <c r="N963" i="16"/>
  <c r="N962" i="16"/>
  <c r="N961" i="16"/>
  <c r="N960" i="16"/>
  <c r="N959" i="16"/>
  <c r="N958" i="16"/>
  <c r="N957" i="16"/>
  <c r="N956" i="16"/>
  <c r="N955" i="16"/>
  <c r="N954" i="16"/>
  <c r="N953" i="16"/>
  <c r="N952" i="16"/>
  <c r="N951" i="16"/>
  <c r="N950" i="16"/>
  <c r="N522" i="16"/>
  <c r="N521" i="16"/>
  <c r="N520" i="16"/>
  <c r="N519" i="16"/>
  <c r="N518" i="16"/>
  <c r="N517" i="16"/>
  <c r="N516" i="16"/>
  <c r="N515" i="16"/>
  <c r="N344" i="16"/>
  <c r="N105" i="16"/>
  <c r="N514" i="16"/>
  <c r="N612" i="16"/>
  <c r="N310" i="16"/>
  <c r="N275" i="16"/>
  <c r="N643" i="16"/>
  <c r="N611" i="16"/>
  <c r="N642" i="16"/>
  <c r="N610" i="16"/>
  <c r="N309" i="16"/>
  <c r="N274" i="16"/>
  <c r="N641" i="16"/>
  <c r="N609" i="16"/>
  <c r="N308" i="16"/>
  <c r="N273" i="16"/>
  <c r="N640" i="16"/>
  <c r="N608" i="16"/>
  <c r="N307" i="16"/>
  <c r="N272" i="16"/>
  <c r="N943" i="16"/>
  <c r="N942" i="16"/>
  <c r="N941" i="16"/>
  <c r="N940" i="16"/>
  <c r="N939" i="16"/>
  <c r="N938" i="16"/>
  <c r="N937" i="16"/>
  <c r="N936" i="16"/>
  <c r="N935" i="16"/>
  <c r="N934" i="16"/>
  <c r="N933" i="16"/>
  <c r="N932" i="16"/>
  <c r="N931" i="16"/>
  <c r="N930" i="16"/>
  <c r="N929" i="16"/>
  <c r="N928" i="16"/>
  <c r="N927" i="16"/>
  <c r="N926" i="16"/>
  <c r="N925" i="16"/>
  <c r="N924" i="16"/>
  <c r="N923" i="16"/>
  <c r="N922" i="16"/>
  <c r="N921" i="16"/>
  <c r="N920" i="16"/>
  <c r="N229" i="16"/>
  <c r="M229" i="16" s="1"/>
  <c r="O229" i="16" s="1"/>
  <c r="N228" i="16"/>
  <c r="M228" i="16" s="1"/>
  <c r="O228" i="16" s="1"/>
  <c r="N914" i="16"/>
  <c r="N913" i="16"/>
  <c r="N912" i="16"/>
  <c r="N435" i="16"/>
  <c r="N198" i="16"/>
  <c r="N195" i="16"/>
  <c r="N192" i="16"/>
  <c r="N189" i="16"/>
  <c r="N186" i="16"/>
  <c r="N197" i="16"/>
  <c r="N194" i="16"/>
  <c r="N191" i="16"/>
  <c r="N188" i="16"/>
  <c r="N185" i="16"/>
  <c r="N373" i="16"/>
  <c r="N196" i="16"/>
  <c r="N193" i="16"/>
  <c r="N190" i="16"/>
  <c r="N187" i="16"/>
  <c r="N184" i="16"/>
  <c r="N126" i="16"/>
  <c r="N949" i="16"/>
  <c r="N693" i="16"/>
  <c r="M693" i="16" s="1"/>
  <c r="O693" i="16" s="1"/>
  <c r="N911" i="16"/>
  <c r="N910" i="16"/>
  <c r="N909" i="16"/>
  <c r="N908" i="16"/>
  <c r="N893" i="16"/>
  <c r="M893" i="16" s="1"/>
  <c r="O893" i="16" s="1"/>
  <c r="N884" i="16"/>
  <c r="M884" i="16" s="1"/>
  <c r="O884" i="16" s="1"/>
  <c r="N883" i="16"/>
  <c r="M883" i="16" s="1"/>
  <c r="O883" i="16" s="1"/>
  <c r="N853" i="16"/>
  <c r="N843" i="16"/>
  <c r="N842" i="16"/>
  <c r="N820" i="16"/>
  <c r="N819" i="16"/>
  <c r="N818" i="16"/>
  <c r="N817" i="16"/>
  <c r="N816" i="16"/>
  <c r="N815" i="16"/>
  <c r="N814" i="16"/>
  <c r="N793" i="16"/>
  <c r="N792" i="16"/>
  <c r="N791" i="16"/>
  <c r="N790" i="16"/>
  <c r="N789" i="16"/>
  <c r="N788" i="16"/>
  <c r="N787" i="16"/>
  <c r="N786" i="16"/>
  <c r="N785" i="16"/>
  <c r="N784" i="16"/>
  <c r="N783" i="16"/>
  <c r="N692" i="16"/>
  <c r="M692" i="16" s="1"/>
  <c r="O692" i="16" s="1"/>
  <c r="N691" i="16"/>
  <c r="M691" i="16" s="1"/>
  <c r="O691" i="16" s="1"/>
  <c r="N690" i="16"/>
  <c r="M690" i="16" s="1"/>
  <c r="O690" i="16" s="1"/>
  <c r="N689" i="16"/>
  <c r="M689" i="16" s="1"/>
  <c r="O689" i="16" s="1"/>
  <c r="N688" i="16"/>
  <c r="M688" i="16" s="1"/>
  <c r="O688" i="16" s="1"/>
  <c r="N687" i="16"/>
  <c r="M687" i="16" s="1"/>
  <c r="O687" i="16" s="1"/>
  <c r="N686" i="16"/>
  <c r="M686" i="16" s="1"/>
  <c r="O686" i="16" s="1"/>
  <c r="N685" i="16"/>
  <c r="N780" i="16"/>
  <c r="N779" i="16"/>
  <c r="N778" i="16"/>
  <c r="N777" i="16"/>
  <c r="N776" i="16"/>
  <c r="N684" i="16"/>
  <c r="M684" i="16" s="1"/>
  <c r="O684" i="16" s="1"/>
  <c r="N775" i="16"/>
  <c r="N774" i="16"/>
  <c r="N773" i="16"/>
  <c r="N772" i="16"/>
  <c r="N771" i="16"/>
  <c r="N770" i="16"/>
  <c r="N769" i="16"/>
  <c r="N768" i="16"/>
  <c r="N767" i="16"/>
  <c r="N683" i="16"/>
  <c r="M683" i="16" s="1"/>
  <c r="O683" i="16" s="1"/>
  <c r="N682" i="16"/>
  <c r="M682" i="16" s="1"/>
  <c r="O682" i="16" s="1"/>
  <c r="N681" i="16"/>
  <c r="M681" i="16" s="1"/>
  <c r="O681" i="16" s="1"/>
  <c r="N680" i="16"/>
  <c r="M680" i="16" s="1"/>
  <c r="O680" i="16" s="1"/>
  <c r="N679" i="16"/>
  <c r="M679" i="16" s="1"/>
  <c r="O679" i="16" s="1"/>
  <c r="N678" i="16"/>
  <c r="M678" i="16" s="1"/>
  <c r="O678" i="16" s="1"/>
  <c r="N677" i="16"/>
  <c r="M677" i="16" s="1"/>
  <c r="O677" i="16" s="1"/>
  <c r="N676" i="16"/>
  <c r="M676" i="16" s="1"/>
  <c r="O676" i="16" s="1"/>
  <c r="N764" i="16"/>
  <c r="N763" i="16"/>
  <c r="N762" i="16"/>
  <c r="N675" i="16"/>
  <c r="M675" i="16" s="1"/>
  <c r="O675" i="16" s="1"/>
  <c r="N761" i="16"/>
  <c r="N760" i="16"/>
  <c r="N759" i="16"/>
  <c r="N758" i="16"/>
  <c r="N757" i="16"/>
  <c r="N756" i="16"/>
  <c r="N755" i="16"/>
  <c r="N754" i="16"/>
  <c r="N753" i="16"/>
  <c r="N674" i="16"/>
  <c r="M674" i="16" s="1"/>
  <c r="O674" i="16" s="1"/>
  <c r="N673" i="16"/>
  <c r="N672" i="16"/>
  <c r="M672" i="16" s="1"/>
  <c r="O672" i="16" s="1"/>
  <c r="N671" i="16"/>
  <c r="M671" i="16" s="1"/>
  <c r="O671" i="16" s="1"/>
  <c r="N670" i="16"/>
  <c r="M670" i="16" s="1"/>
  <c r="O670" i="16" s="1"/>
  <c r="N669" i="16"/>
  <c r="M669" i="16" s="1"/>
  <c r="O669" i="16" s="1"/>
  <c r="N668" i="16"/>
  <c r="M668" i="16" s="1"/>
  <c r="O668" i="16" s="1"/>
  <c r="N667" i="16"/>
  <c r="N666" i="16"/>
  <c r="M666" i="16" s="1"/>
  <c r="O666" i="16" s="1"/>
  <c r="N750" i="16"/>
  <c r="N749" i="16"/>
  <c r="N748" i="16"/>
  <c r="N747" i="16"/>
  <c r="N746" i="16"/>
  <c r="N665" i="16"/>
  <c r="N745" i="16"/>
  <c r="N744" i="16"/>
  <c r="N743" i="16"/>
  <c r="N742" i="16"/>
  <c r="N741" i="16"/>
  <c r="N740" i="16"/>
  <c r="N739" i="16"/>
  <c r="N738" i="16"/>
  <c r="N737" i="16"/>
  <c r="N664" i="16"/>
  <c r="M664" i="16" s="1"/>
  <c r="O664" i="16" s="1"/>
  <c r="N663" i="16"/>
  <c r="N662" i="16"/>
  <c r="M662" i="16" s="1"/>
  <c r="O662" i="16" s="1"/>
  <c r="N661" i="16"/>
  <c r="M661" i="16" s="1"/>
  <c r="O661" i="16" s="1"/>
  <c r="N660" i="16"/>
  <c r="M660" i="16" s="1"/>
  <c r="O660" i="16" s="1"/>
  <c r="N659" i="16"/>
  <c r="M659" i="16" s="1"/>
  <c r="O659" i="16" s="1"/>
  <c r="N658" i="16"/>
  <c r="M658" i="16" s="1"/>
  <c r="O658" i="16" s="1"/>
  <c r="N734" i="16"/>
  <c r="N733" i="16"/>
  <c r="N657" i="16"/>
  <c r="M657" i="16" s="1"/>
  <c r="O657" i="16" s="1"/>
  <c r="N732" i="16"/>
  <c r="N731" i="16"/>
  <c r="N730" i="16"/>
  <c r="N729" i="16"/>
  <c r="N728" i="16"/>
  <c r="N727" i="16"/>
  <c r="N726" i="16"/>
  <c r="N725" i="16"/>
  <c r="N724" i="16"/>
  <c r="N656" i="16"/>
  <c r="M656" i="16" s="1"/>
  <c r="O656" i="16" s="1"/>
  <c r="N655" i="16"/>
  <c r="M655" i="16" s="1"/>
  <c r="O655" i="16" s="1"/>
  <c r="N654" i="16"/>
  <c r="M654" i="16" s="1"/>
  <c r="O654" i="16" s="1"/>
  <c r="N653" i="16"/>
  <c r="M653" i="16" s="1"/>
  <c r="O653" i="16" s="1"/>
  <c r="N652" i="16"/>
  <c r="M652" i="16" s="1"/>
  <c r="O652" i="16" s="1"/>
  <c r="N651" i="16"/>
  <c r="M651" i="16" s="1"/>
  <c r="O651" i="16" s="1"/>
  <c r="N650" i="16"/>
  <c r="N649" i="16"/>
  <c r="M649" i="16" s="1"/>
  <c r="O649" i="16" s="1"/>
  <c r="N458" i="16"/>
  <c r="N457" i="16"/>
  <c r="N456" i="16"/>
  <c r="N455" i="16"/>
  <c r="N454" i="16"/>
  <c r="N453" i="16"/>
  <c r="N639" i="16"/>
  <c r="N638" i="16"/>
  <c r="N637" i="16"/>
  <c r="N636" i="16"/>
  <c r="N635" i="16"/>
  <c r="N634" i="16"/>
  <c r="N633" i="16"/>
  <c r="N632" i="16"/>
  <c r="N631" i="16"/>
  <c r="N630" i="16"/>
  <c r="N629" i="16"/>
  <c r="N628" i="16"/>
  <c r="N627" i="16"/>
  <c r="N626" i="16"/>
  <c r="N625" i="16"/>
  <c r="N624" i="16"/>
  <c r="N623" i="16"/>
  <c r="N622" i="16"/>
  <c r="N621" i="16"/>
  <c r="N620" i="16"/>
  <c r="N619" i="16"/>
  <c r="N618" i="16"/>
  <c r="N607" i="16"/>
  <c r="N606" i="16"/>
  <c r="N605" i="16"/>
  <c r="N604" i="16"/>
  <c r="N603" i="16"/>
  <c r="N602" i="16"/>
  <c r="N601" i="16"/>
  <c r="N600" i="16"/>
  <c r="N599" i="16"/>
  <c r="N598" i="16"/>
  <c r="N597" i="16"/>
  <c r="N596" i="16"/>
  <c r="N595" i="16"/>
  <c r="N594" i="16"/>
  <c r="N593" i="16"/>
  <c r="N592" i="16"/>
  <c r="N591" i="16"/>
  <c r="N590" i="16"/>
  <c r="N589" i="16"/>
  <c r="N588" i="16"/>
  <c r="N587" i="16"/>
  <c r="N586" i="16"/>
  <c r="N585" i="16"/>
  <c r="N584" i="16"/>
  <c r="N575" i="16"/>
  <c r="N574" i="16"/>
  <c r="N573" i="16"/>
  <c r="N572" i="16"/>
  <c r="N571" i="16"/>
  <c r="N570" i="16"/>
  <c r="N569" i="16"/>
  <c r="N568" i="16"/>
  <c r="N567" i="16"/>
  <c r="N566" i="16"/>
  <c r="N565" i="16"/>
  <c r="N564" i="16"/>
  <c r="N563" i="16"/>
  <c r="N562" i="16"/>
  <c r="N561" i="16"/>
  <c r="N559" i="16"/>
  <c r="N558" i="16"/>
  <c r="N557" i="16"/>
  <c r="N556" i="16"/>
  <c r="N555" i="16"/>
  <c r="N554" i="16"/>
  <c r="N553" i="16"/>
  <c r="N552" i="16"/>
  <c r="N551" i="16"/>
  <c r="N550" i="16"/>
  <c r="N549" i="16"/>
  <c r="N548" i="16"/>
  <c r="N547" i="16"/>
  <c r="N546" i="16"/>
  <c r="N545" i="16"/>
  <c r="N544" i="16"/>
  <c r="N543" i="16"/>
  <c r="N542" i="16"/>
  <c r="N541" i="16"/>
  <c r="N540" i="16"/>
  <c r="N539" i="16"/>
  <c r="N538" i="16"/>
  <c r="N537" i="16"/>
  <c r="N536" i="16"/>
  <c r="N535" i="16"/>
  <c r="N534" i="16"/>
  <c r="N533" i="16"/>
  <c r="N532" i="16"/>
  <c r="N531" i="16"/>
  <c r="N530" i="16"/>
  <c r="N529" i="16"/>
  <c r="N528" i="16"/>
  <c r="N527" i="16"/>
  <c r="N526" i="16"/>
  <c r="N525" i="16"/>
  <c r="N524" i="16"/>
  <c r="N513" i="16"/>
  <c r="N512" i="16"/>
  <c r="N511" i="16"/>
  <c r="N510" i="16"/>
  <c r="N509" i="16"/>
  <c r="N508" i="16"/>
  <c r="N507" i="16"/>
  <c r="N506" i="16"/>
  <c r="N505" i="16"/>
  <c r="N504" i="16"/>
  <c r="N503" i="16"/>
  <c r="N502" i="16"/>
  <c r="N501" i="16"/>
  <c r="N500" i="16"/>
  <c r="N583" i="16"/>
  <c r="N617" i="16"/>
  <c r="N582" i="16"/>
  <c r="N496" i="16"/>
  <c r="N491" i="16"/>
  <c r="N479" i="16"/>
  <c r="N372" i="16"/>
  <c r="N468" i="16"/>
  <c r="N467" i="16"/>
  <c r="N466" i="16"/>
  <c r="N465" i="16"/>
  <c r="N464" i="16"/>
  <c r="N463" i="16"/>
  <c r="N462" i="16"/>
  <c r="N461" i="16"/>
  <c r="N460" i="16"/>
  <c r="N459" i="16"/>
  <c r="N495" i="16"/>
  <c r="N494" i="16"/>
  <c r="N493" i="16"/>
  <c r="N490" i="16"/>
  <c r="N489" i="16"/>
  <c r="N488" i="16"/>
  <c r="N487" i="16"/>
  <c r="N486" i="16"/>
  <c r="N485" i="16"/>
  <c r="N484" i="16"/>
  <c r="N478" i="16"/>
  <c r="N477" i="16"/>
  <c r="N476" i="16"/>
  <c r="N475" i="16"/>
  <c r="N474" i="16"/>
  <c r="N473" i="16"/>
  <c r="N472" i="16"/>
  <c r="N471" i="16"/>
  <c r="N470" i="16"/>
  <c r="N498" i="16"/>
  <c r="N497" i="16"/>
  <c r="N410" i="16"/>
  <c r="N402" i="16"/>
  <c r="N388" i="16"/>
  <c r="N381" i="16"/>
  <c r="N1004" i="16"/>
  <c r="N444" i="16"/>
  <c r="N443" i="16"/>
  <c r="N442" i="16"/>
  <c r="N339" i="16"/>
  <c r="N161" i="16"/>
  <c r="N343" i="16"/>
  <c r="N338" i="16"/>
  <c r="N1003" i="16"/>
  <c r="N581" i="16"/>
  <c r="N616" i="16"/>
  <c r="N580" i="16"/>
  <c r="N615" i="16"/>
  <c r="N104" i="16"/>
  <c r="N160" i="16"/>
  <c r="N159" i="16"/>
  <c r="N158" i="16"/>
  <c r="N337" i="16"/>
  <c r="N336" i="16"/>
  <c r="N342" i="16"/>
  <c r="N335" i="16"/>
  <c r="N1002" i="16"/>
  <c r="N341" i="16"/>
  <c r="N409" i="16"/>
  <c r="N401" i="16"/>
  <c r="N380" i="16"/>
  <c r="N434" i="16"/>
  <c r="N433" i="16"/>
  <c r="N432" i="16"/>
  <c r="N431" i="16"/>
  <c r="N430" i="16"/>
  <c r="N429" i="16"/>
  <c r="N428" i="16"/>
  <c r="N1001" i="16"/>
  <c r="N1000" i="16"/>
  <c r="N999" i="16"/>
  <c r="N157" i="16"/>
  <c r="N998" i="16"/>
  <c r="N103" i="16"/>
  <c r="N997" i="16"/>
  <c r="N406" i="16"/>
  <c r="N398" i="16"/>
  <c r="N387" i="16"/>
  <c r="N379" i="16"/>
  <c r="N102" i="16"/>
  <c r="N101" i="16"/>
  <c r="N996" i="16"/>
  <c r="N405" i="16"/>
  <c r="N397" i="16"/>
  <c r="N386" i="16"/>
  <c r="N378" i="16"/>
  <c r="N100" i="16"/>
  <c r="N99" i="16"/>
  <c r="N156" i="16"/>
  <c r="N995" i="16"/>
  <c r="N945" i="16"/>
  <c r="N523" i="16"/>
  <c r="N404" i="16"/>
  <c r="N396" i="16"/>
  <c r="N385" i="16"/>
  <c r="N377" i="16"/>
  <c r="N98" i="16"/>
  <c r="N97" i="16"/>
  <c r="N312" i="16"/>
  <c r="N311" i="16"/>
  <c r="N201" i="16"/>
  <c r="N200" i="16"/>
  <c r="N153" i="16"/>
  <c r="N155" i="16"/>
  <c r="N427" i="16"/>
  <c r="N426" i="16"/>
  <c r="N425" i="16"/>
  <c r="N424" i="16"/>
  <c r="N423" i="16"/>
  <c r="N422" i="16"/>
  <c r="N421" i="16"/>
  <c r="N420" i="16"/>
  <c r="N323" i="16"/>
  <c r="N419" i="16"/>
  <c r="N322" i="16"/>
  <c r="N96" i="16"/>
  <c r="N418" i="16"/>
  <c r="N841" i="16"/>
  <c r="N840" i="16"/>
  <c r="N839" i="16"/>
  <c r="N838" i="16"/>
  <c r="N852" i="16"/>
  <c r="N837" i="16"/>
  <c r="N851" i="16"/>
  <c r="N395" i="16"/>
  <c r="N836" i="16"/>
  <c r="N850" i="16"/>
  <c r="N394" i="16"/>
  <c r="N835" i="16"/>
  <c r="N849" i="16"/>
  <c r="N393" i="16"/>
  <c r="N834" i="16"/>
  <c r="N848" i="16"/>
  <c r="N847" i="16"/>
  <c r="M847" i="16" s="1"/>
  <c r="O847" i="16" s="1"/>
  <c r="N392" i="16"/>
  <c r="N833" i="16"/>
  <c r="N231" i="16"/>
  <c r="N648" i="16"/>
  <c r="M648" i="16" s="1"/>
  <c r="O648" i="16" s="1"/>
  <c r="N371" i="16"/>
  <c r="N370" i="16"/>
  <c r="N441" i="16"/>
  <c r="N440" i="16"/>
  <c r="N439" i="16"/>
  <c r="N438" i="16"/>
  <c r="N437" i="16"/>
  <c r="N436" i="16"/>
  <c r="N321" i="16"/>
  <c r="N832" i="16"/>
  <c r="N579" i="16"/>
  <c r="N306" i="16"/>
  <c r="N271" i="16"/>
  <c r="N369" i="16"/>
  <c r="N225" i="16"/>
  <c r="N305" i="16"/>
  <c r="N270" i="16"/>
  <c r="N366" i="16"/>
  <c r="N365" i="16"/>
  <c r="N364" i="16"/>
  <c r="N363" i="16"/>
  <c r="N362" i="16"/>
  <c r="N361" i="16"/>
  <c r="N360" i="16"/>
  <c r="N359" i="16"/>
  <c r="N358" i="16"/>
  <c r="N357" i="16"/>
  <c r="N356" i="16"/>
  <c r="N355" i="16"/>
  <c r="N499" i="16"/>
  <c r="N354" i="16"/>
  <c r="N353" i="16"/>
  <c r="N352" i="16"/>
  <c r="N351" i="16"/>
  <c r="N350" i="16"/>
  <c r="N349" i="16"/>
  <c r="N348" i="16"/>
  <c r="N347" i="16"/>
  <c r="N346" i="16"/>
  <c r="N345" i="16"/>
  <c r="N994" i="16"/>
  <c r="N919" i="16"/>
  <c r="N614" i="16"/>
  <c r="N578" i="16"/>
  <c r="N918" i="16"/>
  <c r="N948" i="16"/>
  <c r="N224" i="16"/>
  <c r="N993" i="16"/>
  <c r="N917" i="16"/>
  <c r="N916" i="16"/>
  <c r="N95" i="16"/>
  <c r="N94" i="16"/>
  <c r="N93" i="16"/>
  <c r="N944" i="16"/>
  <c r="N389" i="16"/>
  <c r="N382" i="16"/>
  <c r="N374" i="16"/>
  <c r="N92" i="16"/>
  <c r="N334" i="16"/>
  <c r="N452" i="16"/>
  <c r="N451" i="16"/>
  <c r="N450" i="16"/>
  <c r="N449" i="16"/>
  <c r="N831" i="16"/>
  <c r="N830" i="16"/>
  <c r="N829" i="16"/>
  <c r="N828" i="16"/>
  <c r="N827" i="16"/>
  <c r="N826" i="16"/>
  <c r="N825" i="16"/>
  <c r="N481" i="16"/>
  <c r="N824" i="16"/>
  <c r="N320" i="16"/>
  <c r="N992" i="16"/>
  <c r="N991" i="16"/>
  <c r="N319" i="16"/>
  <c r="N990" i="16"/>
  <c r="N318" i="16"/>
  <c r="N989" i="16"/>
  <c r="N317" i="16"/>
  <c r="N988" i="16"/>
  <c r="N83" i="16"/>
  <c r="N368" i="16"/>
  <c r="N304" i="16"/>
  <c r="N269" i="16"/>
  <c r="N331" i="16"/>
  <c r="N330" i="16"/>
  <c r="N329" i="16"/>
  <c r="N328" i="16"/>
  <c r="N333" i="16"/>
  <c r="N332" i="16"/>
  <c r="N82" i="16"/>
  <c r="N327" i="16"/>
  <c r="N326" i="16"/>
  <c r="N325" i="16"/>
  <c r="N324" i="16"/>
  <c r="N316" i="16"/>
  <c r="N315" i="16"/>
  <c r="N340" i="16"/>
  <c r="N303" i="16"/>
  <c r="N302" i="16"/>
  <c r="N301" i="16"/>
  <c r="N300" i="16"/>
  <c r="N299" i="16"/>
  <c r="N298" i="16"/>
  <c r="N297" i="16"/>
  <c r="N296" i="16"/>
  <c r="N295" i="16"/>
  <c r="N294" i="16"/>
  <c r="N293" i="16"/>
  <c r="N292" i="16"/>
  <c r="N291" i="16"/>
  <c r="N290" i="16"/>
  <c r="N289" i="16"/>
  <c r="N288" i="16"/>
  <c r="N287" i="16"/>
  <c r="N286" i="16"/>
  <c r="N285" i="16"/>
  <c r="N284" i="16"/>
  <c r="N283" i="16"/>
  <c r="N282" i="16"/>
  <c r="N281" i="16"/>
  <c r="N280" i="16"/>
  <c r="N268" i="16"/>
  <c r="N267" i="16"/>
  <c r="N266" i="16"/>
  <c r="N265" i="16"/>
  <c r="N264" i="16"/>
  <c r="N263" i="16"/>
  <c r="N262" i="16"/>
  <c r="N261" i="16"/>
  <c r="N260" i="16"/>
  <c r="N259" i="16"/>
  <c r="N258" i="16"/>
  <c r="N257" i="16"/>
  <c r="N256" i="16"/>
  <c r="N255" i="16"/>
  <c r="N254" i="16"/>
  <c r="N253" i="16"/>
  <c r="N252" i="16"/>
  <c r="N251" i="16"/>
  <c r="N250" i="16"/>
  <c r="N249" i="16"/>
  <c r="N248" i="16"/>
  <c r="N247" i="16"/>
  <c r="N246" i="16"/>
  <c r="N241" i="16"/>
  <c r="N240" i="16"/>
  <c r="N239" i="16"/>
  <c r="N238" i="16"/>
  <c r="N233" i="16"/>
  <c r="N230" i="16"/>
  <c r="N223" i="16"/>
  <c r="N222" i="16"/>
  <c r="N221" i="16"/>
  <c r="N220" i="16"/>
  <c r="N219" i="16"/>
  <c r="N218" i="16"/>
  <c r="N217" i="16"/>
  <c r="N216" i="16"/>
  <c r="N215" i="16"/>
  <c r="N214" i="16"/>
  <c r="N213" i="16"/>
  <c r="N212" i="16"/>
  <c r="N211" i="16"/>
  <c r="N210" i="16"/>
  <c r="N209" i="16"/>
  <c r="N208" i="16"/>
  <c r="N207" i="16"/>
  <c r="N199" i="16"/>
  <c r="N279" i="16"/>
  <c r="N245" i="16"/>
  <c r="N278" i="16"/>
  <c r="N244" i="16"/>
  <c r="N417" i="16"/>
  <c r="N416" i="16"/>
  <c r="N415" i="16"/>
  <c r="N227" i="16"/>
  <c r="N277" i="16"/>
  <c r="N243" i="16"/>
  <c r="N152" i="16"/>
  <c r="N151" i="16"/>
  <c r="N150" i="16"/>
  <c r="N149" i="16"/>
  <c r="N148" i="16"/>
  <c r="N147" i="16"/>
  <c r="N146" i="16"/>
  <c r="N145" i="16"/>
  <c r="N144" i="16"/>
  <c r="N143" i="16"/>
  <c r="N142" i="16"/>
  <c r="N141" i="16"/>
  <c r="N140" i="16"/>
  <c r="N139" i="16"/>
  <c r="N138" i="16"/>
  <c r="N855" i="16"/>
  <c r="N846" i="16"/>
  <c r="N823" i="16"/>
  <c r="N782" i="16"/>
  <c r="N766" i="16"/>
  <c r="N752" i="16"/>
  <c r="N736" i="16"/>
  <c r="N822" i="16"/>
  <c r="N854" i="16"/>
  <c r="N845" i="16"/>
  <c r="N781" i="16"/>
  <c r="N765" i="16"/>
  <c r="N751" i="16"/>
  <c r="N735" i="16"/>
  <c r="N367" i="16"/>
  <c r="N137" i="16"/>
  <c r="N136" i="16"/>
  <c r="N135" i="16"/>
  <c r="N134" i="16"/>
  <c r="N133" i="16"/>
  <c r="N132" i="16"/>
  <c r="N131" i="16"/>
  <c r="N130" i="16"/>
  <c r="N129" i="16"/>
  <c r="N128" i="16"/>
  <c r="N127" i="16"/>
  <c r="N125" i="16"/>
  <c r="N124" i="16"/>
  <c r="N123" i="16"/>
  <c r="N122" i="16"/>
  <c r="N121" i="16"/>
  <c r="N120" i="16"/>
  <c r="N119" i="16"/>
  <c r="N118" i="16"/>
  <c r="N117" i="16"/>
  <c r="N116" i="16"/>
  <c r="N115" i="16"/>
  <c r="N114" i="16"/>
  <c r="N113" i="16"/>
  <c r="N112" i="16"/>
  <c r="N111" i="16"/>
  <c r="N110" i="16"/>
  <c r="N109" i="16"/>
  <c r="N108" i="16"/>
  <c r="N107" i="16"/>
  <c r="N106" i="16"/>
  <c r="N89" i="16"/>
  <c r="N88" i="16"/>
  <c r="N87" i="16"/>
  <c r="N86" i="16"/>
  <c r="N85" i="16"/>
  <c r="N448" i="16"/>
  <c r="N447" i="16"/>
  <c r="N446" i="16"/>
  <c r="N947" i="16"/>
  <c r="N560" i="16"/>
  <c r="N445" i="16"/>
  <c r="N613" i="16"/>
  <c r="N577" i="16"/>
  <c r="N576" i="16"/>
  <c r="N915" i="16"/>
  <c r="N987" i="16"/>
  <c r="N492" i="16"/>
  <c r="N483" i="16"/>
  <c r="N469" i="16"/>
  <c r="N414" i="16"/>
  <c r="N413" i="16"/>
  <c r="N412" i="16"/>
  <c r="N821" i="16"/>
  <c r="N232" i="16"/>
  <c r="N647" i="16"/>
  <c r="M647" i="16" s="1"/>
  <c r="O647" i="16" s="1"/>
  <c r="N646" i="16"/>
  <c r="M646" i="16" s="1"/>
  <c r="O646" i="16" s="1"/>
  <c r="N645" i="16"/>
  <c r="M645" i="16" s="1"/>
  <c r="O645" i="16" s="1"/>
  <c r="N644" i="16"/>
  <c r="M644" i="16" s="1"/>
  <c r="O644" i="16" s="1"/>
  <c r="N84" i="16"/>
  <c r="N81" i="16"/>
  <c r="N80" i="16"/>
  <c r="N79" i="16"/>
  <c r="N78" i="16"/>
  <c r="N77" i="16"/>
  <c r="N76" i="16"/>
  <c r="N75" i="16"/>
  <c r="N74" i="16"/>
  <c r="N73" i="16"/>
  <c r="N72" i="16"/>
  <c r="N71" i="16"/>
  <c r="N70" i="16"/>
  <c r="N69" i="16"/>
  <c r="N68" i="16"/>
  <c r="N67" i="16"/>
  <c r="N66" i="16"/>
  <c r="N65" i="16"/>
  <c r="N64" i="16"/>
  <c r="N63" i="16"/>
  <c r="N62" i="16"/>
  <c r="N61" i="16"/>
  <c r="N60" i="16"/>
  <c r="N59" i="16"/>
  <c r="N58" i="16"/>
  <c r="N57" i="16"/>
  <c r="N56" i="16"/>
  <c r="N55" i="16"/>
  <c r="N54" i="16"/>
  <c r="N53" i="16"/>
  <c r="N52" i="16"/>
  <c r="N276" i="16"/>
  <c r="N242" i="16"/>
  <c r="N51" i="16"/>
  <c r="N50" i="16"/>
  <c r="N49" i="16"/>
  <c r="N48" i="16"/>
  <c r="N47" i="16"/>
  <c r="N46" i="16"/>
  <c r="N45" i="16"/>
  <c r="N44" i="16"/>
  <c r="N43" i="16"/>
  <c r="N42" i="16"/>
  <c r="N41" i="16"/>
  <c r="N40" i="16"/>
  <c r="N39" i="16"/>
  <c r="N38" i="16"/>
  <c r="N37" i="16"/>
  <c r="N36" i="16"/>
  <c r="N35" i="16"/>
  <c r="N34" i="16"/>
  <c r="N33" i="16"/>
  <c r="N32" i="16"/>
  <c r="N31" i="16"/>
  <c r="N30" i="16"/>
  <c r="N29" i="16"/>
  <c r="N28" i="16"/>
  <c r="N27" i="16"/>
  <c r="N26" i="16"/>
  <c r="N25" i="16"/>
  <c r="N24" i="16"/>
  <c r="N23" i="16"/>
  <c r="N22" i="16"/>
  <c r="N21" i="16"/>
  <c r="N20" i="16"/>
  <c r="N19" i="16"/>
  <c r="N18" i="16"/>
  <c r="N17" i="16"/>
  <c r="N16" i="16"/>
  <c r="N15" i="16"/>
  <c r="N14" i="16"/>
  <c r="N13" i="16"/>
  <c r="N12" i="16"/>
  <c r="N11" i="16"/>
  <c r="N10" i="16"/>
  <c r="N9" i="16"/>
  <c r="N8" i="16"/>
  <c r="N7" i="16"/>
  <c r="G89" i="16"/>
  <c r="G90" i="16"/>
  <c r="G91" i="16"/>
  <c r="H90" i="16"/>
  <c r="J90" i="16" s="1"/>
  <c r="K90" i="16"/>
  <c r="N90" i="16"/>
  <c r="M90" i="16" s="1"/>
  <c r="O90" i="16" s="1"/>
  <c r="H91" i="16"/>
  <c r="J91" i="16" s="1"/>
  <c r="K91" i="16"/>
  <c r="N91" i="16"/>
  <c r="M91" i="16" s="1"/>
  <c r="O91" i="16" s="1"/>
  <c r="G179" i="16"/>
  <c r="H179" i="16"/>
  <c r="J179" i="16" s="1"/>
  <c r="K179" i="16"/>
  <c r="N179" i="16"/>
  <c r="M179" i="16" s="1"/>
  <c r="O179" i="16" s="1"/>
  <c r="G376" i="16"/>
  <c r="H376" i="16"/>
  <c r="J376" i="16" s="1"/>
  <c r="K376" i="16"/>
  <c r="N376" i="16"/>
  <c r="M376" i="16" s="1"/>
  <c r="O376" i="16" s="1"/>
  <c r="G178" i="16"/>
  <c r="H178" i="16"/>
  <c r="J178" i="16" s="1"/>
  <c r="K178" i="16"/>
  <c r="N178" i="16"/>
  <c r="M178" i="16" s="1"/>
  <c r="O178" i="16" s="1"/>
  <c r="G177" i="16"/>
  <c r="H177" i="16"/>
  <c r="J177" i="16" s="1"/>
  <c r="K177" i="16"/>
  <c r="N177" i="16"/>
  <c r="M177" i="16" s="1"/>
  <c r="O177" i="16" s="1"/>
  <c r="G411" i="16"/>
  <c r="H411" i="16"/>
  <c r="J411" i="16" s="1"/>
  <c r="K411" i="16"/>
  <c r="N411" i="16"/>
  <c r="M411" i="16" s="1"/>
  <c r="O411" i="16" s="1"/>
  <c r="G403" i="16"/>
  <c r="H403" i="16"/>
  <c r="J403" i="16" s="1"/>
  <c r="K403" i="16"/>
  <c r="N403" i="16"/>
  <c r="M403" i="16" s="1"/>
  <c r="O403" i="16" s="1"/>
  <c r="G391" i="16"/>
  <c r="H391" i="16"/>
  <c r="J391" i="16" s="1"/>
  <c r="K391" i="16"/>
  <c r="N391" i="16"/>
  <c r="M391" i="16" s="1"/>
  <c r="O391" i="16" s="1"/>
  <c r="G390" i="16"/>
  <c r="H390" i="16"/>
  <c r="J390" i="16" s="1"/>
  <c r="K390" i="16"/>
  <c r="N390" i="16"/>
  <c r="M390" i="16" s="1"/>
  <c r="O390" i="16" s="1"/>
  <c r="G375" i="16"/>
  <c r="H375" i="16"/>
  <c r="J375" i="16" s="1"/>
  <c r="K375" i="16"/>
  <c r="N375" i="16"/>
  <c r="M375" i="16" s="1"/>
  <c r="O375" i="16" s="1"/>
  <c r="G384" i="16"/>
  <c r="H384" i="16"/>
  <c r="J384" i="16" s="1"/>
  <c r="K384" i="16"/>
  <c r="N384" i="16"/>
  <c r="M384" i="16" s="1"/>
  <c r="O384" i="16" s="1"/>
  <c r="G383" i="16"/>
  <c r="H383" i="16"/>
  <c r="J383" i="16" s="1"/>
  <c r="K383" i="16"/>
  <c r="N383" i="16"/>
  <c r="M383" i="16" s="1"/>
  <c r="O383" i="16" s="1"/>
  <c r="G844" i="16"/>
  <c r="H844" i="16"/>
  <c r="J844" i="16" s="1"/>
  <c r="K844" i="16"/>
  <c r="N844" i="16"/>
  <c r="M844" i="16" s="1"/>
  <c r="O844" i="16" s="1"/>
  <c r="G482" i="16"/>
  <c r="H482" i="16"/>
  <c r="J482" i="16" s="1"/>
  <c r="K482" i="16"/>
  <c r="N482" i="16"/>
  <c r="G480" i="16"/>
  <c r="H480" i="16"/>
  <c r="J480" i="16" s="1"/>
  <c r="K480" i="16"/>
  <c r="N480" i="16"/>
  <c r="M480" i="16" s="1"/>
  <c r="O480" i="16" s="1"/>
  <c r="G172" i="16"/>
  <c r="H172" i="16"/>
  <c r="J172" i="16" s="1"/>
  <c r="K172" i="16"/>
  <c r="N172" i="16"/>
  <c r="M172" i="16" s="1"/>
  <c r="O172" i="16" s="1"/>
  <c r="G173" i="16"/>
  <c r="H173" i="16"/>
  <c r="J173" i="16" s="1"/>
  <c r="K173" i="16"/>
  <c r="N173" i="16"/>
  <c r="M173" i="16" s="1"/>
  <c r="O173" i="16" s="1"/>
  <c r="G175" i="16"/>
  <c r="H175" i="16"/>
  <c r="J175" i="16" s="1"/>
  <c r="K175" i="16"/>
  <c r="N175" i="16"/>
  <c r="M175" i="16" s="1"/>
  <c r="O175" i="16" s="1"/>
  <c r="G174" i="16"/>
  <c r="H174" i="16"/>
  <c r="J174" i="16" s="1"/>
  <c r="K174" i="16"/>
  <c r="N174" i="16"/>
  <c r="M174" i="16" s="1"/>
  <c r="O174" i="16" s="1"/>
  <c r="G897" i="16"/>
  <c r="H897" i="16"/>
  <c r="J897" i="16" s="1"/>
  <c r="K897" i="16"/>
  <c r="N897" i="16"/>
  <c r="M897" i="16" s="1"/>
  <c r="O897" i="16" s="1"/>
  <c r="G858" i="16"/>
  <c r="H858" i="16"/>
  <c r="J858" i="16" s="1"/>
  <c r="K858" i="16"/>
  <c r="N858" i="16"/>
  <c r="M858" i="16" s="1"/>
  <c r="O858" i="16" s="1"/>
  <c r="G166" i="16"/>
  <c r="H166" i="16"/>
  <c r="J166" i="16" s="1"/>
  <c r="K166" i="16"/>
  <c r="N166" i="16"/>
  <c r="M166" i="16" s="1"/>
  <c r="O166" i="16" s="1"/>
  <c r="G399" i="16"/>
  <c r="H399" i="16"/>
  <c r="J399" i="16" s="1"/>
  <c r="K399" i="16"/>
  <c r="N399" i="16"/>
  <c r="M399" i="16" s="1"/>
  <c r="O399" i="16" s="1"/>
  <c r="G400" i="16"/>
  <c r="H400" i="16"/>
  <c r="J400" i="16" s="1"/>
  <c r="K400" i="16"/>
  <c r="N400" i="16"/>
  <c r="M400" i="16" s="1"/>
  <c r="O400" i="16" s="1"/>
  <c r="G167" i="16"/>
  <c r="H167" i="16"/>
  <c r="J167" i="16" s="1"/>
  <c r="K167" i="16"/>
  <c r="N167" i="16"/>
  <c r="M167" i="16" s="1"/>
  <c r="O167" i="16" s="1"/>
  <c r="G856" i="16"/>
  <c r="H856" i="16"/>
  <c r="J856" i="16" s="1"/>
  <c r="K856" i="16"/>
  <c r="N856" i="16"/>
  <c r="M856" i="16" s="1"/>
  <c r="O856" i="16" s="1"/>
  <c r="G872" i="16"/>
  <c r="H872" i="16"/>
  <c r="J872" i="16" s="1"/>
  <c r="K872" i="16"/>
  <c r="N872" i="16"/>
  <c r="M872" i="16" s="1"/>
  <c r="O872" i="16" s="1"/>
  <c r="G165" i="16"/>
  <c r="H165" i="16"/>
  <c r="J165" i="16" s="1"/>
  <c r="K165" i="16"/>
  <c r="N165" i="16"/>
  <c r="M165" i="16" s="1"/>
  <c r="O165" i="16" s="1"/>
  <c r="G164" i="16"/>
  <c r="H164" i="16"/>
  <c r="J164" i="16" s="1"/>
  <c r="K164" i="16"/>
  <c r="N164" i="16"/>
  <c r="M164" i="16" s="1"/>
  <c r="O164" i="16" s="1"/>
  <c r="G176" i="16"/>
  <c r="H176" i="16"/>
  <c r="J176" i="16" s="1"/>
  <c r="K176" i="16"/>
  <c r="N176" i="16"/>
  <c r="M176" i="16" s="1"/>
  <c r="O176" i="16" s="1"/>
  <c r="G162" i="16"/>
  <c r="H162" i="16"/>
  <c r="J162" i="16" s="1"/>
  <c r="K162" i="16"/>
  <c r="N162" i="16"/>
  <c r="M162" i="16" s="1"/>
  <c r="O162" i="16" s="1"/>
  <c r="G163" i="16"/>
  <c r="H163" i="16"/>
  <c r="J163" i="16" s="1"/>
  <c r="K163" i="16"/>
  <c r="N163" i="16"/>
  <c r="M163" i="16" s="1"/>
  <c r="O163" i="16" s="1"/>
  <c r="G408" i="16"/>
  <c r="H408" i="16"/>
  <c r="J408" i="16" s="1"/>
  <c r="K408" i="16"/>
  <c r="N408" i="16"/>
  <c r="M408" i="16" s="1"/>
  <c r="O408" i="16" s="1"/>
  <c r="G407" i="16"/>
  <c r="H407" i="16"/>
  <c r="J407" i="16" s="1"/>
  <c r="K407" i="16"/>
  <c r="N407" i="16"/>
  <c r="M407" i="16" s="1"/>
  <c r="O407" i="16" s="1"/>
  <c r="G171" i="16"/>
  <c r="H171" i="16"/>
  <c r="J171" i="16" s="1"/>
  <c r="K171" i="16"/>
  <c r="N171" i="16"/>
  <c r="M171" i="16" s="1"/>
  <c r="O171" i="16" s="1"/>
  <c r="G181" i="16"/>
  <c r="H181" i="16"/>
  <c r="J181" i="16" s="1"/>
  <c r="K181" i="16"/>
  <c r="N181" i="16"/>
  <c r="M181" i="16" s="1"/>
  <c r="O181" i="16" s="1"/>
  <c r="G180" i="16"/>
  <c r="H180" i="16"/>
  <c r="J180" i="16" s="1"/>
  <c r="K180" i="16"/>
  <c r="N180" i="16"/>
  <c r="M180" i="16" s="1"/>
  <c r="O180" i="16" s="1"/>
  <c r="G862" i="16"/>
  <c r="H862" i="16"/>
  <c r="J862" i="16" s="1"/>
  <c r="K862" i="16"/>
  <c r="N862" i="16"/>
  <c r="M862" i="16" s="1"/>
  <c r="O862" i="16" s="1"/>
  <c r="G873" i="16"/>
  <c r="H873" i="16"/>
  <c r="J873" i="16" s="1"/>
  <c r="K873" i="16"/>
  <c r="N873" i="16"/>
  <c r="M873" i="16" s="1"/>
  <c r="O873" i="16" s="1"/>
  <c r="G170" i="16"/>
  <c r="H170" i="16"/>
  <c r="J170" i="16" s="1"/>
  <c r="K170" i="16"/>
  <c r="N170" i="16"/>
  <c r="M170" i="16" s="1"/>
  <c r="O170" i="16" s="1"/>
  <c r="G857" i="16"/>
  <c r="H857" i="16"/>
  <c r="J857" i="16" s="1"/>
  <c r="K857" i="16"/>
  <c r="N857" i="16"/>
  <c r="M857" i="16" s="1"/>
  <c r="O857" i="16" s="1"/>
  <c r="G871" i="16"/>
  <c r="H871" i="16"/>
  <c r="J871" i="16" s="1"/>
  <c r="K871" i="16"/>
  <c r="N871" i="16"/>
  <c r="M871" i="16" s="1"/>
  <c r="O871" i="16" s="1"/>
  <c r="G859" i="16"/>
  <c r="H859" i="16"/>
  <c r="J859" i="16" s="1"/>
  <c r="K859" i="16"/>
  <c r="N859" i="16"/>
  <c r="M859" i="16" s="1"/>
  <c r="O859" i="16" s="1"/>
  <c r="G868" i="16"/>
  <c r="H868" i="16"/>
  <c r="J868" i="16" s="1"/>
  <c r="K868" i="16"/>
  <c r="N868" i="16"/>
  <c r="M868" i="16" s="1"/>
  <c r="O868" i="16" s="1"/>
  <c r="G168" i="16"/>
  <c r="H168" i="16"/>
  <c r="J168" i="16" s="1"/>
  <c r="K168" i="16"/>
  <c r="N168" i="16"/>
  <c r="M168" i="16" s="1"/>
  <c r="O168" i="16" s="1"/>
  <c r="G182" i="16"/>
  <c r="H182" i="16"/>
  <c r="J182" i="16" s="1"/>
  <c r="K182" i="16"/>
  <c r="N182" i="16"/>
  <c r="M182" i="16" s="1"/>
  <c r="O182" i="16" s="1"/>
  <c r="G183" i="16"/>
  <c r="H183" i="16"/>
  <c r="J183" i="16" s="1"/>
  <c r="K183" i="16"/>
  <c r="N183" i="16"/>
  <c r="M183" i="16" s="1"/>
  <c r="O183" i="16" s="1"/>
  <c r="G169" i="16"/>
  <c r="H169" i="16"/>
  <c r="J169" i="16" s="1"/>
  <c r="K169" i="16"/>
  <c r="N169" i="16"/>
  <c r="M169" i="16" s="1"/>
  <c r="O169" i="16" s="1"/>
  <c r="G876" i="16"/>
  <c r="H876" i="16"/>
  <c r="J876" i="16" s="1"/>
  <c r="K876" i="16"/>
  <c r="N876" i="16"/>
  <c r="M876" i="16" s="1"/>
  <c r="O876" i="16" s="1"/>
  <c r="G879" i="16"/>
  <c r="H879" i="16"/>
  <c r="J879" i="16" s="1"/>
  <c r="K879" i="16"/>
  <c r="N879" i="16"/>
  <c r="M879" i="16" s="1"/>
  <c r="O879" i="16" s="1"/>
  <c r="G878" i="16"/>
  <c r="H878" i="16"/>
  <c r="J878" i="16" s="1"/>
  <c r="K878" i="16"/>
  <c r="N878" i="16"/>
  <c r="M878" i="16" s="1"/>
  <c r="O878" i="16" s="1"/>
  <c r="G875" i="16"/>
  <c r="H875" i="16"/>
  <c r="J875" i="16" s="1"/>
  <c r="K875" i="16"/>
  <c r="N875" i="16"/>
  <c r="M875" i="16" s="1"/>
  <c r="O875" i="16" s="1"/>
  <c r="G877" i="16"/>
  <c r="H877" i="16"/>
  <c r="J877" i="16" s="1"/>
  <c r="K877" i="16"/>
  <c r="N877" i="16"/>
  <c r="M877" i="16" s="1"/>
  <c r="O877" i="16" s="1"/>
  <c r="G899" i="16"/>
  <c r="H899" i="16"/>
  <c r="J899" i="16" s="1"/>
  <c r="K899" i="16"/>
  <c r="N899" i="16"/>
  <c r="M899" i="16" s="1"/>
  <c r="O899" i="16" s="1"/>
  <c r="G900" i="16"/>
  <c r="H900" i="16"/>
  <c r="J900" i="16" s="1"/>
  <c r="K900" i="16"/>
  <c r="N900" i="16"/>
  <c r="M900" i="16" s="1"/>
  <c r="O900" i="16" s="1"/>
  <c r="G898" i="16"/>
  <c r="H898" i="16"/>
  <c r="J898" i="16" s="1"/>
  <c r="K898" i="16"/>
  <c r="N898" i="16"/>
  <c r="M898" i="16" s="1"/>
  <c r="O898" i="16" s="1"/>
  <c r="G901" i="16"/>
  <c r="H901" i="16"/>
  <c r="J901" i="16" s="1"/>
  <c r="K901" i="16"/>
  <c r="N901" i="16"/>
  <c r="M901" i="16" s="1"/>
  <c r="O901" i="16" s="1"/>
  <c r="G895" i="16"/>
  <c r="H895" i="16"/>
  <c r="J895" i="16" s="1"/>
  <c r="K895" i="16"/>
  <c r="N895" i="16"/>
  <c r="M895" i="16" s="1"/>
  <c r="O895" i="16" s="1"/>
  <c r="G869" i="16"/>
  <c r="H869" i="16"/>
  <c r="J869" i="16" s="1"/>
  <c r="K869" i="16"/>
  <c r="N869" i="16"/>
  <c r="M869" i="16" s="1"/>
  <c r="O869" i="16" s="1"/>
  <c r="G226" i="16"/>
  <c r="H226" i="16"/>
  <c r="J226" i="16" s="1"/>
  <c r="K226" i="16"/>
  <c r="N226" i="16"/>
  <c r="M226" i="16" s="1"/>
  <c r="O226" i="16" s="1"/>
  <c r="G864" i="16"/>
  <c r="H864" i="16"/>
  <c r="J864" i="16" s="1"/>
  <c r="K864" i="16"/>
  <c r="N864" i="16"/>
  <c r="M864" i="16" s="1"/>
  <c r="O864" i="16" s="1"/>
  <c r="G903" i="16"/>
  <c r="H903" i="16"/>
  <c r="J903" i="16" s="1"/>
  <c r="K903" i="16"/>
  <c r="N903" i="16"/>
  <c r="M903" i="16" s="1"/>
  <c r="O903" i="16" s="1"/>
  <c r="G314" i="16"/>
  <c r="H314" i="16"/>
  <c r="J314" i="16" s="1"/>
  <c r="K314" i="16"/>
  <c r="N314" i="16"/>
  <c r="M314" i="16" s="1"/>
  <c r="O314" i="16" s="1"/>
  <c r="G860" i="16"/>
  <c r="H860" i="16"/>
  <c r="J860" i="16" s="1"/>
  <c r="K860" i="16"/>
  <c r="N860" i="16"/>
  <c r="M860" i="16" s="1"/>
  <c r="O860" i="16" s="1"/>
  <c r="G313" i="16"/>
  <c r="H313" i="16"/>
  <c r="J313" i="16" s="1"/>
  <c r="K313" i="16"/>
  <c r="N313" i="16"/>
  <c r="M313" i="16" s="1"/>
  <c r="O313" i="16" s="1"/>
  <c r="G888" i="16"/>
  <c r="H888" i="16"/>
  <c r="J888" i="16" s="1"/>
  <c r="K888" i="16"/>
  <c r="N888" i="16"/>
  <c r="M888" i="16" s="1"/>
  <c r="O888" i="16" s="1"/>
  <c r="G861" i="16"/>
  <c r="H861" i="16"/>
  <c r="J861" i="16" s="1"/>
  <c r="K861" i="16"/>
  <c r="N861" i="16"/>
  <c r="M861" i="16" s="1"/>
  <c r="O861" i="16" s="1"/>
  <c r="G896" i="16"/>
  <c r="H896" i="16"/>
  <c r="J896" i="16" s="1"/>
  <c r="K896" i="16"/>
  <c r="N896" i="16"/>
  <c r="M896" i="16" s="1"/>
  <c r="O896" i="16" s="1"/>
  <c r="G886" i="16"/>
  <c r="H886" i="16"/>
  <c r="J886" i="16" s="1"/>
  <c r="K886" i="16"/>
  <c r="N886" i="16"/>
  <c r="M886" i="16" s="1"/>
  <c r="O886" i="16" s="1"/>
  <c r="G890" i="16"/>
  <c r="H890" i="16"/>
  <c r="J890" i="16" s="1"/>
  <c r="K890" i="16"/>
  <c r="N890" i="16"/>
  <c r="M890" i="16" s="1"/>
  <c r="O890" i="16" s="1"/>
  <c r="G892" i="16"/>
  <c r="H892" i="16"/>
  <c r="J892" i="16" s="1"/>
  <c r="K892" i="16"/>
  <c r="N892" i="16"/>
  <c r="M892" i="16" s="1"/>
  <c r="O892" i="16" s="1"/>
  <c r="G885" i="16"/>
  <c r="H885" i="16"/>
  <c r="J885" i="16" s="1"/>
  <c r="K885" i="16"/>
  <c r="N885" i="16"/>
  <c r="M885" i="16" s="1"/>
  <c r="O885" i="16" s="1"/>
  <c r="G865" i="16"/>
  <c r="H865" i="16"/>
  <c r="J865" i="16" s="1"/>
  <c r="K865" i="16"/>
  <c r="N865" i="16"/>
  <c r="M865" i="16" s="1"/>
  <c r="O865" i="16" s="1"/>
  <c r="G867" i="16"/>
  <c r="H867" i="16"/>
  <c r="J867" i="16" s="1"/>
  <c r="K867" i="16"/>
  <c r="N867" i="16"/>
  <c r="M867" i="16" s="1"/>
  <c r="O867" i="16" s="1"/>
  <c r="G894" i="16"/>
  <c r="H894" i="16"/>
  <c r="J894" i="16" s="1"/>
  <c r="K894" i="16"/>
  <c r="N894" i="16"/>
  <c r="M894" i="16" s="1"/>
  <c r="O894" i="16" s="1"/>
  <c r="G882" i="16"/>
  <c r="H882" i="16"/>
  <c r="J882" i="16" s="1"/>
  <c r="K882" i="16"/>
  <c r="N882" i="16"/>
  <c r="M882" i="16" s="1"/>
  <c r="O882" i="16" s="1"/>
  <c r="G863" i="16"/>
  <c r="H863" i="16"/>
  <c r="J863" i="16" s="1"/>
  <c r="K863" i="16"/>
  <c r="N863" i="16"/>
  <c r="M863" i="16" s="1"/>
  <c r="O863" i="16" s="1"/>
  <c r="G891" i="16"/>
  <c r="H891" i="16"/>
  <c r="J891" i="16" s="1"/>
  <c r="K891" i="16"/>
  <c r="N891" i="16"/>
  <c r="M891" i="16" s="1"/>
  <c r="O891" i="16" s="1"/>
  <c r="G889" i="16"/>
  <c r="H889" i="16"/>
  <c r="J889" i="16" s="1"/>
  <c r="K889" i="16"/>
  <c r="N889" i="16"/>
  <c r="M889" i="16" s="1"/>
  <c r="O889" i="16" s="1"/>
  <c r="G887" i="16"/>
  <c r="H887" i="16"/>
  <c r="J887" i="16" s="1"/>
  <c r="K887" i="16"/>
  <c r="N887" i="16"/>
  <c r="M887" i="16" s="1"/>
  <c r="O887" i="16" s="1"/>
  <c r="G874" i="16"/>
  <c r="H874" i="16"/>
  <c r="J874" i="16" s="1"/>
  <c r="K874" i="16"/>
  <c r="N874" i="16"/>
  <c r="M874" i="16" s="1"/>
  <c r="O874" i="16" s="1"/>
  <c r="G866" i="16"/>
  <c r="H866" i="16"/>
  <c r="J866" i="16" s="1"/>
  <c r="K866" i="16"/>
  <c r="N866" i="16"/>
  <c r="M866" i="16" s="1"/>
  <c r="O866" i="16" s="1"/>
  <c r="G881" i="16"/>
  <c r="H881" i="16"/>
  <c r="J881" i="16" s="1"/>
  <c r="K881" i="16"/>
  <c r="N881" i="16"/>
  <c r="M881" i="16" s="1"/>
  <c r="O881" i="16" s="1"/>
  <c r="G880" i="16"/>
  <c r="H880" i="16"/>
  <c r="J880" i="16" s="1"/>
  <c r="K880" i="16"/>
  <c r="N880" i="16"/>
  <c r="M880" i="16" s="1"/>
  <c r="O880" i="16" s="1"/>
  <c r="G902" i="16"/>
  <c r="H902" i="16"/>
  <c r="J902" i="16" s="1"/>
  <c r="K902" i="16"/>
  <c r="N902" i="16"/>
  <c r="M902" i="16" s="1"/>
  <c r="O902" i="16" s="1"/>
  <c r="G870" i="16"/>
  <c r="H870" i="16"/>
  <c r="J870" i="16" s="1"/>
  <c r="K870" i="16"/>
  <c r="N870" i="16"/>
  <c r="M870" i="16" s="1"/>
  <c r="O870" i="16" s="1"/>
  <c r="G847" i="16"/>
  <c r="H847" i="16"/>
  <c r="J847" i="16" s="1"/>
  <c r="K847" i="16"/>
  <c r="G893" i="16"/>
  <c r="H893" i="16"/>
  <c r="J893" i="16" s="1"/>
  <c r="K893" i="16"/>
  <c r="G884" i="16"/>
  <c r="H884" i="16"/>
  <c r="J884" i="16" s="1"/>
  <c r="K884" i="16"/>
  <c r="G883" i="16"/>
  <c r="H883" i="16"/>
  <c r="J883" i="16" s="1"/>
  <c r="K883" i="16"/>
  <c r="K229" i="16"/>
  <c r="G229" i="16"/>
  <c r="H229" i="16"/>
  <c r="J229" i="16" s="1"/>
  <c r="G228" i="16"/>
  <c r="H228" i="16"/>
  <c r="J228" i="16" s="1"/>
  <c r="K228" i="16"/>
  <c r="G685" i="16"/>
  <c r="H685" i="16"/>
  <c r="J685" i="16" s="1"/>
  <c r="K685" i="16"/>
  <c r="M685" i="16"/>
  <c r="O685" i="16" s="1"/>
  <c r="G686" i="16"/>
  <c r="H686" i="16"/>
  <c r="J686" i="16" s="1"/>
  <c r="K686" i="16"/>
  <c r="G691" i="16"/>
  <c r="H691" i="16"/>
  <c r="J691" i="16" s="1"/>
  <c r="K691" i="16"/>
  <c r="G688" i="16"/>
  <c r="H688" i="16"/>
  <c r="J688" i="16" s="1"/>
  <c r="K688" i="16"/>
  <c r="G690" i="16"/>
  <c r="H690" i="16"/>
  <c r="J690" i="16" s="1"/>
  <c r="K690" i="16"/>
  <c r="G692" i="16"/>
  <c r="H692" i="16"/>
  <c r="J692" i="16" s="1"/>
  <c r="K692" i="16"/>
  <c r="G687" i="16"/>
  <c r="H687" i="16"/>
  <c r="J687" i="16" s="1"/>
  <c r="K687" i="16"/>
  <c r="G689" i="16"/>
  <c r="H689" i="16"/>
  <c r="J689" i="16" s="1"/>
  <c r="K689" i="16"/>
  <c r="G670" i="16"/>
  <c r="H670" i="16"/>
  <c r="J670" i="16" s="1"/>
  <c r="K670" i="16"/>
  <c r="G644" i="16"/>
  <c r="H644" i="16"/>
  <c r="J644" i="16" s="1"/>
  <c r="K644" i="16"/>
  <c r="G684" i="16"/>
  <c r="H684" i="16"/>
  <c r="J684" i="16" s="1"/>
  <c r="K684" i="16"/>
  <c r="G682" i="16"/>
  <c r="H682" i="16"/>
  <c r="J682" i="16" s="1"/>
  <c r="K682" i="16"/>
  <c r="G683" i="16"/>
  <c r="H683" i="16"/>
  <c r="J683" i="16" s="1"/>
  <c r="K683" i="16"/>
  <c r="G666" i="16"/>
  <c r="H666" i="16"/>
  <c r="J666" i="16" s="1"/>
  <c r="K666" i="16"/>
  <c r="G681" i="16"/>
  <c r="H681" i="16"/>
  <c r="J681" i="16" s="1"/>
  <c r="K681" i="16"/>
  <c r="G680" i="16"/>
  <c r="H680" i="16"/>
  <c r="J680" i="16" s="1"/>
  <c r="K680" i="16"/>
  <c r="G678" i="16"/>
  <c r="H678" i="16"/>
  <c r="J678" i="16" s="1"/>
  <c r="K678" i="16"/>
  <c r="G674" i="16"/>
  <c r="H674" i="16"/>
  <c r="J674" i="16" s="1"/>
  <c r="K674" i="16"/>
  <c r="G675" i="16"/>
  <c r="H675" i="16"/>
  <c r="J675" i="16" s="1"/>
  <c r="K675" i="16"/>
  <c r="G673" i="16"/>
  <c r="H673" i="16"/>
  <c r="J673" i="16" s="1"/>
  <c r="K673" i="16"/>
  <c r="M673" i="16"/>
  <c r="O673" i="16" s="1"/>
  <c r="G676" i="16"/>
  <c r="H676" i="16"/>
  <c r="J676" i="16" s="1"/>
  <c r="K676" i="16"/>
  <c r="G672" i="16"/>
  <c r="H672" i="16"/>
  <c r="J672" i="16" s="1"/>
  <c r="K672" i="16"/>
  <c r="G677" i="16"/>
  <c r="H677" i="16"/>
  <c r="J677" i="16" s="1"/>
  <c r="K677" i="16"/>
  <c r="G671" i="16"/>
  <c r="H671" i="16"/>
  <c r="J671" i="16" s="1"/>
  <c r="K671" i="16"/>
  <c r="G664" i="16"/>
  <c r="H664" i="16"/>
  <c r="J664" i="16" s="1"/>
  <c r="K664" i="16"/>
  <c r="G679" i="16"/>
  <c r="H679" i="16"/>
  <c r="J679" i="16" s="1"/>
  <c r="K679" i="16"/>
  <c r="G657" i="16"/>
  <c r="H657" i="16"/>
  <c r="J657" i="16" s="1"/>
  <c r="K657" i="16"/>
  <c r="G660" i="16"/>
  <c r="H660" i="16"/>
  <c r="J660" i="16" s="1"/>
  <c r="K660" i="16"/>
  <c r="G662" i="16"/>
  <c r="H662" i="16"/>
  <c r="J662" i="16" s="1"/>
  <c r="K662" i="16"/>
  <c r="G645" i="16"/>
  <c r="H645" i="16"/>
  <c r="J645" i="16" s="1"/>
  <c r="K645" i="16"/>
  <c r="G647" i="16"/>
  <c r="H647" i="16"/>
  <c r="J647" i="16" s="1"/>
  <c r="K647" i="16"/>
  <c r="G652" i="16"/>
  <c r="H652" i="16"/>
  <c r="J652" i="16" s="1"/>
  <c r="K652" i="16"/>
  <c r="G668" i="16"/>
  <c r="H668" i="16"/>
  <c r="J668" i="16" s="1"/>
  <c r="K668" i="16"/>
  <c r="G667" i="16"/>
  <c r="H667" i="16"/>
  <c r="J667" i="16" s="1"/>
  <c r="K667" i="16"/>
  <c r="M667" i="16"/>
  <c r="O667" i="16" s="1"/>
  <c r="G669" i="16"/>
  <c r="H669" i="16"/>
  <c r="J669" i="16" s="1"/>
  <c r="K669" i="16"/>
  <c r="G648" i="16"/>
  <c r="H648" i="16"/>
  <c r="J648" i="16" s="1"/>
  <c r="K648" i="16"/>
  <c r="G665" i="16"/>
  <c r="H665" i="16"/>
  <c r="J665" i="16" s="1"/>
  <c r="K665" i="16"/>
  <c r="M665" i="16"/>
  <c r="O665" i="16" s="1"/>
  <c r="G654" i="16"/>
  <c r="H654" i="16"/>
  <c r="J654" i="16" s="1"/>
  <c r="K654" i="16"/>
  <c r="G655" i="16"/>
  <c r="H655" i="16"/>
  <c r="J655" i="16" s="1"/>
  <c r="K655" i="16"/>
  <c r="G646" i="16"/>
  <c r="H646" i="16"/>
  <c r="J646" i="16" s="1"/>
  <c r="K646" i="16"/>
  <c r="G658" i="16"/>
  <c r="H658" i="16"/>
  <c r="J658" i="16" s="1"/>
  <c r="K658" i="16"/>
  <c r="G659" i="16"/>
  <c r="H659" i="16"/>
  <c r="J659" i="16" s="1"/>
  <c r="K659" i="16"/>
  <c r="G651" i="16"/>
  <c r="H651" i="16"/>
  <c r="J651" i="16" s="1"/>
  <c r="K651" i="16"/>
  <c r="G653" i="16"/>
  <c r="H653" i="16"/>
  <c r="J653" i="16" s="1"/>
  <c r="K653" i="16"/>
  <c r="G649" i="16"/>
  <c r="H649" i="16"/>
  <c r="J649" i="16" s="1"/>
  <c r="K649" i="16"/>
  <c r="G650" i="16"/>
  <c r="H650" i="16"/>
  <c r="J650" i="16" s="1"/>
  <c r="K650" i="16"/>
  <c r="M650" i="16"/>
  <c r="O650" i="16" s="1"/>
  <c r="G656" i="16"/>
  <c r="H656" i="16"/>
  <c r="J656" i="16" s="1"/>
  <c r="K656" i="16"/>
  <c r="G661" i="16"/>
  <c r="H661" i="16"/>
  <c r="J661" i="16" s="1"/>
  <c r="K661" i="16"/>
  <c r="G663" i="16"/>
  <c r="H663" i="16"/>
  <c r="J663" i="16" s="1"/>
  <c r="K663" i="16"/>
  <c r="M663" i="16"/>
  <c r="O663" i="16" s="1"/>
  <c r="H693" i="16"/>
  <c r="J693" i="16" s="1"/>
  <c r="K693" i="16"/>
  <c r="G693" i="16"/>
  <c r="N391" i="9" l="1"/>
  <c r="P391" i="9" s="1"/>
  <c r="N388" i="9"/>
  <c r="P388" i="9" s="1"/>
  <c r="N389" i="9"/>
  <c r="P389" i="9" s="1"/>
  <c r="N390" i="9"/>
  <c r="P390" i="9" s="1"/>
  <c r="N376" i="9"/>
  <c r="P376" i="9" s="1"/>
  <c r="N377" i="9"/>
  <c r="P377" i="9" s="1"/>
  <c r="N378" i="9"/>
  <c r="P378" i="9" s="1"/>
  <c r="N379" i="9"/>
  <c r="P379" i="9" s="1"/>
  <c r="N380" i="9"/>
  <c r="P380" i="9" s="1"/>
  <c r="N381" i="9"/>
  <c r="P381" i="9" s="1"/>
  <c r="N382" i="9"/>
  <c r="P382" i="9" s="1"/>
  <c r="N383" i="9"/>
  <c r="P383" i="9" s="1"/>
  <c r="N384" i="9"/>
  <c r="P384" i="9" s="1"/>
  <c r="N385" i="9"/>
  <c r="P385" i="9" s="1"/>
  <c r="N386" i="9"/>
  <c r="P386" i="9" s="1"/>
  <c r="N387" i="9"/>
  <c r="P387" i="9" s="1"/>
  <c r="N375" i="9"/>
  <c r="P375" i="9" s="1"/>
  <c r="K389" i="9"/>
  <c r="K390" i="9"/>
  <c r="K391" i="9"/>
  <c r="K388" i="9"/>
  <c r="K381" i="9"/>
  <c r="K382" i="9"/>
  <c r="K383" i="9"/>
  <c r="K384" i="9"/>
  <c r="K385" i="9"/>
  <c r="K386" i="9"/>
  <c r="K387" i="9"/>
  <c r="K375" i="9"/>
  <c r="K376" i="9"/>
  <c r="K377" i="9"/>
  <c r="K378" i="9"/>
  <c r="K379" i="9"/>
  <c r="K380" i="9"/>
  <c r="H389" i="9"/>
  <c r="J389" i="9" s="1"/>
  <c r="H390" i="9"/>
  <c r="J390" i="9" s="1"/>
  <c r="H391" i="9"/>
  <c r="J391" i="9" s="1"/>
  <c r="H388" i="9"/>
  <c r="J388" i="9" s="1"/>
  <c r="H384" i="9"/>
  <c r="J384" i="9" s="1"/>
  <c r="H385" i="9"/>
  <c r="J385" i="9" s="1"/>
  <c r="H386" i="9"/>
  <c r="J386" i="9" s="1"/>
  <c r="H387" i="9"/>
  <c r="J387" i="9" s="1"/>
  <c r="H375" i="9"/>
  <c r="J375" i="9" s="1"/>
  <c r="H376" i="9"/>
  <c r="J376" i="9" s="1"/>
  <c r="H377" i="9"/>
  <c r="J377" i="9" s="1"/>
  <c r="H378" i="9"/>
  <c r="J378" i="9" s="1"/>
  <c r="H379" i="9"/>
  <c r="J379" i="9" s="1"/>
  <c r="H380" i="9"/>
  <c r="J380" i="9" s="1"/>
  <c r="H381" i="9"/>
  <c r="J381" i="9" s="1"/>
  <c r="H382" i="9"/>
  <c r="J382" i="9" s="1"/>
  <c r="H383" i="9"/>
  <c r="J383" i="9" s="1"/>
  <c r="G391" i="9"/>
  <c r="G390" i="9"/>
  <c r="G389" i="9"/>
  <c r="G388" i="9"/>
  <c r="G383" i="9"/>
  <c r="G384" i="9"/>
  <c r="G385" i="9"/>
  <c r="G386" i="9"/>
  <c r="G387" i="9"/>
  <c r="G375" i="9"/>
  <c r="G376" i="9"/>
  <c r="G377" i="9"/>
  <c r="G378" i="9"/>
  <c r="G379" i="9"/>
  <c r="G380" i="9"/>
  <c r="G381" i="9"/>
  <c r="G382" i="9"/>
  <c r="G498" i="16" l="1"/>
  <c r="H498" i="16"/>
  <c r="J498" i="16" s="1"/>
  <c r="K498" i="16"/>
  <c r="M498" i="16"/>
  <c r="O498" i="16" s="1"/>
  <c r="G497" i="16"/>
  <c r="H497" i="16"/>
  <c r="J497" i="16" s="1"/>
  <c r="K497" i="16"/>
  <c r="M497" i="16"/>
  <c r="O497" i="16" s="1"/>
  <c r="G350" i="9"/>
  <c r="H350" i="9"/>
  <c r="J350" i="9" s="1"/>
  <c r="K350" i="9"/>
  <c r="N350" i="9"/>
  <c r="P350" i="9" s="1"/>
  <c r="M303" i="16" l="1"/>
  <c r="O303" i="16" s="1"/>
  <c r="K303" i="16"/>
  <c r="H303" i="16"/>
  <c r="J303" i="16" s="1"/>
  <c r="G303" i="16"/>
  <c r="M268" i="16"/>
  <c r="O268" i="16" s="1"/>
  <c r="K268" i="16"/>
  <c r="H268" i="16"/>
  <c r="J268" i="16" s="1"/>
  <c r="G268" i="16"/>
  <c r="N432" i="9"/>
  <c r="P432" i="9" s="1"/>
  <c r="K432" i="9"/>
  <c r="H432" i="9"/>
  <c r="J432" i="9" s="1"/>
  <c r="G432" i="9"/>
  <c r="H538" i="9"/>
  <c r="H825" i="9"/>
  <c r="G267" i="16"/>
  <c r="H267" i="16"/>
  <c r="J267" i="16" s="1"/>
  <c r="K267" i="16"/>
  <c r="M267" i="16"/>
  <c r="O267" i="16" s="1"/>
  <c r="G750" i="16"/>
  <c r="H750" i="16"/>
  <c r="J750" i="16" s="1"/>
  <c r="K750" i="16"/>
  <c r="M750" i="16"/>
  <c r="O750" i="16" s="1"/>
  <c r="G389" i="16"/>
  <c r="H389" i="16"/>
  <c r="J389" i="16" s="1"/>
  <c r="K389" i="16"/>
  <c r="M389" i="16"/>
  <c r="O389" i="16" s="1"/>
  <c r="G382" i="16"/>
  <c r="H382" i="16"/>
  <c r="J382" i="16" s="1"/>
  <c r="K382" i="16"/>
  <c r="M382" i="16"/>
  <c r="O382" i="16" s="1"/>
  <c r="G374" i="16"/>
  <c r="H374" i="16"/>
  <c r="J374" i="16" s="1"/>
  <c r="K374" i="16"/>
  <c r="M374" i="16"/>
  <c r="O374" i="16" s="1"/>
  <c r="G320" i="16"/>
  <c r="H320" i="16"/>
  <c r="J320" i="16" s="1"/>
  <c r="K320" i="16"/>
  <c r="M320" i="16"/>
  <c r="O320" i="16" s="1"/>
  <c r="G316" i="16"/>
  <c r="H316" i="16"/>
  <c r="J316" i="16" s="1"/>
  <c r="K316" i="16"/>
  <c r="M316" i="16"/>
  <c r="O316" i="16" s="1"/>
  <c r="H201" i="9" l="1"/>
  <c r="J201" i="9" s="1"/>
  <c r="K201" i="9"/>
  <c r="N201" i="9"/>
  <c r="P201" i="9" s="1"/>
  <c r="G200" i="9"/>
  <c r="H200" i="9"/>
  <c r="J200" i="9" s="1"/>
  <c r="K200" i="9"/>
  <c r="N200" i="9"/>
  <c r="P200" i="9" s="1"/>
  <c r="H199" i="9"/>
  <c r="J199" i="9" s="1"/>
  <c r="K199" i="9"/>
  <c r="N199" i="9"/>
  <c r="P199" i="9" s="1"/>
  <c r="N164" i="9"/>
  <c r="P164" i="9" s="1"/>
  <c r="N165" i="9"/>
  <c r="P165" i="9" s="1"/>
  <c r="N166" i="9"/>
  <c r="P166" i="9" s="1"/>
  <c r="N167" i="9"/>
  <c r="P167" i="9" s="1"/>
  <c r="N168" i="9"/>
  <c r="P168" i="9" s="1"/>
  <c r="N169" i="9"/>
  <c r="P169" i="9" s="1"/>
  <c r="N170" i="9"/>
  <c r="P170" i="9" s="1"/>
  <c r="K164" i="9"/>
  <c r="K165" i="9"/>
  <c r="K166" i="9"/>
  <c r="K167" i="9"/>
  <c r="K168" i="9"/>
  <c r="K169" i="9"/>
  <c r="K170" i="9"/>
  <c r="N155" i="9"/>
  <c r="P155" i="9" s="1"/>
  <c r="N156" i="9"/>
  <c r="P156" i="9" s="1"/>
  <c r="N157" i="9"/>
  <c r="P157" i="9" s="1"/>
  <c r="N158" i="9"/>
  <c r="P158" i="9" s="1"/>
  <c r="N159" i="9"/>
  <c r="P159" i="9" s="1"/>
  <c r="N160" i="9"/>
  <c r="P160" i="9" s="1"/>
  <c r="N161" i="9"/>
  <c r="P161" i="9" s="1"/>
  <c r="N162" i="9"/>
  <c r="P162" i="9" s="1"/>
  <c r="N163" i="9"/>
  <c r="P163" i="9" s="1"/>
  <c r="K155" i="9"/>
  <c r="K156" i="9"/>
  <c r="K157" i="9"/>
  <c r="K158" i="9"/>
  <c r="K159" i="9"/>
  <c r="K160" i="9"/>
  <c r="K161" i="9"/>
  <c r="K162" i="9"/>
  <c r="K163" i="9"/>
  <c r="H89" i="9"/>
  <c r="J89" i="9" s="1"/>
  <c r="H90" i="9"/>
  <c r="J90" i="9" s="1"/>
  <c r="H91" i="9"/>
  <c r="J91" i="9" s="1"/>
  <c r="H92" i="9"/>
  <c r="J92" i="9" s="1"/>
  <c r="H93" i="9"/>
  <c r="J93" i="9" s="1"/>
  <c r="G89" i="9"/>
  <c r="G90" i="9"/>
  <c r="G91" i="9"/>
  <c r="G92" i="9"/>
  <c r="G93" i="9"/>
  <c r="G88" i="9"/>
  <c r="H88" i="9"/>
  <c r="J88" i="9" s="1"/>
  <c r="N88" i="9"/>
  <c r="P88" i="9" s="1"/>
  <c r="N89" i="9"/>
  <c r="P89" i="9" s="1"/>
  <c r="N90" i="9"/>
  <c r="P90" i="9" s="1"/>
  <c r="N91" i="9"/>
  <c r="P91" i="9" s="1"/>
  <c r="N92" i="9"/>
  <c r="P92" i="9" s="1"/>
  <c r="N93" i="9"/>
  <c r="P93" i="9" s="1"/>
  <c r="N154" i="9"/>
  <c r="P154" i="9" s="1"/>
  <c r="K154" i="9"/>
  <c r="H154" i="9"/>
  <c r="J154" i="9" s="1"/>
  <c r="G154" i="9"/>
  <c r="N136" i="9"/>
  <c r="P136" i="9" s="1"/>
  <c r="K136" i="9"/>
  <c r="H136" i="9"/>
  <c r="J136" i="9" s="1"/>
  <c r="G136" i="9"/>
  <c r="N135" i="9"/>
  <c r="P135" i="9" s="1"/>
  <c r="K135" i="9"/>
  <c r="H135" i="9"/>
  <c r="J135" i="9" s="1"/>
  <c r="G135" i="9"/>
  <c r="N134" i="9"/>
  <c r="P134" i="9" s="1"/>
  <c r="K134" i="9"/>
  <c r="H134" i="9"/>
  <c r="J134" i="9" s="1"/>
  <c r="G134" i="9"/>
  <c r="N133" i="9"/>
  <c r="P133" i="9" s="1"/>
  <c r="K133" i="9"/>
  <c r="H133" i="9"/>
  <c r="J133" i="9" s="1"/>
  <c r="G133" i="9"/>
  <c r="O132" i="9"/>
  <c r="N132" i="9" s="1"/>
  <c r="P132" i="9" s="1"/>
  <c r="K132" i="9"/>
  <c r="H132" i="9"/>
  <c r="J132" i="9" s="1"/>
  <c r="G132" i="9"/>
  <c r="O94" i="9"/>
  <c r="N94" i="9" s="1"/>
  <c r="P94" i="9" s="1"/>
  <c r="K94" i="9"/>
  <c r="H94" i="9"/>
  <c r="J94" i="9" s="1"/>
  <c r="G94" i="9"/>
  <c r="O131" i="9"/>
  <c r="N131" i="9" s="1"/>
  <c r="P131" i="9" s="1"/>
  <c r="K131" i="9"/>
  <c r="H131" i="9"/>
  <c r="J131" i="9" s="1"/>
  <c r="G131" i="9"/>
  <c r="O130" i="9"/>
  <c r="N130" i="9" s="1"/>
  <c r="P130" i="9" s="1"/>
  <c r="K130" i="9"/>
  <c r="H130" i="9"/>
  <c r="J130" i="9" s="1"/>
  <c r="G130" i="9"/>
  <c r="N129" i="9"/>
  <c r="P129" i="9" s="1"/>
  <c r="K129" i="9"/>
  <c r="H129" i="9"/>
  <c r="J129" i="9" s="1"/>
  <c r="G129" i="9"/>
  <c r="N128" i="9"/>
  <c r="P128" i="9" s="1"/>
  <c r="K128" i="9"/>
  <c r="H128" i="9"/>
  <c r="J128" i="9" s="1"/>
  <c r="G128" i="9"/>
  <c r="N127" i="9"/>
  <c r="P127" i="9" s="1"/>
  <c r="K127" i="9"/>
  <c r="H127" i="9"/>
  <c r="J127" i="9" s="1"/>
  <c r="G127" i="9"/>
  <c r="N126" i="9"/>
  <c r="P126" i="9" s="1"/>
  <c r="K126" i="9"/>
  <c r="H126" i="9"/>
  <c r="J126" i="9" s="1"/>
  <c r="G126" i="9"/>
  <c r="N125" i="9"/>
  <c r="P125" i="9" s="1"/>
  <c r="K125" i="9"/>
  <c r="H125" i="9"/>
  <c r="J125" i="9" s="1"/>
  <c r="G125" i="9"/>
  <c r="O124" i="9"/>
  <c r="N124" i="9" s="1"/>
  <c r="P124" i="9" s="1"/>
  <c r="K124" i="9"/>
  <c r="H124" i="9"/>
  <c r="J124" i="9" s="1"/>
  <c r="G124" i="9"/>
  <c r="N123" i="9"/>
  <c r="P123" i="9" s="1"/>
  <c r="K123" i="9"/>
  <c r="H123" i="9"/>
  <c r="J123" i="9" s="1"/>
  <c r="G123" i="9"/>
  <c r="N122" i="9"/>
  <c r="P122" i="9" s="1"/>
  <c r="K122" i="9"/>
  <c r="H122" i="9"/>
  <c r="J122" i="9" s="1"/>
  <c r="G122" i="9"/>
  <c r="N121" i="9"/>
  <c r="P121" i="9" s="1"/>
  <c r="K121" i="9"/>
  <c r="H121" i="9"/>
  <c r="J121" i="9" s="1"/>
  <c r="G121" i="9"/>
  <c r="N120" i="9"/>
  <c r="P120" i="9" s="1"/>
  <c r="K120" i="9"/>
  <c r="H120" i="9"/>
  <c r="J120" i="9" s="1"/>
  <c r="G120" i="9"/>
  <c r="N119" i="9"/>
  <c r="P119" i="9" s="1"/>
  <c r="K119" i="9"/>
  <c r="H119" i="9"/>
  <c r="J119" i="9" s="1"/>
  <c r="G119" i="9"/>
  <c r="N118" i="9"/>
  <c r="P118" i="9" s="1"/>
  <c r="K118" i="9"/>
  <c r="H118" i="9"/>
  <c r="J118" i="9" s="1"/>
  <c r="G118" i="9"/>
  <c r="N117" i="9"/>
  <c r="P117" i="9" s="1"/>
  <c r="K117" i="9"/>
  <c r="H117" i="9"/>
  <c r="J117" i="9" s="1"/>
  <c r="G117" i="9"/>
  <c r="N116" i="9"/>
  <c r="P116" i="9" s="1"/>
  <c r="K116" i="9"/>
  <c r="H116" i="9"/>
  <c r="J116" i="9" s="1"/>
  <c r="G116" i="9"/>
  <c r="N115" i="9"/>
  <c r="P115" i="9" s="1"/>
  <c r="K115" i="9"/>
  <c r="H115" i="9"/>
  <c r="J115" i="9" s="1"/>
  <c r="G115" i="9"/>
  <c r="N114" i="9"/>
  <c r="P114" i="9" s="1"/>
  <c r="K114" i="9"/>
  <c r="H114" i="9"/>
  <c r="J114" i="9" s="1"/>
  <c r="G114" i="9"/>
  <c r="N113" i="9"/>
  <c r="P113" i="9" s="1"/>
  <c r="K113" i="9"/>
  <c r="H113" i="9"/>
  <c r="J113" i="9" s="1"/>
  <c r="G113" i="9"/>
  <c r="N112" i="9"/>
  <c r="P112" i="9" s="1"/>
  <c r="K112" i="9"/>
  <c r="H112" i="9"/>
  <c r="J112" i="9" s="1"/>
  <c r="G112" i="9"/>
  <c r="N111" i="9"/>
  <c r="P111" i="9" s="1"/>
  <c r="K111" i="9"/>
  <c r="H111" i="9"/>
  <c r="J111" i="9" s="1"/>
  <c r="G111" i="9"/>
  <c r="N110" i="9"/>
  <c r="P110" i="9" s="1"/>
  <c r="K110" i="9"/>
  <c r="H110" i="9"/>
  <c r="J110" i="9" s="1"/>
  <c r="G110" i="9"/>
  <c r="N109" i="9"/>
  <c r="P109" i="9" s="1"/>
  <c r="K109" i="9"/>
  <c r="H109" i="9"/>
  <c r="J109" i="9" s="1"/>
  <c r="G109" i="9"/>
  <c r="N108" i="9"/>
  <c r="P108" i="9" s="1"/>
  <c r="K108" i="9"/>
  <c r="H108" i="9"/>
  <c r="J108" i="9" s="1"/>
  <c r="G108" i="9"/>
  <c r="O107" i="9"/>
  <c r="N107" i="9" s="1"/>
  <c r="P107" i="9" s="1"/>
  <c r="K107" i="9"/>
  <c r="H107" i="9"/>
  <c r="J107" i="9" s="1"/>
  <c r="G107" i="9"/>
  <c r="O106" i="9"/>
  <c r="N106" i="9" s="1"/>
  <c r="P106" i="9" s="1"/>
  <c r="K106" i="9"/>
  <c r="H106" i="9"/>
  <c r="J106" i="9" s="1"/>
  <c r="G106" i="9"/>
  <c r="O105" i="9"/>
  <c r="N105" i="9" s="1"/>
  <c r="P105" i="9" s="1"/>
  <c r="K105" i="9"/>
  <c r="H105" i="9"/>
  <c r="J105" i="9" s="1"/>
  <c r="G105" i="9"/>
  <c r="O104" i="9"/>
  <c r="N104" i="9" s="1"/>
  <c r="P104" i="9" s="1"/>
  <c r="K104" i="9"/>
  <c r="H104" i="9"/>
  <c r="J104" i="9" s="1"/>
  <c r="G104" i="9"/>
  <c r="O103" i="9"/>
  <c r="N103" i="9" s="1"/>
  <c r="P103" i="9" s="1"/>
  <c r="K103" i="9"/>
  <c r="H103" i="9"/>
  <c r="J103" i="9" s="1"/>
  <c r="G103" i="9"/>
  <c r="N102" i="9"/>
  <c r="P102" i="9" s="1"/>
  <c r="K102" i="9"/>
  <c r="H102" i="9"/>
  <c r="J102" i="9" s="1"/>
  <c r="G102" i="9"/>
  <c r="N101" i="9"/>
  <c r="P101" i="9" s="1"/>
  <c r="K101" i="9"/>
  <c r="H101" i="9"/>
  <c r="J101" i="9" s="1"/>
  <c r="G101" i="9"/>
  <c r="N100" i="9"/>
  <c r="P100" i="9" s="1"/>
  <c r="K100" i="9"/>
  <c r="H100" i="9"/>
  <c r="J100" i="9" s="1"/>
  <c r="G100" i="9"/>
  <c r="N99" i="9"/>
  <c r="P99" i="9" s="1"/>
  <c r="K99" i="9"/>
  <c r="H99" i="9"/>
  <c r="J99" i="9" s="1"/>
  <c r="G99" i="9"/>
  <c r="N98" i="9"/>
  <c r="P98" i="9" s="1"/>
  <c r="K98" i="9"/>
  <c r="H98" i="9"/>
  <c r="J98" i="9" s="1"/>
  <c r="G98" i="9"/>
  <c r="N97" i="9"/>
  <c r="P97" i="9" s="1"/>
  <c r="K97" i="9"/>
  <c r="H97" i="9"/>
  <c r="J97" i="9" s="1"/>
  <c r="G97" i="9"/>
  <c r="N96" i="9"/>
  <c r="P96" i="9" s="1"/>
  <c r="K96" i="9"/>
  <c r="H96" i="9"/>
  <c r="J96" i="9" s="1"/>
  <c r="G96" i="9"/>
  <c r="N95" i="9"/>
  <c r="P95" i="9" s="1"/>
  <c r="K95" i="9"/>
  <c r="H95" i="9"/>
  <c r="J95" i="9" s="1"/>
  <c r="G95" i="9"/>
  <c r="N87" i="9"/>
  <c r="P87" i="9" s="1"/>
  <c r="K87" i="9"/>
  <c r="H87" i="9"/>
  <c r="J87" i="9" s="1"/>
  <c r="G87" i="9"/>
  <c r="N86" i="9"/>
  <c r="P86" i="9" s="1"/>
  <c r="K86" i="9"/>
  <c r="H86" i="9"/>
  <c r="J86" i="9" s="1"/>
  <c r="G86" i="9"/>
  <c r="N85" i="9"/>
  <c r="P85" i="9" s="1"/>
  <c r="K85" i="9"/>
  <c r="H85" i="9"/>
  <c r="J85" i="9" s="1"/>
  <c r="G85" i="9"/>
  <c r="N84" i="9"/>
  <c r="P84" i="9" s="1"/>
  <c r="K84" i="9"/>
  <c r="H84" i="9"/>
  <c r="J84" i="9" s="1"/>
  <c r="G84" i="9"/>
  <c r="N83" i="9"/>
  <c r="P83" i="9" s="1"/>
  <c r="K83" i="9"/>
  <c r="H83" i="9"/>
  <c r="J83" i="9" s="1"/>
  <c r="G83" i="9"/>
  <c r="N82" i="9"/>
  <c r="P82" i="9" s="1"/>
  <c r="K82" i="9"/>
  <c r="H82" i="9"/>
  <c r="J82" i="9" s="1"/>
  <c r="G82" i="9"/>
  <c r="N81" i="9"/>
  <c r="P81" i="9" s="1"/>
  <c r="K81" i="9"/>
  <c r="H81" i="9"/>
  <c r="J81" i="9" s="1"/>
  <c r="G81" i="9"/>
  <c r="N80" i="9"/>
  <c r="P80" i="9" s="1"/>
  <c r="K80" i="9"/>
  <c r="H80" i="9"/>
  <c r="J80" i="9" s="1"/>
  <c r="G80" i="9"/>
  <c r="N79" i="9"/>
  <c r="P79" i="9" s="1"/>
  <c r="K79" i="9"/>
  <c r="H79" i="9"/>
  <c r="J79" i="9" s="1"/>
  <c r="G79" i="9"/>
  <c r="N78" i="9"/>
  <c r="P78" i="9" s="1"/>
  <c r="K78" i="9"/>
  <c r="H78" i="9"/>
  <c r="J78" i="9" s="1"/>
  <c r="G78" i="9"/>
  <c r="N77" i="9"/>
  <c r="P77" i="9" s="1"/>
  <c r="K77" i="9"/>
  <c r="H77" i="9"/>
  <c r="J77" i="9" s="1"/>
  <c r="G77" i="9"/>
  <c r="N76" i="9"/>
  <c r="P76" i="9" s="1"/>
  <c r="K76" i="9"/>
  <c r="H76" i="9"/>
  <c r="J76" i="9" s="1"/>
  <c r="G76" i="9"/>
  <c r="N75" i="9"/>
  <c r="P75" i="9" s="1"/>
  <c r="K75" i="9"/>
  <c r="H75" i="9"/>
  <c r="J75" i="9" s="1"/>
  <c r="G75" i="9"/>
  <c r="N74" i="9"/>
  <c r="P74" i="9" s="1"/>
  <c r="K74" i="9"/>
  <c r="H74" i="9"/>
  <c r="J74" i="9" s="1"/>
  <c r="G74" i="9"/>
  <c r="O73" i="9"/>
  <c r="N73" i="9" s="1"/>
  <c r="P73" i="9" s="1"/>
  <c r="K73" i="9"/>
  <c r="H73" i="9"/>
  <c r="J73" i="9" s="1"/>
  <c r="G73" i="9"/>
  <c r="N72" i="9"/>
  <c r="P72" i="9" s="1"/>
  <c r="K72" i="9"/>
  <c r="H72" i="9"/>
  <c r="J72" i="9" s="1"/>
  <c r="G72" i="9"/>
  <c r="N71" i="9"/>
  <c r="P71" i="9" s="1"/>
  <c r="K71" i="9"/>
  <c r="H71" i="9"/>
  <c r="J71" i="9" s="1"/>
  <c r="G71" i="9"/>
  <c r="N70" i="9"/>
  <c r="P70" i="9" s="1"/>
  <c r="K70" i="9"/>
  <c r="H70" i="9"/>
  <c r="J70" i="9" s="1"/>
  <c r="G70" i="9"/>
  <c r="N69" i="9"/>
  <c r="P69" i="9" s="1"/>
  <c r="K69" i="9"/>
  <c r="H69" i="9"/>
  <c r="J69" i="9" s="1"/>
  <c r="G69" i="9"/>
  <c r="N68" i="9"/>
  <c r="P68" i="9" s="1"/>
  <c r="K68" i="9"/>
  <c r="H68" i="9"/>
  <c r="J68" i="9" s="1"/>
  <c r="G68" i="9"/>
  <c r="N67" i="9"/>
  <c r="P67" i="9" s="1"/>
  <c r="K67" i="9"/>
  <c r="H67" i="9"/>
  <c r="J67" i="9" s="1"/>
  <c r="G67" i="9"/>
  <c r="N66" i="9"/>
  <c r="P66" i="9" s="1"/>
  <c r="K66" i="9"/>
  <c r="H66" i="9"/>
  <c r="J66" i="9" s="1"/>
  <c r="G66" i="9"/>
  <c r="N65" i="9"/>
  <c r="P65" i="9" s="1"/>
  <c r="K65" i="9"/>
  <c r="H65" i="9"/>
  <c r="J65" i="9" s="1"/>
  <c r="G65" i="9"/>
  <c r="N64" i="9"/>
  <c r="P64" i="9" s="1"/>
  <c r="K64" i="9"/>
  <c r="H64" i="9"/>
  <c r="J64" i="9" s="1"/>
  <c r="G64" i="9"/>
  <c r="N63" i="9"/>
  <c r="P63" i="9" s="1"/>
  <c r="K63" i="9"/>
  <c r="H63" i="9"/>
  <c r="J63" i="9" s="1"/>
  <c r="G63" i="9"/>
  <c r="N62" i="9"/>
  <c r="P62" i="9" s="1"/>
  <c r="K62" i="9"/>
  <c r="H62" i="9"/>
  <c r="J62" i="9" s="1"/>
  <c r="G62" i="9"/>
  <c r="N61" i="9"/>
  <c r="P61" i="9" s="1"/>
  <c r="K61" i="9"/>
  <c r="H61" i="9"/>
  <c r="J61" i="9" s="1"/>
  <c r="G61" i="9"/>
  <c r="N60" i="9"/>
  <c r="P60" i="9" s="1"/>
  <c r="K60" i="9"/>
  <c r="H60" i="9"/>
  <c r="J60" i="9" s="1"/>
  <c r="G60" i="9"/>
  <c r="N59" i="9"/>
  <c r="P59" i="9" s="1"/>
  <c r="K59" i="9"/>
  <c r="H59" i="9"/>
  <c r="J59" i="9" s="1"/>
  <c r="G59" i="9"/>
  <c r="N58" i="9"/>
  <c r="P58" i="9" s="1"/>
  <c r="K58" i="9"/>
  <c r="H58" i="9"/>
  <c r="J58" i="9" s="1"/>
  <c r="G58" i="9"/>
  <c r="N57" i="9"/>
  <c r="P57" i="9" s="1"/>
  <c r="K57" i="9"/>
  <c r="H57" i="9"/>
  <c r="J57" i="9" s="1"/>
  <c r="G57" i="9"/>
  <c r="N56" i="9"/>
  <c r="P56" i="9" s="1"/>
  <c r="K56" i="9"/>
  <c r="H56" i="9"/>
  <c r="J56" i="9" s="1"/>
  <c r="G56" i="9"/>
  <c r="O55" i="9"/>
  <c r="N55" i="9" s="1"/>
  <c r="P55" i="9" s="1"/>
  <c r="K55" i="9"/>
  <c r="H55" i="9"/>
  <c r="J55" i="9" s="1"/>
  <c r="O54" i="9"/>
  <c r="N54" i="9" s="1"/>
  <c r="P54" i="9" s="1"/>
  <c r="K54" i="9"/>
  <c r="H54" i="9"/>
  <c r="J54" i="9" s="1"/>
  <c r="G54" i="9"/>
  <c r="O53" i="9"/>
  <c r="N53" i="9" s="1"/>
  <c r="P53" i="9" s="1"/>
  <c r="K53" i="9"/>
  <c r="H53" i="9"/>
  <c r="J53" i="9" s="1"/>
  <c r="G53" i="9"/>
  <c r="O52" i="9"/>
  <c r="N52" i="9" s="1"/>
  <c r="P52" i="9" s="1"/>
  <c r="K52" i="9"/>
  <c r="H52" i="9"/>
  <c r="J52" i="9" s="1"/>
  <c r="G52" i="9"/>
  <c r="O51" i="9"/>
  <c r="N51" i="9" s="1"/>
  <c r="P51" i="9" s="1"/>
  <c r="K51" i="9"/>
  <c r="H51" i="9"/>
  <c r="J51" i="9" s="1"/>
  <c r="G51" i="9"/>
  <c r="O50" i="9"/>
  <c r="N50" i="9" s="1"/>
  <c r="P50" i="9" s="1"/>
  <c r="K50" i="9"/>
  <c r="H50" i="9"/>
  <c r="J50" i="9" s="1"/>
  <c r="G50" i="9"/>
  <c r="O49" i="9"/>
  <c r="N49" i="9" s="1"/>
  <c r="P49" i="9" s="1"/>
  <c r="K49" i="9"/>
  <c r="H49" i="9"/>
  <c r="J49" i="9" s="1"/>
  <c r="G49" i="9"/>
  <c r="O48" i="9"/>
  <c r="N48" i="9" s="1"/>
  <c r="P48" i="9" s="1"/>
  <c r="K48" i="9"/>
  <c r="H48" i="9"/>
  <c r="J48" i="9" s="1"/>
  <c r="G48" i="9"/>
  <c r="O47" i="9"/>
  <c r="N47" i="9" s="1"/>
  <c r="P47" i="9" s="1"/>
  <c r="K47" i="9"/>
  <c r="H47" i="9"/>
  <c r="J47" i="9" s="1"/>
  <c r="G47" i="9"/>
  <c r="O46" i="9"/>
  <c r="N46" i="9" s="1"/>
  <c r="P46" i="9" s="1"/>
  <c r="K46" i="9"/>
  <c r="H46" i="9"/>
  <c r="J46" i="9" s="1"/>
  <c r="G46" i="9"/>
  <c r="O45" i="9"/>
  <c r="N45" i="9" s="1"/>
  <c r="P45" i="9" s="1"/>
  <c r="K45" i="9"/>
  <c r="H45" i="9"/>
  <c r="J45" i="9" s="1"/>
  <c r="G45" i="9"/>
  <c r="O44" i="9"/>
  <c r="N44" i="9" s="1"/>
  <c r="P44" i="9" s="1"/>
  <c r="K44" i="9"/>
  <c r="H44" i="9"/>
  <c r="J44" i="9" s="1"/>
  <c r="G44" i="9"/>
  <c r="O43" i="9"/>
  <c r="N43" i="9" s="1"/>
  <c r="P43" i="9" s="1"/>
  <c r="K43" i="9"/>
  <c r="H43" i="9"/>
  <c r="J43" i="9" s="1"/>
  <c r="G43" i="9"/>
  <c r="O42" i="9"/>
  <c r="N42" i="9" s="1"/>
  <c r="P42" i="9" s="1"/>
  <c r="K42" i="9"/>
  <c r="H42" i="9"/>
  <c r="J42" i="9" s="1"/>
  <c r="G42" i="9"/>
  <c r="O41" i="9"/>
  <c r="N41" i="9" s="1"/>
  <c r="P41" i="9" s="1"/>
  <c r="K41" i="9"/>
  <c r="H41" i="9"/>
  <c r="J41" i="9" s="1"/>
  <c r="G41" i="9"/>
  <c r="N40" i="9"/>
  <c r="P40" i="9" s="1"/>
  <c r="K40" i="9"/>
  <c r="H40" i="9"/>
  <c r="J40" i="9" s="1"/>
  <c r="G40" i="9"/>
  <c r="N39" i="9"/>
  <c r="P39" i="9" s="1"/>
  <c r="K39" i="9"/>
  <c r="H39" i="9"/>
  <c r="J39" i="9" s="1"/>
  <c r="G39" i="9"/>
  <c r="N38" i="9"/>
  <c r="P38" i="9" s="1"/>
  <c r="K38" i="9"/>
  <c r="H38" i="9"/>
  <c r="J38" i="9" s="1"/>
  <c r="G38" i="9"/>
  <c r="N37" i="9"/>
  <c r="P37" i="9" s="1"/>
  <c r="K37" i="9"/>
  <c r="H37" i="9"/>
  <c r="J37" i="9" s="1"/>
  <c r="G37" i="9"/>
  <c r="N36" i="9"/>
  <c r="P36" i="9" s="1"/>
  <c r="K36" i="9"/>
  <c r="H36" i="9"/>
  <c r="J36" i="9" s="1"/>
  <c r="G36" i="9"/>
  <c r="N35" i="9"/>
  <c r="P35" i="9" s="1"/>
  <c r="K35" i="9"/>
  <c r="H35" i="9"/>
  <c r="J35" i="9" s="1"/>
  <c r="G35" i="9"/>
  <c r="N34" i="9"/>
  <c r="P34" i="9" s="1"/>
  <c r="K34" i="9"/>
  <c r="H34" i="9"/>
  <c r="J34" i="9" s="1"/>
  <c r="G34" i="9"/>
  <c r="N33" i="9"/>
  <c r="P33" i="9" s="1"/>
  <c r="K33" i="9"/>
  <c r="H33" i="9"/>
  <c r="J33" i="9" s="1"/>
  <c r="G33" i="9"/>
  <c r="N32" i="9"/>
  <c r="P32" i="9" s="1"/>
  <c r="K32" i="9"/>
  <c r="H32" i="9"/>
  <c r="J32" i="9" s="1"/>
  <c r="G32" i="9"/>
  <c r="N31" i="9"/>
  <c r="P31" i="9" s="1"/>
  <c r="K31" i="9"/>
  <c r="H31" i="9"/>
  <c r="J31" i="9" s="1"/>
  <c r="G31" i="9"/>
  <c r="N30" i="9"/>
  <c r="P30" i="9" s="1"/>
  <c r="K30" i="9"/>
  <c r="H30" i="9"/>
  <c r="J30" i="9" s="1"/>
  <c r="G30" i="9"/>
  <c r="N29" i="9"/>
  <c r="P29" i="9" s="1"/>
  <c r="K29" i="9"/>
  <c r="H29" i="9"/>
  <c r="J29" i="9" s="1"/>
  <c r="G29" i="9"/>
  <c r="N28" i="9"/>
  <c r="P28" i="9" s="1"/>
  <c r="K28" i="9"/>
  <c r="H28" i="9"/>
  <c r="J28" i="9" s="1"/>
  <c r="G28" i="9"/>
  <c r="N27" i="9"/>
  <c r="P27" i="9" s="1"/>
  <c r="K27" i="9"/>
  <c r="H27" i="9"/>
  <c r="J27" i="9" s="1"/>
  <c r="G27" i="9"/>
  <c r="N26" i="9"/>
  <c r="P26" i="9" s="1"/>
  <c r="K26" i="9"/>
  <c r="H26" i="9"/>
  <c r="J26" i="9" s="1"/>
  <c r="G26" i="9"/>
  <c r="N25" i="9"/>
  <c r="P25" i="9" s="1"/>
  <c r="K25" i="9"/>
  <c r="H25" i="9"/>
  <c r="J25" i="9" s="1"/>
  <c r="G25" i="9"/>
  <c r="N24" i="9"/>
  <c r="P24" i="9" s="1"/>
  <c r="K24" i="9"/>
  <c r="H24" i="9"/>
  <c r="J24" i="9" s="1"/>
  <c r="G24" i="9"/>
  <c r="N23" i="9"/>
  <c r="P23" i="9" s="1"/>
  <c r="K23" i="9"/>
  <c r="H23" i="9"/>
  <c r="J23" i="9" s="1"/>
  <c r="G23" i="9"/>
  <c r="N22" i="9"/>
  <c r="P22" i="9" s="1"/>
  <c r="K22" i="9"/>
  <c r="H22" i="9"/>
  <c r="J22" i="9" s="1"/>
  <c r="G22" i="9"/>
  <c r="N21" i="9"/>
  <c r="P21" i="9" s="1"/>
  <c r="K21" i="9"/>
  <c r="H21" i="9"/>
  <c r="J21" i="9" s="1"/>
  <c r="G21" i="9"/>
  <c r="N20" i="9"/>
  <c r="P20" i="9" s="1"/>
  <c r="K20" i="9"/>
  <c r="H20" i="9"/>
  <c r="J20" i="9" s="1"/>
  <c r="G20" i="9"/>
  <c r="K19" i="9"/>
  <c r="H19" i="9"/>
  <c r="J19" i="9" s="1"/>
  <c r="G19" i="9"/>
  <c r="N18" i="9"/>
  <c r="P18" i="9" s="1"/>
  <c r="K18" i="9"/>
  <c r="H18" i="9"/>
  <c r="J18" i="9" s="1"/>
  <c r="G18" i="9"/>
  <c r="N17" i="9"/>
  <c r="P17" i="9" s="1"/>
  <c r="K17" i="9"/>
  <c r="H17" i="9"/>
  <c r="J17" i="9" s="1"/>
  <c r="G17" i="9"/>
  <c r="N16" i="9"/>
  <c r="P16" i="9" s="1"/>
  <c r="K16" i="9"/>
  <c r="H16" i="9"/>
  <c r="J16" i="9" s="1"/>
  <c r="G16" i="9"/>
  <c r="N15" i="9"/>
  <c r="P15" i="9" s="1"/>
  <c r="K15" i="9"/>
  <c r="H15" i="9"/>
  <c r="J15" i="9" s="1"/>
  <c r="G15" i="9"/>
  <c r="N14" i="9"/>
  <c r="P14" i="9" s="1"/>
  <c r="K14" i="9"/>
  <c r="H14" i="9"/>
  <c r="J14" i="9" s="1"/>
  <c r="G14" i="9"/>
  <c r="N13" i="9"/>
  <c r="P13" i="9" s="1"/>
  <c r="K13" i="9"/>
  <c r="H13" i="9"/>
  <c r="J13" i="9" s="1"/>
  <c r="G13" i="9"/>
  <c r="N12" i="9"/>
  <c r="P12" i="9" s="1"/>
  <c r="K12" i="9"/>
  <c r="H12" i="9"/>
  <c r="J12" i="9" s="1"/>
  <c r="G12" i="9"/>
  <c r="N11" i="9"/>
  <c r="P11" i="9" s="1"/>
  <c r="K11" i="9"/>
  <c r="H11" i="9"/>
  <c r="J11" i="9" s="1"/>
  <c r="G11" i="9"/>
  <c r="N10" i="9"/>
  <c r="P10" i="9" s="1"/>
  <c r="K10" i="9"/>
  <c r="H10" i="9"/>
  <c r="J10" i="9" s="1"/>
  <c r="G10" i="9"/>
  <c r="N9" i="9"/>
  <c r="P9" i="9" s="1"/>
  <c r="K9" i="9"/>
  <c r="H9" i="9"/>
  <c r="J9" i="9" s="1"/>
  <c r="G9" i="9"/>
  <c r="N8" i="9"/>
  <c r="P8" i="9" s="1"/>
  <c r="K8" i="9"/>
  <c r="H8" i="9"/>
  <c r="J8" i="9" s="1"/>
  <c r="G8" i="9"/>
  <c r="N7" i="9"/>
  <c r="P7" i="9" s="1"/>
  <c r="K7" i="9"/>
  <c r="H7" i="9"/>
  <c r="J7" i="9" s="1"/>
  <c r="G7" i="9"/>
  <c r="G7" i="16"/>
  <c r="H7" i="16"/>
  <c r="J7" i="16" s="1"/>
  <c r="K7" i="16"/>
  <c r="M7" i="16"/>
  <c r="O7" i="16" s="1"/>
  <c r="G8" i="16"/>
  <c r="H8" i="16"/>
  <c r="J8" i="16" s="1"/>
  <c r="K8" i="16"/>
  <c r="M8" i="16"/>
  <c r="O8" i="16" s="1"/>
  <c r="G9" i="16"/>
  <c r="H9" i="16"/>
  <c r="J9" i="16" s="1"/>
  <c r="K9" i="16"/>
  <c r="M9" i="16"/>
  <c r="O9" i="16" s="1"/>
  <c r="G10" i="16"/>
  <c r="H10" i="16"/>
  <c r="J10" i="16" s="1"/>
  <c r="K10" i="16"/>
  <c r="M10" i="16"/>
  <c r="O10" i="16" s="1"/>
  <c r="G11" i="16"/>
  <c r="H11" i="16"/>
  <c r="J11" i="16" s="1"/>
  <c r="K11" i="16"/>
  <c r="M11" i="16"/>
  <c r="O11" i="16" s="1"/>
  <c r="G12" i="16"/>
  <c r="H12" i="16"/>
  <c r="J12" i="16" s="1"/>
  <c r="K12" i="16"/>
  <c r="M12" i="16"/>
  <c r="O12" i="16" s="1"/>
  <c r="G13" i="16"/>
  <c r="H13" i="16"/>
  <c r="J13" i="16" s="1"/>
  <c r="K13" i="16"/>
  <c r="M13" i="16"/>
  <c r="O13" i="16" s="1"/>
  <c r="G14" i="16"/>
  <c r="H14" i="16"/>
  <c r="J14" i="16" s="1"/>
  <c r="K14" i="16"/>
  <c r="M14" i="16"/>
  <c r="O14" i="16" s="1"/>
  <c r="G15" i="16"/>
  <c r="H15" i="16"/>
  <c r="J15" i="16" s="1"/>
  <c r="K15" i="16"/>
  <c r="M15" i="16"/>
  <c r="O15" i="16" s="1"/>
  <c r="G16" i="16"/>
  <c r="H16" i="16"/>
  <c r="J16" i="16" s="1"/>
  <c r="K16" i="16"/>
  <c r="M16" i="16"/>
  <c r="O16" i="16" s="1"/>
  <c r="G17" i="16"/>
  <c r="H17" i="16"/>
  <c r="J17" i="16" s="1"/>
  <c r="K17" i="16"/>
  <c r="M17" i="16"/>
  <c r="O17" i="16" s="1"/>
  <c r="G18" i="16"/>
  <c r="H18" i="16"/>
  <c r="J18" i="16" s="1"/>
  <c r="K18" i="16"/>
  <c r="M18" i="16"/>
  <c r="O18" i="16" s="1"/>
  <c r="G19" i="16"/>
  <c r="H19" i="16"/>
  <c r="J19" i="16" s="1"/>
  <c r="K19" i="16"/>
  <c r="M19" i="16"/>
  <c r="O19" i="16" s="1"/>
  <c r="G20" i="16"/>
  <c r="H20" i="16"/>
  <c r="J20" i="16" s="1"/>
  <c r="K20" i="16"/>
  <c r="M20" i="16"/>
  <c r="O20" i="16" s="1"/>
  <c r="G21" i="16"/>
  <c r="H21" i="16"/>
  <c r="J21" i="16" s="1"/>
  <c r="K21" i="16"/>
  <c r="M21" i="16"/>
  <c r="O21" i="16" s="1"/>
  <c r="G22" i="16"/>
  <c r="H22" i="16"/>
  <c r="J22" i="16" s="1"/>
  <c r="K22" i="16"/>
  <c r="M22" i="16"/>
  <c r="O22" i="16" s="1"/>
  <c r="G23" i="16"/>
  <c r="H23" i="16"/>
  <c r="J23" i="16" s="1"/>
  <c r="K23" i="16"/>
  <c r="M23" i="16"/>
  <c r="O23" i="16" s="1"/>
  <c r="G24" i="16"/>
  <c r="H24" i="16"/>
  <c r="J24" i="16" s="1"/>
  <c r="K24" i="16"/>
  <c r="M24" i="16"/>
  <c r="O24" i="16" s="1"/>
  <c r="G25" i="16"/>
  <c r="H25" i="16"/>
  <c r="J25" i="16" s="1"/>
  <c r="K25" i="16"/>
  <c r="M25" i="16"/>
  <c r="O25" i="16" s="1"/>
  <c r="G26" i="16"/>
  <c r="H26" i="16"/>
  <c r="J26" i="16" s="1"/>
  <c r="K26" i="16"/>
  <c r="M26" i="16"/>
  <c r="O26" i="16" s="1"/>
  <c r="G27" i="16"/>
  <c r="H27" i="16"/>
  <c r="J27" i="16" s="1"/>
  <c r="K27" i="16"/>
  <c r="M27" i="16"/>
  <c r="O27" i="16" s="1"/>
  <c r="G28" i="16"/>
  <c r="H28" i="16"/>
  <c r="J28" i="16" s="1"/>
  <c r="K28" i="16"/>
  <c r="M28" i="16"/>
  <c r="O28" i="16" s="1"/>
  <c r="G29" i="16"/>
  <c r="H29" i="16"/>
  <c r="J29" i="16" s="1"/>
  <c r="K29" i="16"/>
  <c r="M29" i="16"/>
  <c r="O29" i="16" s="1"/>
  <c r="G30" i="16"/>
  <c r="H30" i="16"/>
  <c r="J30" i="16" s="1"/>
  <c r="K30" i="16"/>
  <c r="M30" i="16"/>
  <c r="O30" i="16" s="1"/>
  <c r="G31" i="16"/>
  <c r="H31" i="16"/>
  <c r="J31" i="16" s="1"/>
  <c r="K31" i="16"/>
  <c r="M31" i="16"/>
  <c r="O31" i="16" s="1"/>
  <c r="G32" i="16"/>
  <c r="H32" i="16"/>
  <c r="J32" i="16" s="1"/>
  <c r="K32" i="16"/>
  <c r="M32" i="16"/>
  <c r="O32" i="16" s="1"/>
  <c r="G33" i="16"/>
  <c r="H33" i="16"/>
  <c r="J33" i="16" s="1"/>
  <c r="K33" i="16"/>
  <c r="M33" i="16"/>
  <c r="O33" i="16" s="1"/>
  <c r="G34" i="16"/>
  <c r="H34" i="16"/>
  <c r="J34" i="16" s="1"/>
  <c r="K34" i="16"/>
  <c r="M34" i="16"/>
  <c r="O34" i="16" s="1"/>
  <c r="G35" i="16"/>
  <c r="H35" i="16"/>
  <c r="J35" i="16" s="1"/>
  <c r="K35" i="16"/>
  <c r="M35" i="16"/>
  <c r="O35" i="16" s="1"/>
  <c r="G36" i="16"/>
  <c r="H36" i="16"/>
  <c r="J36" i="16" s="1"/>
  <c r="K36" i="16"/>
  <c r="M36" i="16"/>
  <c r="O36" i="16" s="1"/>
  <c r="G37" i="16"/>
  <c r="H37" i="16"/>
  <c r="J37" i="16" s="1"/>
  <c r="K37" i="16"/>
  <c r="M37" i="16"/>
  <c r="O37" i="16" s="1"/>
  <c r="G38" i="16"/>
  <c r="H38" i="16"/>
  <c r="J38" i="16" s="1"/>
  <c r="K38" i="16"/>
  <c r="M38" i="16"/>
  <c r="O38" i="16" s="1"/>
  <c r="G39" i="16"/>
  <c r="H39" i="16"/>
  <c r="J39" i="16" s="1"/>
  <c r="K39" i="16"/>
  <c r="M39" i="16"/>
  <c r="O39" i="16" s="1"/>
  <c r="G40" i="16"/>
  <c r="H40" i="16"/>
  <c r="J40" i="16" s="1"/>
  <c r="K40" i="16"/>
  <c r="M40" i="16"/>
  <c r="O40" i="16" s="1"/>
  <c r="G41" i="16"/>
  <c r="H41" i="16"/>
  <c r="J41" i="16" s="1"/>
  <c r="K41" i="16"/>
  <c r="M41" i="16"/>
  <c r="O41" i="16" s="1"/>
  <c r="G42" i="16"/>
  <c r="H42" i="16"/>
  <c r="J42" i="16" s="1"/>
  <c r="K42" i="16"/>
  <c r="M42" i="16"/>
  <c r="O42" i="16" s="1"/>
  <c r="G43" i="16"/>
  <c r="H43" i="16"/>
  <c r="J43" i="16" s="1"/>
  <c r="K43" i="16"/>
  <c r="M43" i="16"/>
  <c r="O43" i="16" s="1"/>
  <c r="G44" i="16"/>
  <c r="H44" i="16"/>
  <c r="J44" i="16" s="1"/>
  <c r="K44" i="16"/>
  <c r="M44" i="16"/>
  <c r="O44" i="16" s="1"/>
  <c r="G45" i="16"/>
  <c r="H45" i="16"/>
  <c r="J45" i="16" s="1"/>
  <c r="K45" i="16"/>
  <c r="M45" i="16"/>
  <c r="O45" i="16" s="1"/>
  <c r="G46" i="16"/>
  <c r="H46" i="16"/>
  <c r="J46" i="16" s="1"/>
  <c r="K46" i="16"/>
  <c r="M46" i="16"/>
  <c r="O46" i="16" s="1"/>
  <c r="G47" i="16"/>
  <c r="H47" i="16"/>
  <c r="J47" i="16" s="1"/>
  <c r="K47" i="16"/>
  <c r="M47" i="16"/>
  <c r="O47" i="16" s="1"/>
  <c r="G48" i="16"/>
  <c r="H48" i="16"/>
  <c r="J48" i="16" s="1"/>
  <c r="K48" i="16"/>
  <c r="M48" i="16"/>
  <c r="O48" i="16" s="1"/>
  <c r="G49" i="16"/>
  <c r="H49" i="16"/>
  <c r="J49" i="16" s="1"/>
  <c r="K49" i="16"/>
  <c r="M49" i="16"/>
  <c r="O49" i="16" s="1"/>
  <c r="G50" i="16"/>
  <c r="H50" i="16"/>
  <c r="J50" i="16" s="1"/>
  <c r="K50" i="16"/>
  <c r="M50" i="16"/>
  <c r="O50" i="16" s="1"/>
  <c r="G51" i="16"/>
  <c r="H51" i="16"/>
  <c r="J51" i="16" s="1"/>
  <c r="K51" i="16"/>
  <c r="M51" i="16"/>
  <c r="O51" i="16" s="1"/>
  <c r="G52" i="16"/>
  <c r="H52" i="16"/>
  <c r="J52" i="16" s="1"/>
  <c r="K52" i="16"/>
  <c r="M52" i="16"/>
  <c r="O52" i="16" s="1"/>
  <c r="G53" i="16"/>
  <c r="H53" i="16"/>
  <c r="J53" i="16" s="1"/>
  <c r="K53" i="16"/>
  <c r="M53" i="16"/>
  <c r="O53" i="16" s="1"/>
  <c r="G54" i="16"/>
  <c r="H54" i="16"/>
  <c r="J54" i="16" s="1"/>
  <c r="K54" i="16"/>
  <c r="M54" i="16"/>
  <c r="O54" i="16" s="1"/>
  <c r="G55" i="16"/>
  <c r="H55" i="16"/>
  <c r="J55" i="16" s="1"/>
  <c r="K55" i="16"/>
  <c r="M55" i="16"/>
  <c r="O55" i="16" s="1"/>
  <c r="G56" i="16"/>
  <c r="H56" i="16"/>
  <c r="J56" i="16" s="1"/>
  <c r="K56" i="16"/>
  <c r="M56" i="16"/>
  <c r="O56" i="16" s="1"/>
  <c r="G57" i="16"/>
  <c r="H57" i="16"/>
  <c r="J57" i="16" s="1"/>
  <c r="K57" i="16"/>
  <c r="M57" i="16"/>
  <c r="O57" i="16" s="1"/>
  <c r="G58" i="16"/>
  <c r="H58" i="16"/>
  <c r="J58" i="16" s="1"/>
  <c r="K58" i="16"/>
  <c r="M58" i="16"/>
  <c r="O58" i="16" s="1"/>
  <c r="G59" i="16"/>
  <c r="H59" i="16"/>
  <c r="J59" i="16" s="1"/>
  <c r="K59" i="16"/>
  <c r="M59" i="16"/>
  <c r="O59" i="16" s="1"/>
  <c r="G60" i="16"/>
  <c r="H60" i="16"/>
  <c r="J60" i="16" s="1"/>
  <c r="K60" i="16"/>
  <c r="M60" i="16"/>
  <c r="O60" i="16" s="1"/>
  <c r="G61" i="16"/>
  <c r="H61" i="16"/>
  <c r="J61" i="16" s="1"/>
  <c r="K61" i="16"/>
  <c r="M61" i="16"/>
  <c r="O61" i="16" s="1"/>
  <c r="G62" i="16"/>
  <c r="H62" i="16"/>
  <c r="J62" i="16" s="1"/>
  <c r="K62" i="16"/>
  <c r="M62" i="16"/>
  <c r="O62" i="16" s="1"/>
  <c r="G82" i="16"/>
  <c r="H82" i="16"/>
  <c r="J82" i="16" s="1"/>
  <c r="K82" i="16"/>
  <c r="M82" i="16"/>
  <c r="O82" i="16" s="1"/>
  <c r="G83" i="16"/>
  <c r="H83" i="16"/>
  <c r="J83" i="16" s="1"/>
  <c r="K83" i="16"/>
  <c r="M83" i="16"/>
  <c r="O83" i="16" s="1"/>
  <c r="G63" i="16"/>
  <c r="H63" i="16"/>
  <c r="J63" i="16" s="1"/>
  <c r="K63" i="16"/>
  <c r="M63" i="16"/>
  <c r="O63" i="16" s="1"/>
  <c r="G64" i="16"/>
  <c r="H64" i="16"/>
  <c r="J64" i="16" s="1"/>
  <c r="K64" i="16"/>
  <c r="M64" i="16"/>
  <c r="O64" i="16" s="1"/>
  <c r="G65" i="16"/>
  <c r="H65" i="16"/>
  <c r="J65" i="16" s="1"/>
  <c r="K65" i="16"/>
  <c r="M65" i="16"/>
  <c r="O65" i="16" s="1"/>
  <c r="G66" i="16"/>
  <c r="H66" i="16"/>
  <c r="J66" i="16" s="1"/>
  <c r="K66" i="16"/>
  <c r="M66" i="16"/>
  <c r="O66" i="16" s="1"/>
  <c r="G67" i="16"/>
  <c r="H67" i="16"/>
  <c r="J67" i="16" s="1"/>
  <c r="K67" i="16"/>
  <c r="M67" i="16"/>
  <c r="O67" i="16" s="1"/>
  <c r="G68" i="16"/>
  <c r="H68" i="16"/>
  <c r="J68" i="16" s="1"/>
  <c r="K68" i="16"/>
  <c r="M68" i="16"/>
  <c r="O68" i="16" s="1"/>
  <c r="G69" i="16"/>
  <c r="H69" i="16"/>
  <c r="J69" i="16" s="1"/>
  <c r="K69" i="16"/>
  <c r="M69" i="16"/>
  <c r="O69" i="16" s="1"/>
  <c r="G70" i="16"/>
  <c r="H70" i="16"/>
  <c r="J70" i="16" s="1"/>
  <c r="K70" i="16"/>
  <c r="M70" i="16"/>
  <c r="O70" i="16" s="1"/>
  <c r="G71" i="16"/>
  <c r="H71" i="16"/>
  <c r="J71" i="16" s="1"/>
  <c r="K71" i="16"/>
  <c r="M71" i="16"/>
  <c r="O71" i="16" s="1"/>
  <c r="G72" i="16"/>
  <c r="H72" i="16"/>
  <c r="J72" i="16" s="1"/>
  <c r="K72" i="16"/>
  <c r="M72" i="16"/>
  <c r="O72" i="16" s="1"/>
  <c r="G73" i="16"/>
  <c r="H73" i="16"/>
  <c r="J73" i="16" s="1"/>
  <c r="K73" i="16"/>
  <c r="M73" i="16"/>
  <c r="O73" i="16" s="1"/>
  <c r="G81" i="16"/>
  <c r="H81" i="16"/>
  <c r="J81" i="16" s="1"/>
  <c r="K81" i="16"/>
  <c r="M81" i="16"/>
  <c r="O81" i="16" s="1"/>
  <c r="G74" i="16"/>
  <c r="H74" i="16"/>
  <c r="J74" i="16" s="1"/>
  <c r="K74" i="16"/>
  <c r="M74" i="16"/>
  <c r="O74" i="16" s="1"/>
  <c r="G75" i="16"/>
  <c r="H75" i="16"/>
  <c r="J75" i="16" s="1"/>
  <c r="K75" i="16"/>
  <c r="M75" i="16"/>
  <c r="O75" i="16" s="1"/>
  <c r="G76" i="16"/>
  <c r="H76" i="16"/>
  <c r="J76" i="16" s="1"/>
  <c r="K76" i="16"/>
  <c r="M76" i="16"/>
  <c r="O76" i="16" s="1"/>
  <c r="G77" i="16"/>
  <c r="H77" i="16"/>
  <c r="J77" i="16" s="1"/>
  <c r="K77" i="16"/>
  <c r="M77" i="16"/>
  <c r="O77" i="16" s="1"/>
  <c r="G78" i="16"/>
  <c r="H78" i="16"/>
  <c r="J78" i="16" s="1"/>
  <c r="K78" i="16"/>
  <c r="M78" i="16"/>
  <c r="O78" i="16" s="1"/>
  <c r="G79" i="16"/>
  <c r="H79" i="16"/>
  <c r="J79" i="16" s="1"/>
  <c r="K79" i="16"/>
  <c r="M79" i="16"/>
  <c r="O79" i="16" s="1"/>
  <c r="G80" i="16"/>
  <c r="H80" i="16"/>
  <c r="J80" i="16" s="1"/>
  <c r="K80" i="16"/>
  <c r="M80" i="16"/>
  <c r="O80" i="16" s="1"/>
  <c r="G84" i="16"/>
  <c r="H84" i="16"/>
  <c r="J84" i="16" s="1"/>
  <c r="K84" i="16"/>
  <c r="M84" i="16"/>
  <c r="O84" i="16" s="1"/>
  <c r="G96" i="16"/>
  <c r="H96" i="16"/>
  <c r="J96" i="16" s="1"/>
  <c r="K96" i="16"/>
  <c r="M96" i="16"/>
  <c r="O96" i="16" s="1"/>
  <c r="G97" i="16"/>
  <c r="H97" i="16"/>
  <c r="J97" i="16" s="1"/>
  <c r="K97" i="16"/>
  <c r="M97" i="16"/>
  <c r="O97" i="16" s="1"/>
  <c r="G99" i="16"/>
  <c r="H99" i="16"/>
  <c r="J99" i="16" s="1"/>
  <c r="K99" i="16"/>
  <c r="M99" i="16"/>
  <c r="O99" i="16" s="1"/>
  <c r="G102" i="16"/>
  <c r="H102" i="16"/>
  <c r="J102" i="16" s="1"/>
  <c r="K102" i="16"/>
  <c r="M102" i="16"/>
  <c r="O102" i="16" s="1"/>
  <c r="G105" i="16"/>
  <c r="H105" i="16"/>
  <c r="J105" i="16" s="1"/>
  <c r="K105" i="16"/>
  <c r="M105" i="16"/>
  <c r="O105" i="16" s="1"/>
  <c r="G98" i="16"/>
  <c r="H98" i="16"/>
  <c r="J98" i="16" s="1"/>
  <c r="K98" i="16"/>
  <c r="M98" i="16"/>
  <c r="O98" i="16" s="1"/>
  <c r="G100" i="16"/>
  <c r="H100" i="16"/>
  <c r="J100" i="16" s="1"/>
  <c r="K100" i="16"/>
  <c r="M100" i="16"/>
  <c r="O100" i="16" s="1"/>
  <c r="G92" i="16"/>
  <c r="H92" i="16"/>
  <c r="J92" i="16" s="1"/>
  <c r="K92" i="16"/>
  <c r="M92" i="16"/>
  <c r="O92" i="16" s="1"/>
  <c r="G93" i="16"/>
  <c r="H93" i="16"/>
  <c r="J93" i="16" s="1"/>
  <c r="K93" i="16"/>
  <c r="M93" i="16"/>
  <c r="O93" i="16" s="1"/>
  <c r="G104" i="16"/>
  <c r="H104" i="16"/>
  <c r="J104" i="16" s="1"/>
  <c r="K104" i="16"/>
  <c r="M104" i="16"/>
  <c r="O104" i="16" s="1"/>
  <c r="G101" i="16"/>
  <c r="H101" i="16"/>
  <c r="J101" i="16" s="1"/>
  <c r="K101" i="16"/>
  <c r="M101" i="16"/>
  <c r="O101" i="16" s="1"/>
  <c r="G103" i="16"/>
  <c r="H103" i="16"/>
  <c r="J103" i="16" s="1"/>
  <c r="K103" i="16"/>
  <c r="M103" i="16"/>
  <c r="O103" i="16" s="1"/>
  <c r="G94" i="16"/>
  <c r="H94" i="16"/>
  <c r="J94" i="16" s="1"/>
  <c r="K94" i="16"/>
  <c r="M94" i="16"/>
  <c r="O94" i="16" s="1"/>
  <c r="G95" i="16"/>
  <c r="H95" i="16"/>
  <c r="J95" i="16" s="1"/>
  <c r="K95" i="16"/>
  <c r="M95" i="16"/>
  <c r="O95" i="16" s="1"/>
  <c r="G85" i="16"/>
  <c r="H85" i="16"/>
  <c r="J85" i="16" s="1"/>
  <c r="K85" i="16"/>
  <c r="M85" i="16"/>
  <c r="O85" i="16" s="1"/>
  <c r="G86" i="16"/>
  <c r="H86" i="16"/>
  <c r="J86" i="16" s="1"/>
  <c r="K86" i="16"/>
  <c r="M86" i="16"/>
  <c r="O86" i="16" s="1"/>
  <c r="G87" i="16"/>
  <c r="H87" i="16"/>
  <c r="J87" i="16" s="1"/>
  <c r="K87" i="16"/>
  <c r="M87" i="16"/>
  <c r="O87" i="16" s="1"/>
  <c r="G88" i="16"/>
  <c r="H88" i="16"/>
  <c r="J88" i="16" s="1"/>
  <c r="K88" i="16"/>
  <c r="M88" i="16"/>
  <c r="O88" i="16" s="1"/>
  <c r="H89" i="16"/>
  <c r="J89" i="16" s="1"/>
  <c r="K89" i="16"/>
  <c r="M89" i="16"/>
  <c r="O89" i="16" s="1"/>
  <c r="G126" i="16"/>
  <c r="H126" i="16"/>
  <c r="J126" i="16" s="1"/>
  <c r="K126" i="16"/>
  <c r="M126" i="16"/>
  <c r="O126" i="16" s="1"/>
  <c r="G106" i="16"/>
  <c r="H106" i="16"/>
  <c r="J106" i="16" s="1"/>
  <c r="K106" i="16"/>
  <c r="M106" i="16"/>
  <c r="O106" i="16" s="1"/>
  <c r="G107" i="16"/>
  <c r="H107" i="16"/>
  <c r="J107" i="16" s="1"/>
  <c r="K107" i="16"/>
  <c r="M107" i="16"/>
  <c r="O107" i="16" s="1"/>
  <c r="G108" i="16"/>
  <c r="H108" i="16"/>
  <c r="J108" i="16" s="1"/>
  <c r="K108" i="16"/>
  <c r="M108" i="16"/>
  <c r="O108" i="16" s="1"/>
  <c r="G109" i="16"/>
  <c r="H109" i="16"/>
  <c r="J109" i="16" s="1"/>
  <c r="K109" i="16"/>
  <c r="M109" i="16"/>
  <c r="O109" i="16" s="1"/>
  <c r="G110" i="16"/>
  <c r="H110" i="16"/>
  <c r="J110" i="16" s="1"/>
  <c r="K110" i="16"/>
  <c r="M110" i="16"/>
  <c r="O110" i="16" s="1"/>
  <c r="G111" i="16"/>
  <c r="H111" i="16"/>
  <c r="J111" i="16" s="1"/>
  <c r="K111" i="16"/>
  <c r="M111" i="16"/>
  <c r="O111" i="16" s="1"/>
  <c r="G112" i="16"/>
  <c r="H112" i="16"/>
  <c r="J112" i="16" s="1"/>
  <c r="K112" i="16"/>
  <c r="M112" i="16"/>
  <c r="O112" i="16" s="1"/>
  <c r="G113" i="16"/>
  <c r="H113" i="16"/>
  <c r="J113" i="16" s="1"/>
  <c r="K113" i="16"/>
  <c r="M113" i="16"/>
  <c r="O113" i="16" s="1"/>
  <c r="G114" i="16"/>
  <c r="H114" i="16"/>
  <c r="J114" i="16" s="1"/>
  <c r="K114" i="16"/>
  <c r="M114" i="16"/>
  <c r="O114" i="16" s="1"/>
  <c r="G115" i="16"/>
  <c r="H115" i="16"/>
  <c r="J115" i="16" s="1"/>
  <c r="K115" i="16"/>
  <c r="M115" i="16"/>
  <c r="O115" i="16" s="1"/>
  <c r="G116" i="16"/>
  <c r="H116" i="16"/>
  <c r="J116" i="16" s="1"/>
  <c r="K116" i="16"/>
  <c r="M116" i="16"/>
  <c r="O116" i="16" s="1"/>
  <c r="G117" i="16"/>
  <c r="H117" i="16"/>
  <c r="J117" i="16" s="1"/>
  <c r="K117" i="16"/>
  <c r="M117" i="16"/>
  <c r="O117" i="16" s="1"/>
  <c r="G118" i="16"/>
  <c r="H118" i="16"/>
  <c r="J118" i="16" s="1"/>
  <c r="K118" i="16"/>
  <c r="M118" i="16"/>
  <c r="O118" i="16" s="1"/>
  <c r="G119" i="16"/>
  <c r="H119" i="16"/>
  <c r="J119" i="16" s="1"/>
  <c r="K119" i="16"/>
  <c r="M119" i="16"/>
  <c r="O119" i="16" s="1"/>
  <c r="G120" i="16"/>
  <c r="H120" i="16"/>
  <c r="J120" i="16" s="1"/>
  <c r="K120" i="16"/>
  <c r="M120" i="16"/>
  <c r="O120" i="16" s="1"/>
  <c r="G121" i="16"/>
  <c r="H121" i="16"/>
  <c r="J121" i="16" s="1"/>
  <c r="K121" i="16"/>
  <c r="M121" i="16"/>
  <c r="O121" i="16" s="1"/>
  <c r="G122" i="16"/>
  <c r="H122" i="16"/>
  <c r="J122" i="16" s="1"/>
  <c r="K122" i="16"/>
  <c r="M122" i="16"/>
  <c r="O122" i="16" s="1"/>
  <c r="G123" i="16"/>
  <c r="H123" i="16"/>
  <c r="J123" i="16" s="1"/>
  <c r="K123" i="16"/>
  <c r="M123" i="16"/>
  <c r="O123" i="16" s="1"/>
  <c r="G124" i="16"/>
  <c r="H124" i="16"/>
  <c r="J124" i="16" s="1"/>
  <c r="K124" i="16"/>
  <c r="M124" i="16"/>
  <c r="O124" i="16" s="1"/>
  <c r="G125" i="16"/>
  <c r="H125" i="16"/>
  <c r="J125" i="16" s="1"/>
  <c r="K125" i="16"/>
  <c r="M125" i="16"/>
  <c r="O125" i="16" s="1"/>
  <c r="G127" i="16"/>
  <c r="H127" i="16"/>
  <c r="J127" i="16" s="1"/>
  <c r="K127" i="16"/>
  <c r="M127" i="16"/>
  <c r="O127" i="16" s="1"/>
  <c r="G128" i="16"/>
  <c r="H128" i="16"/>
  <c r="J128" i="16" s="1"/>
  <c r="K128" i="16"/>
  <c r="M128" i="16"/>
  <c r="O128" i="16" s="1"/>
  <c r="G129" i="16"/>
  <c r="H129" i="16"/>
  <c r="J129" i="16" s="1"/>
  <c r="K129" i="16"/>
  <c r="M129" i="16"/>
  <c r="O129" i="16" s="1"/>
  <c r="G130" i="16"/>
  <c r="H130" i="16"/>
  <c r="J130" i="16" s="1"/>
  <c r="K130" i="16"/>
  <c r="M130" i="16"/>
  <c r="O130" i="16" s="1"/>
  <c r="G131" i="16"/>
  <c r="H131" i="16"/>
  <c r="J131" i="16" s="1"/>
  <c r="K131" i="16"/>
  <c r="M131" i="16"/>
  <c r="O131" i="16" s="1"/>
  <c r="G132" i="16"/>
  <c r="H132" i="16"/>
  <c r="J132" i="16" s="1"/>
  <c r="K132" i="16"/>
  <c r="M132" i="16"/>
  <c r="O132" i="16" s="1"/>
  <c r="G133" i="16"/>
  <c r="H133" i="16"/>
  <c r="J133" i="16" s="1"/>
  <c r="K133" i="16"/>
  <c r="M133" i="16"/>
  <c r="O133" i="16" s="1"/>
  <c r="G134" i="16"/>
  <c r="H134" i="16"/>
  <c r="J134" i="16" s="1"/>
  <c r="K134" i="16"/>
  <c r="M134" i="16"/>
  <c r="O134" i="16" s="1"/>
  <c r="G135" i="16"/>
  <c r="H135" i="16"/>
  <c r="J135" i="16" s="1"/>
  <c r="K135" i="16"/>
  <c r="M135" i="16"/>
  <c r="O135" i="16" s="1"/>
  <c r="G136" i="16"/>
  <c r="H136" i="16"/>
  <c r="J136" i="16" s="1"/>
  <c r="K136" i="16"/>
  <c r="M136" i="16"/>
  <c r="O136" i="16" s="1"/>
  <c r="G137" i="16"/>
  <c r="H137" i="16"/>
  <c r="J137" i="16" s="1"/>
  <c r="K137" i="16"/>
  <c r="M137" i="16"/>
  <c r="O137" i="16" s="1"/>
  <c r="G153" i="16"/>
  <c r="H153" i="16"/>
  <c r="J153" i="16" s="1"/>
  <c r="K153" i="16"/>
  <c r="M153" i="16"/>
  <c r="O153" i="16" s="1"/>
  <c r="G152" i="16"/>
  <c r="H152" i="16"/>
  <c r="J152" i="16" s="1"/>
  <c r="K152" i="16"/>
  <c r="M152" i="16"/>
  <c r="O152" i="16" s="1"/>
  <c r="G151" i="16"/>
  <c r="H151" i="16"/>
  <c r="J151" i="16" s="1"/>
  <c r="K151" i="16"/>
  <c r="M151" i="16"/>
  <c r="O151" i="16" s="1"/>
  <c r="G138" i="16"/>
  <c r="H138" i="16"/>
  <c r="J138" i="16" s="1"/>
  <c r="K138" i="16"/>
  <c r="M138" i="16"/>
  <c r="O138" i="16" s="1"/>
  <c r="G139" i="16"/>
  <c r="H139" i="16"/>
  <c r="J139" i="16" s="1"/>
  <c r="K139" i="16"/>
  <c r="M139" i="16"/>
  <c r="O139" i="16" s="1"/>
  <c r="G140" i="16"/>
  <c r="H140" i="16"/>
  <c r="J140" i="16" s="1"/>
  <c r="K140" i="16"/>
  <c r="M140" i="16"/>
  <c r="O140" i="16" s="1"/>
  <c r="G141" i="16"/>
  <c r="H141" i="16"/>
  <c r="J141" i="16" s="1"/>
  <c r="K141" i="16"/>
  <c r="M141" i="16"/>
  <c r="O141" i="16" s="1"/>
  <c r="G142" i="16"/>
  <c r="H142" i="16"/>
  <c r="J142" i="16" s="1"/>
  <c r="K142" i="16"/>
  <c r="M142" i="16"/>
  <c r="O142" i="16" s="1"/>
  <c r="G143" i="16"/>
  <c r="H143" i="16"/>
  <c r="J143" i="16" s="1"/>
  <c r="K143" i="16"/>
  <c r="M143" i="16"/>
  <c r="O143" i="16" s="1"/>
  <c r="G144" i="16"/>
  <c r="H144" i="16"/>
  <c r="J144" i="16" s="1"/>
  <c r="K144" i="16"/>
  <c r="M144" i="16"/>
  <c r="O144" i="16" s="1"/>
  <c r="G145" i="16"/>
  <c r="H145" i="16"/>
  <c r="J145" i="16" s="1"/>
  <c r="K145" i="16"/>
  <c r="M145" i="16"/>
  <c r="O145" i="16" s="1"/>
  <c r="G146" i="16"/>
  <c r="H146" i="16"/>
  <c r="J146" i="16" s="1"/>
  <c r="K146" i="16"/>
  <c r="M146" i="16"/>
  <c r="O146" i="16" s="1"/>
  <c r="G147" i="16"/>
  <c r="H147" i="16"/>
  <c r="J147" i="16" s="1"/>
  <c r="K147" i="16"/>
  <c r="M147" i="16"/>
  <c r="O147" i="16" s="1"/>
  <c r="G148" i="16"/>
  <c r="H148" i="16"/>
  <c r="J148" i="16" s="1"/>
  <c r="K148" i="16"/>
  <c r="M148" i="16"/>
  <c r="O148" i="16" s="1"/>
  <c r="G149" i="16"/>
  <c r="H149" i="16"/>
  <c r="J149" i="16" s="1"/>
  <c r="K149" i="16"/>
  <c r="M149" i="16"/>
  <c r="O149" i="16" s="1"/>
  <c r="G150" i="16"/>
  <c r="H150" i="16"/>
  <c r="J150" i="16" s="1"/>
  <c r="K150" i="16"/>
  <c r="M150" i="16"/>
  <c r="O150" i="16" s="1"/>
  <c r="G154" i="16"/>
  <c r="H154" i="16"/>
  <c r="J154" i="16" s="1"/>
  <c r="K154" i="16"/>
  <c r="N154" i="16"/>
  <c r="M154" i="16" s="1"/>
  <c r="O154" i="16" s="1"/>
  <c r="G159" i="16"/>
  <c r="H159" i="16"/>
  <c r="J159" i="16" s="1"/>
  <c r="K159" i="16"/>
  <c r="M159" i="16"/>
  <c r="O159" i="16" s="1"/>
  <c r="G160" i="16"/>
  <c r="H160" i="16"/>
  <c r="J160" i="16" s="1"/>
  <c r="K160" i="16"/>
  <c r="M160" i="16"/>
  <c r="O160" i="16" s="1"/>
  <c r="G161" i="16"/>
  <c r="H161" i="16"/>
  <c r="J161" i="16" s="1"/>
  <c r="K161" i="16"/>
  <c r="M161" i="16"/>
  <c r="O161" i="16" s="1"/>
  <c r="G155" i="16"/>
  <c r="H155" i="16"/>
  <c r="J155" i="16" s="1"/>
  <c r="K155" i="16"/>
  <c r="M155" i="16"/>
  <c r="O155" i="16" s="1"/>
  <c r="G157" i="16"/>
  <c r="H157" i="16"/>
  <c r="J157" i="16" s="1"/>
  <c r="K157" i="16"/>
  <c r="M157" i="16"/>
  <c r="O157" i="16" s="1"/>
  <c r="G156" i="16"/>
  <c r="H156" i="16"/>
  <c r="J156" i="16" s="1"/>
  <c r="K156" i="16"/>
  <c r="M156" i="16"/>
  <c r="O156" i="16" s="1"/>
  <c r="G158" i="16"/>
  <c r="H158" i="16"/>
  <c r="J158" i="16" s="1"/>
  <c r="K158" i="16"/>
  <c r="M158" i="16"/>
  <c r="O158" i="16" s="1"/>
  <c r="G184" i="16"/>
  <c r="H184" i="16"/>
  <c r="J184" i="16" s="1"/>
  <c r="K184" i="16"/>
  <c r="M184" i="16"/>
  <c r="O184" i="16" s="1"/>
  <c r="G185" i="16"/>
  <c r="H185" i="16"/>
  <c r="J185" i="16" s="1"/>
  <c r="K185" i="16"/>
  <c r="M185" i="16"/>
  <c r="O185" i="16" s="1"/>
  <c r="G186" i="16"/>
  <c r="H186" i="16"/>
  <c r="J186" i="16" s="1"/>
  <c r="K186" i="16"/>
  <c r="M186" i="16"/>
  <c r="O186" i="16" s="1"/>
  <c r="G187" i="16"/>
  <c r="H187" i="16"/>
  <c r="J187" i="16" s="1"/>
  <c r="K187" i="16"/>
  <c r="M187" i="16"/>
  <c r="O187" i="16" s="1"/>
  <c r="G188" i="16"/>
  <c r="H188" i="16"/>
  <c r="J188" i="16" s="1"/>
  <c r="K188" i="16"/>
  <c r="M188" i="16"/>
  <c r="O188" i="16" s="1"/>
  <c r="G189" i="16"/>
  <c r="H189" i="16"/>
  <c r="J189" i="16" s="1"/>
  <c r="K189" i="16"/>
  <c r="M189" i="16"/>
  <c r="O189" i="16" s="1"/>
  <c r="G190" i="16"/>
  <c r="H190" i="16"/>
  <c r="J190" i="16" s="1"/>
  <c r="K190" i="16"/>
  <c r="M190" i="16"/>
  <c r="O190" i="16" s="1"/>
  <c r="G191" i="16"/>
  <c r="H191" i="16"/>
  <c r="J191" i="16" s="1"/>
  <c r="K191" i="16"/>
  <c r="M191" i="16"/>
  <c r="O191" i="16" s="1"/>
  <c r="G192" i="16"/>
  <c r="H192" i="16"/>
  <c r="J192" i="16" s="1"/>
  <c r="K192" i="16"/>
  <c r="M192" i="16"/>
  <c r="O192" i="16" s="1"/>
  <c r="G193" i="16"/>
  <c r="H193" i="16"/>
  <c r="J193" i="16" s="1"/>
  <c r="K193" i="16"/>
  <c r="M193" i="16"/>
  <c r="O193" i="16" s="1"/>
  <c r="G194" i="16"/>
  <c r="H194" i="16"/>
  <c r="J194" i="16" s="1"/>
  <c r="K194" i="16"/>
  <c r="M194" i="16"/>
  <c r="O194" i="16" s="1"/>
  <c r="G195" i="16"/>
  <c r="H195" i="16"/>
  <c r="J195" i="16" s="1"/>
  <c r="K195" i="16"/>
  <c r="M195" i="16"/>
  <c r="O195" i="16" s="1"/>
  <c r="G196" i="16"/>
  <c r="H196" i="16"/>
  <c r="J196" i="16" s="1"/>
  <c r="K196" i="16"/>
  <c r="M196" i="16"/>
  <c r="O196" i="16" s="1"/>
  <c r="G197" i="16"/>
  <c r="H197" i="16"/>
  <c r="J197" i="16" s="1"/>
  <c r="K197" i="16"/>
  <c r="M197" i="16"/>
  <c r="O197" i="16" s="1"/>
  <c r="G198" i="16"/>
  <c r="H198" i="16"/>
  <c r="J198" i="16" s="1"/>
  <c r="K198" i="16"/>
  <c r="M198" i="16"/>
  <c r="O198" i="16" s="1"/>
  <c r="G199" i="16"/>
  <c r="H199" i="16"/>
  <c r="J199" i="16" s="1"/>
  <c r="K199" i="16"/>
  <c r="M199" i="16"/>
  <c r="O199" i="16" s="1"/>
  <c r="G200" i="16"/>
  <c r="H200" i="16"/>
  <c r="J200" i="16" s="1"/>
  <c r="K200" i="16"/>
  <c r="M200" i="16"/>
  <c r="O200" i="16" s="1"/>
  <c r="G201" i="16"/>
  <c r="H201" i="16"/>
  <c r="J201" i="16" s="1"/>
  <c r="K201" i="16"/>
  <c r="M201" i="16"/>
  <c r="O201" i="16" s="1"/>
  <c r="G202" i="16"/>
  <c r="H202" i="16"/>
  <c r="J202" i="16" s="1"/>
  <c r="K202" i="16"/>
  <c r="N202" i="16"/>
  <c r="M202" i="16" s="1"/>
  <c r="O202" i="16" s="1"/>
  <c r="G203" i="16"/>
  <c r="H203" i="16"/>
  <c r="J203" i="16" s="1"/>
  <c r="K203" i="16"/>
  <c r="N203" i="16"/>
  <c r="M203" i="16" s="1"/>
  <c r="O203" i="16" s="1"/>
  <c r="G204" i="16"/>
  <c r="H204" i="16"/>
  <c r="J204" i="16" s="1"/>
  <c r="K204" i="16"/>
  <c r="N204" i="16"/>
  <c r="M204" i="16" s="1"/>
  <c r="O204" i="16" s="1"/>
  <c r="G205" i="16"/>
  <c r="H205" i="16"/>
  <c r="J205" i="16" s="1"/>
  <c r="K205" i="16"/>
  <c r="N205" i="16"/>
  <c r="M205" i="16" s="1"/>
  <c r="O205" i="16" s="1"/>
  <c r="G206" i="16"/>
  <c r="H206" i="16"/>
  <c r="J206" i="16" s="1"/>
  <c r="K206" i="16"/>
  <c r="N206" i="16"/>
  <c r="M206" i="16" s="1"/>
  <c r="O206" i="16" s="1"/>
  <c r="G223" i="16"/>
  <c r="H223" i="16"/>
  <c r="J223" i="16" s="1"/>
  <c r="K223" i="16"/>
  <c r="M223" i="16"/>
  <c r="O223" i="16" s="1"/>
  <c r="G222" i="16"/>
  <c r="H222" i="16"/>
  <c r="J222" i="16" s="1"/>
  <c r="K222" i="16"/>
  <c r="M222" i="16"/>
  <c r="O222" i="16" s="1"/>
  <c r="G224" i="16"/>
  <c r="H224" i="16"/>
  <c r="J224" i="16" s="1"/>
  <c r="K224" i="16"/>
  <c r="M224" i="16"/>
  <c r="O224" i="16" s="1"/>
  <c r="G225" i="16"/>
  <c r="H225" i="16"/>
  <c r="J225" i="16" s="1"/>
  <c r="K225" i="16"/>
  <c r="M225" i="16"/>
  <c r="O225" i="16" s="1"/>
  <c r="G207" i="16"/>
  <c r="H207" i="16"/>
  <c r="J207" i="16" s="1"/>
  <c r="K207" i="16"/>
  <c r="M207" i="16"/>
  <c r="O207" i="16" s="1"/>
  <c r="G208" i="16"/>
  <c r="H208" i="16"/>
  <c r="J208" i="16" s="1"/>
  <c r="K208" i="16"/>
  <c r="M208" i="16"/>
  <c r="O208" i="16" s="1"/>
  <c r="G209" i="16"/>
  <c r="H209" i="16"/>
  <c r="J209" i="16" s="1"/>
  <c r="K209" i="16"/>
  <c r="M209" i="16"/>
  <c r="O209" i="16" s="1"/>
  <c r="G210" i="16"/>
  <c r="H210" i="16"/>
  <c r="J210" i="16" s="1"/>
  <c r="K210" i="16"/>
  <c r="M210" i="16"/>
  <c r="O210" i="16" s="1"/>
  <c r="G211" i="16"/>
  <c r="H211" i="16"/>
  <c r="J211" i="16" s="1"/>
  <c r="K211" i="16"/>
  <c r="M211" i="16"/>
  <c r="O211" i="16" s="1"/>
  <c r="G212" i="16"/>
  <c r="H212" i="16"/>
  <c r="J212" i="16" s="1"/>
  <c r="K212" i="16"/>
  <c r="M212" i="16"/>
  <c r="O212" i="16" s="1"/>
  <c r="G213" i="16"/>
  <c r="H213" i="16"/>
  <c r="J213" i="16" s="1"/>
  <c r="K213" i="16"/>
  <c r="M213" i="16"/>
  <c r="O213" i="16" s="1"/>
  <c r="G214" i="16"/>
  <c r="H214" i="16"/>
  <c r="J214" i="16" s="1"/>
  <c r="K214" i="16"/>
  <c r="M214" i="16"/>
  <c r="O214" i="16" s="1"/>
  <c r="G215" i="16"/>
  <c r="H215" i="16"/>
  <c r="J215" i="16" s="1"/>
  <c r="K215" i="16"/>
  <c r="M215" i="16"/>
  <c r="O215" i="16" s="1"/>
  <c r="G216" i="16"/>
  <c r="H216" i="16"/>
  <c r="J216" i="16" s="1"/>
  <c r="K216" i="16"/>
  <c r="M216" i="16"/>
  <c r="O216" i="16" s="1"/>
  <c r="G217" i="16"/>
  <c r="H217" i="16"/>
  <c r="J217" i="16" s="1"/>
  <c r="K217" i="16"/>
  <c r="M217" i="16"/>
  <c r="O217" i="16" s="1"/>
  <c r="G218" i="16"/>
  <c r="H218" i="16"/>
  <c r="J218" i="16" s="1"/>
  <c r="K218" i="16"/>
  <c r="M218" i="16"/>
  <c r="O218" i="16" s="1"/>
  <c r="G219" i="16"/>
  <c r="H219" i="16"/>
  <c r="J219" i="16" s="1"/>
  <c r="K219" i="16"/>
  <c r="M219" i="16"/>
  <c r="O219" i="16" s="1"/>
  <c r="G220" i="16"/>
  <c r="H220" i="16"/>
  <c r="J220" i="16" s="1"/>
  <c r="K220" i="16"/>
  <c r="M220" i="16"/>
  <c r="O220" i="16" s="1"/>
  <c r="G221" i="16"/>
  <c r="H221" i="16"/>
  <c r="J221" i="16" s="1"/>
  <c r="K221" i="16"/>
  <c r="M221" i="16"/>
  <c r="O221" i="16" s="1"/>
  <c r="M1006" i="16"/>
  <c r="O1006" i="16" s="1"/>
  <c r="K1006" i="16"/>
  <c r="H1006" i="16"/>
  <c r="J1006" i="16" s="1"/>
  <c r="G1006" i="16"/>
  <c r="M1005" i="16"/>
  <c r="O1005" i="16" s="1"/>
  <c r="K1005" i="16"/>
  <c r="H1005" i="16"/>
  <c r="J1005" i="16" s="1"/>
  <c r="G1005" i="16"/>
  <c r="M992" i="16"/>
  <c r="O992" i="16" s="1"/>
  <c r="K992" i="16"/>
  <c r="H992" i="16"/>
  <c r="J992" i="16" s="1"/>
  <c r="G992" i="16"/>
  <c r="M990" i="16"/>
  <c r="O990" i="16" s="1"/>
  <c r="K990" i="16"/>
  <c r="H990" i="16"/>
  <c r="J990" i="16" s="1"/>
  <c r="G990" i="16"/>
  <c r="M989" i="16"/>
  <c r="O989" i="16" s="1"/>
  <c r="K989" i="16"/>
  <c r="H989" i="16"/>
  <c r="J989" i="16" s="1"/>
  <c r="G989" i="16"/>
  <c r="M988" i="16"/>
  <c r="O988" i="16" s="1"/>
  <c r="K988" i="16"/>
  <c r="H988" i="16"/>
  <c r="J988" i="16" s="1"/>
  <c r="G988" i="16"/>
  <c r="M1001" i="16"/>
  <c r="O1001" i="16" s="1"/>
  <c r="K1001" i="16"/>
  <c r="H1001" i="16"/>
  <c r="J1001" i="16" s="1"/>
  <c r="G1001" i="16"/>
  <c r="M987" i="16"/>
  <c r="O987" i="16" s="1"/>
  <c r="K987" i="16"/>
  <c r="H987" i="16"/>
  <c r="J987" i="16" s="1"/>
  <c r="G987" i="16"/>
  <c r="M1000" i="16"/>
  <c r="O1000" i="16" s="1"/>
  <c r="K1000" i="16"/>
  <c r="H1000" i="16"/>
  <c r="J1000" i="16" s="1"/>
  <c r="G1000" i="16"/>
  <c r="M999" i="16"/>
  <c r="O999" i="16" s="1"/>
  <c r="K999" i="16"/>
  <c r="H999" i="16"/>
  <c r="J999" i="16" s="1"/>
  <c r="G999" i="16"/>
  <c r="M998" i="16"/>
  <c r="O998" i="16" s="1"/>
  <c r="K998" i="16"/>
  <c r="H998" i="16"/>
  <c r="J998" i="16" s="1"/>
  <c r="G998" i="16"/>
  <c r="M993" i="16"/>
  <c r="O993" i="16" s="1"/>
  <c r="K993" i="16"/>
  <c r="H993" i="16"/>
  <c r="J993" i="16" s="1"/>
  <c r="G993" i="16"/>
  <c r="M997" i="16"/>
  <c r="O997" i="16" s="1"/>
  <c r="K997" i="16"/>
  <c r="H997" i="16"/>
  <c r="J997" i="16" s="1"/>
  <c r="G997" i="16"/>
  <c r="M996" i="16"/>
  <c r="O996" i="16" s="1"/>
  <c r="K996" i="16"/>
  <c r="H996" i="16"/>
  <c r="J996" i="16" s="1"/>
  <c r="G996" i="16"/>
  <c r="M1002" i="16"/>
  <c r="O1002" i="16" s="1"/>
  <c r="K1002" i="16"/>
  <c r="H1002" i="16"/>
  <c r="J1002" i="16" s="1"/>
  <c r="G1002" i="16"/>
  <c r="M1004" i="16"/>
  <c r="O1004" i="16" s="1"/>
  <c r="K1004" i="16"/>
  <c r="H1004" i="16"/>
  <c r="J1004" i="16" s="1"/>
  <c r="G1004" i="16"/>
  <c r="M1003" i="16"/>
  <c r="O1003" i="16" s="1"/>
  <c r="K1003" i="16"/>
  <c r="H1003" i="16"/>
  <c r="J1003" i="16" s="1"/>
  <c r="G1003" i="16"/>
  <c r="M994" i="16"/>
  <c r="O994" i="16" s="1"/>
  <c r="K994" i="16"/>
  <c r="H994" i="16"/>
  <c r="J994" i="16" s="1"/>
  <c r="G994" i="16"/>
  <c r="M995" i="16"/>
  <c r="O995" i="16" s="1"/>
  <c r="K995" i="16"/>
  <c r="H995" i="16"/>
  <c r="J995" i="16" s="1"/>
  <c r="G995" i="16"/>
  <c r="M986" i="16"/>
  <c r="O986" i="16" s="1"/>
  <c r="K986" i="16"/>
  <c r="H986" i="16"/>
  <c r="J986" i="16" s="1"/>
  <c r="G986" i="16"/>
  <c r="M985" i="16"/>
  <c r="O985" i="16" s="1"/>
  <c r="K985" i="16"/>
  <c r="H985" i="16"/>
  <c r="J985" i="16" s="1"/>
  <c r="G985" i="16"/>
  <c r="M984" i="16"/>
  <c r="O984" i="16" s="1"/>
  <c r="K984" i="16"/>
  <c r="H984" i="16"/>
  <c r="J984" i="16" s="1"/>
  <c r="G984" i="16"/>
  <c r="M983" i="16"/>
  <c r="O983" i="16" s="1"/>
  <c r="K983" i="16"/>
  <c r="H983" i="16"/>
  <c r="J983" i="16" s="1"/>
  <c r="G983" i="16"/>
  <c r="M982" i="16"/>
  <c r="O982" i="16" s="1"/>
  <c r="K982" i="16"/>
  <c r="H982" i="16"/>
  <c r="J982" i="16" s="1"/>
  <c r="G982" i="16"/>
  <c r="M981" i="16"/>
  <c r="O981" i="16" s="1"/>
  <c r="K981" i="16"/>
  <c r="H981" i="16"/>
  <c r="J981" i="16" s="1"/>
  <c r="G981" i="16"/>
  <c r="M980" i="16"/>
  <c r="O980" i="16" s="1"/>
  <c r="K980" i="16"/>
  <c r="H980" i="16"/>
  <c r="J980" i="16" s="1"/>
  <c r="G980" i="16"/>
  <c r="M979" i="16"/>
  <c r="O979" i="16" s="1"/>
  <c r="K979" i="16"/>
  <c r="H979" i="16"/>
  <c r="J979" i="16" s="1"/>
  <c r="G979" i="16"/>
  <c r="M978" i="16"/>
  <c r="O978" i="16" s="1"/>
  <c r="K978" i="16"/>
  <c r="H978" i="16"/>
  <c r="J978" i="16" s="1"/>
  <c r="G978" i="16"/>
  <c r="M977" i="16"/>
  <c r="O977" i="16" s="1"/>
  <c r="K977" i="16"/>
  <c r="H977" i="16"/>
  <c r="J977" i="16" s="1"/>
  <c r="G977" i="16"/>
  <c r="M976" i="16"/>
  <c r="O976" i="16" s="1"/>
  <c r="K976" i="16"/>
  <c r="H976" i="16"/>
  <c r="J976" i="16" s="1"/>
  <c r="G976" i="16"/>
  <c r="M975" i="16"/>
  <c r="O975" i="16" s="1"/>
  <c r="K975" i="16"/>
  <c r="H975" i="16"/>
  <c r="J975" i="16" s="1"/>
  <c r="G975" i="16"/>
  <c r="M974" i="16"/>
  <c r="O974" i="16" s="1"/>
  <c r="K974" i="16"/>
  <c r="H974" i="16"/>
  <c r="J974" i="16" s="1"/>
  <c r="G974" i="16"/>
  <c r="M973" i="16"/>
  <c r="O973" i="16" s="1"/>
  <c r="K973" i="16"/>
  <c r="H973" i="16"/>
  <c r="J973" i="16" s="1"/>
  <c r="G973" i="16"/>
  <c r="M972" i="16"/>
  <c r="O972" i="16" s="1"/>
  <c r="K972" i="16"/>
  <c r="H972" i="16"/>
  <c r="J972" i="16" s="1"/>
  <c r="G972" i="16"/>
  <c r="M971" i="16"/>
  <c r="O971" i="16" s="1"/>
  <c r="K971" i="16"/>
  <c r="H971" i="16"/>
  <c r="J971" i="16" s="1"/>
  <c r="G971" i="16"/>
  <c r="M970" i="16"/>
  <c r="O970" i="16" s="1"/>
  <c r="K970" i="16"/>
  <c r="H970" i="16"/>
  <c r="J970" i="16" s="1"/>
  <c r="G970" i="16"/>
  <c r="M969" i="16"/>
  <c r="O969" i="16" s="1"/>
  <c r="K969" i="16"/>
  <c r="H969" i="16"/>
  <c r="J969" i="16" s="1"/>
  <c r="G969" i="16"/>
  <c r="M968" i="16"/>
  <c r="O968" i="16" s="1"/>
  <c r="K968" i="16"/>
  <c r="H968" i="16"/>
  <c r="J968" i="16" s="1"/>
  <c r="G968" i="16"/>
  <c r="M967" i="16"/>
  <c r="O967" i="16" s="1"/>
  <c r="K967" i="16"/>
  <c r="H967" i="16"/>
  <c r="J967" i="16" s="1"/>
  <c r="G967" i="16"/>
  <c r="M966" i="16"/>
  <c r="O966" i="16" s="1"/>
  <c r="K966" i="16"/>
  <c r="H966" i="16"/>
  <c r="J966" i="16" s="1"/>
  <c r="G966" i="16"/>
  <c r="M965" i="16"/>
  <c r="O965" i="16" s="1"/>
  <c r="K965" i="16"/>
  <c r="H965" i="16"/>
  <c r="J965" i="16" s="1"/>
  <c r="G965" i="16"/>
  <c r="M964" i="16"/>
  <c r="O964" i="16" s="1"/>
  <c r="K964" i="16"/>
  <c r="H964" i="16"/>
  <c r="J964" i="16" s="1"/>
  <c r="G964" i="16"/>
  <c r="M963" i="16"/>
  <c r="O963" i="16" s="1"/>
  <c r="K963" i="16"/>
  <c r="H963" i="16"/>
  <c r="J963" i="16" s="1"/>
  <c r="G963" i="16"/>
  <c r="M962" i="16"/>
  <c r="O962" i="16" s="1"/>
  <c r="K962" i="16"/>
  <c r="H962" i="16"/>
  <c r="J962" i="16" s="1"/>
  <c r="G962" i="16"/>
  <c r="M961" i="16"/>
  <c r="O961" i="16" s="1"/>
  <c r="K961" i="16"/>
  <c r="H961" i="16"/>
  <c r="J961" i="16" s="1"/>
  <c r="G961" i="16"/>
  <c r="M960" i="16"/>
  <c r="O960" i="16" s="1"/>
  <c r="K960" i="16"/>
  <c r="H960" i="16"/>
  <c r="J960" i="16" s="1"/>
  <c r="G960" i="16"/>
  <c r="M959" i="16"/>
  <c r="O959" i="16" s="1"/>
  <c r="K959" i="16"/>
  <c r="H959" i="16"/>
  <c r="J959" i="16" s="1"/>
  <c r="G959" i="16"/>
  <c r="M958" i="16"/>
  <c r="O958" i="16" s="1"/>
  <c r="K958" i="16"/>
  <c r="H958" i="16"/>
  <c r="J958" i="16" s="1"/>
  <c r="G958" i="16"/>
  <c r="M957" i="16"/>
  <c r="O957" i="16" s="1"/>
  <c r="K957" i="16"/>
  <c r="H957" i="16"/>
  <c r="J957" i="16" s="1"/>
  <c r="G957" i="16"/>
  <c r="M956" i="16"/>
  <c r="O956" i="16" s="1"/>
  <c r="K956" i="16"/>
  <c r="H956" i="16"/>
  <c r="J956" i="16" s="1"/>
  <c r="G956" i="16"/>
  <c r="M955" i="16"/>
  <c r="O955" i="16" s="1"/>
  <c r="K955" i="16"/>
  <c r="H955" i="16"/>
  <c r="J955" i="16" s="1"/>
  <c r="G955" i="16"/>
  <c r="M954" i="16"/>
  <c r="O954" i="16" s="1"/>
  <c r="K954" i="16"/>
  <c r="H954" i="16"/>
  <c r="J954" i="16" s="1"/>
  <c r="G954" i="16"/>
  <c r="M953" i="16"/>
  <c r="O953" i="16" s="1"/>
  <c r="K953" i="16"/>
  <c r="H953" i="16"/>
  <c r="J953" i="16" s="1"/>
  <c r="G953" i="16"/>
  <c r="M952" i="16"/>
  <c r="O952" i="16" s="1"/>
  <c r="K952" i="16"/>
  <c r="H952" i="16"/>
  <c r="J952" i="16" s="1"/>
  <c r="G952" i="16"/>
  <c r="M951" i="16"/>
  <c r="O951" i="16" s="1"/>
  <c r="K951" i="16"/>
  <c r="H951" i="16"/>
  <c r="J951" i="16" s="1"/>
  <c r="G951" i="16"/>
  <c r="M950" i="16"/>
  <c r="O950" i="16" s="1"/>
  <c r="K950" i="16"/>
  <c r="H950" i="16"/>
  <c r="J950" i="16" s="1"/>
  <c r="G950" i="16"/>
  <c r="M947" i="16"/>
  <c r="O947" i="16" s="1"/>
  <c r="K947" i="16"/>
  <c r="H947" i="16"/>
  <c r="J947" i="16" s="1"/>
  <c r="G947" i="16"/>
  <c r="M948" i="16"/>
  <c r="O948" i="16" s="1"/>
  <c r="K948" i="16"/>
  <c r="H948" i="16"/>
  <c r="J948" i="16" s="1"/>
  <c r="G948" i="16"/>
  <c r="M949" i="16"/>
  <c r="O949" i="16" s="1"/>
  <c r="K949" i="16"/>
  <c r="H949" i="16"/>
  <c r="J949" i="16" s="1"/>
  <c r="G949" i="16"/>
  <c r="XFB948" i="16"/>
  <c r="XFA948" i="16" s="1"/>
  <c r="XFC948" i="16" s="1"/>
  <c r="XEY948" i="16"/>
  <c r="XEV948" i="16"/>
  <c r="XEX948" i="16" s="1"/>
  <c r="XEU948" i="16"/>
  <c r="XEL948" i="16"/>
  <c r="XEK948" i="16" s="1"/>
  <c r="XEM948" i="16" s="1"/>
  <c r="XEI948" i="16"/>
  <c r="XEF948" i="16"/>
  <c r="XEH948" i="16" s="1"/>
  <c r="XEE948" i="16"/>
  <c r="XDV948" i="16"/>
  <c r="XDU948" i="16" s="1"/>
  <c r="XDW948" i="16" s="1"/>
  <c r="XDS948" i="16"/>
  <c r="XDP948" i="16"/>
  <c r="XDR948" i="16" s="1"/>
  <c r="XDO948" i="16"/>
  <c r="XDF948" i="16"/>
  <c r="XDE948" i="16" s="1"/>
  <c r="XDG948" i="16" s="1"/>
  <c r="XDC948" i="16"/>
  <c r="XCZ948" i="16"/>
  <c r="XDB948" i="16" s="1"/>
  <c r="XCY948" i="16"/>
  <c r="XCP948" i="16"/>
  <c r="XCO948" i="16" s="1"/>
  <c r="XCQ948" i="16" s="1"/>
  <c r="XCM948" i="16"/>
  <c r="XCJ948" i="16"/>
  <c r="XCL948" i="16" s="1"/>
  <c r="XCI948" i="16"/>
  <c r="XBZ948" i="16"/>
  <c r="XBY948" i="16" s="1"/>
  <c r="XCA948" i="16" s="1"/>
  <c r="XBW948" i="16"/>
  <c r="XBT948" i="16"/>
  <c r="XBV948" i="16" s="1"/>
  <c r="XBS948" i="16"/>
  <c r="XBJ948" i="16"/>
  <c r="XBI948" i="16" s="1"/>
  <c r="XBK948" i="16" s="1"/>
  <c r="XBG948" i="16"/>
  <c r="XBD948" i="16"/>
  <c r="XBF948" i="16" s="1"/>
  <c r="XBC948" i="16"/>
  <c r="XAT948" i="16"/>
  <c r="XAS948" i="16" s="1"/>
  <c r="XAU948" i="16" s="1"/>
  <c r="XAQ948" i="16"/>
  <c r="XAN948" i="16"/>
  <c r="XAP948" i="16" s="1"/>
  <c r="XAM948" i="16"/>
  <c r="XAD948" i="16"/>
  <c r="XAC948" i="16" s="1"/>
  <c r="XAE948" i="16" s="1"/>
  <c r="XAA948" i="16"/>
  <c r="WZX948" i="16"/>
  <c r="WZZ948" i="16" s="1"/>
  <c r="WZW948" i="16"/>
  <c r="WZN948" i="16"/>
  <c r="WZM948" i="16" s="1"/>
  <c r="WZO948" i="16" s="1"/>
  <c r="WZK948" i="16"/>
  <c r="WZH948" i="16"/>
  <c r="WZJ948" i="16" s="1"/>
  <c r="WZG948" i="16"/>
  <c r="WYX948" i="16"/>
  <c r="WYW948" i="16" s="1"/>
  <c r="WYY948" i="16" s="1"/>
  <c r="WYU948" i="16"/>
  <c r="WYR948" i="16"/>
  <c r="WYT948" i="16" s="1"/>
  <c r="WYQ948" i="16"/>
  <c r="WYH948" i="16"/>
  <c r="WYG948" i="16" s="1"/>
  <c r="WYI948" i="16" s="1"/>
  <c r="WYE948" i="16"/>
  <c r="WYB948" i="16"/>
  <c r="WYD948" i="16" s="1"/>
  <c r="WYA948" i="16"/>
  <c r="WXR948" i="16"/>
  <c r="WXQ948" i="16" s="1"/>
  <c r="WXS948" i="16" s="1"/>
  <c r="WXO948" i="16"/>
  <c r="WXL948" i="16"/>
  <c r="WXN948" i="16" s="1"/>
  <c r="WXK948" i="16"/>
  <c r="WXB948" i="16"/>
  <c r="WXA948" i="16" s="1"/>
  <c r="WXC948" i="16" s="1"/>
  <c r="WWY948" i="16"/>
  <c r="WWV948" i="16"/>
  <c r="WWX948" i="16" s="1"/>
  <c r="WWU948" i="16"/>
  <c r="WWL948" i="16"/>
  <c r="WWK948" i="16" s="1"/>
  <c r="WWM948" i="16" s="1"/>
  <c r="WWI948" i="16"/>
  <c r="WWF948" i="16"/>
  <c r="WWH948" i="16" s="1"/>
  <c r="WWE948" i="16"/>
  <c r="WVV948" i="16"/>
  <c r="WVU948" i="16" s="1"/>
  <c r="WVW948" i="16" s="1"/>
  <c r="WVS948" i="16"/>
  <c r="WVP948" i="16"/>
  <c r="WVR948" i="16" s="1"/>
  <c r="WVO948" i="16"/>
  <c r="WVF948" i="16"/>
  <c r="WVE948" i="16" s="1"/>
  <c r="WVG948" i="16" s="1"/>
  <c r="WVC948" i="16"/>
  <c r="WUZ948" i="16"/>
  <c r="WVB948" i="16" s="1"/>
  <c r="WUY948" i="16"/>
  <c r="WUP948" i="16"/>
  <c r="WUO948" i="16" s="1"/>
  <c r="WUQ948" i="16" s="1"/>
  <c r="WUM948" i="16"/>
  <c r="WUJ948" i="16"/>
  <c r="WUL948" i="16" s="1"/>
  <c r="WUI948" i="16"/>
  <c r="WTZ948" i="16"/>
  <c r="WTY948" i="16" s="1"/>
  <c r="WUA948" i="16" s="1"/>
  <c r="WTW948" i="16"/>
  <c r="WTT948" i="16"/>
  <c r="WTV948" i="16" s="1"/>
  <c r="WTS948" i="16"/>
  <c r="WTJ948" i="16"/>
  <c r="WTI948" i="16" s="1"/>
  <c r="WTK948" i="16" s="1"/>
  <c r="WTG948" i="16"/>
  <c r="WTD948" i="16"/>
  <c r="WTF948" i="16" s="1"/>
  <c r="WTC948" i="16"/>
  <c r="WST948" i="16"/>
  <c r="WSS948" i="16" s="1"/>
  <c r="WSU948" i="16" s="1"/>
  <c r="WSQ948" i="16"/>
  <c r="WSN948" i="16"/>
  <c r="WSP948" i="16" s="1"/>
  <c r="WSM948" i="16"/>
  <c r="WSD948" i="16"/>
  <c r="WSC948" i="16" s="1"/>
  <c r="WSE948" i="16" s="1"/>
  <c r="WSA948" i="16"/>
  <c r="WRX948" i="16"/>
  <c r="WRZ948" i="16" s="1"/>
  <c r="WRW948" i="16"/>
  <c r="WRN948" i="16"/>
  <c r="WRM948" i="16" s="1"/>
  <c r="WRO948" i="16" s="1"/>
  <c r="WRK948" i="16"/>
  <c r="WRH948" i="16"/>
  <c r="WRJ948" i="16" s="1"/>
  <c r="WRG948" i="16"/>
  <c r="WQX948" i="16"/>
  <c r="WQW948" i="16" s="1"/>
  <c r="WQY948" i="16" s="1"/>
  <c r="WQU948" i="16"/>
  <c r="WQR948" i="16"/>
  <c r="WQT948" i="16" s="1"/>
  <c r="WQQ948" i="16"/>
  <c r="WQH948" i="16"/>
  <c r="WQG948" i="16" s="1"/>
  <c r="WQI948" i="16" s="1"/>
  <c r="WQE948" i="16"/>
  <c r="WQB948" i="16"/>
  <c r="WQD948" i="16" s="1"/>
  <c r="WQA948" i="16"/>
  <c r="WPR948" i="16"/>
  <c r="WPQ948" i="16" s="1"/>
  <c r="WPS948" i="16" s="1"/>
  <c r="WPO948" i="16"/>
  <c r="WPL948" i="16"/>
  <c r="WPN948" i="16" s="1"/>
  <c r="WPK948" i="16"/>
  <c r="WPB948" i="16"/>
  <c r="WPA948" i="16" s="1"/>
  <c r="WPC948" i="16" s="1"/>
  <c r="WOY948" i="16"/>
  <c r="WOV948" i="16"/>
  <c r="WOX948" i="16" s="1"/>
  <c r="WOU948" i="16"/>
  <c r="WOL948" i="16"/>
  <c r="WOK948" i="16" s="1"/>
  <c r="WOM948" i="16" s="1"/>
  <c r="WOI948" i="16"/>
  <c r="WOF948" i="16"/>
  <c r="WOH948" i="16" s="1"/>
  <c r="WOE948" i="16"/>
  <c r="WNV948" i="16"/>
  <c r="WNU948" i="16" s="1"/>
  <c r="WNW948" i="16" s="1"/>
  <c r="WNS948" i="16"/>
  <c r="WNP948" i="16"/>
  <c r="WNR948" i="16" s="1"/>
  <c r="WNO948" i="16"/>
  <c r="WNF948" i="16"/>
  <c r="WNE948" i="16" s="1"/>
  <c r="WNG948" i="16" s="1"/>
  <c r="WNC948" i="16"/>
  <c r="WMZ948" i="16"/>
  <c r="WNB948" i="16" s="1"/>
  <c r="WMY948" i="16"/>
  <c r="WMP948" i="16"/>
  <c r="WMO948" i="16" s="1"/>
  <c r="WMQ948" i="16" s="1"/>
  <c r="WMM948" i="16"/>
  <c r="WMJ948" i="16"/>
  <c r="WML948" i="16" s="1"/>
  <c r="WMI948" i="16"/>
  <c r="WLZ948" i="16"/>
  <c r="WLY948" i="16" s="1"/>
  <c r="WMA948" i="16" s="1"/>
  <c r="WLW948" i="16"/>
  <c r="WLT948" i="16"/>
  <c r="WLV948" i="16" s="1"/>
  <c r="WLS948" i="16"/>
  <c r="WLJ948" i="16"/>
  <c r="WLI948" i="16" s="1"/>
  <c r="WLK948" i="16" s="1"/>
  <c r="WLG948" i="16"/>
  <c r="WLD948" i="16"/>
  <c r="WLF948" i="16" s="1"/>
  <c r="WLC948" i="16"/>
  <c r="WKT948" i="16"/>
  <c r="WKS948" i="16" s="1"/>
  <c r="WKU948" i="16" s="1"/>
  <c r="WKQ948" i="16"/>
  <c r="WKN948" i="16"/>
  <c r="WKP948" i="16" s="1"/>
  <c r="WKM948" i="16"/>
  <c r="WKD948" i="16"/>
  <c r="WKC948" i="16" s="1"/>
  <c r="WKE948" i="16" s="1"/>
  <c r="WKA948" i="16"/>
  <c r="WJX948" i="16"/>
  <c r="WJZ948" i="16" s="1"/>
  <c r="WJW948" i="16"/>
  <c r="WJN948" i="16"/>
  <c r="WJM948" i="16" s="1"/>
  <c r="WJO948" i="16" s="1"/>
  <c r="WJK948" i="16"/>
  <c r="WJH948" i="16"/>
  <c r="WJJ948" i="16" s="1"/>
  <c r="WJG948" i="16"/>
  <c r="WIX948" i="16"/>
  <c r="WIW948" i="16" s="1"/>
  <c r="WIY948" i="16" s="1"/>
  <c r="WIU948" i="16"/>
  <c r="WIR948" i="16"/>
  <c r="WIT948" i="16" s="1"/>
  <c r="WIQ948" i="16"/>
  <c r="WIH948" i="16"/>
  <c r="WIG948" i="16" s="1"/>
  <c r="WII948" i="16" s="1"/>
  <c r="WIE948" i="16"/>
  <c r="WIB948" i="16"/>
  <c r="WID948" i="16" s="1"/>
  <c r="WIA948" i="16"/>
  <c r="WHR948" i="16"/>
  <c r="WHQ948" i="16" s="1"/>
  <c r="WHS948" i="16" s="1"/>
  <c r="WHO948" i="16"/>
  <c r="WHL948" i="16"/>
  <c r="WHN948" i="16" s="1"/>
  <c r="WHK948" i="16"/>
  <c r="WHB948" i="16"/>
  <c r="WHA948" i="16" s="1"/>
  <c r="WHC948" i="16" s="1"/>
  <c r="WGY948" i="16"/>
  <c r="WGV948" i="16"/>
  <c r="WGX948" i="16" s="1"/>
  <c r="WGU948" i="16"/>
  <c r="WGL948" i="16"/>
  <c r="WGK948" i="16" s="1"/>
  <c r="WGM948" i="16" s="1"/>
  <c r="WGI948" i="16"/>
  <c r="WGF948" i="16"/>
  <c r="WGH948" i="16" s="1"/>
  <c r="WGE948" i="16"/>
  <c r="WFV948" i="16"/>
  <c r="WFU948" i="16" s="1"/>
  <c r="WFW948" i="16" s="1"/>
  <c r="WFS948" i="16"/>
  <c r="WFP948" i="16"/>
  <c r="WFR948" i="16" s="1"/>
  <c r="WFO948" i="16"/>
  <c r="WFF948" i="16"/>
  <c r="WFE948" i="16" s="1"/>
  <c r="WFG948" i="16" s="1"/>
  <c r="WFC948" i="16"/>
  <c r="WEZ948" i="16"/>
  <c r="WFB948" i="16" s="1"/>
  <c r="WEY948" i="16"/>
  <c r="WEP948" i="16"/>
  <c r="WEO948" i="16" s="1"/>
  <c r="WEQ948" i="16" s="1"/>
  <c r="WEM948" i="16"/>
  <c r="WEJ948" i="16"/>
  <c r="WEL948" i="16" s="1"/>
  <c r="WEI948" i="16"/>
  <c r="WDZ948" i="16"/>
  <c r="WDY948" i="16" s="1"/>
  <c r="WEA948" i="16" s="1"/>
  <c r="WDW948" i="16"/>
  <c r="WDT948" i="16"/>
  <c r="WDV948" i="16" s="1"/>
  <c r="WDS948" i="16"/>
  <c r="WDJ948" i="16"/>
  <c r="WDI948" i="16" s="1"/>
  <c r="WDK948" i="16" s="1"/>
  <c r="WDG948" i="16"/>
  <c r="WDD948" i="16"/>
  <c r="WDF948" i="16" s="1"/>
  <c r="WDC948" i="16"/>
  <c r="WCT948" i="16"/>
  <c r="WCS948" i="16" s="1"/>
  <c r="WCU948" i="16" s="1"/>
  <c r="WCQ948" i="16"/>
  <c r="WCN948" i="16"/>
  <c r="WCP948" i="16" s="1"/>
  <c r="WCM948" i="16"/>
  <c r="WCD948" i="16"/>
  <c r="WCC948" i="16" s="1"/>
  <c r="WCE948" i="16" s="1"/>
  <c r="WCA948" i="16"/>
  <c r="WBX948" i="16"/>
  <c r="WBZ948" i="16" s="1"/>
  <c r="WBW948" i="16"/>
  <c r="WBN948" i="16"/>
  <c r="WBM948" i="16" s="1"/>
  <c r="WBO948" i="16" s="1"/>
  <c r="WBK948" i="16"/>
  <c r="WBH948" i="16"/>
  <c r="WBJ948" i="16" s="1"/>
  <c r="WBG948" i="16"/>
  <c r="WAX948" i="16"/>
  <c r="WAW948" i="16" s="1"/>
  <c r="WAY948" i="16" s="1"/>
  <c r="WAU948" i="16"/>
  <c r="WAR948" i="16"/>
  <c r="WAT948" i="16" s="1"/>
  <c r="WAQ948" i="16"/>
  <c r="WAH948" i="16"/>
  <c r="WAG948" i="16" s="1"/>
  <c r="WAI948" i="16" s="1"/>
  <c r="WAE948" i="16"/>
  <c r="WAB948" i="16"/>
  <c r="WAD948" i="16" s="1"/>
  <c r="WAA948" i="16"/>
  <c r="VZR948" i="16"/>
  <c r="VZQ948" i="16" s="1"/>
  <c r="VZS948" i="16" s="1"/>
  <c r="VZO948" i="16"/>
  <c r="VZL948" i="16"/>
  <c r="VZN948" i="16" s="1"/>
  <c r="VZK948" i="16"/>
  <c r="VZB948" i="16"/>
  <c r="VZA948" i="16" s="1"/>
  <c r="VZC948" i="16" s="1"/>
  <c r="VYY948" i="16"/>
  <c r="VYV948" i="16"/>
  <c r="VYX948" i="16" s="1"/>
  <c r="VYU948" i="16"/>
  <c r="VYL948" i="16"/>
  <c r="VYK948" i="16" s="1"/>
  <c r="VYM948" i="16" s="1"/>
  <c r="VYI948" i="16"/>
  <c r="VYF948" i="16"/>
  <c r="VYH948" i="16" s="1"/>
  <c r="VYE948" i="16"/>
  <c r="VXV948" i="16"/>
  <c r="VXU948" i="16" s="1"/>
  <c r="VXW948" i="16" s="1"/>
  <c r="VXS948" i="16"/>
  <c r="VXP948" i="16"/>
  <c r="VXR948" i="16" s="1"/>
  <c r="VXO948" i="16"/>
  <c r="VXF948" i="16"/>
  <c r="VXE948" i="16" s="1"/>
  <c r="VXG948" i="16" s="1"/>
  <c r="VXC948" i="16"/>
  <c r="VWZ948" i="16"/>
  <c r="VXB948" i="16" s="1"/>
  <c r="VWY948" i="16"/>
  <c r="VWP948" i="16"/>
  <c r="VWO948" i="16" s="1"/>
  <c r="VWQ948" i="16" s="1"/>
  <c r="VWM948" i="16"/>
  <c r="VWJ948" i="16"/>
  <c r="VWL948" i="16" s="1"/>
  <c r="VWI948" i="16"/>
  <c r="VVZ948" i="16"/>
  <c r="VVY948" i="16" s="1"/>
  <c r="VWA948" i="16" s="1"/>
  <c r="VVW948" i="16"/>
  <c r="VVT948" i="16"/>
  <c r="VVV948" i="16" s="1"/>
  <c r="VVS948" i="16"/>
  <c r="VVJ948" i="16"/>
  <c r="VVI948" i="16" s="1"/>
  <c r="VVK948" i="16" s="1"/>
  <c r="VVG948" i="16"/>
  <c r="VVD948" i="16"/>
  <c r="VVF948" i="16" s="1"/>
  <c r="VVC948" i="16"/>
  <c r="VUT948" i="16"/>
  <c r="VUS948" i="16" s="1"/>
  <c r="VUU948" i="16" s="1"/>
  <c r="VUQ948" i="16"/>
  <c r="VUN948" i="16"/>
  <c r="VUP948" i="16" s="1"/>
  <c r="VUM948" i="16"/>
  <c r="VUD948" i="16"/>
  <c r="VUC948" i="16" s="1"/>
  <c r="VUE948" i="16" s="1"/>
  <c r="VUA948" i="16"/>
  <c r="VTX948" i="16"/>
  <c r="VTZ948" i="16" s="1"/>
  <c r="VTW948" i="16"/>
  <c r="VTN948" i="16"/>
  <c r="VTM948" i="16" s="1"/>
  <c r="VTO948" i="16" s="1"/>
  <c r="VTK948" i="16"/>
  <c r="VTH948" i="16"/>
  <c r="VTJ948" i="16" s="1"/>
  <c r="VTG948" i="16"/>
  <c r="VSX948" i="16"/>
  <c r="VSW948" i="16" s="1"/>
  <c r="VSY948" i="16" s="1"/>
  <c r="VSU948" i="16"/>
  <c r="VSR948" i="16"/>
  <c r="VST948" i="16" s="1"/>
  <c r="VSQ948" i="16"/>
  <c r="VSH948" i="16"/>
  <c r="VSG948" i="16" s="1"/>
  <c r="VSI948" i="16" s="1"/>
  <c r="VSE948" i="16"/>
  <c r="VSB948" i="16"/>
  <c r="VSD948" i="16" s="1"/>
  <c r="VSA948" i="16"/>
  <c r="VRR948" i="16"/>
  <c r="VRQ948" i="16" s="1"/>
  <c r="VRS948" i="16" s="1"/>
  <c r="VRO948" i="16"/>
  <c r="VRL948" i="16"/>
  <c r="VRN948" i="16" s="1"/>
  <c r="VRK948" i="16"/>
  <c r="VRB948" i="16"/>
  <c r="VRA948" i="16" s="1"/>
  <c r="VRC948" i="16" s="1"/>
  <c r="VQY948" i="16"/>
  <c r="VQV948" i="16"/>
  <c r="VQX948" i="16" s="1"/>
  <c r="VQU948" i="16"/>
  <c r="VQL948" i="16"/>
  <c r="VQK948" i="16" s="1"/>
  <c r="VQM948" i="16" s="1"/>
  <c r="VQI948" i="16"/>
  <c r="VQF948" i="16"/>
  <c r="VQH948" i="16" s="1"/>
  <c r="VQE948" i="16"/>
  <c r="VPV948" i="16"/>
  <c r="VPU948" i="16" s="1"/>
  <c r="VPW948" i="16" s="1"/>
  <c r="VPS948" i="16"/>
  <c r="VPP948" i="16"/>
  <c r="VPR948" i="16" s="1"/>
  <c r="VPO948" i="16"/>
  <c r="VPF948" i="16"/>
  <c r="VPE948" i="16" s="1"/>
  <c r="VPG948" i="16" s="1"/>
  <c r="VPC948" i="16"/>
  <c r="VOZ948" i="16"/>
  <c r="VPB948" i="16" s="1"/>
  <c r="VOY948" i="16"/>
  <c r="VOP948" i="16"/>
  <c r="VOO948" i="16" s="1"/>
  <c r="VOQ948" i="16" s="1"/>
  <c r="VOM948" i="16"/>
  <c r="VOJ948" i="16"/>
  <c r="VOL948" i="16" s="1"/>
  <c r="VOI948" i="16"/>
  <c r="VNZ948" i="16"/>
  <c r="VNY948" i="16" s="1"/>
  <c r="VOA948" i="16" s="1"/>
  <c r="VNW948" i="16"/>
  <c r="VNT948" i="16"/>
  <c r="VNV948" i="16" s="1"/>
  <c r="VNS948" i="16"/>
  <c r="VNJ948" i="16"/>
  <c r="VNI948" i="16" s="1"/>
  <c r="VNK948" i="16" s="1"/>
  <c r="VNG948" i="16"/>
  <c r="VND948" i="16"/>
  <c r="VNF948" i="16" s="1"/>
  <c r="VNC948" i="16"/>
  <c r="VMT948" i="16"/>
  <c r="VMS948" i="16" s="1"/>
  <c r="VMU948" i="16" s="1"/>
  <c r="VMQ948" i="16"/>
  <c r="VMN948" i="16"/>
  <c r="VMP948" i="16" s="1"/>
  <c r="VMM948" i="16"/>
  <c r="VMD948" i="16"/>
  <c r="VMC948" i="16" s="1"/>
  <c r="VME948" i="16" s="1"/>
  <c r="VMA948" i="16"/>
  <c r="VLX948" i="16"/>
  <c r="VLZ948" i="16" s="1"/>
  <c r="VLW948" i="16"/>
  <c r="VLN948" i="16"/>
  <c r="VLM948" i="16" s="1"/>
  <c r="VLO948" i="16" s="1"/>
  <c r="VLK948" i="16"/>
  <c r="VLH948" i="16"/>
  <c r="VLJ948" i="16" s="1"/>
  <c r="VLG948" i="16"/>
  <c r="VKX948" i="16"/>
  <c r="VKW948" i="16" s="1"/>
  <c r="VKY948" i="16" s="1"/>
  <c r="VKU948" i="16"/>
  <c r="VKR948" i="16"/>
  <c r="VKT948" i="16" s="1"/>
  <c r="VKQ948" i="16"/>
  <c r="VKH948" i="16"/>
  <c r="VKG948" i="16" s="1"/>
  <c r="VKI948" i="16" s="1"/>
  <c r="VKE948" i="16"/>
  <c r="VKB948" i="16"/>
  <c r="VKD948" i="16" s="1"/>
  <c r="VKA948" i="16"/>
  <c r="VJR948" i="16"/>
  <c r="VJQ948" i="16" s="1"/>
  <c r="VJS948" i="16" s="1"/>
  <c r="VJO948" i="16"/>
  <c r="VJL948" i="16"/>
  <c r="VJN948" i="16" s="1"/>
  <c r="VJK948" i="16"/>
  <c r="VJB948" i="16"/>
  <c r="VJA948" i="16" s="1"/>
  <c r="VJC948" i="16" s="1"/>
  <c r="VIY948" i="16"/>
  <c r="VIV948" i="16"/>
  <c r="VIX948" i="16" s="1"/>
  <c r="VIU948" i="16"/>
  <c r="VIL948" i="16"/>
  <c r="VIK948" i="16" s="1"/>
  <c r="VIM948" i="16" s="1"/>
  <c r="VII948" i="16"/>
  <c r="VIF948" i="16"/>
  <c r="VIH948" i="16" s="1"/>
  <c r="VIE948" i="16"/>
  <c r="VHV948" i="16"/>
  <c r="VHU948" i="16" s="1"/>
  <c r="VHW948" i="16" s="1"/>
  <c r="VHS948" i="16"/>
  <c r="VHP948" i="16"/>
  <c r="VHR948" i="16" s="1"/>
  <c r="VHO948" i="16"/>
  <c r="VHF948" i="16"/>
  <c r="VHE948" i="16" s="1"/>
  <c r="VHG948" i="16" s="1"/>
  <c r="VHC948" i="16"/>
  <c r="VGZ948" i="16"/>
  <c r="VHB948" i="16" s="1"/>
  <c r="VGY948" i="16"/>
  <c r="VGP948" i="16"/>
  <c r="VGO948" i="16" s="1"/>
  <c r="VGQ948" i="16" s="1"/>
  <c r="VGM948" i="16"/>
  <c r="VGJ948" i="16"/>
  <c r="VGL948" i="16" s="1"/>
  <c r="VGI948" i="16"/>
  <c r="VFZ948" i="16"/>
  <c r="VFY948" i="16" s="1"/>
  <c r="VGA948" i="16" s="1"/>
  <c r="VFW948" i="16"/>
  <c r="VFT948" i="16"/>
  <c r="VFV948" i="16" s="1"/>
  <c r="VFS948" i="16"/>
  <c r="VFJ948" i="16"/>
  <c r="VFI948" i="16" s="1"/>
  <c r="VFK948" i="16" s="1"/>
  <c r="VFG948" i="16"/>
  <c r="VFD948" i="16"/>
  <c r="VFF948" i="16" s="1"/>
  <c r="VFC948" i="16"/>
  <c r="VET948" i="16"/>
  <c r="VES948" i="16" s="1"/>
  <c r="VEU948" i="16" s="1"/>
  <c r="VEQ948" i="16"/>
  <c r="VEN948" i="16"/>
  <c r="VEP948" i="16" s="1"/>
  <c r="VEM948" i="16"/>
  <c r="VED948" i="16"/>
  <c r="VEC948" i="16" s="1"/>
  <c r="VEE948" i="16" s="1"/>
  <c r="VEA948" i="16"/>
  <c r="VDX948" i="16"/>
  <c r="VDZ948" i="16" s="1"/>
  <c r="VDW948" i="16"/>
  <c r="VDN948" i="16"/>
  <c r="VDM948" i="16" s="1"/>
  <c r="VDO948" i="16" s="1"/>
  <c r="VDK948" i="16"/>
  <c r="VDH948" i="16"/>
  <c r="VDJ948" i="16" s="1"/>
  <c r="VDG948" i="16"/>
  <c r="VCX948" i="16"/>
  <c r="VCW948" i="16" s="1"/>
  <c r="VCY948" i="16" s="1"/>
  <c r="VCU948" i="16"/>
  <c r="VCR948" i="16"/>
  <c r="VCT948" i="16" s="1"/>
  <c r="VCQ948" i="16"/>
  <c r="VCH948" i="16"/>
  <c r="VCG948" i="16" s="1"/>
  <c r="VCI948" i="16" s="1"/>
  <c r="VCE948" i="16"/>
  <c r="VCB948" i="16"/>
  <c r="VCD948" i="16" s="1"/>
  <c r="VCA948" i="16"/>
  <c r="VBR948" i="16"/>
  <c r="VBQ948" i="16" s="1"/>
  <c r="VBS948" i="16" s="1"/>
  <c r="VBO948" i="16"/>
  <c r="VBL948" i="16"/>
  <c r="VBN948" i="16" s="1"/>
  <c r="VBK948" i="16"/>
  <c r="VBB948" i="16"/>
  <c r="VBA948" i="16" s="1"/>
  <c r="VBC948" i="16" s="1"/>
  <c r="VAY948" i="16"/>
  <c r="VAV948" i="16"/>
  <c r="VAX948" i="16" s="1"/>
  <c r="VAU948" i="16"/>
  <c r="VAL948" i="16"/>
  <c r="VAK948" i="16" s="1"/>
  <c r="VAM948" i="16" s="1"/>
  <c r="VAI948" i="16"/>
  <c r="VAF948" i="16"/>
  <c r="VAH948" i="16" s="1"/>
  <c r="VAE948" i="16"/>
  <c r="UZV948" i="16"/>
  <c r="UZU948" i="16" s="1"/>
  <c r="UZW948" i="16" s="1"/>
  <c r="UZS948" i="16"/>
  <c r="UZP948" i="16"/>
  <c r="UZR948" i="16" s="1"/>
  <c r="UZO948" i="16"/>
  <c r="UZF948" i="16"/>
  <c r="UZE948" i="16" s="1"/>
  <c r="UZG948" i="16" s="1"/>
  <c r="UZC948" i="16"/>
  <c r="UYZ948" i="16"/>
  <c r="UZB948" i="16" s="1"/>
  <c r="UYY948" i="16"/>
  <c r="UYP948" i="16"/>
  <c r="UYO948" i="16" s="1"/>
  <c r="UYQ948" i="16" s="1"/>
  <c r="UYM948" i="16"/>
  <c r="UYJ948" i="16"/>
  <c r="UYL948" i="16" s="1"/>
  <c r="UYI948" i="16"/>
  <c r="UXZ948" i="16"/>
  <c r="UXY948" i="16" s="1"/>
  <c r="UYA948" i="16" s="1"/>
  <c r="UXW948" i="16"/>
  <c r="UXT948" i="16"/>
  <c r="UXV948" i="16" s="1"/>
  <c r="UXS948" i="16"/>
  <c r="UXJ948" i="16"/>
  <c r="UXI948" i="16" s="1"/>
  <c r="UXK948" i="16" s="1"/>
  <c r="UXG948" i="16"/>
  <c r="UXD948" i="16"/>
  <c r="UXF948" i="16" s="1"/>
  <c r="UXC948" i="16"/>
  <c r="UWT948" i="16"/>
  <c r="UWS948" i="16" s="1"/>
  <c r="UWU948" i="16" s="1"/>
  <c r="UWQ948" i="16"/>
  <c r="UWN948" i="16"/>
  <c r="UWP948" i="16" s="1"/>
  <c r="UWM948" i="16"/>
  <c r="UWD948" i="16"/>
  <c r="UWC948" i="16" s="1"/>
  <c r="UWE948" i="16" s="1"/>
  <c r="UWA948" i="16"/>
  <c r="UVX948" i="16"/>
  <c r="UVZ948" i="16" s="1"/>
  <c r="UVW948" i="16"/>
  <c r="UVN948" i="16"/>
  <c r="UVM948" i="16" s="1"/>
  <c r="UVO948" i="16" s="1"/>
  <c r="UVK948" i="16"/>
  <c r="UVH948" i="16"/>
  <c r="UVJ948" i="16" s="1"/>
  <c r="UVG948" i="16"/>
  <c r="UUX948" i="16"/>
  <c r="UUW948" i="16" s="1"/>
  <c r="UUY948" i="16" s="1"/>
  <c r="UUU948" i="16"/>
  <c r="UUR948" i="16"/>
  <c r="UUT948" i="16" s="1"/>
  <c r="UUQ948" i="16"/>
  <c r="UUH948" i="16"/>
  <c r="UUG948" i="16" s="1"/>
  <c r="UUI948" i="16" s="1"/>
  <c r="UUE948" i="16"/>
  <c r="UUB948" i="16"/>
  <c r="UUD948" i="16" s="1"/>
  <c r="UUA948" i="16"/>
  <c r="UTR948" i="16"/>
  <c r="UTQ948" i="16" s="1"/>
  <c r="UTS948" i="16" s="1"/>
  <c r="UTO948" i="16"/>
  <c r="UTL948" i="16"/>
  <c r="UTN948" i="16" s="1"/>
  <c r="UTK948" i="16"/>
  <c r="UTB948" i="16"/>
  <c r="UTA948" i="16" s="1"/>
  <c r="UTC948" i="16" s="1"/>
  <c r="USY948" i="16"/>
  <c r="USV948" i="16"/>
  <c r="USX948" i="16" s="1"/>
  <c r="USU948" i="16"/>
  <c r="USL948" i="16"/>
  <c r="USK948" i="16" s="1"/>
  <c r="USM948" i="16" s="1"/>
  <c r="USI948" i="16"/>
  <c r="USF948" i="16"/>
  <c r="USH948" i="16" s="1"/>
  <c r="USE948" i="16"/>
  <c r="URV948" i="16"/>
  <c r="URU948" i="16" s="1"/>
  <c r="URW948" i="16" s="1"/>
  <c r="URS948" i="16"/>
  <c r="URP948" i="16"/>
  <c r="URR948" i="16" s="1"/>
  <c r="URO948" i="16"/>
  <c r="URF948" i="16"/>
  <c r="URE948" i="16" s="1"/>
  <c r="URG948" i="16" s="1"/>
  <c r="URC948" i="16"/>
  <c r="UQZ948" i="16"/>
  <c r="URB948" i="16" s="1"/>
  <c r="UQY948" i="16"/>
  <c r="UQP948" i="16"/>
  <c r="UQO948" i="16" s="1"/>
  <c r="UQQ948" i="16" s="1"/>
  <c r="UQM948" i="16"/>
  <c r="UQJ948" i="16"/>
  <c r="UQL948" i="16" s="1"/>
  <c r="UQI948" i="16"/>
  <c r="UPZ948" i="16"/>
  <c r="UPY948" i="16" s="1"/>
  <c r="UQA948" i="16" s="1"/>
  <c r="UPW948" i="16"/>
  <c r="UPT948" i="16"/>
  <c r="UPV948" i="16" s="1"/>
  <c r="UPS948" i="16"/>
  <c r="UPJ948" i="16"/>
  <c r="UPI948" i="16" s="1"/>
  <c r="UPK948" i="16" s="1"/>
  <c r="UPG948" i="16"/>
  <c r="UPD948" i="16"/>
  <c r="UPF948" i="16" s="1"/>
  <c r="UPC948" i="16"/>
  <c r="UOT948" i="16"/>
  <c r="UOS948" i="16" s="1"/>
  <c r="UOU948" i="16" s="1"/>
  <c r="UOQ948" i="16"/>
  <c r="UON948" i="16"/>
  <c r="UOP948" i="16" s="1"/>
  <c r="UOM948" i="16"/>
  <c r="UOD948" i="16"/>
  <c r="UOC948" i="16" s="1"/>
  <c r="UOE948" i="16" s="1"/>
  <c r="UOA948" i="16"/>
  <c r="UNX948" i="16"/>
  <c r="UNZ948" i="16" s="1"/>
  <c r="UNW948" i="16"/>
  <c r="UNN948" i="16"/>
  <c r="UNM948" i="16" s="1"/>
  <c r="UNO948" i="16" s="1"/>
  <c r="UNK948" i="16"/>
  <c r="UNH948" i="16"/>
  <c r="UNJ948" i="16" s="1"/>
  <c r="UNG948" i="16"/>
  <c r="UMX948" i="16"/>
  <c r="UMW948" i="16" s="1"/>
  <c r="UMY948" i="16" s="1"/>
  <c r="UMU948" i="16"/>
  <c r="UMR948" i="16"/>
  <c r="UMT948" i="16" s="1"/>
  <c r="UMQ948" i="16"/>
  <c r="UMH948" i="16"/>
  <c r="UMG948" i="16" s="1"/>
  <c r="UMI948" i="16" s="1"/>
  <c r="UME948" i="16"/>
  <c r="UMB948" i="16"/>
  <c r="UMD948" i="16" s="1"/>
  <c r="UMA948" i="16"/>
  <c r="ULR948" i="16"/>
  <c r="ULQ948" i="16" s="1"/>
  <c r="ULS948" i="16" s="1"/>
  <c r="ULO948" i="16"/>
  <c r="ULL948" i="16"/>
  <c r="ULN948" i="16" s="1"/>
  <c r="ULK948" i="16"/>
  <c r="ULB948" i="16"/>
  <c r="ULA948" i="16" s="1"/>
  <c r="ULC948" i="16" s="1"/>
  <c r="UKY948" i="16"/>
  <c r="UKV948" i="16"/>
  <c r="UKX948" i="16" s="1"/>
  <c r="UKU948" i="16"/>
  <c r="UKL948" i="16"/>
  <c r="UKK948" i="16" s="1"/>
  <c r="UKM948" i="16" s="1"/>
  <c r="UKI948" i="16"/>
  <c r="UKF948" i="16"/>
  <c r="UKH948" i="16" s="1"/>
  <c r="UKE948" i="16"/>
  <c r="UJV948" i="16"/>
  <c r="UJU948" i="16" s="1"/>
  <c r="UJW948" i="16" s="1"/>
  <c r="UJS948" i="16"/>
  <c r="UJP948" i="16"/>
  <c r="UJR948" i="16" s="1"/>
  <c r="UJO948" i="16"/>
  <c r="UJF948" i="16"/>
  <c r="UJE948" i="16" s="1"/>
  <c r="UJG948" i="16" s="1"/>
  <c r="UJC948" i="16"/>
  <c r="UIZ948" i="16"/>
  <c r="UJB948" i="16" s="1"/>
  <c r="UIY948" i="16"/>
  <c r="UIP948" i="16"/>
  <c r="UIO948" i="16" s="1"/>
  <c r="UIQ948" i="16" s="1"/>
  <c r="UIM948" i="16"/>
  <c r="UIJ948" i="16"/>
  <c r="UIL948" i="16" s="1"/>
  <c r="UII948" i="16"/>
  <c r="UHZ948" i="16"/>
  <c r="UHY948" i="16" s="1"/>
  <c r="UIA948" i="16" s="1"/>
  <c r="UHW948" i="16"/>
  <c r="UHT948" i="16"/>
  <c r="UHV948" i="16" s="1"/>
  <c r="UHS948" i="16"/>
  <c r="UHJ948" i="16"/>
  <c r="UHI948" i="16" s="1"/>
  <c r="UHK948" i="16" s="1"/>
  <c r="UHG948" i="16"/>
  <c r="UHD948" i="16"/>
  <c r="UHF948" i="16" s="1"/>
  <c r="UHC948" i="16"/>
  <c r="UGT948" i="16"/>
  <c r="UGS948" i="16" s="1"/>
  <c r="UGU948" i="16" s="1"/>
  <c r="UGQ948" i="16"/>
  <c r="UGN948" i="16"/>
  <c r="UGP948" i="16" s="1"/>
  <c r="UGM948" i="16"/>
  <c r="UGD948" i="16"/>
  <c r="UGC948" i="16" s="1"/>
  <c r="UGE948" i="16" s="1"/>
  <c r="UGA948" i="16"/>
  <c r="UFX948" i="16"/>
  <c r="UFZ948" i="16" s="1"/>
  <c r="UFW948" i="16"/>
  <c r="UFN948" i="16"/>
  <c r="UFM948" i="16" s="1"/>
  <c r="UFO948" i="16" s="1"/>
  <c r="UFK948" i="16"/>
  <c r="UFH948" i="16"/>
  <c r="UFJ948" i="16" s="1"/>
  <c r="UFG948" i="16"/>
  <c r="UEX948" i="16"/>
  <c r="UEW948" i="16" s="1"/>
  <c r="UEY948" i="16" s="1"/>
  <c r="UEU948" i="16"/>
  <c r="UER948" i="16"/>
  <c r="UET948" i="16" s="1"/>
  <c r="UEQ948" i="16"/>
  <c r="UEH948" i="16"/>
  <c r="UEG948" i="16" s="1"/>
  <c r="UEI948" i="16" s="1"/>
  <c r="UEE948" i="16"/>
  <c r="UEB948" i="16"/>
  <c r="UED948" i="16" s="1"/>
  <c r="UEA948" i="16"/>
  <c r="UDR948" i="16"/>
  <c r="UDQ948" i="16" s="1"/>
  <c r="UDS948" i="16" s="1"/>
  <c r="UDO948" i="16"/>
  <c r="UDL948" i="16"/>
  <c r="UDN948" i="16" s="1"/>
  <c r="UDK948" i="16"/>
  <c r="UDB948" i="16"/>
  <c r="UDA948" i="16" s="1"/>
  <c r="UDC948" i="16" s="1"/>
  <c r="UCY948" i="16"/>
  <c r="UCV948" i="16"/>
  <c r="UCX948" i="16" s="1"/>
  <c r="UCU948" i="16"/>
  <c r="UCL948" i="16"/>
  <c r="UCK948" i="16" s="1"/>
  <c r="UCM948" i="16" s="1"/>
  <c r="UCI948" i="16"/>
  <c r="UCF948" i="16"/>
  <c r="UCH948" i="16" s="1"/>
  <c r="UCE948" i="16"/>
  <c r="UBV948" i="16"/>
  <c r="UBU948" i="16" s="1"/>
  <c r="UBW948" i="16" s="1"/>
  <c r="UBS948" i="16"/>
  <c r="UBP948" i="16"/>
  <c r="UBR948" i="16" s="1"/>
  <c r="UBO948" i="16"/>
  <c r="UBF948" i="16"/>
  <c r="UBE948" i="16" s="1"/>
  <c r="UBG948" i="16" s="1"/>
  <c r="UBC948" i="16"/>
  <c r="UAZ948" i="16"/>
  <c r="UBB948" i="16" s="1"/>
  <c r="UAY948" i="16"/>
  <c r="UAP948" i="16"/>
  <c r="UAO948" i="16" s="1"/>
  <c r="UAQ948" i="16" s="1"/>
  <c r="UAM948" i="16"/>
  <c r="UAJ948" i="16"/>
  <c r="UAL948" i="16" s="1"/>
  <c r="UAI948" i="16"/>
  <c r="TZZ948" i="16"/>
  <c r="TZY948" i="16" s="1"/>
  <c r="UAA948" i="16" s="1"/>
  <c r="TZW948" i="16"/>
  <c r="TZT948" i="16"/>
  <c r="TZV948" i="16" s="1"/>
  <c r="TZS948" i="16"/>
  <c r="TZJ948" i="16"/>
  <c r="TZI948" i="16" s="1"/>
  <c r="TZK948" i="16" s="1"/>
  <c r="TZG948" i="16"/>
  <c r="TZD948" i="16"/>
  <c r="TZF948" i="16" s="1"/>
  <c r="TZC948" i="16"/>
  <c r="TYT948" i="16"/>
  <c r="TYS948" i="16" s="1"/>
  <c r="TYU948" i="16" s="1"/>
  <c r="TYQ948" i="16"/>
  <c r="TYN948" i="16"/>
  <c r="TYP948" i="16" s="1"/>
  <c r="TYM948" i="16"/>
  <c r="TYD948" i="16"/>
  <c r="TYC948" i="16" s="1"/>
  <c r="TYE948" i="16" s="1"/>
  <c r="TYA948" i="16"/>
  <c r="TXX948" i="16"/>
  <c r="TXZ948" i="16" s="1"/>
  <c r="TXW948" i="16"/>
  <c r="TXN948" i="16"/>
  <c r="TXM948" i="16" s="1"/>
  <c r="TXO948" i="16" s="1"/>
  <c r="TXK948" i="16"/>
  <c r="TXH948" i="16"/>
  <c r="TXJ948" i="16" s="1"/>
  <c r="TXG948" i="16"/>
  <c r="TWX948" i="16"/>
  <c r="TWW948" i="16" s="1"/>
  <c r="TWY948" i="16" s="1"/>
  <c r="TWU948" i="16"/>
  <c r="TWR948" i="16"/>
  <c r="TWT948" i="16" s="1"/>
  <c r="TWQ948" i="16"/>
  <c r="TWH948" i="16"/>
  <c r="TWG948" i="16" s="1"/>
  <c r="TWI948" i="16" s="1"/>
  <c r="TWE948" i="16"/>
  <c r="TWB948" i="16"/>
  <c r="TWD948" i="16" s="1"/>
  <c r="TWA948" i="16"/>
  <c r="TVR948" i="16"/>
  <c r="TVQ948" i="16" s="1"/>
  <c r="TVS948" i="16" s="1"/>
  <c r="TVO948" i="16"/>
  <c r="TVL948" i="16"/>
  <c r="TVN948" i="16" s="1"/>
  <c r="TVK948" i="16"/>
  <c r="TVB948" i="16"/>
  <c r="TVA948" i="16" s="1"/>
  <c r="TVC948" i="16" s="1"/>
  <c r="TUY948" i="16"/>
  <c r="TUV948" i="16"/>
  <c r="TUX948" i="16" s="1"/>
  <c r="TUU948" i="16"/>
  <c r="TUL948" i="16"/>
  <c r="TUK948" i="16" s="1"/>
  <c r="TUM948" i="16" s="1"/>
  <c r="TUI948" i="16"/>
  <c r="TUF948" i="16"/>
  <c r="TUH948" i="16" s="1"/>
  <c r="TUE948" i="16"/>
  <c r="TTV948" i="16"/>
  <c r="TTU948" i="16" s="1"/>
  <c r="TTW948" i="16" s="1"/>
  <c r="TTS948" i="16"/>
  <c r="TTP948" i="16"/>
  <c r="TTR948" i="16" s="1"/>
  <c r="TTO948" i="16"/>
  <c r="TTF948" i="16"/>
  <c r="TTE948" i="16" s="1"/>
  <c r="TTG948" i="16" s="1"/>
  <c r="TTC948" i="16"/>
  <c r="TSZ948" i="16"/>
  <c r="TTB948" i="16" s="1"/>
  <c r="TSY948" i="16"/>
  <c r="TSP948" i="16"/>
  <c r="TSO948" i="16" s="1"/>
  <c r="TSQ948" i="16" s="1"/>
  <c r="TSM948" i="16"/>
  <c r="TSJ948" i="16"/>
  <c r="TSL948" i="16" s="1"/>
  <c r="TSI948" i="16"/>
  <c r="TRZ948" i="16"/>
  <c r="TRY948" i="16" s="1"/>
  <c r="TSA948" i="16" s="1"/>
  <c r="TRW948" i="16"/>
  <c r="TRT948" i="16"/>
  <c r="TRV948" i="16" s="1"/>
  <c r="TRS948" i="16"/>
  <c r="TRJ948" i="16"/>
  <c r="TRI948" i="16" s="1"/>
  <c r="TRK948" i="16" s="1"/>
  <c r="TRG948" i="16"/>
  <c r="TRD948" i="16"/>
  <c r="TRF948" i="16" s="1"/>
  <c r="TRC948" i="16"/>
  <c r="TQT948" i="16"/>
  <c r="TQS948" i="16" s="1"/>
  <c r="TQU948" i="16" s="1"/>
  <c r="TQQ948" i="16"/>
  <c r="TQN948" i="16"/>
  <c r="TQP948" i="16" s="1"/>
  <c r="TQM948" i="16"/>
  <c r="TQD948" i="16"/>
  <c r="TQC948" i="16" s="1"/>
  <c r="TQE948" i="16" s="1"/>
  <c r="TQA948" i="16"/>
  <c r="TPX948" i="16"/>
  <c r="TPZ948" i="16" s="1"/>
  <c r="TPW948" i="16"/>
  <c r="TPN948" i="16"/>
  <c r="TPM948" i="16" s="1"/>
  <c r="TPO948" i="16" s="1"/>
  <c r="TPK948" i="16"/>
  <c r="TPH948" i="16"/>
  <c r="TPJ948" i="16" s="1"/>
  <c r="TPG948" i="16"/>
  <c r="TOX948" i="16"/>
  <c r="TOW948" i="16" s="1"/>
  <c r="TOY948" i="16" s="1"/>
  <c r="TOU948" i="16"/>
  <c r="TOR948" i="16"/>
  <c r="TOT948" i="16" s="1"/>
  <c r="TOQ948" i="16"/>
  <c r="TOH948" i="16"/>
  <c r="TOG948" i="16" s="1"/>
  <c r="TOI948" i="16" s="1"/>
  <c r="TOE948" i="16"/>
  <c r="TOB948" i="16"/>
  <c r="TOD948" i="16" s="1"/>
  <c r="TOA948" i="16"/>
  <c r="TNR948" i="16"/>
  <c r="TNQ948" i="16" s="1"/>
  <c r="TNS948" i="16" s="1"/>
  <c r="TNO948" i="16"/>
  <c r="TNL948" i="16"/>
  <c r="TNN948" i="16" s="1"/>
  <c r="TNK948" i="16"/>
  <c r="TNB948" i="16"/>
  <c r="TNA948" i="16" s="1"/>
  <c r="TNC948" i="16" s="1"/>
  <c r="TMY948" i="16"/>
  <c r="TMV948" i="16"/>
  <c r="TMX948" i="16" s="1"/>
  <c r="TMU948" i="16"/>
  <c r="TML948" i="16"/>
  <c r="TMK948" i="16" s="1"/>
  <c r="TMM948" i="16" s="1"/>
  <c r="TMI948" i="16"/>
  <c r="TMF948" i="16"/>
  <c r="TMH948" i="16" s="1"/>
  <c r="TME948" i="16"/>
  <c r="TLV948" i="16"/>
  <c r="TLU948" i="16" s="1"/>
  <c r="TLW948" i="16" s="1"/>
  <c r="TLS948" i="16"/>
  <c r="TLP948" i="16"/>
  <c r="TLR948" i="16" s="1"/>
  <c r="TLO948" i="16"/>
  <c r="TLF948" i="16"/>
  <c r="TLE948" i="16" s="1"/>
  <c r="TLG948" i="16" s="1"/>
  <c r="TLC948" i="16"/>
  <c r="TKZ948" i="16"/>
  <c r="TLB948" i="16" s="1"/>
  <c r="TKY948" i="16"/>
  <c r="TKP948" i="16"/>
  <c r="TKO948" i="16" s="1"/>
  <c r="TKQ948" i="16" s="1"/>
  <c r="TKM948" i="16"/>
  <c r="TKJ948" i="16"/>
  <c r="TKL948" i="16" s="1"/>
  <c r="TKI948" i="16"/>
  <c r="TJZ948" i="16"/>
  <c r="TJY948" i="16" s="1"/>
  <c r="TKA948" i="16" s="1"/>
  <c r="TJW948" i="16"/>
  <c r="TJT948" i="16"/>
  <c r="TJV948" i="16" s="1"/>
  <c r="TJS948" i="16"/>
  <c r="TJJ948" i="16"/>
  <c r="TJI948" i="16" s="1"/>
  <c r="TJK948" i="16" s="1"/>
  <c r="TJG948" i="16"/>
  <c r="TJD948" i="16"/>
  <c r="TJF948" i="16" s="1"/>
  <c r="TJC948" i="16"/>
  <c r="TIT948" i="16"/>
  <c r="TIS948" i="16" s="1"/>
  <c r="TIU948" i="16" s="1"/>
  <c r="TIQ948" i="16"/>
  <c r="TIN948" i="16"/>
  <c r="TIP948" i="16" s="1"/>
  <c r="TIM948" i="16"/>
  <c r="TID948" i="16"/>
  <c r="TIC948" i="16" s="1"/>
  <c r="TIE948" i="16" s="1"/>
  <c r="TIA948" i="16"/>
  <c r="THX948" i="16"/>
  <c r="THZ948" i="16" s="1"/>
  <c r="THW948" i="16"/>
  <c r="THN948" i="16"/>
  <c r="THM948" i="16" s="1"/>
  <c r="THO948" i="16" s="1"/>
  <c r="THK948" i="16"/>
  <c r="THH948" i="16"/>
  <c r="THJ948" i="16" s="1"/>
  <c r="THG948" i="16"/>
  <c r="TGX948" i="16"/>
  <c r="TGW948" i="16" s="1"/>
  <c r="TGY948" i="16" s="1"/>
  <c r="TGU948" i="16"/>
  <c r="TGR948" i="16"/>
  <c r="TGT948" i="16" s="1"/>
  <c r="TGQ948" i="16"/>
  <c r="TGH948" i="16"/>
  <c r="TGG948" i="16" s="1"/>
  <c r="TGI948" i="16" s="1"/>
  <c r="TGE948" i="16"/>
  <c r="TGB948" i="16"/>
  <c r="TGD948" i="16" s="1"/>
  <c r="TGA948" i="16"/>
  <c r="TFR948" i="16"/>
  <c r="TFQ948" i="16" s="1"/>
  <c r="TFS948" i="16" s="1"/>
  <c r="TFO948" i="16"/>
  <c r="TFL948" i="16"/>
  <c r="TFN948" i="16" s="1"/>
  <c r="TFK948" i="16"/>
  <c r="TFB948" i="16"/>
  <c r="TFA948" i="16" s="1"/>
  <c r="TFC948" i="16" s="1"/>
  <c r="TEY948" i="16"/>
  <c r="TEV948" i="16"/>
  <c r="TEX948" i="16" s="1"/>
  <c r="TEU948" i="16"/>
  <c r="TEL948" i="16"/>
  <c r="TEK948" i="16" s="1"/>
  <c r="TEM948" i="16" s="1"/>
  <c r="TEI948" i="16"/>
  <c r="TEF948" i="16"/>
  <c r="TEH948" i="16" s="1"/>
  <c r="TEE948" i="16"/>
  <c r="TDV948" i="16"/>
  <c r="TDU948" i="16" s="1"/>
  <c r="TDW948" i="16" s="1"/>
  <c r="TDS948" i="16"/>
  <c r="TDP948" i="16"/>
  <c r="TDR948" i="16" s="1"/>
  <c r="TDO948" i="16"/>
  <c r="TDF948" i="16"/>
  <c r="TDE948" i="16" s="1"/>
  <c r="TDG948" i="16" s="1"/>
  <c r="TDC948" i="16"/>
  <c r="TCZ948" i="16"/>
  <c r="TDB948" i="16" s="1"/>
  <c r="TCY948" i="16"/>
  <c r="TCP948" i="16"/>
  <c r="TCO948" i="16" s="1"/>
  <c r="TCQ948" i="16" s="1"/>
  <c r="TCM948" i="16"/>
  <c r="TCJ948" i="16"/>
  <c r="TCL948" i="16" s="1"/>
  <c r="TCI948" i="16"/>
  <c r="TBZ948" i="16"/>
  <c r="TBY948" i="16" s="1"/>
  <c r="TCA948" i="16" s="1"/>
  <c r="TBW948" i="16"/>
  <c r="TBT948" i="16"/>
  <c r="TBV948" i="16" s="1"/>
  <c r="TBS948" i="16"/>
  <c r="TBJ948" i="16"/>
  <c r="TBI948" i="16" s="1"/>
  <c r="TBK948" i="16" s="1"/>
  <c r="TBG948" i="16"/>
  <c r="TBD948" i="16"/>
  <c r="TBF948" i="16" s="1"/>
  <c r="TBC948" i="16"/>
  <c r="TAT948" i="16"/>
  <c r="TAS948" i="16" s="1"/>
  <c r="TAU948" i="16" s="1"/>
  <c r="TAQ948" i="16"/>
  <c r="TAN948" i="16"/>
  <c r="TAP948" i="16" s="1"/>
  <c r="TAM948" i="16"/>
  <c r="TAD948" i="16"/>
  <c r="TAC948" i="16" s="1"/>
  <c r="TAE948" i="16" s="1"/>
  <c r="TAA948" i="16"/>
  <c r="SZX948" i="16"/>
  <c r="SZZ948" i="16" s="1"/>
  <c r="SZW948" i="16"/>
  <c r="SZN948" i="16"/>
  <c r="SZM948" i="16" s="1"/>
  <c r="SZO948" i="16" s="1"/>
  <c r="SZK948" i="16"/>
  <c r="SZH948" i="16"/>
  <c r="SZJ948" i="16" s="1"/>
  <c r="SZG948" i="16"/>
  <c r="SYX948" i="16"/>
  <c r="SYW948" i="16" s="1"/>
  <c r="SYY948" i="16" s="1"/>
  <c r="SYU948" i="16"/>
  <c r="SYR948" i="16"/>
  <c r="SYT948" i="16" s="1"/>
  <c r="SYQ948" i="16"/>
  <c r="SYH948" i="16"/>
  <c r="SYG948" i="16" s="1"/>
  <c r="SYI948" i="16" s="1"/>
  <c r="SYE948" i="16"/>
  <c r="SYB948" i="16"/>
  <c r="SYD948" i="16" s="1"/>
  <c r="SYA948" i="16"/>
  <c r="SXR948" i="16"/>
  <c r="SXQ948" i="16" s="1"/>
  <c r="SXS948" i="16" s="1"/>
  <c r="SXO948" i="16"/>
  <c r="SXL948" i="16"/>
  <c r="SXN948" i="16" s="1"/>
  <c r="SXK948" i="16"/>
  <c r="SXB948" i="16"/>
  <c r="SXA948" i="16" s="1"/>
  <c r="SXC948" i="16" s="1"/>
  <c r="SWY948" i="16"/>
  <c r="SWV948" i="16"/>
  <c r="SWX948" i="16" s="1"/>
  <c r="SWU948" i="16"/>
  <c r="SWL948" i="16"/>
  <c r="SWK948" i="16" s="1"/>
  <c r="SWM948" i="16" s="1"/>
  <c r="SWI948" i="16"/>
  <c r="SWF948" i="16"/>
  <c r="SWH948" i="16" s="1"/>
  <c r="SWE948" i="16"/>
  <c r="SVV948" i="16"/>
  <c r="SVU948" i="16" s="1"/>
  <c r="SVW948" i="16" s="1"/>
  <c r="SVS948" i="16"/>
  <c r="SVP948" i="16"/>
  <c r="SVR948" i="16" s="1"/>
  <c r="SVO948" i="16"/>
  <c r="SVF948" i="16"/>
  <c r="SVE948" i="16" s="1"/>
  <c r="SVG948" i="16" s="1"/>
  <c r="SVC948" i="16"/>
  <c r="SUZ948" i="16"/>
  <c r="SVB948" i="16" s="1"/>
  <c r="SUY948" i="16"/>
  <c r="SUP948" i="16"/>
  <c r="SUO948" i="16" s="1"/>
  <c r="SUQ948" i="16" s="1"/>
  <c r="SUM948" i="16"/>
  <c r="SUJ948" i="16"/>
  <c r="SUL948" i="16" s="1"/>
  <c r="SUI948" i="16"/>
  <c r="STZ948" i="16"/>
  <c r="STY948" i="16" s="1"/>
  <c r="SUA948" i="16" s="1"/>
  <c r="STW948" i="16"/>
  <c r="STT948" i="16"/>
  <c r="STV948" i="16" s="1"/>
  <c r="STS948" i="16"/>
  <c r="STJ948" i="16"/>
  <c r="STI948" i="16" s="1"/>
  <c r="STK948" i="16" s="1"/>
  <c r="STG948" i="16"/>
  <c r="STD948" i="16"/>
  <c r="STF948" i="16" s="1"/>
  <c r="STC948" i="16"/>
  <c r="SST948" i="16"/>
  <c r="SSS948" i="16" s="1"/>
  <c r="SSU948" i="16" s="1"/>
  <c r="SSQ948" i="16"/>
  <c r="SSN948" i="16"/>
  <c r="SSP948" i="16" s="1"/>
  <c r="SSM948" i="16"/>
  <c r="SSD948" i="16"/>
  <c r="SSC948" i="16" s="1"/>
  <c r="SSE948" i="16" s="1"/>
  <c r="SSA948" i="16"/>
  <c r="SRX948" i="16"/>
  <c r="SRZ948" i="16" s="1"/>
  <c r="SRW948" i="16"/>
  <c r="SRN948" i="16"/>
  <c r="SRM948" i="16" s="1"/>
  <c r="SRO948" i="16" s="1"/>
  <c r="SRK948" i="16"/>
  <c r="SRH948" i="16"/>
  <c r="SRJ948" i="16" s="1"/>
  <c r="SRG948" i="16"/>
  <c r="SQX948" i="16"/>
  <c r="SQW948" i="16" s="1"/>
  <c r="SQY948" i="16" s="1"/>
  <c r="SQU948" i="16"/>
  <c r="SQR948" i="16"/>
  <c r="SQT948" i="16" s="1"/>
  <c r="SQQ948" i="16"/>
  <c r="SQH948" i="16"/>
  <c r="SQG948" i="16" s="1"/>
  <c r="SQI948" i="16" s="1"/>
  <c r="SQE948" i="16"/>
  <c r="SQB948" i="16"/>
  <c r="SQD948" i="16" s="1"/>
  <c r="SQA948" i="16"/>
  <c r="SPR948" i="16"/>
  <c r="SPQ948" i="16" s="1"/>
  <c r="SPS948" i="16" s="1"/>
  <c r="SPO948" i="16"/>
  <c r="SPL948" i="16"/>
  <c r="SPN948" i="16" s="1"/>
  <c r="SPK948" i="16"/>
  <c r="SPB948" i="16"/>
  <c r="SPA948" i="16" s="1"/>
  <c r="SPC948" i="16" s="1"/>
  <c r="SOY948" i="16"/>
  <c r="SOV948" i="16"/>
  <c r="SOX948" i="16" s="1"/>
  <c r="SOU948" i="16"/>
  <c r="SOL948" i="16"/>
  <c r="SOK948" i="16" s="1"/>
  <c r="SOM948" i="16" s="1"/>
  <c r="SOI948" i="16"/>
  <c r="SOF948" i="16"/>
  <c r="SOH948" i="16" s="1"/>
  <c r="SOE948" i="16"/>
  <c r="SNV948" i="16"/>
  <c r="SNU948" i="16" s="1"/>
  <c r="SNW948" i="16" s="1"/>
  <c r="SNS948" i="16"/>
  <c r="SNP948" i="16"/>
  <c r="SNR948" i="16" s="1"/>
  <c r="SNO948" i="16"/>
  <c r="SNF948" i="16"/>
  <c r="SNE948" i="16" s="1"/>
  <c r="SNG948" i="16" s="1"/>
  <c r="SNC948" i="16"/>
  <c r="SMZ948" i="16"/>
  <c r="SNB948" i="16" s="1"/>
  <c r="SMY948" i="16"/>
  <c r="SMP948" i="16"/>
  <c r="SMO948" i="16" s="1"/>
  <c r="SMQ948" i="16" s="1"/>
  <c r="SMM948" i="16"/>
  <c r="SMJ948" i="16"/>
  <c r="SML948" i="16" s="1"/>
  <c r="SMI948" i="16"/>
  <c r="SLZ948" i="16"/>
  <c r="SLY948" i="16" s="1"/>
  <c r="SMA948" i="16" s="1"/>
  <c r="SLW948" i="16"/>
  <c r="SLT948" i="16"/>
  <c r="SLV948" i="16" s="1"/>
  <c r="SLS948" i="16"/>
  <c r="SLJ948" i="16"/>
  <c r="SLI948" i="16" s="1"/>
  <c r="SLK948" i="16" s="1"/>
  <c r="SLG948" i="16"/>
  <c r="SLD948" i="16"/>
  <c r="SLF948" i="16" s="1"/>
  <c r="SLC948" i="16"/>
  <c r="SKT948" i="16"/>
  <c r="SKS948" i="16" s="1"/>
  <c r="SKU948" i="16" s="1"/>
  <c r="SKQ948" i="16"/>
  <c r="SKN948" i="16"/>
  <c r="SKP948" i="16" s="1"/>
  <c r="SKM948" i="16"/>
  <c r="SKD948" i="16"/>
  <c r="SKC948" i="16" s="1"/>
  <c r="SKE948" i="16" s="1"/>
  <c r="SKA948" i="16"/>
  <c r="SJX948" i="16"/>
  <c r="SJZ948" i="16" s="1"/>
  <c r="SJW948" i="16"/>
  <c r="SJN948" i="16"/>
  <c r="SJM948" i="16" s="1"/>
  <c r="SJO948" i="16" s="1"/>
  <c r="SJK948" i="16"/>
  <c r="SJH948" i="16"/>
  <c r="SJJ948" i="16" s="1"/>
  <c r="SJG948" i="16"/>
  <c r="SIX948" i="16"/>
  <c r="SIW948" i="16" s="1"/>
  <c r="SIY948" i="16" s="1"/>
  <c r="SIU948" i="16"/>
  <c r="SIR948" i="16"/>
  <c r="SIT948" i="16" s="1"/>
  <c r="SIQ948" i="16"/>
  <c r="SIH948" i="16"/>
  <c r="SIG948" i="16" s="1"/>
  <c r="SII948" i="16" s="1"/>
  <c r="SIE948" i="16"/>
  <c r="SIB948" i="16"/>
  <c r="SID948" i="16" s="1"/>
  <c r="SIA948" i="16"/>
  <c r="SHR948" i="16"/>
  <c r="SHQ948" i="16" s="1"/>
  <c r="SHS948" i="16" s="1"/>
  <c r="SHO948" i="16"/>
  <c r="SHL948" i="16"/>
  <c r="SHN948" i="16" s="1"/>
  <c r="SHK948" i="16"/>
  <c r="SHB948" i="16"/>
  <c r="SHA948" i="16" s="1"/>
  <c r="SHC948" i="16" s="1"/>
  <c r="SGY948" i="16"/>
  <c r="SGV948" i="16"/>
  <c r="SGX948" i="16" s="1"/>
  <c r="SGU948" i="16"/>
  <c r="SGL948" i="16"/>
  <c r="SGK948" i="16" s="1"/>
  <c r="SGM948" i="16" s="1"/>
  <c r="SGI948" i="16"/>
  <c r="SGF948" i="16"/>
  <c r="SGH948" i="16" s="1"/>
  <c r="SGE948" i="16"/>
  <c r="SFV948" i="16"/>
  <c r="SFU948" i="16" s="1"/>
  <c r="SFW948" i="16" s="1"/>
  <c r="SFS948" i="16"/>
  <c r="SFP948" i="16"/>
  <c r="SFR948" i="16" s="1"/>
  <c r="SFO948" i="16"/>
  <c r="SFF948" i="16"/>
  <c r="SFE948" i="16" s="1"/>
  <c r="SFG948" i="16" s="1"/>
  <c r="SFC948" i="16"/>
  <c r="SEZ948" i="16"/>
  <c r="SFB948" i="16" s="1"/>
  <c r="SEY948" i="16"/>
  <c r="SEP948" i="16"/>
  <c r="SEO948" i="16" s="1"/>
  <c r="SEQ948" i="16" s="1"/>
  <c r="SEM948" i="16"/>
  <c r="SEJ948" i="16"/>
  <c r="SEL948" i="16" s="1"/>
  <c r="SEI948" i="16"/>
  <c r="SDZ948" i="16"/>
  <c r="SDY948" i="16" s="1"/>
  <c r="SEA948" i="16" s="1"/>
  <c r="SDW948" i="16"/>
  <c r="SDT948" i="16"/>
  <c r="SDV948" i="16" s="1"/>
  <c r="SDS948" i="16"/>
  <c r="SDJ948" i="16"/>
  <c r="SDI948" i="16" s="1"/>
  <c r="SDK948" i="16" s="1"/>
  <c r="SDG948" i="16"/>
  <c r="SDD948" i="16"/>
  <c r="SDF948" i="16" s="1"/>
  <c r="SDC948" i="16"/>
  <c r="SCT948" i="16"/>
  <c r="SCS948" i="16" s="1"/>
  <c r="SCU948" i="16" s="1"/>
  <c r="SCQ948" i="16"/>
  <c r="SCN948" i="16"/>
  <c r="SCP948" i="16" s="1"/>
  <c r="SCM948" i="16"/>
  <c r="SCD948" i="16"/>
  <c r="SCC948" i="16" s="1"/>
  <c r="SCE948" i="16" s="1"/>
  <c r="SCA948" i="16"/>
  <c r="SBX948" i="16"/>
  <c r="SBZ948" i="16" s="1"/>
  <c r="SBW948" i="16"/>
  <c r="SBN948" i="16"/>
  <c r="SBM948" i="16" s="1"/>
  <c r="SBO948" i="16" s="1"/>
  <c r="SBK948" i="16"/>
  <c r="SBH948" i="16"/>
  <c r="SBJ948" i="16" s="1"/>
  <c r="SBG948" i="16"/>
  <c r="SAX948" i="16"/>
  <c r="SAW948" i="16" s="1"/>
  <c r="SAY948" i="16" s="1"/>
  <c r="SAU948" i="16"/>
  <c r="SAR948" i="16"/>
  <c r="SAT948" i="16" s="1"/>
  <c r="SAQ948" i="16"/>
  <c r="SAH948" i="16"/>
  <c r="SAG948" i="16" s="1"/>
  <c r="SAI948" i="16" s="1"/>
  <c r="SAE948" i="16"/>
  <c r="SAB948" i="16"/>
  <c r="SAD948" i="16" s="1"/>
  <c r="SAA948" i="16"/>
  <c r="RZR948" i="16"/>
  <c r="RZQ948" i="16" s="1"/>
  <c r="RZS948" i="16" s="1"/>
  <c r="RZO948" i="16"/>
  <c r="RZL948" i="16"/>
  <c r="RZN948" i="16" s="1"/>
  <c r="RZK948" i="16"/>
  <c r="RZB948" i="16"/>
  <c r="RZA948" i="16" s="1"/>
  <c r="RZC948" i="16" s="1"/>
  <c r="RYY948" i="16"/>
  <c r="RYV948" i="16"/>
  <c r="RYX948" i="16" s="1"/>
  <c r="RYU948" i="16"/>
  <c r="RYL948" i="16"/>
  <c r="RYK948" i="16" s="1"/>
  <c r="RYM948" i="16" s="1"/>
  <c r="RYI948" i="16"/>
  <c r="RYF948" i="16"/>
  <c r="RYH948" i="16" s="1"/>
  <c r="RYE948" i="16"/>
  <c r="RXV948" i="16"/>
  <c r="RXU948" i="16" s="1"/>
  <c r="RXW948" i="16" s="1"/>
  <c r="RXS948" i="16"/>
  <c r="RXP948" i="16"/>
  <c r="RXR948" i="16" s="1"/>
  <c r="RXO948" i="16"/>
  <c r="RXF948" i="16"/>
  <c r="RXE948" i="16" s="1"/>
  <c r="RXG948" i="16" s="1"/>
  <c r="RXC948" i="16"/>
  <c r="RWZ948" i="16"/>
  <c r="RXB948" i="16" s="1"/>
  <c r="RWY948" i="16"/>
  <c r="RWP948" i="16"/>
  <c r="RWO948" i="16" s="1"/>
  <c r="RWQ948" i="16" s="1"/>
  <c r="RWM948" i="16"/>
  <c r="RWJ948" i="16"/>
  <c r="RWL948" i="16" s="1"/>
  <c r="RWI948" i="16"/>
  <c r="RVZ948" i="16"/>
  <c r="RVY948" i="16" s="1"/>
  <c r="RWA948" i="16" s="1"/>
  <c r="RVW948" i="16"/>
  <c r="RVT948" i="16"/>
  <c r="RVV948" i="16" s="1"/>
  <c r="RVS948" i="16"/>
  <c r="RVJ948" i="16"/>
  <c r="RVI948" i="16" s="1"/>
  <c r="RVK948" i="16" s="1"/>
  <c r="RVG948" i="16"/>
  <c r="RVD948" i="16"/>
  <c r="RVF948" i="16" s="1"/>
  <c r="RVC948" i="16"/>
  <c r="RUT948" i="16"/>
  <c r="RUS948" i="16" s="1"/>
  <c r="RUU948" i="16" s="1"/>
  <c r="RUQ948" i="16"/>
  <c r="RUN948" i="16"/>
  <c r="RUP948" i="16" s="1"/>
  <c r="RUM948" i="16"/>
  <c r="RUD948" i="16"/>
  <c r="RUC948" i="16" s="1"/>
  <c r="RUE948" i="16" s="1"/>
  <c r="RUA948" i="16"/>
  <c r="RTX948" i="16"/>
  <c r="RTZ948" i="16" s="1"/>
  <c r="RTW948" i="16"/>
  <c r="RTN948" i="16"/>
  <c r="RTM948" i="16" s="1"/>
  <c r="RTO948" i="16" s="1"/>
  <c r="RTK948" i="16"/>
  <c r="RTH948" i="16"/>
  <c r="RTJ948" i="16" s="1"/>
  <c r="RTG948" i="16"/>
  <c r="RSX948" i="16"/>
  <c r="RSW948" i="16" s="1"/>
  <c r="RSY948" i="16" s="1"/>
  <c r="RSU948" i="16"/>
  <c r="RSR948" i="16"/>
  <c r="RST948" i="16" s="1"/>
  <c r="RSQ948" i="16"/>
  <c r="RSH948" i="16"/>
  <c r="RSG948" i="16" s="1"/>
  <c r="RSI948" i="16" s="1"/>
  <c r="RSE948" i="16"/>
  <c r="RSB948" i="16"/>
  <c r="RSD948" i="16" s="1"/>
  <c r="RSA948" i="16"/>
  <c r="RRR948" i="16"/>
  <c r="RRQ948" i="16" s="1"/>
  <c r="RRS948" i="16" s="1"/>
  <c r="RRO948" i="16"/>
  <c r="RRL948" i="16"/>
  <c r="RRN948" i="16" s="1"/>
  <c r="RRK948" i="16"/>
  <c r="RRB948" i="16"/>
  <c r="RRA948" i="16" s="1"/>
  <c r="RRC948" i="16" s="1"/>
  <c r="RQY948" i="16"/>
  <c r="RQV948" i="16"/>
  <c r="RQX948" i="16" s="1"/>
  <c r="RQU948" i="16"/>
  <c r="RQL948" i="16"/>
  <c r="RQK948" i="16" s="1"/>
  <c r="RQM948" i="16" s="1"/>
  <c r="RQI948" i="16"/>
  <c r="RQF948" i="16"/>
  <c r="RQH948" i="16" s="1"/>
  <c r="RQE948" i="16"/>
  <c r="RPV948" i="16"/>
  <c r="RPU948" i="16" s="1"/>
  <c r="RPW948" i="16" s="1"/>
  <c r="RPS948" i="16"/>
  <c r="RPP948" i="16"/>
  <c r="RPR948" i="16" s="1"/>
  <c r="RPO948" i="16"/>
  <c r="RPF948" i="16"/>
  <c r="RPE948" i="16" s="1"/>
  <c r="RPG948" i="16" s="1"/>
  <c r="RPC948" i="16"/>
  <c r="ROZ948" i="16"/>
  <c r="RPB948" i="16" s="1"/>
  <c r="ROY948" i="16"/>
  <c r="ROP948" i="16"/>
  <c r="ROO948" i="16" s="1"/>
  <c r="ROQ948" i="16" s="1"/>
  <c r="ROM948" i="16"/>
  <c r="ROJ948" i="16"/>
  <c r="ROL948" i="16" s="1"/>
  <c r="ROI948" i="16"/>
  <c r="RNZ948" i="16"/>
  <c r="RNY948" i="16" s="1"/>
  <c r="ROA948" i="16" s="1"/>
  <c r="RNW948" i="16"/>
  <c r="RNT948" i="16"/>
  <c r="RNV948" i="16" s="1"/>
  <c r="RNS948" i="16"/>
  <c r="RNJ948" i="16"/>
  <c r="RNI948" i="16" s="1"/>
  <c r="RNK948" i="16" s="1"/>
  <c r="RNG948" i="16"/>
  <c r="RND948" i="16"/>
  <c r="RNF948" i="16" s="1"/>
  <c r="RNC948" i="16"/>
  <c r="RMT948" i="16"/>
  <c r="RMS948" i="16" s="1"/>
  <c r="RMU948" i="16" s="1"/>
  <c r="RMQ948" i="16"/>
  <c r="RMN948" i="16"/>
  <c r="RMP948" i="16" s="1"/>
  <c r="RMM948" i="16"/>
  <c r="RMD948" i="16"/>
  <c r="RMC948" i="16" s="1"/>
  <c r="RME948" i="16" s="1"/>
  <c r="RMA948" i="16"/>
  <c r="RLX948" i="16"/>
  <c r="RLZ948" i="16" s="1"/>
  <c r="RLW948" i="16"/>
  <c r="RLN948" i="16"/>
  <c r="RLM948" i="16" s="1"/>
  <c r="RLO948" i="16" s="1"/>
  <c r="RLK948" i="16"/>
  <c r="RLH948" i="16"/>
  <c r="RLJ948" i="16" s="1"/>
  <c r="RLG948" i="16"/>
  <c r="RKX948" i="16"/>
  <c r="RKW948" i="16" s="1"/>
  <c r="RKY948" i="16" s="1"/>
  <c r="RKU948" i="16"/>
  <c r="RKR948" i="16"/>
  <c r="RKT948" i="16" s="1"/>
  <c r="RKQ948" i="16"/>
  <c r="RKH948" i="16"/>
  <c r="RKG948" i="16" s="1"/>
  <c r="RKI948" i="16" s="1"/>
  <c r="RKE948" i="16"/>
  <c r="RKB948" i="16"/>
  <c r="RKD948" i="16" s="1"/>
  <c r="RKA948" i="16"/>
  <c r="RJR948" i="16"/>
  <c r="RJQ948" i="16" s="1"/>
  <c r="RJS948" i="16" s="1"/>
  <c r="RJO948" i="16"/>
  <c r="RJL948" i="16"/>
  <c r="RJN948" i="16" s="1"/>
  <c r="RJK948" i="16"/>
  <c r="RJB948" i="16"/>
  <c r="RJA948" i="16" s="1"/>
  <c r="RJC948" i="16" s="1"/>
  <c r="RIY948" i="16"/>
  <c r="RIV948" i="16"/>
  <c r="RIX948" i="16" s="1"/>
  <c r="RIU948" i="16"/>
  <c r="RIL948" i="16"/>
  <c r="RIK948" i="16" s="1"/>
  <c r="RIM948" i="16" s="1"/>
  <c r="RII948" i="16"/>
  <c r="RIF948" i="16"/>
  <c r="RIH948" i="16" s="1"/>
  <c r="RIE948" i="16"/>
  <c r="RHV948" i="16"/>
  <c r="RHU948" i="16" s="1"/>
  <c r="RHW948" i="16" s="1"/>
  <c r="RHS948" i="16"/>
  <c r="RHP948" i="16"/>
  <c r="RHR948" i="16" s="1"/>
  <c r="RHO948" i="16"/>
  <c r="RHF948" i="16"/>
  <c r="RHE948" i="16" s="1"/>
  <c r="RHG948" i="16" s="1"/>
  <c r="RHC948" i="16"/>
  <c r="RGZ948" i="16"/>
  <c r="RHB948" i="16" s="1"/>
  <c r="RGY948" i="16"/>
  <c r="RGP948" i="16"/>
  <c r="RGO948" i="16" s="1"/>
  <c r="RGQ948" i="16" s="1"/>
  <c r="RGM948" i="16"/>
  <c r="RGJ948" i="16"/>
  <c r="RGL948" i="16" s="1"/>
  <c r="RGI948" i="16"/>
  <c r="RFZ948" i="16"/>
  <c r="RFY948" i="16" s="1"/>
  <c r="RGA948" i="16" s="1"/>
  <c r="RFW948" i="16"/>
  <c r="RFT948" i="16"/>
  <c r="RFV948" i="16" s="1"/>
  <c r="RFS948" i="16"/>
  <c r="RFJ948" i="16"/>
  <c r="RFI948" i="16" s="1"/>
  <c r="RFK948" i="16" s="1"/>
  <c r="RFG948" i="16"/>
  <c r="RFD948" i="16"/>
  <c r="RFF948" i="16" s="1"/>
  <c r="RFC948" i="16"/>
  <c r="RET948" i="16"/>
  <c r="RES948" i="16" s="1"/>
  <c r="REU948" i="16" s="1"/>
  <c r="REQ948" i="16"/>
  <c r="REN948" i="16"/>
  <c r="REP948" i="16" s="1"/>
  <c r="REM948" i="16"/>
  <c r="RED948" i="16"/>
  <c r="REC948" i="16" s="1"/>
  <c r="REE948" i="16" s="1"/>
  <c r="REA948" i="16"/>
  <c r="RDX948" i="16"/>
  <c r="RDZ948" i="16" s="1"/>
  <c r="RDW948" i="16"/>
  <c r="RDN948" i="16"/>
  <c r="RDM948" i="16" s="1"/>
  <c r="RDO948" i="16" s="1"/>
  <c r="RDK948" i="16"/>
  <c r="RDH948" i="16"/>
  <c r="RDJ948" i="16" s="1"/>
  <c r="RDG948" i="16"/>
  <c r="RCX948" i="16"/>
  <c r="RCW948" i="16" s="1"/>
  <c r="RCY948" i="16" s="1"/>
  <c r="RCU948" i="16"/>
  <c r="RCR948" i="16"/>
  <c r="RCT948" i="16" s="1"/>
  <c r="RCQ948" i="16"/>
  <c r="RCH948" i="16"/>
  <c r="RCG948" i="16" s="1"/>
  <c r="RCI948" i="16" s="1"/>
  <c r="RCE948" i="16"/>
  <c r="RCB948" i="16"/>
  <c r="RCD948" i="16" s="1"/>
  <c r="RCA948" i="16"/>
  <c r="RBR948" i="16"/>
  <c r="RBQ948" i="16" s="1"/>
  <c r="RBS948" i="16" s="1"/>
  <c r="RBO948" i="16"/>
  <c r="RBL948" i="16"/>
  <c r="RBN948" i="16" s="1"/>
  <c r="RBK948" i="16"/>
  <c r="RBB948" i="16"/>
  <c r="RBA948" i="16" s="1"/>
  <c r="RBC948" i="16" s="1"/>
  <c r="RAY948" i="16"/>
  <c r="RAV948" i="16"/>
  <c r="RAX948" i="16" s="1"/>
  <c r="RAU948" i="16"/>
  <c r="RAL948" i="16"/>
  <c r="RAK948" i="16" s="1"/>
  <c r="RAM948" i="16" s="1"/>
  <c r="RAI948" i="16"/>
  <c r="RAF948" i="16"/>
  <c r="RAH948" i="16" s="1"/>
  <c r="RAE948" i="16"/>
  <c r="QZV948" i="16"/>
  <c r="QZU948" i="16" s="1"/>
  <c r="QZW948" i="16" s="1"/>
  <c r="QZS948" i="16"/>
  <c r="QZP948" i="16"/>
  <c r="QZR948" i="16" s="1"/>
  <c r="QZO948" i="16"/>
  <c r="QZF948" i="16"/>
  <c r="QZE948" i="16" s="1"/>
  <c r="QZG948" i="16" s="1"/>
  <c r="QZC948" i="16"/>
  <c r="QYZ948" i="16"/>
  <c r="QZB948" i="16" s="1"/>
  <c r="QYY948" i="16"/>
  <c r="QYP948" i="16"/>
  <c r="QYO948" i="16" s="1"/>
  <c r="QYQ948" i="16" s="1"/>
  <c r="QYM948" i="16"/>
  <c r="QYJ948" i="16"/>
  <c r="QYL948" i="16" s="1"/>
  <c r="QYI948" i="16"/>
  <c r="QXZ948" i="16"/>
  <c r="QXY948" i="16" s="1"/>
  <c r="QYA948" i="16" s="1"/>
  <c r="QXW948" i="16"/>
  <c r="QXT948" i="16"/>
  <c r="QXV948" i="16" s="1"/>
  <c r="QXS948" i="16"/>
  <c r="QXJ948" i="16"/>
  <c r="QXI948" i="16" s="1"/>
  <c r="QXK948" i="16" s="1"/>
  <c r="QXG948" i="16"/>
  <c r="QXD948" i="16"/>
  <c r="QXF948" i="16" s="1"/>
  <c r="QXC948" i="16"/>
  <c r="QWT948" i="16"/>
  <c r="QWS948" i="16" s="1"/>
  <c r="QWU948" i="16" s="1"/>
  <c r="QWQ948" i="16"/>
  <c r="QWN948" i="16"/>
  <c r="QWP948" i="16" s="1"/>
  <c r="QWM948" i="16"/>
  <c r="QWD948" i="16"/>
  <c r="QWC948" i="16" s="1"/>
  <c r="QWE948" i="16" s="1"/>
  <c r="QWA948" i="16"/>
  <c r="QVX948" i="16"/>
  <c r="QVZ948" i="16" s="1"/>
  <c r="QVW948" i="16"/>
  <c r="QVN948" i="16"/>
  <c r="QVM948" i="16" s="1"/>
  <c r="QVO948" i="16" s="1"/>
  <c r="QVK948" i="16"/>
  <c r="QVH948" i="16"/>
  <c r="QVJ948" i="16" s="1"/>
  <c r="QVG948" i="16"/>
  <c r="QUX948" i="16"/>
  <c r="QUW948" i="16" s="1"/>
  <c r="QUY948" i="16" s="1"/>
  <c r="QUU948" i="16"/>
  <c r="QUR948" i="16"/>
  <c r="QUT948" i="16" s="1"/>
  <c r="QUQ948" i="16"/>
  <c r="QUH948" i="16"/>
  <c r="QUG948" i="16" s="1"/>
  <c r="QUI948" i="16" s="1"/>
  <c r="QUE948" i="16"/>
  <c r="QUB948" i="16"/>
  <c r="QUD948" i="16" s="1"/>
  <c r="QUA948" i="16"/>
  <c r="QTR948" i="16"/>
  <c r="QTQ948" i="16" s="1"/>
  <c r="QTS948" i="16" s="1"/>
  <c r="QTO948" i="16"/>
  <c r="QTL948" i="16"/>
  <c r="QTN948" i="16" s="1"/>
  <c r="QTK948" i="16"/>
  <c r="QTB948" i="16"/>
  <c r="QTA948" i="16" s="1"/>
  <c r="QTC948" i="16" s="1"/>
  <c r="QSY948" i="16"/>
  <c r="QSV948" i="16"/>
  <c r="QSX948" i="16" s="1"/>
  <c r="QSU948" i="16"/>
  <c r="QSL948" i="16"/>
  <c r="QSK948" i="16" s="1"/>
  <c r="QSM948" i="16" s="1"/>
  <c r="QSI948" i="16"/>
  <c r="QSF948" i="16"/>
  <c r="QSH948" i="16" s="1"/>
  <c r="QSE948" i="16"/>
  <c r="QRV948" i="16"/>
  <c r="QRU948" i="16" s="1"/>
  <c r="QRW948" i="16" s="1"/>
  <c r="QRS948" i="16"/>
  <c r="QRP948" i="16"/>
  <c r="QRR948" i="16" s="1"/>
  <c r="QRO948" i="16"/>
  <c r="QRF948" i="16"/>
  <c r="QRE948" i="16" s="1"/>
  <c r="QRG948" i="16" s="1"/>
  <c r="QRC948" i="16"/>
  <c r="QQZ948" i="16"/>
  <c r="QRB948" i="16" s="1"/>
  <c r="QQY948" i="16"/>
  <c r="QQP948" i="16"/>
  <c r="QQO948" i="16" s="1"/>
  <c r="QQQ948" i="16" s="1"/>
  <c r="QQM948" i="16"/>
  <c r="QQJ948" i="16"/>
  <c r="QQL948" i="16" s="1"/>
  <c r="QQI948" i="16"/>
  <c r="QPZ948" i="16"/>
  <c r="QPY948" i="16" s="1"/>
  <c r="QQA948" i="16" s="1"/>
  <c r="QPW948" i="16"/>
  <c r="QPT948" i="16"/>
  <c r="QPV948" i="16" s="1"/>
  <c r="QPS948" i="16"/>
  <c r="QPJ948" i="16"/>
  <c r="QPI948" i="16" s="1"/>
  <c r="QPK948" i="16" s="1"/>
  <c r="QPG948" i="16"/>
  <c r="QPD948" i="16"/>
  <c r="QPF948" i="16" s="1"/>
  <c r="QPC948" i="16"/>
  <c r="QOT948" i="16"/>
  <c r="QOS948" i="16" s="1"/>
  <c r="QOU948" i="16" s="1"/>
  <c r="QOQ948" i="16"/>
  <c r="QON948" i="16"/>
  <c r="QOP948" i="16" s="1"/>
  <c r="QOM948" i="16"/>
  <c r="QOD948" i="16"/>
  <c r="QOC948" i="16" s="1"/>
  <c r="QOE948" i="16" s="1"/>
  <c r="QOA948" i="16"/>
  <c r="QNX948" i="16"/>
  <c r="QNZ948" i="16" s="1"/>
  <c r="QNW948" i="16"/>
  <c r="QNN948" i="16"/>
  <c r="QNM948" i="16" s="1"/>
  <c r="QNO948" i="16" s="1"/>
  <c r="QNK948" i="16"/>
  <c r="QNH948" i="16"/>
  <c r="QNJ948" i="16" s="1"/>
  <c r="QNG948" i="16"/>
  <c r="QMX948" i="16"/>
  <c r="QMW948" i="16" s="1"/>
  <c r="QMY948" i="16" s="1"/>
  <c r="QMU948" i="16"/>
  <c r="QMR948" i="16"/>
  <c r="QMT948" i="16" s="1"/>
  <c r="QMQ948" i="16"/>
  <c r="QMH948" i="16"/>
  <c r="QMG948" i="16" s="1"/>
  <c r="QMI948" i="16" s="1"/>
  <c r="QME948" i="16"/>
  <c r="QMB948" i="16"/>
  <c r="QMD948" i="16" s="1"/>
  <c r="QMA948" i="16"/>
  <c r="QLR948" i="16"/>
  <c r="QLQ948" i="16" s="1"/>
  <c r="QLS948" i="16" s="1"/>
  <c r="QLO948" i="16"/>
  <c r="QLL948" i="16"/>
  <c r="QLN948" i="16" s="1"/>
  <c r="QLK948" i="16"/>
  <c r="QLB948" i="16"/>
  <c r="QLA948" i="16" s="1"/>
  <c r="QLC948" i="16" s="1"/>
  <c r="QKY948" i="16"/>
  <c r="QKV948" i="16"/>
  <c r="QKX948" i="16" s="1"/>
  <c r="QKU948" i="16"/>
  <c r="QKL948" i="16"/>
  <c r="QKK948" i="16" s="1"/>
  <c r="QKM948" i="16" s="1"/>
  <c r="QKI948" i="16"/>
  <c r="QKF948" i="16"/>
  <c r="QKH948" i="16" s="1"/>
  <c r="QKE948" i="16"/>
  <c r="QJV948" i="16"/>
  <c r="QJU948" i="16" s="1"/>
  <c r="QJW948" i="16" s="1"/>
  <c r="QJS948" i="16"/>
  <c r="QJP948" i="16"/>
  <c r="QJR948" i="16" s="1"/>
  <c r="QJO948" i="16"/>
  <c r="QJF948" i="16"/>
  <c r="QJE948" i="16" s="1"/>
  <c r="QJG948" i="16" s="1"/>
  <c r="QJC948" i="16"/>
  <c r="QIZ948" i="16"/>
  <c r="QJB948" i="16" s="1"/>
  <c r="QIY948" i="16"/>
  <c r="QIP948" i="16"/>
  <c r="QIO948" i="16" s="1"/>
  <c r="QIQ948" i="16" s="1"/>
  <c r="QIM948" i="16"/>
  <c r="QIJ948" i="16"/>
  <c r="QIL948" i="16" s="1"/>
  <c r="QII948" i="16"/>
  <c r="QHZ948" i="16"/>
  <c r="QHY948" i="16" s="1"/>
  <c r="QIA948" i="16" s="1"/>
  <c r="QHW948" i="16"/>
  <c r="QHT948" i="16"/>
  <c r="QHV948" i="16" s="1"/>
  <c r="QHS948" i="16"/>
  <c r="QHJ948" i="16"/>
  <c r="QHI948" i="16" s="1"/>
  <c r="QHK948" i="16" s="1"/>
  <c r="QHG948" i="16"/>
  <c r="QHD948" i="16"/>
  <c r="QHF948" i="16" s="1"/>
  <c r="QHC948" i="16"/>
  <c r="QGT948" i="16"/>
  <c r="QGS948" i="16" s="1"/>
  <c r="QGU948" i="16" s="1"/>
  <c r="QGQ948" i="16"/>
  <c r="QGN948" i="16"/>
  <c r="QGP948" i="16" s="1"/>
  <c r="QGM948" i="16"/>
  <c r="QGD948" i="16"/>
  <c r="QGC948" i="16" s="1"/>
  <c r="QGE948" i="16" s="1"/>
  <c r="QGA948" i="16"/>
  <c r="QFX948" i="16"/>
  <c r="QFZ948" i="16" s="1"/>
  <c r="QFW948" i="16"/>
  <c r="QFN948" i="16"/>
  <c r="QFM948" i="16" s="1"/>
  <c r="QFO948" i="16" s="1"/>
  <c r="QFK948" i="16"/>
  <c r="QFH948" i="16"/>
  <c r="QFJ948" i="16" s="1"/>
  <c r="QFG948" i="16"/>
  <c r="QEX948" i="16"/>
  <c r="QEW948" i="16" s="1"/>
  <c r="QEY948" i="16" s="1"/>
  <c r="QEU948" i="16"/>
  <c r="QER948" i="16"/>
  <c r="QET948" i="16" s="1"/>
  <c r="QEQ948" i="16"/>
  <c r="QEH948" i="16"/>
  <c r="QEG948" i="16" s="1"/>
  <c r="QEI948" i="16" s="1"/>
  <c r="QEE948" i="16"/>
  <c r="QEB948" i="16"/>
  <c r="QED948" i="16" s="1"/>
  <c r="QEA948" i="16"/>
  <c r="QDR948" i="16"/>
  <c r="QDQ948" i="16" s="1"/>
  <c r="QDS948" i="16" s="1"/>
  <c r="QDO948" i="16"/>
  <c r="QDL948" i="16"/>
  <c r="QDN948" i="16" s="1"/>
  <c r="QDK948" i="16"/>
  <c r="QDB948" i="16"/>
  <c r="QDA948" i="16" s="1"/>
  <c r="QDC948" i="16" s="1"/>
  <c r="QCY948" i="16"/>
  <c r="QCV948" i="16"/>
  <c r="QCX948" i="16" s="1"/>
  <c r="QCU948" i="16"/>
  <c r="QCL948" i="16"/>
  <c r="QCK948" i="16" s="1"/>
  <c r="QCM948" i="16" s="1"/>
  <c r="QCI948" i="16"/>
  <c r="QCF948" i="16"/>
  <c r="QCH948" i="16" s="1"/>
  <c r="QCE948" i="16"/>
  <c r="QBV948" i="16"/>
  <c r="QBU948" i="16" s="1"/>
  <c r="QBW948" i="16" s="1"/>
  <c r="QBS948" i="16"/>
  <c r="QBP948" i="16"/>
  <c r="QBR948" i="16" s="1"/>
  <c r="QBO948" i="16"/>
  <c r="QBF948" i="16"/>
  <c r="QBE948" i="16" s="1"/>
  <c r="QBG948" i="16" s="1"/>
  <c r="QBC948" i="16"/>
  <c r="QAZ948" i="16"/>
  <c r="QBB948" i="16" s="1"/>
  <c r="QAY948" i="16"/>
  <c r="QAP948" i="16"/>
  <c r="QAO948" i="16" s="1"/>
  <c r="QAQ948" i="16" s="1"/>
  <c r="QAM948" i="16"/>
  <c r="QAJ948" i="16"/>
  <c r="QAL948" i="16" s="1"/>
  <c r="QAI948" i="16"/>
  <c r="PZZ948" i="16"/>
  <c r="PZY948" i="16" s="1"/>
  <c r="QAA948" i="16" s="1"/>
  <c r="PZW948" i="16"/>
  <c r="PZT948" i="16"/>
  <c r="PZV948" i="16" s="1"/>
  <c r="PZS948" i="16"/>
  <c r="PZJ948" i="16"/>
  <c r="PZI948" i="16" s="1"/>
  <c r="PZK948" i="16" s="1"/>
  <c r="PZG948" i="16"/>
  <c r="PZD948" i="16"/>
  <c r="PZF948" i="16" s="1"/>
  <c r="PZC948" i="16"/>
  <c r="PYT948" i="16"/>
  <c r="PYS948" i="16" s="1"/>
  <c r="PYU948" i="16" s="1"/>
  <c r="PYQ948" i="16"/>
  <c r="PYN948" i="16"/>
  <c r="PYP948" i="16" s="1"/>
  <c r="PYM948" i="16"/>
  <c r="PYD948" i="16"/>
  <c r="PYC948" i="16" s="1"/>
  <c r="PYE948" i="16" s="1"/>
  <c r="PYA948" i="16"/>
  <c r="PXX948" i="16"/>
  <c r="PXZ948" i="16" s="1"/>
  <c r="PXW948" i="16"/>
  <c r="PXN948" i="16"/>
  <c r="PXM948" i="16" s="1"/>
  <c r="PXO948" i="16" s="1"/>
  <c r="PXK948" i="16"/>
  <c r="PXH948" i="16"/>
  <c r="PXJ948" i="16" s="1"/>
  <c r="PXG948" i="16"/>
  <c r="PWX948" i="16"/>
  <c r="PWW948" i="16" s="1"/>
  <c r="PWY948" i="16" s="1"/>
  <c r="PWU948" i="16"/>
  <c r="PWR948" i="16"/>
  <c r="PWT948" i="16" s="1"/>
  <c r="PWQ948" i="16"/>
  <c r="PWH948" i="16"/>
  <c r="PWG948" i="16" s="1"/>
  <c r="PWI948" i="16" s="1"/>
  <c r="PWE948" i="16"/>
  <c r="PWB948" i="16"/>
  <c r="PWD948" i="16" s="1"/>
  <c r="PWA948" i="16"/>
  <c r="PVR948" i="16"/>
  <c r="PVQ948" i="16" s="1"/>
  <c r="PVS948" i="16" s="1"/>
  <c r="PVO948" i="16"/>
  <c r="PVL948" i="16"/>
  <c r="PVN948" i="16" s="1"/>
  <c r="PVK948" i="16"/>
  <c r="PVB948" i="16"/>
  <c r="PVA948" i="16" s="1"/>
  <c r="PVC948" i="16" s="1"/>
  <c r="PUY948" i="16"/>
  <c r="PUV948" i="16"/>
  <c r="PUX948" i="16" s="1"/>
  <c r="PUU948" i="16"/>
  <c r="PUL948" i="16"/>
  <c r="PUK948" i="16" s="1"/>
  <c r="PUM948" i="16" s="1"/>
  <c r="PUI948" i="16"/>
  <c r="PUF948" i="16"/>
  <c r="PUH948" i="16" s="1"/>
  <c r="PUE948" i="16"/>
  <c r="PTV948" i="16"/>
  <c r="PTU948" i="16" s="1"/>
  <c r="PTW948" i="16" s="1"/>
  <c r="PTS948" i="16"/>
  <c r="PTP948" i="16"/>
  <c r="PTR948" i="16" s="1"/>
  <c r="PTO948" i="16"/>
  <c r="PTF948" i="16"/>
  <c r="PTE948" i="16" s="1"/>
  <c r="PTG948" i="16" s="1"/>
  <c r="PTC948" i="16"/>
  <c r="PSZ948" i="16"/>
  <c r="PTB948" i="16" s="1"/>
  <c r="PSY948" i="16"/>
  <c r="PSP948" i="16"/>
  <c r="PSO948" i="16" s="1"/>
  <c r="PSQ948" i="16" s="1"/>
  <c r="PSM948" i="16"/>
  <c r="PSJ948" i="16"/>
  <c r="PSL948" i="16" s="1"/>
  <c r="PSI948" i="16"/>
  <c r="PRZ948" i="16"/>
  <c r="PRY948" i="16" s="1"/>
  <c r="PSA948" i="16" s="1"/>
  <c r="PRW948" i="16"/>
  <c r="PRT948" i="16"/>
  <c r="PRV948" i="16" s="1"/>
  <c r="PRS948" i="16"/>
  <c r="PRJ948" i="16"/>
  <c r="PRI948" i="16" s="1"/>
  <c r="PRK948" i="16" s="1"/>
  <c r="PRG948" i="16"/>
  <c r="PRD948" i="16"/>
  <c r="PRF948" i="16" s="1"/>
  <c r="PRC948" i="16"/>
  <c r="PQT948" i="16"/>
  <c r="PQS948" i="16" s="1"/>
  <c r="PQU948" i="16" s="1"/>
  <c r="PQQ948" i="16"/>
  <c r="PQN948" i="16"/>
  <c r="PQP948" i="16" s="1"/>
  <c r="PQM948" i="16"/>
  <c r="PQD948" i="16"/>
  <c r="PQC948" i="16" s="1"/>
  <c r="PQE948" i="16" s="1"/>
  <c r="PQA948" i="16"/>
  <c r="PPX948" i="16"/>
  <c r="PPZ948" i="16" s="1"/>
  <c r="PPW948" i="16"/>
  <c r="PPN948" i="16"/>
  <c r="PPM948" i="16" s="1"/>
  <c r="PPO948" i="16" s="1"/>
  <c r="PPK948" i="16"/>
  <c r="PPH948" i="16"/>
  <c r="PPJ948" i="16" s="1"/>
  <c r="PPG948" i="16"/>
  <c r="POX948" i="16"/>
  <c r="POW948" i="16" s="1"/>
  <c r="POY948" i="16" s="1"/>
  <c r="POU948" i="16"/>
  <c r="POR948" i="16"/>
  <c r="POT948" i="16" s="1"/>
  <c r="POQ948" i="16"/>
  <c r="POH948" i="16"/>
  <c r="POG948" i="16" s="1"/>
  <c r="POI948" i="16" s="1"/>
  <c r="POE948" i="16"/>
  <c r="POB948" i="16"/>
  <c r="POD948" i="16" s="1"/>
  <c r="POA948" i="16"/>
  <c r="PNR948" i="16"/>
  <c r="PNQ948" i="16" s="1"/>
  <c r="PNS948" i="16" s="1"/>
  <c r="PNO948" i="16"/>
  <c r="PNL948" i="16"/>
  <c r="PNN948" i="16" s="1"/>
  <c r="PNK948" i="16"/>
  <c r="PNB948" i="16"/>
  <c r="PNA948" i="16" s="1"/>
  <c r="PNC948" i="16" s="1"/>
  <c r="PMY948" i="16"/>
  <c r="PMV948" i="16"/>
  <c r="PMX948" i="16" s="1"/>
  <c r="PMU948" i="16"/>
  <c r="PML948" i="16"/>
  <c r="PMK948" i="16" s="1"/>
  <c r="PMM948" i="16" s="1"/>
  <c r="PMI948" i="16"/>
  <c r="PMF948" i="16"/>
  <c r="PMH948" i="16" s="1"/>
  <c r="PME948" i="16"/>
  <c r="PLV948" i="16"/>
  <c r="PLU948" i="16" s="1"/>
  <c r="PLW948" i="16" s="1"/>
  <c r="PLS948" i="16"/>
  <c r="PLP948" i="16"/>
  <c r="PLR948" i="16" s="1"/>
  <c r="PLO948" i="16"/>
  <c r="PLF948" i="16"/>
  <c r="PLE948" i="16" s="1"/>
  <c r="PLG948" i="16" s="1"/>
  <c r="PLC948" i="16"/>
  <c r="PKZ948" i="16"/>
  <c r="PLB948" i="16" s="1"/>
  <c r="PKY948" i="16"/>
  <c r="PKP948" i="16"/>
  <c r="PKO948" i="16" s="1"/>
  <c r="PKQ948" i="16" s="1"/>
  <c r="PKM948" i="16"/>
  <c r="PKJ948" i="16"/>
  <c r="PKL948" i="16" s="1"/>
  <c r="PKI948" i="16"/>
  <c r="PJZ948" i="16"/>
  <c r="PJY948" i="16" s="1"/>
  <c r="PKA948" i="16" s="1"/>
  <c r="PJW948" i="16"/>
  <c r="PJT948" i="16"/>
  <c r="PJV948" i="16" s="1"/>
  <c r="PJS948" i="16"/>
  <c r="PJJ948" i="16"/>
  <c r="PJI948" i="16" s="1"/>
  <c r="PJK948" i="16" s="1"/>
  <c r="PJG948" i="16"/>
  <c r="PJD948" i="16"/>
  <c r="PJF948" i="16" s="1"/>
  <c r="PJC948" i="16"/>
  <c r="PIT948" i="16"/>
  <c r="PIS948" i="16" s="1"/>
  <c r="PIU948" i="16" s="1"/>
  <c r="PIQ948" i="16"/>
  <c r="PIN948" i="16"/>
  <c r="PIP948" i="16" s="1"/>
  <c r="PIM948" i="16"/>
  <c r="PID948" i="16"/>
  <c r="PIC948" i="16" s="1"/>
  <c r="PIE948" i="16" s="1"/>
  <c r="PIA948" i="16"/>
  <c r="PHX948" i="16"/>
  <c r="PHZ948" i="16" s="1"/>
  <c r="PHW948" i="16"/>
  <c r="PHN948" i="16"/>
  <c r="PHM948" i="16" s="1"/>
  <c r="PHO948" i="16" s="1"/>
  <c r="PHK948" i="16"/>
  <c r="PHH948" i="16"/>
  <c r="PHJ948" i="16" s="1"/>
  <c r="PHG948" i="16"/>
  <c r="PGX948" i="16"/>
  <c r="PGW948" i="16" s="1"/>
  <c r="PGY948" i="16" s="1"/>
  <c r="PGU948" i="16"/>
  <c r="PGR948" i="16"/>
  <c r="PGT948" i="16" s="1"/>
  <c r="PGQ948" i="16"/>
  <c r="PGH948" i="16"/>
  <c r="PGG948" i="16" s="1"/>
  <c r="PGI948" i="16" s="1"/>
  <c r="PGE948" i="16"/>
  <c r="PGB948" i="16"/>
  <c r="PGD948" i="16" s="1"/>
  <c r="PGA948" i="16"/>
  <c r="PFR948" i="16"/>
  <c r="PFQ948" i="16" s="1"/>
  <c r="PFS948" i="16" s="1"/>
  <c r="PFO948" i="16"/>
  <c r="PFL948" i="16"/>
  <c r="PFN948" i="16" s="1"/>
  <c r="PFK948" i="16"/>
  <c r="PFB948" i="16"/>
  <c r="PFA948" i="16" s="1"/>
  <c r="PFC948" i="16" s="1"/>
  <c r="PEY948" i="16"/>
  <c r="PEV948" i="16"/>
  <c r="PEX948" i="16" s="1"/>
  <c r="PEU948" i="16"/>
  <c r="PEL948" i="16"/>
  <c r="PEK948" i="16" s="1"/>
  <c r="PEM948" i="16" s="1"/>
  <c r="PEI948" i="16"/>
  <c r="PEF948" i="16"/>
  <c r="PEH948" i="16" s="1"/>
  <c r="PEE948" i="16"/>
  <c r="PDV948" i="16"/>
  <c r="PDU948" i="16" s="1"/>
  <c r="PDW948" i="16" s="1"/>
  <c r="PDS948" i="16"/>
  <c r="PDP948" i="16"/>
  <c r="PDR948" i="16" s="1"/>
  <c r="PDO948" i="16"/>
  <c r="PDF948" i="16"/>
  <c r="PDE948" i="16" s="1"/>
  <c r="PDG948" i="16" s="1"/>
  <c r="PDC948" i="16"/>
  <c r="PCZ948" i="16"/>
  <c r="PDB948" i="16" s="1"/>
  <c r="PCY948" i="16"/>
  <c r="PCP948" i="16"/>
  <c r="PCO948" i="16" s="1"/>
  <c r="PCQ948" i="16" s="1"/>
  <c r="PCM948" i="16"/>
  <c r="PCJ948" i="16"/>
  <c r="PCL948" i="16" s="1"/>
  <c r="PCI948" i="16"/>
  <c r="PBZ948" i="16"/>
  <c r="PBY948" i="16" s="1"/>
  <c r="PCA948" i="16" s="1"/>
  <c r="PBW948" i="16"/>
  <c r="PBT948" i="16"/>
  <c r="PBV948" i="16" s="1"/>
  <c r="PBS948" i="16"/>
  <c r="PBJ948" i="16"/>
  <c r="PBI948" i="16" s="1"/>
  <c r="PBK948" i="16" s="1"/>
  <c r="PBG948" i="16"/>
  <c r="PBD948" i="16"/>
  <c r="PBF948" i="16" s="1"/>
  <c r="PBC948" i="16"/>
  <c r="PAT948" i="16"/>
  <c r="PAS948" i="16" s="1"/>
  <c r="PAU948" i="16" s="1"/>
  <c r="PAQ948" i="16"/>
  <c r="PAN948" i="16"/>
  <c r="PAP948" i="16" s="1"/>
  <c r="PAM948" i="16"/>
  <c r="PAD948" i="16"/>
  <c r="PAC948" i="16" s="1"/>
  <c r="PAE948" i="16" s="1"/>
  <c r="PAA948" i="16"/>
  <c r="OZX948" i="16"/>
  <c r="OZZ948" i="16" s="1"/>
  <c r="OZW948" i="16"/>
  <c r="OZN948" i="16"/>
  <c r="OZM948" i="16" s="1"/>
  <c r="OZO948" i="16" s="1"/>
  <c r="OZK948" i="16"/>
  <c r="OZH948" i="16"/>
  <c r="OZJ948" i="16" s="1"/>
  <c r="OZG948" i="16"/>
  <c r="OYX948" i="16"/>
  <c r="OYW948" i="16" s="1"/>
  <c r="OYY948" i="16" s="1"/>
  <c r="OYU948" i="16"/>
  <c r="OYR948" i="16"/>
  <c r="OYT948" i="16" s="1"/>
  <c r="OYQ948" i="16"/>
  <c r="OYH948" i="16"/>
  <c r="OYG948" i="16" s="1"/>
  <c r="OYI948" i="16" s="1"/>
  <c r="OYE948" i="16"/>
  <c r="OYB948" i="16"/>
  <c r="OYD948" i="16" s="1"/>
  <c r="OYA948" i="16"/>
  <c r="OXR948" i="16"/>
  <c r="OXQ948" i="16" s="1"/>
  <c r="OXS948" i="16" s="1"/>
  <c r="OXO948" i="16"/>
  <c r="OXL948" i="16"/>
  <c r="OXN948" i="16" s="1"/>
  <c r="OXK948" i="16"/>
  <c r="OXB948" i="16"/>
  <c r="OXA948" i="16" s="1"/>
  <c r="OXC948" i="16" s="1"/>
  <c r="OWY948" i="16"/>
  <c r="OWV948" i="16"/>
  <c r="OWX948" i="16" s="1"/>
  <c r="OWU948" i="16"/>
  <c r="OWL948" i="16"/>
  <c r="OWK948" i="16" s="1"/>
  <c r="OWM948" i="16" s="1"/>
  <c r="OWI948" i="16"/>
  <c r="OWF948" i="16"/>
  <c r="OWH948" i="16" s="1"/>
  <c r="OWE948" i="16"/>
  <c r="OVV948" i="16"/>
  <c r="OVU948" i="16" s="1"/>
  <c r="OVW948" i="16" s="1"/>
  <c r="OVS948" i="16"/>
  <c r="OVP948" i="16"/>
  <c r="OVR948" i="16" s="1"/>
  <c r="OVO948" i="16"/>
  <c r="OVF948" i="16"/>
  <c r="OVE948" i="16" s="1"/>
  <c r="OVG948" i="16" s="1"/>
  <c r="OVC948" i="16"/>
  <c r="OUZ948" i="16"/>
  <c r="OVB948" i="16" s="1"/>
  <c r="OUY948" i="16"/>
  <c r="OUP948" i="16"/>
  <c r="OUO948" i="16" s="1"/>
  <c r="OUQ948" i="16" s="1"/>
  <c r="OUM948" i="16"/>
  <c r="OUJ948" i="16"/>
  <c r="OUL948" i="16" s="1"/>
  <c r="OUI948" i="16"/>
  <c r="OTZ948" i="16"/>
  <c r="OTY948" i="16" s="1"/>
  <c r="OUA948" i="16" s="1"/>
  <c r="OTW948" i="16"/>
  <c r="OTT948" i="16"/>
  <c r="OTV948" i="16" s="1"/>
  <c r="OTS948" i="16"/>
  <c r="OTJ948" i="16"/>
  <c r="OTI948" i="16" s="1"/>
  <c r="OTK948" i="16" s="1"/>
  <c r="OTG948" i="16"/>
  <c r="OTD948" i="16"/>
  <c r="OTF948" i="16" s="1"/>
  <c r="OTC948" i="16"/>
  <c r="OST948" i="16"/>
  <c r="OSS948" i="16" s="1"/>
  <c r="OSU948" i="16" s="1"/>
  <c r="OSQ948" i="16"/>
  <c r="OSN948" i="16"/>
  <c r="OSP948" i="16" s="1"/>
  <c r="OSM948" i="16"/>
  <c r="OSD948" i="16"/>
  <c r="OSC948" i="16" s="1"/>
  <c r="OSE948" i="16" s="1"/>
  <c r="OSA948" i="16"/>
  <c r="ORX948" i="16"/>
  <c r="ORZ948" i="16" s="1"/>
  <c r="ORW948" i="16"/>
  <c r="ORN948" i="16"/>
  <c r="ORM948" i="16" s="1"/>
  <c r="ORO948" i="16" s="1"/>
  <c r="ORK948" i="16"/>
  <c r="ORH948" i="16"/>
  <c r="ORJ948" i="16" s="1"/>
  <c r="ORG948" i="16"/>
  <c r="OQX948" i="16"/>
  <c r="OQW948" i="16" s="1"/>
  <c r="OQY948" i="16" s="1"/>
  <c r="OQU948" i="16"/>
  <c r="OQR948" i="16"/>
  <c r="OQT948" i="16" s="1"/>
  <c r="OQQ948" i="16"/>
  <c r="OQH948" i="16"/>
  <c r="OQG948" i="16" s="1"/>
  <c r="OQI948" i="16" s="1"/>
  <c r="OQE948" i="16"/>
  <c r="OQB948" i="16"/>
  <c r="OQD948" i="16" s="1"/>
  <c r="OQA948" i="16"/>
  <c r="OPR948" i="16"/>
  <c r="OPQ948" i="16" s="1"/>
  <c r="OPS948" i="16" s="1"/>
  <c r="OPO948" i="16"/>
  <c r="OPL948" i="16"/>
  <c r="OPN948" i="16" s="1"/>
  <c r="OPK948" i="16"/>
  <c r="OPB948" i="16"/>
  <c r="OPA948" i="16" s="1"/>
  <c r="OPC948" i="16" s="1"/>
  <c r="OOY948" i="16"/>
  <c r="OOV948" i="16"/>
  <c r="OOX948" i="16" s="1"/>
  <c r="OOU948" i="16"/>
  <c r="OOL948" i="16"/>
  <c r="OOK948" i="16" s="1"/>
  <c r="OOM948" i="16" s="1"/>
  <c r="OOI948" i="16"/>
  <c r="OOF948" i="16"/>
  <c r="OOH948" i="16" s="1"/>
  <c r="OOE948" i="16"/>
  <c r="ONV948" i="16"/>
  <c r="ONU948" i="16" s="1"/>
  <c r="ONW948" i="16" s="1"/>
  <c r="ONS948" i="16"/>
  <c r="ONP948" i="16"/>
  <c r="ONR948" i="16" s="1"/>
  <c r="ONO948" i="16"/>
  <c r="ONF948" i="16"/>
  <c r="ONE948" i="16" s="1"/>
  <c r="ONG948" i="16" s="1"/>
  <c r="ONC948" i="16"/>
  <c r="OMZ948" i="16"/>
  <c r="ONB948" i="16" s="1"/>
  <c r="OMY948" i="16"/>
  <c r="OMP948" i="16"/>
  <c r="OMO948" i="16" s="1"/>
  <c r="OMQ948" i="16" s="1"/>
  <c r="OMM948" i="16"/>
  <c r="OMJ948" i="16"/>
  <c r="OML948" i="16" s="1"/>
  <c r="OMI948" i="16"/>
  <c r="OLZ948" i="16"/>
  <c r="OLY948" i="16" s="1"/>
  <c r="OMA948" i="16" s="1"/>
  <c r="OLW948" i="16"/>
  <c r="OLT948" i="16"/>
  <c r="OLV948" i="16" s="1"/>
  <c r="OLS948" i="16"/>
  <c r="OLJ948" i="16"/>
  <c r="OLI948" i="16" s="1"/>
  <c r="OLK948" i="16" s="1"/>
  <c r="OLG948" i="16"/>
  <c r="OLD948" i="16"/>
  <c r="OLF948" i="16" s="1"/>
  <c r="OLC948" i="16"/>
  <c r="OKT948" i="16"/>
  <c r="OKS948" i="16" s="1"/>
  <c r="OKU948" i="16" s="1"/>
  <c r="OKQ948" i="16"/>
  <c r="OKN948" i="16"/>
  <c r="OKP948" i="16" s="1"/>
  <c r="OKM948" i="16"/>
  <c r="OKD948" i="16"/>
  <c r="OKC948" i="16" s="1"/>
  <c r="OKE948" i="16" s="1"/>
  <c r="OKA948" i="16"/>
  <c r="OJX948" i="16"/>
  <c r="OJZ948" i="16" s="1"/>
  <c r="OJW948" i="16"/>
  <c r="OJN948" i="16"/>
  <c r="OJM948" i="16" s="1"/>
  <c r="OJO948" i="16" s="1"/>
  <c r="OJK948" i="16"/>
  <c r="OJH948" i="16"/>
  <c r="OJJ948" i="16" s="1"/>
  <c r="OJG948" i="16"/>
  <c r="OIX948" i="16"/>
  <c r="OIW948" i="16" s="1"/>
  <c r="OIY948" i="16" s="1"/>
  <c r="OIU948" i="16"/>
  <c r="OIR948" i="16"/>
  <c r="OIT948" i="16" s="1"/>
  <c r="OIQ948" i="16"/>
  <c r="OIH948" i="16"/>
  <c r="OIG948" i="16" s="1"/>
  <c r="OII948" i="16" s="1"/>
  <c r="OIE948" i="16"/>
  <c r="OIB948" i="16"/>
  <c r="OID948" i="16" s="1"/>
  <c r="OIA948" i="16"/>
  <c r="OHR948" i="16"/>
  <c r="OHQ948" i="16" s="1"/>
  <c r="OHS948" i="16" s="1"/>
  <c r="OHO948" i="16"/>
  <c r="OHL948" i="16"/>
  <c r="OHN948" i="16" s="1"/>
  <c r="OHK948" i="16"/>
  <c r="OHB948" i="16"/>
  <c r="OHA948" i="16" s="1"/>
  <c r="OHC948" i="16" s="1"/>
  <c r="OGY948" i="16"/>
  <c r="OGV948" i="16"/>
  <c r="OGX948" i="16" s="1"/>
  <c r="OGU948" i="16"/>
  <c r="OGL948" i="16"/>
  <c r="OGK948" i="16" s="1"/>
  <c r="OGM948" i="16" s="1"/>
  <c r="OGI948" i="16"/>
  <c r="OGF948" i="16"/>
  <c r="OGH948" i="16" s="1"/>
  <c r="OGE948" i="16"/>
  <c r="OFV948" i="16"/>
  <c r="OFU948" i="16" s="1"/>
  <c r="OFW948" i="16" s="1"/>
  <c r="OFS948" i="16"/>
  <c r="OFP948" i="16"/>
  <c r="OFR948" i="16" s="1"/>
  <c r="OFO948" i="16"/>
  <c r="OFF948" i="16"/>
  <c r="OFE948" i="16" s="1"/>
  <c r="OFG948" i="16" s="1"/>
  <c r="OFC948" i="16"/>
  <c r="OEZ948" i="16"/>
  <c r="OFB948" i="16" s="1"/>
  <c r="OEY948" i="16"/>
  <c r="OEP948" i="16"/>
  <c r="OEO948" i="16" s="1"/>
  <c r="OEQ948" i="16" s="1"/>
  <c r="OEM948" i="16"/>
  <c r="OEJ948" i="16"/>
  <c r="OEL948" i="16" s="1"/>
  <c r="OEI948" i="16"/>
  <c r="ODZ948" i="16"/>
  <c r="ODY948" i="16" s="1"/>
  <c r="OEA948" i="16" s="1"/>
  <c r="ODW948" i="16"/>
  <c r="ODT948" i="16"/>
  <c r="ODV948" i="16" s="1"/>
  <c r="ODS948" i="16"/>
  <c r="ODJ948" i="16"/>
  <c r="ODI948" i="16" s="1"/>
  <c r="ODK948" i="16" s="1"/>
  <c r="ODG948" i="16"/>
  <c r="ODD948" i="16"/>
  <c r="ODF948" i="16" s="1"/>
  <c r="ODC948" i="16"/>
  <c r="OCT948" i="16"/>
  <c r="OCS948" i="16" s="1"/>
  <c r="OCU948" i="16" s="1"/>
  <c r="OCQ948" i="16"/>
  <c r="OCN948" i="16"/>
  <c r="OCP948" i="16" s="1"/>
  <c r="OCM948" i="16"/>
  <c r="OCD948" i="16"/>
  <c r="OCC948" i="16" s="1"/>
  <c r="OCE948" i="16" s="1"/>
  <c r="OCA948" i="16"/>
  <c r="OBX948" i="16"/>
  <c r="OBZ948" i="16" s="1"/>
  <c r="OBW948" i="16"/>
  <c r="OBN948" i="16"/>
  <c r="OBM948" i="16" s="1"/>
  <c r="OBO948" i="16" s="1"/>
  <c r="OBK948" i="16"/>
  <c r="OBH948" i="16"/>
  <c r="OBJ948" i="16" s="1"/>
  <c r="OBG948" i="16"/>
  <c r="OAX948" i="16"/>
  <c r="OAW948" i="16" s="1"/>
  <c r="OAY948" i="16" s="1"/>
  <c r="OAU948" i="16"/>
  <c r="OAR948" i="16"/>
  <c r="OAT948" i="16" s="1"/>
  <c r="OAQ948" i="16"/>
  <c r="OAH948" i="16"/>
  <c r="OAG948" i="16" s="1"/>
  <c r="OAI948" i="16" s="1"/>
  <c r="OAE948" i="16"/>
  <c r="OAB948" i="16"/>
  <c r="OAD948" i="16" s="1"/>
  <c r="OAA948" i="16"/>
  <c r="NZR948" i="16"/>
  <c r="NZQ948" i="16" s="1"/>
  <c r="NZS948" i="16" s="1"/>
  <c r="NZO948" i="16"/>
  <c r="NZL948" i="16"/>
  <c r="NZN948" i="16" s="1"/>
  <c r="NZK948" i="16"/>
  <c r="NZB948" i="16"/>
  <c r="NZA948" i="16" s="1"/>
  <c r="NZC948" i="16" s="1"/>
  <c r="NYY948" i="16"/>
  <c r="NYV948" i="16"/>
  <c r="NYX948" i="16" s="1"/>
  <c r="NYU948" i="16"/>
  <c r="NYL948" i="16"/>
  <c r="NYK948" i="16" s="1"/>
  <c r="NYM948" i="16" s="1"/>
  <c r="NYI948" i="16"/>
  <c r="NYF948" i="16"/>
  <c r="NYH948" i="16" s="1"/>
  <c r="NYE948" i="16"/>
  <c r="NXV948" i="16"/>
  <c r="NXU948" i="16" s="1"/>
  <c r="NXW948" i="16" s="1"/>
  <c r="NXS948" i="16"/>
  <c r="NXP948" i="16"/>
  <c r="NXR948" i="16" s="1"/>
  <c r="NXO948" i="16"/>
  <c r="NXF948" i="16"/>
  <c r="NXE948" i="16" s="1"/>
  <c r="NXG948" i="16" s="1"/>
  <c r="NXC948" i="16"/>
  <c r="NWZ948" i="16"/>
  <c r="NXB948" i="16" s="1"/>
  <c r="NWY948" i="16"/>
  <c r="NWP948" i="16"/>
  <c r="NWO948" i="16" s="1"/>
  <c r="NWQ948" i="16" s="1"/>
  <c r="NWM948" i="16"/>
  <c r="NWJ948" i="16"/>
  <c r="NWL948" i="16" s="1"/>
  <c r="NWI948" i="16"/>
  <c r="NVZ948" i="16"/>
  <c r="NVY948" i="16" s="1"/>
  <c r="NWA948" i="16" s="1"/>
  <c r="NVW948" i="16"/>
  <c r="NVT948" i="16"/>
  <c r="NVV948" i="16" s="1"/>
  <c r="NVS948" i="16"/>
  <c r="NVJ948" i="16"/>
  <c r="NVI948" i="16" s="1"/>
  <c r="NVK948" i="16" s="1"/>
  <c r="NVG948" i="16"/>
  <c r="NVD948" i="16"/>
  <c r="NVF948" i="16" s="1"/>
  <c r="NVC948" i="16"/>
  <c r="NUT948" i="16"/>
  <c r="NUS948" i="16" s="1"/>
  <c r="NUU948" i="16" s="1"/>
  <c r="NUQ948" i="16"/>
  <c r="NUN948" i="16"/>
  <c r="NUP948" i="16" s="1"/>
  <c r="NUM948" i="16"/>
  <c r="NUD948" i="16"/>
  <c r="NUC948" i="16" s="1"/>
  <c r="NUE948" i="16" s="1"/>
  <c r="NUA948" i="16"/>
  <c r="NTX948" i="16"/>
  <c r="NTZ948" i="16" s="1"/>
  <c r="NTW948" i="16"/>
  <c r="NTN948" i="16"/>
  <c r="NTM948" i="16" s="1"/>
  <c r="NTO948" i="16" s="1"/>
  <c r="NTK948" i="16"/>
  <c r="NTH948" i="16"/>
  <c r="NTJ948" i="16" s="1"/>
  <c r="NTG948" i="16"/>
  <c r="NSX948" i="16"/>
  <c r="NSW948" i="16" s="1"/>
  <c r="NSY948" i="16" s="1"/>
  <c r="NSU948" i="16"/>
  <c r="NSR948" i="16"/>
  <c r="NST948" i="16" s="1"/>
  <c r="NSQ948" i="16"/>
  <c r="NSH948" i="16"/>
  <c r="NSG948" i="16" s="1"/>
  <c r="NSI948" i="16" s="1"/>
  <c r="NSE948" i="16"/>
  <c r="NSB948" i="16"/>
  <c r="NSD948" i="16" s="1"/>
  <c r="NSA948" i="16"/>
  <c r="NRR948" i="16"/>
  <c r="NRQ948" i="16" s="1"/>
  <c r="NRS948" i="16" s="1"/>
  <c r="NRO948" i="16"/>
  <c r="NRL948" i="16"/>
  <c r="NRN948" i="16" s="1"/>
  <c r="NRK948" i="16"/>
  <c r="NRB948" i="16"/>
  <c r="NRA948" i="16" s="1"/>
  <c r="NRC948" i="16" s="1"/>
  <c r="NQY948" i="16"/>
  <c r="NQV948" i="16"/>
  <c r="NQX948" i="16" s="1"/>
  <c r="NQU948" i="16"/>
  <c r="NQL948" i="16"/>
  <c r="NQK948" i="16" s="1"/>
  <c r="NQM948" i="16" s="1"/>
  <c r="NQI948" i="16"/>
  <c r="NQF948" i="16"/>
  <c r="NQH948" i="16" s="1"/>
  <c r="NQE948" i="16"/>
  <c r="NPV948" i="16"/>
  <c r="NPU948" i="16" s="1"/>
  <c r="NPW948" i="16" s="1"/>
  <c r="NPS948" i="16"/>
  <c r="NPP948" i="16"/>
  <c r="NPR948" i="16" s="1"/>
  <c r="NPO948" i="16"/>
  <c r="NPF948" i="16"/>
  <c r="NPE948" i="16" s="1"/>
  <c r="NPG948" i="16" s="1"/>
  <c r="NPC948" i="16"/>
  <c r="NOZ948" i="16"/>
  <c r="NPB948" i="16" s="1"/>
  <c r="NOY948" i="16"/>
  <c r="NOP948" i="16"/>
  <c r="NOO948" i="16" s="1"/>
  <c r="NOQ948" i="16" s="1"/>
  <c r="NOM948" i="16"/>
  <c r="NOJ948" i="16"/>
  <c r="NOL948" i="16" s="1"/>
  <c r="NOI948" i="16"/>
  <c r="NNZ948" i="16"/>
  <c r="NNY948" i="16" s="1"/>
  <c r="NOA948" i="16" s="1"/>
  <c r="NNW948" i="16"/>
  <c r="NNT948" i="16"/>
  <c r="NNV948" i="16" s="1"/>
  <c r="NNS948" i="16"/>
  <c r="NNJ948" i="16"/>
  <c r="NNI948" i="16" s="1"/>
  <c r="NNK948" i="16" s="1"/>
  <c r="NNG948" i="16"/>
  <c r="NND948" i="16"/>
  <c r="NNF948" i="16" s="1"/>
  <c r="NNC948" i="16"/>
  <c r="NMT948" i="16"/>
  <c r="NMS948" i="16" s="1"/>
  <c r="NMU948" i="16" s="1"/>
  <c r="NMQ948" i="16"/>
  <c r="NMN948" i="16"/>
  <c r="NMP948" i="16" s="1"/>
  <c r="NMM948" i="16"/>
  <c r="NMD948" i="16"/>
  <c r="NMC948" i="16" s="1"/>
  <c r="NME948" i="16" s="1"/>
  <c r="NMA948" i="16"/>
  <c r="NLX948" i="16"/>
  <c r="NLZ948" i="16" s="1"/>
  <c r="NLW948" i="16"/>
  <c r="NLN948" i="16"/>
  <c r="NLM948" i="16" s="1"/>
  <c r="NLO948" i="16" s="1"/>
  <c r="NLK948" i="16"/>
  <c r="NLH948" i="16"/>
  <c r="NLJ948" i="16" s="1"/>
  <c r="NLG948" i="16"/>
  <c r="NKX948" i="16"/>
  <c r="NKW948" i="16" s="1"/>
  <c r="NKY948" i="16" s="1"/>
  <c r="NKU948" i="16"/>
  <c r="NKR948" i="16"/>
  <c r="NKT948" i="16" s="1"/>
  <c r="NKQ948" i="16"/>
  <c r="NKH948" i="16"/>
  <c r="NKG948" i="16" s="1"/>
  <c r="NKI948" i="16" s="1"/>
  <c r="NKE948" i="16"/>
  <c r="NKB948" i="16"/>
  <c r="NKD948" i="16" s="1"/>
  <c r="NKA948" i="16"/>
  <c r="NJR948" i="16"/>
  <c r="NJQ948" i="16" s="1"/>
  <c r="NJS948" i="16" s="1"/>
  <c r="NJO948" i="16"/>
  <c r="NJL948" i="16"/>
  <c r="NJN948" i="16" s="1"/>
  <c r="NJK948" i="16"/>
  <c r="NJB948" i="16"/>
  <c r="NJA948" i="16" s="1"/>
  <c r="NJC948" i="16" s="1"/>
  <c r="NIY948" i="16"/>
  <c r="NIV948" i="16"/>
  <c r="NIX948" i="16" s="1"/>
  <c r="NIU948" i="16"/>
  <c r="NIL948" i="16"/>
  <c r="NIK948" i="16" s="1"/>
  <c r="NIM948" i="16" s="1"/>
  <c r="NII948" i="16"/>
  <c r="NIF948" i="16"/>
  <c r="NIH948" i="16" s="1"/>
  <c r="NIE948" i="16"/>
  <c r="NHV948" i="16"/>
  <c r="NHU948" i="16" s="1"/>
  <c r="NHW948" i="16" s="1"/>
  <c r="NHS948" i="16"/>
  <c r="NHP948" i="16"/>
  <c r="NHR948" i="16" s="1"/>
  <c r="NHO948" i="16"/>
  <c r="NHF948" i="16"/>
  <c r="NHE948" i="16" s="1"/>
  <c r="NHG948" i="16" s="1"/>
  <c r="NHC948" i="16"/>
  <c r="NGZ948" i="16"/>
  <c r="NHB948" i="16" s="1"/>
  <c r="NGY948" i="16"/>
  <c r="NGP948" i="16"/>
  <c r="NGO948" i="16" s="1"/>
  <c r="NGQ948" i="16" s="1"/>
  <c r="NGM948" i="16"/>
  <c r="NGJ948" i="16"/>
  <c r="NGL948" i="16" s="1"/>
  <c r="NGI948" i="16"/>
  <c r="NFZ948" i="16"/>
  <c r="NFY948" i="16" s="1"/>
  <c r="NGA948" i="16" s="1"/>
  <c r="NFW948" i="16"/>
  <c r="NFT948" i="16"/>
  <c r="NFV948" i="16" s="1"/>
  <c r="NFS948" i="16"/>
  <c r="NFJ948" i="16"/>
  <c r="NFI948" i="16" s="1"/>
  <c r="NFK948" i="16" s="1"/>
  <c r="NFG948" i="16"/>
  <c r="NFD948" i="16"/>
  <c r="NFF948" i="16" s="1"/>
  <c r="NFC948" i="16"/>
  <c r="NET948" i="16"/>
  <c r="NES948" i="16" s="1"/>
  <c r="NEU948" i="16" s="1"/>
  <c r="NEQ948" i="16"/>
  <c r="NEN948" i="16"/>
  <c r="NEP948" i="16" s="1"/>
  <c r="NEM948" i="16"/>
  <c r="NED948" i="16"/>
  <c r="NEC948" i="16" s="1"/>
  <c r="NEE948" i="16" s="1"/>
  <c r="NEA948" i="16"/>
  <c r="NDX948" i="16"/>
  <c r="NDZ948" i="16" s="1"/>
  <c r="NDW948" i="16"/>
  <c r="NDN948" i="16"/>
  <c r="NDM948" i="16" s="1"/>
  <c r="NDO948" i="16" s="1"/>
  <c r="NDK948" i="16"/>
  <c r="NDH948" i="16"/>
  <c r="NDJ948" i="16" s="1"/>
  <c r="NDG948" i="16"/>
  <c r="NCX948" i="16"/>
  <c r="NCW948" i="16" s="1"/>
  <c r="NCY948" i="16" s="1"/>
  <c r="NCU948" i="16"/>
  <c r="NCR948" i="16"/>
  <c r="NCT948" i="16" s="1"/>
  <c r="NCQ948" i="16"/>
  <c r="NCH948" i="16"/>
  <c r="NCG948" i="16" s="1"/>
  <c r="NCI948" i="16" s="1"/>
  <c r="NCE948" i="16"/>
  <c r="NCB948" i="16"/>
  <c r="NCD948" i="16" s="1"/>
  <c r="NCA948" i="16"/>
  <c r="NBR948" i="16"/>
  <c r="NBQ948" i="16" s="1"/>
  <c r="NBS948" i="16" s="1"/>
  <c r="NBO948" i="16"/>
  <c r="NBL948" i="16"/>
  <c r="NBN948" i="16" s="1"/>
  <c r="NBK948" i="16"/>
  <c r="NBB948" i="16"/>
  <c r="NBA948" i="16" s="1"/>
  <c r="NBC948" i="16" s="1"/>
  <c r="NAY948" i="16"/>
  <c r="NAV948" i="16"/>
  <c r="NAX948" i="16" s="1"/>
  <c r="NAU948" i="16"/>
  <c r="NAL948" i="16"/>
  <c r="NAK948" i="16" s="1"/>
  <c r="NAM948" i="16" s="1"/>
  <c r="NAI948" i="16"/>
  <c r="NAF948" i="16"/>
  <c r="NAH948" i="16" s="1"/>
  <c r="NAE948" i="16"/>
  <c r="MZV948" i="16"/>
  <c r="MZU948" i="16" s="1"/>
  <c r="MZW948" i="16" s="1"/>
  <c r="MZS948" i="16"/>
  <c r="MZP948" i="16"/>
  <c r="MZR948" i="16" s="1"/>
  <c r="MZO948" i="16"/>
  <c r="MZF948" i="16"/>
  <c r="MZE948" i="16" s="1"/>
  <c r="MZG948" i="16" s="1"/>
  <c r="MZC948" i="16"/>
  <c r="MYZ948" i="16"/>
  <c r="MZB948" i="16" s="1"/>
  <c r="MYY948" i="16"/>
  <c r="MYP948" i="16"/>
  <c r="MYO948" i="16" s="1"/>
  <c r="MYQ948" i="16" s="1"/>
  <c r="MYM948" i="16"/>
  <c r="MYJ948" i="16"/>
  <c r="MYL948" i="16" s="1"/>
  <c r="MYI948" i="16"/>
  <c r="MXZ948" i="16"/>
  <c r="MXY948" i="16" s="1"/>
  <c r="MYA948" i="16" s="1"/>
  <c r="MXW948" i="16"/>
  <c r="MXT948" i="16"/>
  <c r="MXV948" i="16" s="1"/>
  <c r="MXS948" i="16"/>
  <c r="MXJ948" i="16"/>
  <c r="MXI948" i="16" s="1"/>
  <c r="MXK948" i="16" s="1"/>
  <c r="MXG948" i="16"/>
  <c r="MXD948" i="16"/>
  <c r="MXF948" i="16" s="1"/>
  <c r="MXC948" i="16"/>
  <c r="MWT948" i="16"/>
  <c r="MWS948" i="16" s="1"/>
  <c r="MWU948" i="16" s="1"/>
  <c r="MWQ948" i="16"/>
  <c r="MWN948" i="16"/>
  <c r="MWP948" i="16" s="1"/>
  <c r="MWM948" i="16"/>
  <c r="MWD948" i="16"/>
  <c r="MWC948" i="16" s="1"/>
  <c r="MWE948" i="16" s="1"/>
  <c r="MWA948" i="16"/>
  <c r="MVX948" i="16"/>
  <c r="MVZ948" i="16" s="1"/>
  <c r="MVW948" i="16"/>
  <c r="MVN948" i="16"/>
  <c r="MVM948" i="16" s="1"/>
  <c r="MVO948" i="16" s="1"/>
  <c r="MVK948" i="16"/>
  <c r="MVH948" i="16"/>
  <c r="MVJ948" i="16" s="1"/>
  <c r="MVG948" i="16"/>
  <c r="MUX948" i="16"/>
  <c r="MUW948" i="16" s="1"/>
  <c r="MUY948" i="16" s="1"/>
  <c r="MUU948" i="16"/>
  <c r="MUR948" i="16"/>
  <c r="MUT948" i="16" s="1"/>
  <c r="MUQ948" i="16"/>
  <c r="MUH948" i="16"/>
  <c r="MUG948" i="16" s="1"/>
  <c r="MUI948" i="16" s="1"/>
  <c r="MUE948" i="16"/>
  <c r="MUB948" i="16"/>
  <c r="MUD948" i="16" s="1"/>
  <c r="MUA948" i="16"/>
  <c r="MTR948" i="16"/>
  <c r="MTQ948" i="16" s="1"/>
  <c r="MTS948" i="16" s="1"/>
  <c r="MTO948" i="16"/>
  <c r="MTL948" i="16"/>
  <c r="MTN948" i="16" s="1"/>
  <c r="MTK948" i="16"/>
  <c r="MTB948" i="16"/>
  <c r="MTA948" i="16" s="1"/>
  <c r="MTC948" i="16" s="1"/>
  <c r="MSY948" i="16"/>
  <c r="MSV948" i="16"/>
  <c r="MSX948" i="16" s="1"/>
  <c r="MSU948" i="16"/>
  <c r="MSL948" i="16"/>
  <c r="MSK948" i="16" s="1"/>
  <c r="MSM948" i="16" s="1"/>
  <c r="MSI948" i="16"/>
  <c r="MSF948" i="16"/>
  <c r="MSH948" i="16" s="1"/>
  <c r="MSE948" i="16"/>
  <c r="MRV948" i="16"/>
  <c r="MRU948" i="16" s="1"/>
  <c r="MRW948" i="16" s="1"/>
  <c r="MRS948" i="16"/>
  <c r="MRP948" i="16"/>
  <c r="MRR948" i="16" s="1"/>
  <c r="MRO948" i="16"/>
  <c r="MRF948" i="16"/>
  <c r="MRE948" i="16" s="1"/>
  <c r="MRG948" i="16" s="1"/>
  <c r="MRC948" i="16"/>
  <c r="MQZ948" i="16"/>
  <c r="MRB948" i="16" s="1"/>
  <c r="MQY948" i="16"/>
  <c r="MQP948" i="16"/>
  <c r="MQO948" i="16" s="1"/>
  <c r="MQQ948" i="16" s="1"/>
  <c r="MQM948" i="16"/>
  <c r="MQJ948" i="16"/>
  <c r="MQL948" i="16" s="1"/>
  <c r="MQI948" i="16"/>
  <c r="MPZ948" i="16"/>
  <c r="MPY948" i="16" s="1"/>
  <c r="MQA948" i="16" s="1"/>
  <c r="MPW948" i="16"/>
  <c r="MPT948" i="16"/>
  <c r="MPV948" i="16" s="1"/>
  <c r="MPS948" i="16"/>
  <c r="MPJ948" i="16"/>
  <c r="MPI948" i="16" s="1"/>
  <c r="MPK948" i="16" s="1"/>
  <c r="MPG948" i="16"/>
  <c r="MPD948" i="16"/>
  <c r="MPF948" i="16" s="1"/>
  <c r="MPC948" i="16"/>
  <c r="MOT948" i="16"/>
  <c r="MOS948" i="16" s="1"/>
  <c r="MOU948" i="16" s="1"/>
  <c r="MOQ948" i="16"/>
  <c r="MON948" i="16"/>
  <c r="MOP948" i="16" s="1"/>
  <c r="MOM948" i="16"/>
  <c r="MOD948" i="16"/>
  <c r="MOC948" i="16" s="1"/>
  <c r="MOE948" i="16" s="1"/>
  <c r="MOA948" i="16"/>
  <c r="MNX948" i="16"/>
  <c r="MNZ948" i="16" s="1"/>
  <c r="MNW948" i="16"/>
  <c r="MNN948" i="16"/>
  <c r="MNM948" i="16" s="1"/>
  <c r="MNO948" i="16" s="1"/>
  <c r="MNK948" i="16"/>
  <c r="MNH948" i="16"/>
  <c r="MNJ948" i="16" s="1"/>
  <c r="MNG948" i="16"/>
  <c r="MMX948" i="16"/>
  <c r="MMW948" i="16" s="1"/>
  <c r="MMY948" i="16" s="1"/>
  <c r="MMU948" i="16"/>
  <c r="MMR948" i="16"/>
  <c r="MMT948" i="16" s="1"/>
  <c r="MMQ948" i="16"/>
  <c r="MMH948" i="16"/>
  <c r="MMG948" i="16" s="1"/>
  <c r="MMI948" i="16" s="1"/>
  <c r="MME948" i="16"/>
  <c r="MMB948" i="16"/>
  <c r="MMD948" i="16" s="1"/>
  <c r="MMA948" i="16"/>
  <c r="MLR948" i="16"/>
  <c r="MLQ948" i="16" s="1"/>
  <c r="MLS948" i="16" s="1"/>
  <c r="MLO948" i="16"/>
  <c r="MLL948" i="16"/>
  <c r="MLN948" i="16" s="1"/>
  <c r="MLK948" i="16"/>
  <c r="MLB948" i="16"/>
  <c r="MLA948" i="16" s="1"/>
  <c r="MLC948" i="16" s="1"/>
  <c r="MKY948" i="16"/>
  <c r="MKV948" i="16"/>
  <c r="MKX948" i="16" s="1"/>
  <c r="MKU948" i="16"/>
  <c r="MKL948" i="16"/>
  <c r="MKK948" i="16" s="1"/>
  <c r="MKM948" i="16" s="1"/>
  <c r="MKI948" i="16"/>
  <c r="MKF948" i="16"/>
  <c r="MKH948" i="16" s="1"/>
  <c r="MKE948" i="16"/>
  <c r="MJV948" i="16"/>
  <c r="MJU948" i="16" s="1"/>
  <c r="MJW948" i="16" s="1"/>
  <c r="MJS948" i="16"/>
  <c r="MJP948" i="16"/>
  <c r="MJR948" i="16" s="1"/>
  <c r="MJO948" i="16"/>
  <c r="MJF948" i="16"/>
  <c r="MJE948" i="16" s="1"/>
  <c r="MJG948" i="16" s="1"/>
  <c r="MJC948" i="16"/>
  <c r="MIZ948" i="16"/>
  <c r="MJB948" i="16" s="1"/>
  <c r="MIY948" i="16"/>
  <c r="MIP948" i="16"/>
  <c r="MIO948" i="16" s="1"/>
  <c r="MIQ948" i="16" s="1"/>
  <c r="MIM948" i="16"/>
  <c r="MIJ948" i="16"/>
  <c r="MIL948" i="16" s="1"/>
  <c r="MII948" i="16"/>
  <c r="MHZ948" i="16"/>
  <c r="MHY948" i="16" s="1"/>
  <c r="MIA948" i="16" s="1"/>
  <c r="MHW948" i="16"/>
  <c r="MHT948" i="16"/>
  <c r="MHV948" i="16" s="1"/>
  <c r="MHS948" i="16"/>
  <c r="MHJ948" i="16"/>
  <c r="MHI948" i="16" s="1"/>
  <c r="MHK948" i="16" s="1"/>
  <c r="MHG948" i="16"/>
  <c r="MHD948" i="16"/>
  <c r="MHF948" i="16" s="1"/>
  <c r="MHC948" i="16"/>
  <c r="MGT948" i="16"/>
  <c r="MGS948" i="16" s="1"/>
  <c r="MGU948" i="16" s="1"/>
  <c r="MGQ948" i="16"/>
  <c r="MGN948" i="16"/>
  <c r="MGP948" i="16" s="1"/>
  <c r="MGM948" i="16"/>
  <c r="MGD948" i="16"/>
  <c r="MGC948" i="16" s="1"/>
  <c r="MGE948" i="16" s="1"/>
  <c r="MGA948" i="16"/>
  <c r="MFX948" i="16"/>
  <c r="MFZ948" i="16" s="1"/>
  <c r="MFW948" i="16"/>
  <c r="MFN948" i="16"/>
  <c r="MFM948" i="16" s="1"/>
  <c r="MFO948" i="16" s="1"/>
  <c r="MFK948" i="16"/>
  <c r="MFH948" i="16"/>
  <c r="MFJ948" i="16" s="1"/>
  <c r="MFG948" i="16"/>
  <c r="MEX948" i="16"/>
  <c r="MEW948" i="16" s="1"/>
  <c r="MEY948" i="16" s="1"/>
  <c r="MEU948" i="16"/>
  <c r="MER948" i="16"/>
  <c r="MET948" i="16" s="1"/>
  <c r="MEQ948" i="16"/>
  <c r="MEH948" i="16"/>
  <c r="MEG948" i="16" s="1"/>
  <c r="MEI948" i="16" s="1"/>
  <c r="MEE948" i="16"/>
  <c r="MEB948" i="16"/>
  <c r="MED948" i="16" s="1"/>
  <c r="MEA948" i="16"/>
  <c r="MDR948" i="16"/>
  <c r="MDQ948" i="16" s="1"/>
  <c r="MDS948" i="16" s="1"/>
  <c r="MDO948" i="16"/>
  <c r="MDL948" i="16"/>
  <c r="MDN948" i="16" s="1"/>
  <c r="MDK948" i="16"/>
  <c r="MDB948" i="16"/>
  <c r="MDA948" i="16" s="1"/>
  <c r="MDC948" i="16" s="1"/>
  <c r="MCY948" i="16"/>
  <c r="MCV948" i="16"/>
  <c r="MCX948" i="16" s="1"/>
  <c r="MCU948" i="16"/>
  <c r="MCL948" i="16"/>
  <c r="MCK948" i="16" s="1"/>
  <c r="MCM948" i="16" s="1"/>
  <c r="MCI948" i="16"/>
  <c r="MCF948" i="16"/>
  <c r="MCH948" i="16" s="1"/>
  <c r="MCE948" i="16"/>
  <c r="MBV948" i="16"/>
  <c r="MBU948" i="16" s="1"/>
  <c r="MBW948" i="16" s="1"/>
  <c r="MBS948" i="16"/>
  <c r="MBP948" i="16"/>
  <c r="MBR948" i="16" s="1"/>
  <c r="MBO948" i="16"/>
  <c r="MBF948" i="16"/>
  <c r="MBE948" i="16" s="1"/>
  <c r="MBG948" i="16" s="1"/>
  <c r="MBC948" i="16"/>
  <c r="MAZ948" i="16"/>
  <c r="MBB948" i="16" s="1"/>
  <c r="MAY948" i="16"/>
  <c r="MAP948" i="16"/>
  <c r="MAO948" i="16" s="1"/>
  <c r="MAQ948" i="16" s="1"/>
  <c r="MAM948" i="16"/>
  <c r="MAJ948" i="16"/>
  <c r="MAL948" i="16" s="1"/>
  <c r="MAI948" i="16"/>
  <c r="LZZ948" i="16"/>
  <c r="LZY948" i="16" s="1"/>
  <c r="MAA948" i="16" s="1"/>
  <c r="LZW948" i="16"/>
  <c r="LZT948" i="16"/>
  <c r="LZV948" i="16" s="1"/>
  <c r="LZS948" i="16"/>
  <c r="LZJ948" i="16"/>
  <c r="LZI948" i="16" s="1"/>
  <c r="LZK948" i="16" s="1"/>
  <c r="LZG948" i="16"/>
  <c r="LZD948" i="16"/>
  <c r="LZF948" i="16" s="1"/>
  <c r="LZC948" i="16"/>
  <c r="LYT948" i="16"/>
  <c r="LYS948" i="16" s="1"/>
  <c r="LYU948" i="16" s="1"/>
  <c r="LYQ948" i="16"/>
  <c r="LYN948" i="16"/>
  <c r="LYP948" i="16" s="1"/>
  <c r="LYM948" i="16"/>
  <c r="LYD948" i="16"/>
  <c r="LYC948" i="16" s="1"/>
  <c r="LYE948" i="16" s="1"/>
  <c r="LYA948" i="16"/>
  <c r="LXX948" i="16"/>
  <c r="LXZ948" i="16" s="1"/>
  <c r="LXW948" i="16"/>
  <c r="LXN948" i="16"/>
  <c r="LXM948" i="16" s="1"/>
  <c r="LXO948" i="16" s="1"/>
  <c r="LXK948" i="16"/>
  <c r="LXH948" i="16"/>
  <c r="LXJ948" i="16" s="1"/>
  <c r="LXG948" i="16"/>
  <c r="LWX948" i="16"/>
  <c r="LWW948" i="16" s="1"/>
  <c r="LWY948" i="16" s="1"/>
  <c r="LWU948" i="16"/>
  <c r="LWR948" i="16"/>
  <c r="LWT948" i="16" s="1"/>
  <c r="LWQ948" i="16"/>
  <c r="LWH948" i="16"/>
  <c r="LWG948" i="16" s="1"/>
  <c r="LWI948" i="16" s="1"/>
  <c r="LWE948" i="16"/>
  <c r="LWB948" i="16"/>
  <c r="LWD948" i="16" s="1"/>
  <c r="LWA948" i="16"/>
  <c r="LVR948" i="16"/>
  <c r="LVQ948" i="16" s="1"/>
  <c r="LVS948" i="16" s="1"/>
  <c r="LVO948" i="16"/>
  <c r="LVL948" i="16"/>
  <c r="LVN948" i="16" s="1"/>
  <c r="LVK948" i="16"/>
  <c r="LVB948" i="16"/>
  <c r="LVA948" i="16" s="1"/>
  <c r="LVC948" i="16" s="1"/>
  <c r="LUY948" i="16"/>
  <c r="LUV948" i="16"/>
  <c r="LUX948" i="16" s="1"/>
  <c r="LUU948" i="16"/>
  <c r="LUL948" i="16"/>
  <c r="LUK948" i="16" s="1"/>
  <c r="LUM948" i="16" s="1"/>
  <c r="LUI948" i="16"/>
  <c r="LUF948" i="16"/>
  <c r="LUH948" i="16" s="1"/>
  <c r="LUE948" i="16"/>
  <c r="LTV948" i="16"/>
  <c r="LTU948" i="16" s="1"/>
  <c r="LTW948" i="16" s="1"/>
  <c r="LTS948" i="16"/>
  <c r="LTP948" i="16"/>
  <c r="LTR948" i="16" s="1"/>
  <c r="LTO948" i="16"/>
  <c r="LTF948" i="16"/>
  <c r="LTE948" i="16" s="1"/>
  <c r="LTG948" i="16" s="1"/>
  <c r="LTC948" i="16"/>
  <c r="LSZ948" i="16"/>
  <c r="LTB948" i="16" s="1"/>
  <c r="LSY948" i="16"/>
  <c r="LSP948" i="16"/>
  <c r="LSO948" i="16" s="1"/>
  <c r="LSQ948" i="16" s="1"/>
  <c r="LSM948" i="16"/>
  <c r="LSJ948" i="16"/>
  <c r="LSL948" i="16" s="1"/>
  <c r="LSI948" i="16"/>
  <c r="LRZ948" i="16"/>
  <c r="LRY948" i="16" s="1"/>
  <c r="LSA948" i="16" s="1"/>
  <c r="LRW948" i="16"/>
  <c r="LRT948" i="16"/>
  <c r="LRV948" i="16" s="1"/>
  <c r="LRS948" i="16"/>
  <c r="LRJ948" i="16"/>
  <c r="LRI948" i="16" s="1"/>
  <c r="LRK948" i="16" s="1"/>
  <c r="LRG948" i="16"/>
  <c r="LRD948" i="16"/>
  <c r="LRF948" i="16" s="1"/>
  <c r="LRC948" i="16"/>
  <c r="LQT948" i="16"/>
  <c r="LQS948" i="16" s="1"/>
  <c r="LQU948" i="16" s="1"/>
  <c r="LQQ948" i="16"/>
  <c r="LQN948" i="16"/>
  <c r="LQP948" i="16" s="1"/>
  <c r="LQM948" i="16"/>
  <c r="LQD948" i="16"/>
  <c r="LQC948" i="16" s="1"/>
  <c r="LQE948" i="16" s="1"/>
  <c r="LQA948" i="16"/>
  <c r="LPX948" i="16"/>
  <c r="LPZ948" i="16" s="1"/>
  <c r="LPW948" i="16"/>
  <c r="LPN948" i="16"/>
  <c r="LPM948" i="16" s="1"/>
  <c r="LPO948" i="16" s="1"/>
  <c r="LPK948" i="16"/>
  <c r="LPH948" i="16"/>
  <c r="LPJ948" i="16" s="1"/>
  <c r="LPG948" i="16"/>
  <c r="LOX948" i="16"/>
  <c r="LOW948" i="16" s="1"/>
  <c r="LOY948" i="16" s="1"/>
  <c r="LOU948" i="16"/>
  <c r="LOR948" i="16"/>
  <c r="LOT948" i="16" s="1"/>
  <c r="LOQ948" i="16"/>
  <c r="LOH948" i="16"/>
  <c r="LOG948" i="16" s="1"/>
  <c r="LOI948" i="16" s="1"/>
  <c r="LOE948" i="16"/>
  <c r="LOB948" i="16"/>
  <c r="LOD948" i="16" s="1"/>
  <c r="LOA948" i="16"/>
  <c r="LNR948" i="16"/>
  <c r="LNQ948" i="16" s="1"/>
  <c r="LNS948" i="16" s="1"/>
  <c r="LNO948" i="16"/>
  <c r="LNL948" i="16"/>
  <c r="LNN948" i="16" s="1"/>
  <c r="LNK948" i="16"/>
  <c r="LNB948" i="16"/>
  <c r="LNA948" i="16" s="1"/>
  <c r="LNC948" i="16" s="1"/>
  <c r="LMY948" i="16"/>
  <c r="LMV948" i="16"/>
  <c r="LMX948" i="16" s="1"/>
  <c r="LMU948" i="16"/>
  <c r="LML948" i="16"/>
  <c r="LMK948" i="16" s="1"/>
  <c r="LMM948" i="16" s="1"/>
  <c r="LMI948" i="16"/>
  <c r="LMF948" i="16"/>
  <c r="LMH948" i="16" s="1"/>
  <c r="LME948" i="16"/>
  <c r="LLV948" i="16"/>
  <c r="LLU948" i="16" s="1"/>
  <c r="LLW948" i="16" s="1"/>
  <c r="LLS948" i="16"/>
  <c r="LLP948" i="16"/>
  <c r="LLR948" i="16" s="1"/>
  <c r="LLO948" i="16"/>
  <c r="LLF948" i="16"/>
  <c r="LLE948" i="16" s="1"/>
  <c r="LLG948" i="16" s="1"/>
  <c r="LLC948" i="16"/>
  <c r="LKZ948" i="16"/>
  <c r="LLB948" i="16" s="1"/>
  <c r="LKY948" i="16"/>
  <c r="LKP948" i="16"/>
  <c r="LKO948" i="16" s="1"/>
  <c r="LKQ948" i="16" s="1"/>
  <c r="LKM948" i="16"/>
  <c r="LKJ948" i="16"/>
  <c r="LKL948" i="16" s="1"/>
  <c r="LKI948" i="16"/>
  <c r="LJZ948" i="16"/>
  <c r="LJY948" i="16" s="1"/>
  <c r="LKA948" i="16" s="1"/>
  <c r="LJW948" i="16"/>
  <c r="LJT948" i="16"/>
  <c r="LJV948" i="16" s="1"/>
  <c r="LJS948" i="16"/>
  <c r="LJJ948" i="16"/>
  <c r="LJI948" i="16" s="1"/>
  <c r="LJK948" i="16" s="1"/>
  <c r="LJG948" i="16"/>
  <c r="LJD948" i="16"/>
  <c r="LJF948" i="16" s="1"/>
  <c r="LJC948" i="16"/>
  <c r="LIT948" i="16"/>
  <c r="LIS948" i="16" s="1"/>
  <c r="LIU948" i="16" s="1"/>
  <c r="LIQ948" i="16"/>
  <c r="LIN948" i="16"/>
  <c r="LIP948" i="16" s="1"/>
  <c r="LIM948" i="16"/>
  <c r="LID948" i="16"/>
  <c r="LIC948" i="16" s="1"/>
  <c r="LIE948" i="16" s="1"/>
  <c r="LIA948" i="16"/>
  <c r="LHX948" i="16"/>
  <c r="LHZ948" i="16" s="1"/>
  <c r="LHW948" i="16"/>
  <c r="LHN948" i="16"/>
  <c r="LHM948" i="16" s="1"/>
  <c r="LHO948" i="16" s="1"/>
  <c r="LHK948" i="16"/>
  <c r="LHH948" i="16"/>
  <c r="LHJ948" i="16" s="1"/>
  <c r="LHG948" i="16"/>
  <c r="LGX948" i="16"/>
  <c r="LGW948" i="16" s="1"/>
  <c r="LGY948" i="16" s="1"/>
  <c r="LGU948" i="16"/>
  <c r="LGR948" i="16"/>
  <c r="LGT948" i="16" s="1"/>
  <c r="LGQ948" i="16"/>
  <c r="LGH948" i="16"/>
  <c r="LGG948" i="16" s="1"/>
  <c r="LGI948" i="16" s="1"/>
  <c r="LGE948" i="16"/>
  <c r="LGB948" i="16"/>
  <c r="LGD948" i="16" s="1"/>
  <c r="LGA948" i="16"/>
  <c r="LFR948" i="16"/>
  <c r="LFQ948" i="16" s="1"/>
  <c r="LFS948" i="16" s="1"/>
  <c r="LFO948" i="16"/>
  <c r="LFL948" i="16"/>
  <c r="LFN948" i="16" s="1"/>
  <c r="LFK948" i="16"/>
  <c r="LFB948" i="16"/>
  <c r="LFA948" i="16" s="1"/>
  <c r="LFC948" i="16" s="1"/>
  <c r="LEY948" i="16"/>
  <c r="LEV948" i="16"/>
  <c r="LEX948" i="16" s="1"/>
  <c r="LEU948" i="16"/>
  <c r="LEL948" i="16"/>
  <c r="LEK948" i="16" s="1"/>
  <c r="LEM948" i="16" s="1"/>
  <c r="LEI948" i="16"/>
  <c r="LEF948" i="16"/>
  <c r="LEH948" i="16" s="1"/>
  <c r="LEE948" i="16"/>
  <c r="LDV948" i="16"/>
  <c r="LDU948" i="16" s="1"/>
  <c r="LDW948" i="16" s="1"/>
  <c r="LDS948" i="16"/>
  <c r="LDP948" i="16"/>
  <c r="LDR948" i="16" s="1"/>
  <c r="LDO948" i="16"/>
  <c r="LDF948" i="16"/>
  <c r="LDE948" i="16" s="1"/>
  <c r="LDG948" i="16" s="1"/>
  <c r="LDC948" i="16"/>
  <c r="LCZ948" i="16"/>
  <c r="LDB948" i="16" s="1"/>
  <c r="LCY948" i="16"/>
  <c r="LCP948" i="16"/>
  <c r="LCO948" i="16" s="1"/>
  <c r="LCQ948" i="16" s="1"/>
  <c r="LCM948" i="16"/>
  <c r="LCJ948" i="16"/>
  <c r="LCL948" i="16" s="1"/>
  <c r="LCI948" i="16"/>
  <c r="LBZ948" i="16"/>
  <c r="LBY948" i="16" s="1"/>
  <c r="LCA948" i="16" s="1"/>
  <c r="LBW948" i="16"/>
  <c r="LBT948" i="16"/>
  <c r="LBV948" i="16" s="1"/>
  <c r="LBS948" i="16"/>
  <c r="LBJ948" i="16"/>
  <c r="LBI948" i="16" s="1"/>
  <c r="LBK948" i="16" s="1"/>
  <c r="LBG948" i="16"/>
  <c r="LBD948" i="16"/>
  <c r="LBF948" i="16" s="1"/>
  <c r="LBC948" i="16"/>
  <c r="LAT948" i="16"/>
  <c r="LAS948" i="16" s="1"/>
  <c r="LAU948" i="16" s="1"/>
  <c r="LAQ948" i="16"/>
  <c r="LAN948" i="16"/>
  <c r="LAP948" i="16" s="1"/>
  <c r="LAM948" i="16"/>
  <c r="LAD948" i="16"/>
  <c r="LAC948" i="16" s="1"/>
  <c r="LAE948" i="16" s="1"/>
  <c r="LAA948" i="16"/>
  <c r="KZX948" i="16"/>
  <c r="KZZ948" i="16" s="1"/>
  <c r="KZW948" i="16"/>
  <c r="KZN948" i="16"/>
  <c r="KZM948" i="16" s="1"/>
  <c r="KZO948" i="16" s="1"/>
  <c r="KZK948" i="16"/>
  <c r="KZH948" i="16"/>
  <c r="KZJ948" i="16" s="1"/>
  <c r="KZG948" i="16"/>
  <c r="KYX948" i="16"/>
  <c r="KYW948" i="16" s="1"/>
  <c r="KYY948" i="16" s="1"/>
  <c r="KYU948" i="16"/>
  <c r="KYR948" i="16"/>
  <c r="KYT948" i="16" s="1"/>
  <c r="KYQ948" i="16"/>
  <c r="KYH948" i="16"/>
  <c r="KYG948" i="16" s="1"/>
  <c r="KYI948" i="16" s="1"/>
  <c r="KYE948" i="16"/>
  <c r="KYB948" i="16"/>
  <c r="KYD948" i="16" s="1"/>
  <c r="KYA948" i="16"/>
  <c r="KXR948" i="16"/>
  <c r="KXQ948" i="16" s="1"/>
  <c r="KXS948" i="16" s="1"/>
  <c r="KXO948" i="16"/>
  <c r="KXL948" i="16"/>
  <c r="KXN948" i="16" s="1"/>
  <c r="KXK948" i="16"/>
  <c r="KXB948" i="16"/>
  <c r="KXA948" i="16" s="1"/>
  <c r="KXC948" i="16" s="1"/>
  <c r="KWY948" i="16"/>
  <c r="KWV948" i="16"/>
  <c r="KWX948" i="16" s="1"/>
  <c r="KWU948" i="16"/>
  <c r="KWL948" i="16"/>
  <c r="KWK948" i="16" s="1"/>
  <c r="KWM948" i="16" s="1"/>
  <c r="KWI948" i="16"/>
  <c r="KWF948" i="16"/>
  <c r="KWH948" i="16" s="1"/>
  <c r="KWE948" i="16"/>
  <c r="KVV948" i="16"/>
  <c r="KVU948" i="16" s="1"/>
  <c r="KVW948" i="16" s="1"/>
  <c r="KVS948" i="16"/>
  <c r="KVP948" i="16"/>
  <c r="KVR948" i="16" s="1"/>
  <c r="KVO948" i="16"/>
  <c r="KVF948" i="16"/>
  <c r="KVE948" i="16" s="1"/>
  <c r="KVG948" i="16" s="1"/>
  <c r="KVC948" i="16"/>
  <c r="KUZ948" i="16"/>
  <c r="KVB948" i="16" s="1"/>
  <c r="KUY948" i="16"/>
  <c r="KUP948" i="16"/>
  <c r="KUO948" i="16" s="1"/>
  <c r="KUQ948" i="16" s="1"/>
  <c r="KUM948" i="16"/>
  <c r="KUJ948" i="16"/>
  <c r="KUL948" i="16" s="1"/>
  <c r="KUI948" i="16"/>
  <c r="KTZ948" i="16"/>
  <c r="KTY948" i="16" s="1"/>
  <c r="KUA948" i="16" s="1"/>
  <c r="KTW948" i="16"/>
  <c r="KTT948" i="16"/>
  <c r="KTV948" i="16" s="1"/>
  <c r="KTS948" i="16"/>
  <c r="KTJ948" i="16"/>
  <c r="KTI948" i="16" s="1"/>
  <c r="KTK948" i="16" s="1"/>
  <c r="KTG948" i="16"/>
  <c r="KTD948" i="16"/>
  <c r="KTF948" i="16" s="1"/>
  <c r="KTC948" i="16"/>
  <c r="KST948" i="16"/>
  <c r="KSS948" i="16" s="1"/>
  <c r="KSU948" i="16" s="1"/>
  <c r="KSQ948" i="16"/>
  <c r="KSN948" i="16"/>
  <c r="KSP948" i="16" s="1"/>
  <c r="KSM948" i="16"/>
  <c r="KSD948" i="16"/>
  <c r="KSC948" i="16" s="1"/>
  <c r="KSE948" i="16" s="1"/>
  <c r="KSA948" i="16"/>
  <c r="KRX948" i="16"/>
  <c r="KRZ948" i="16" s="1"/>
  <c r="KRW948" i="16"/>
  <c r="KRN948" i="16"/>
  <c r="KRM948" i="16" s="1"/>
  <c r="KRO948" i="16" s="1"/>
  <c r="KRK948" i="16"/>
  <c r="KRH948" i="16"/>
  <c r="KRJ948" i="16" s="1"/>
  <c r="KRG948" i="16"/>
  <c r="KQX948" i="16"/>
  <c r="KQW948" i="16" s="1"/>
  <c r="KQY948" i="16" s="1"/>
  <c r="KQU948" i="16"/>
  <c r="KQR948" i="16"/>
  <c r="KQT948" i="16" s="1"/>
  <c r="KQQ948" i="16"/>
  <c r="KQH948" i="16"/>
  <c r="KQG948" i="16" s="1"/>
  <c r="KQI948" i="16" s="1"/>
  <c r="KQE948" i="16"/>
  <c r="KQB948" i="16"/>
  <c r="KQD948" i="16" s="1"/>
  <c r="KQA948" i="16"/>
  <c r="KPR948" i="16"/>
  <c r="KPQ948" i="16" s="1"/>
  <c r="KPS948" i="16" s="1"/>
  <c r="KPO948" i="16"/>
  <c r="KPL948" i="16"/>
  <c r="KPN948" i="16" s="1"/>
  <c r="KPK948" i="16"/>
  <c r="KPB948" i="16"/>
  <c r="KPA948" i="16" s="1"/>
  <c r="KPC948" i="16" s="1"/>
  <c r="KOY948" i="16"/>
  <c r="KOV948" i="16"/>
  <c r="KOX948" i="16" s="1"/>
  <c r="KOU948" i="16"/>
  <c r="KOL948" i="16"/>
  <c r="KOK948" i="16" s="1"/>
  <c r="KOM948" i="16" s="1"/>
  <c r="KOI948" i="16"/>
  <c r="KOF948" i="16"/>
  <c r="KOH948" i="16" s="1"/>
  <c r="KOE948" i="16"/>
  <c r="KNV948" i="16"/>
  <c r="KNU948" i="16" s="1"/>
  <c r="KNW948" i="16" s="1"/>
  <c r="KNS948" i="16"/>
  <c r="KNP948" i="16"/>
  <c r="KNR948" i="16" s="1"/>
  <c r="KNO948" i="16"/>
  <c r="KNF948" i="16"/>
  <c r="KNE948" i="16" s="1"/>
  <c r="KNG948" i="16" s="1"/>
  <c r="KNC948" i="16"/>
  <c r="KMZ948" i="16"/>
  <c r="KNB948" i="16" s="1"/>
  <c r="KMY948" i="16"/>
  <c r="KMP948" i="16"/>
  <c r="KMO948" i="16" s="1"/>
  <c r="KMQ948" i="16" s="1"/>
  <c r="KMM948" i="16"/>
  <c r="KMJ948" i="16"/>
  <c r="KML948" i="16" s="1"/>
  <c r="KMI948" i="16"/>
  <c r="KLZ948" i="16"/>
  <c r="KLY948" i="16" s="1"/>
  <c r="KMA948" i="16" s="1"/>
  <c r="KLW948" i="16"/>
  <c r="KLT948" i="16"/>
  <c r="KLV948" i="16" s="1"/>
  <c r="KLS948" i="16"/>
  <c r="KLJ948" i="16"/>
  <c r="KLI948" i="16" s="1"/>
  <c r="KLK948" i="16" s="1"/>
  <c r="KLG948" i="16"/>
  <c r="KLD948" i="16"/>
  <c r="KLF948" i="16" s="1"/>
  <c r="KLC948" i="16"/>
  <c r="KKT948" i="16"/>
  <c r="KKS948" i="16" s="1"/>
  <c r="KKU948" i="16" s="1"/>
  <c r="KKQ948" i="16"/>
  <c r="KKN948" i="16"/>
  <c r="KKP948" i="16" s="1"/>
  <c r="KKM948" i="16"/>
  <c r="KKD948" i="16"/>
  <c r="KKC948" i="16" s="1"/>
  <c r="KKE948" i="16" s="1"/>
  <c r="KKA948" i="16"/>
  <c r="KJX948" i="16"/>
  <c r="KJZ948" i="16" s="1"/>
  <c r="KJW948" i="16"/>
  <c r="KJN948" i="16"/>
  <c r="KJM948" i="16" s="1"/>
  <c r="KJO948" i="16" s="1"/>
  <c r="KJK948" i="16"/>
  <c r="KJH948" i="16"/>
  <c r="KJJ948" i="16" s="1"/>
  <c r="KJG948" i="16"/>
  <c r="KIX948" i="16"/>
  <c r="KIW948" i="16" s="1"/>
  <c r="KIY948" i="16" s="1"/>
  <c r="KIU948" i="16"/>
  <c r="KIR948" i="16"/>
  <c r="KIT948" i="16" s="1"/>
  <c r="KIQ948" i="16"/>
  <c r="KIH948" i="16"/>
  <c r="KIG948" i="16" s="1"/>
  <c r="KII948" i="16" s="1"/>
  <c r="KIE948" i="16"/>
  <c r="KIB948" i="16"/>
  <c r="KID948" i="16" s="1"/>
  <c r="KIA948" i="16"/>
  <c r="KHR948" i="16"/>
  <c r="KHQ948" i="16" s="1"/>
  <c r="KHS948" i="16" s="1"/>
  <c r="KHO948" i="16"/>
  <c r="KHL948" i="16"/>
  <c r="KHN948" i="16" s="1"/>
  <c r="KHK948" i="16"/>
  <c r="KHB948" i="16"/>
  <c r="KHA948" i="16" s="1"/>
  <c r="KHC948" i="16" s="1"/>
  <c r="KGY948" i="16"/>
  <c r="KGV948" i="16"/>
  <c r="KGX948" i="16" s="1"/>
  <c r="KGU948" i="16"/>
  <c r="KGL948" i="16"/>
  <c r="KGK948" i="16" s="1"/>
  <c r="KGM948" i="16" s="1"/>
  <c r="KGI948" i="16"/>
  <c r="KGF948" i="16"/>
  <c r="KGH948" i="16" s="1"/>
  <c r="KGE948" i="16"/>
  <c r="KFV948" i="16"/>
  <c r="KFU948" i="16" s="1"/>
  <c r="KFW948" i="16" s="1"/>
  <c r="KFS948" i="16"/>
  <c r="KFP948" i="16"/>
  <c r="KFR948" i="16" s="1"/>
  <c r="KFO948" i="16"/>
  <c r="KFF948" i="16"/>
  <c r="KFE948" i="16" s="1"/>
  <c r="KFG948" i="16" s="1"/>
  <c r="KFC948" i="16"/>
  <c r="KEZ948" i="16"/>
  <c r="KFB948" i="16" s="1"/>
  <c r="KEY948" i="16"/>
  <c r="KEP948" i="16"/>
  <c r="KEO948" i="16" s="1"/>
  <c r="KEQ948" i="16" s="1"/>
  <c r="KEM948" i="16"/>
  <c r="KEJ948" i="16"/>
  <c r="KEL948" i="16" s="1"/>
  <c r="KEI948" i="16"/>
  <c r="KDZ948" i="16"/>
  <c r="KDY948" i="16" s="1"/>
  <c r="KEA948" i="16" s="1"/>
  <c r="KDW948" i="16"/>
  <c r="KDT948" i="16"/>
  <c r="KDV948" i="16" s="1"/>
  <c r="KDS948" i="16"/>
  <c r="KDJ948" i="16"/>
  <c r="KDI948" i="16" s="1"/>
  <c r="KDK948" i="16" s="1"/>
  <c r="KDG948" i="16"/>
  <c r="KDD948" i="16"/>
  <c r="KDF948" i="16" s="1"/>
  <c r="KDC948" i="16"/>
  <c r="KCT948" i="16"/>
  <c r="KCS948" i="16" s="1"/>
  <c r="KCU948" i="16" s="1"/>
  <c r="KCQ948" i="16"/>
  <c r="KCN948" i="16"/>
  <c r="KCP948" i="16" s="1"/>
  <c r="KCM948" i="16"/>
  <c r="KCD948" i="16"/>
  <c r="KCC948" i="16" s="1"/>
  <c r="KCE948" i="16" s="1"/>
  <c r="KCA948" i="16"/>
  <c r="KBX948" i="16"/>
  <c r="KBZ948" i="16" s="1"/>
  <c r="KBW948" i="16"/>
  <c r="KBN948" i="16"/>
  <c r="KBM948" i="16" s="1"/>
  <c r="KBO948" i="16" s="1"/>
  <c r="KBK948" i="16"/>
  <c r="KBH948" i="16"/>
  <c r="KBJ948" i="16" s="1"/>
  <c r="KBG948" i="16"/>
  <c r="KAX948" i="16"/>
  <c r="KAW948" i="16" s="1"/>
  <c r="KAY948" i="16" s="1"/>
  <c r="KAU948" i="16"/>
  <c r="KAR948" i="16"/>
  <c r="KAT948" i="16" s="1"/>
  <c r="KAQ948" i="16"/>
  <c r="KAH948" i="16"/>
  <c r="KAG948" i="16" s="1"/>
  <c r="KAI948" i="16" s="1"/>
  <c r="KAE948" i="16"/>
  <c r="KAB948" i="16"/>
  <c r="KAD948" i="16" s="1"/>
  <c r="KAA948" i="16"/>
  <c r="JZR948" i="16"/>
  <c r="JZQ948" i="16" s="1"/>
  <c r="JZS948" i="16" s="1"/>
  <c r="JZO948" i="16"/>
  <c r="JZL948" i="16"/>
  <c r="JZN948" i="16" s="1"/>
  <c r="JZK948" i="16"/>
  <c r="JZB948" i="16"/>
  <c r="JZA948" i="16" s="1"/>
  <c r="JZC948" i="16" s="1"/>
  <c r="JYY948" i="16"/>
  <c r="JYV948" i="16"/>
  <c r="JYX948" i="16" s="1"/>
  <c r="JYU948" i="16"/>
  <c r="JYL948" i="16"/>
  <c r="JYK948" i="16" s="1"/>
  <c r="JYM948" i="16" s="1"/>
  <c r="JYI948" i="16"/>
  <c r="JYF948" i="16"/>
  <c r="JYH948" i="16" s="1"/>
  <c r="JYE948" i="16"/>
  <c r="JXV948" i="16"/>
  <c r="JXU948" i="16" s="1"/>
  <c r="JXW948" i="16" s="1"/>
  <c r="JXS948" i="16"/>
  <c r="JXP948" i="16"/>
  <c r="JXR948" i="16" s="1"/>
  <c r="JXO948" i="16"/>
  <c r="JXF948" i="16"/>
  <c r="JXE948" i="16" s="1"/>
  <c r="JXG948" i="16" s="1"/>
  <c r="JXC948" i="16"/>
  <c r="JWZ948" i="16"/>
  <c r="JXB948" i="16" s="1"/>
  <c r="JWY948" i="16"/>
  <c r="JWP948" i="16"/>
  <c r="JWO948" i="16" s="1"/>
  <c r="JWQ948" i="16" s="1"/>
  <c r="JWM948" i="16"/>
  <c r="JWJ948" i="16"/>
  <c r="JWL948" i="16" s="1"/>
  <c r="JWI948" i="16"/>
  <c r="JVZ948" i="16"/>
  <c r="JVY948" i="16" s="1"/>
  <c r="JWA948" i="16" s="1"/>
  <c r="JVW948" i="16"/>
  <c r="JVT948" i="16"/>
  <c r="JVV948" i="16" s="1"/>
  <c r="JVS948" i="16"/>
  <c r="JVJ948" i="16"/>
  <c r="JVI948" i="16" s="1"/>
  <c r="JVK948" i="16" s="1"/>
  <c r="JVG948" i="16"/>
  <c r="JVD948" i="16"/>
  <c r="JVF948" i="16" s="1"/>
  <c r="JVC948" i="16"/>
  <c r="JUT948" i="16"/>
  <c r="JUS948" i="16" s="1"/>
  <c r="JUU948" i="16" s="1"/>
  <c r="JUQ948" i="16"/>
  <c r="JUN948" i="16"/>
  <c r="JUP948" i="16" s="1"/>
  <c r="JUM948" i="16"/>
  <c r="JUD948" i="16"/>
  <c r="JUC948" i="16" s="1"/>
  <c r="JUE948" i="16" s="1"/>
  <c r="JUA948" i="16"/>
  <c r="JTX948" i="16"/>
  <c r="JTZ948" i="16" s="1"/>
  <c r="JTW948" i="16"/>
  <c r="JTN948" i="16"/>
  <c r="JTM948" i="16" s="1"/>
  <c r="JTO948" i="16" s="1"/>
  <c r="JTK948" i="16"/>
  <c r="JTH948" i="16"/>
  <c r="JTJ948" i="16" s="1"/>
  <c r="JTG948" i="16"/>
  <c r="JSX948" i="16"/>
  <c r="JSW948" i="16" s="1"/>
  <c r="JSY948" i="16" s="1"/>
  <c r="JSU948" i="16"/>
  <c r="JSR948" i="16"/>
  <c r="JST948" i="16" s="1"/>
  <c r="JSQ948" i="16"/>
  <c r="JSH948" i="16"/>
  <c r="JSG948" i="16" s="1"/>
  <c r="JSI948" i="16" s="1"/>
  <c r="JSE948" i="16"/>
  <c r="JSB948" i="16"/>
  <c r="JSD948" i="16" s="1"/>
  <c r="JSA948" i="16"/>
  <c r="JRR948" i="16"/>
  <c r="JRQ948" i="16" s="1"/>
  <c r="JRS948" i="16" s="1"/>
  <c r="JRO948" i="16"/>
  <c r="JRL948" i="16"/>
  <c r="JRN948" i="16" s="1"/>
  <c r="JRK948" i="16"/>
  <c r="JRB948" i="16"/>
  <c r="JRA948" i="16" s="1"/>
  <c r="JRC948" i="16" s="1"/>
  <c r="JQY948" i="16"/>
  <c r="JQV948" i="16"/>
  <c r="JQX948" i="16" s="1"/>
  <c r="JQU948" i="16"/>
  <c r="JQL948" i="16"/>
  <c r="JQK948" i="16" s="1"/>
  <c r="JQM948" i="16" s="1"/>
  <c r="JQI948" i="16"/>
  <c r="JQF948" i="16"/>
  <c r="JQH948" i="16" s="1"/>
  <c r="JQE948" i="16"/>
  <c r="JPV948" i="16"/>
  <c r="JPU948" i="16" s="1"/>
  <c r="JPW948" i="16" s="1"/>
  <c r="JPS948" i="16"/>
  <c r="JPP948" i="16"/>
  <c r="JPR948" i="16" s="1"/>
  <c r="JPO948" i="16"/>
  <c r="JPF948" i="16"/>
  <c r="JPE948" i="16" s="1"/>
  <c r="JPG948" i="16" s="1"/>
  <c r="JPC948" i="16"/>
  <c r="JOZ948" i="16"/>
  <c r="JPB948" i="16" s="1"/>
  <c r="JOY948" i="16"/>
  <c r="JOP948" i="16"/>
  <c r="JOO948" i="16" s="1"/>
  <c r="JOQ948" i="16" s="1"/>
  <c r="JOM948" i="16"/>
  <c r="JOJ948" i="16"/>
  <c r="JOL948" i="16" s="1"/>
  <c r="JOI948" i="16"/>
  <c r="JNZ948" i="16"/>
  <c r="JNY948" i="16" s="1"/>
  <c r="JOA948" i="16" s="1"/>
  <c r="JNW948" i="16"/>
  <c r="JNT948" i="16"/>
  <c r="JNV948" i="16" s="1"/>
  <c r="JNS948" i="16"/>
  <c r="JNJ948" i="16"/>
  <c r="JNI948" i="16" s="1"/>
  <c r="JNK948" i="16" s="1"/>
  <c r="JNG948" i="16"/>
  <c r="JND948" i="16"/>
  <c r="JNF948" i="16" s="1"/>
  <c r="JNC948" i="16"/>
  <c r="JMT948" i="16"/>
  <c r="JMS948" i="16" s="1"/>
  <c r="JMU948" i="16" s="1"/>
  <c r="JMQ948" i="16"/>
  <c r="JMN948" i="16"/>
  <c r="JMP948" i="16" s="1"/>
  <c r="JMM948" i="16"/>
  <c r="JMD948" i="16"/>
  <c r="JMC948" i="16" s="1"/>
  <c r="JME948" i="16" s="1"/>
  <c r="JMA948" i="16"/>
  <c r="JLX948" i="16"/>
  <c r="JLZ948" i="16" s="1"/>
  <c r="JLW948" i="16"/>
  <c r="JLN948" i="16"/>
  <c r="JLM948" i="16" s="1"/>
  <c r="JLO948" i="16" s="1"/>
  <c r="JLK948" i="16"/>
  <c r="JLH948" i="16"/>
  <c r="JLJ948" i="16" s="1"/>
  <c r="JLG948" i="16"/>
  <c r="JKX948" i="16"/>
  <c r="JKW948" i="16" s="1"/>
  <c r="JKY948" i="16" s="1"/>
  <c r="JKU948" i="16"/>
  <c r="JKR948" i="16"/>
  <c r="JKT948" i="16" s="1"/>
  <c r="JKQ948" i="16"/>
  <c r="JKH948" i="16"/>
  <c r="JKG948" i="16" s="1"/>
  <c r="JKI948" i="16" s="1"/>
  <c r="JKE948" i="16"/>
  <c r="JKB948" i="16"/>
  <c r="JKD948" i="16" s="1"/>
  <c r="JKA948" i="16"/>
  <c r="JJR948" i="16"/>
  <c r="JJQ948" i="16" s="1"/>
  <c r="JJS948" i="16" s="1"/>
  <c r="JJO948" i="16"/>
  <c r="JJL948" i="16"/>
  <c r="JJN948" i="16" s="1"/>
  <c r="JJK948" i="16"/>
  <c r="JJB948" i="16"/>
  <c r="JJA948" i="16" s="1"/>
  <c r="JJC948" i="16" s="1"/>
  <c r="JIY948" i="16"/>
  <c r="JIV948" i="16"/>
  <c r="JIX948" i="16" s="1"/>
  <c r="JIU948" i="16"/>
  <c r="JIL948" i="16"/>
  <c r="JIK948" i="16" s="1"/>
  <c r="JIM948" i="16" s="1"/>
  <c r="JII948" i="16"/>
  <c r="JIF948" i="16"/>
  <c r="JIH948" i="16" s="1"/>
  <c r="JIE948" i="16"/>
  <c r="JHV948" i="16"/>
  <c r="JHU948" i="16" s="1"/>
  <c r="JHW948" i="16" s="1"/>
  <c r="JHS948" i="16"/>
  <c r="JHP948" i="16"/>
  <c r="JHR948" i="16" s="1"/>
  <c r="JHO948" i="16"/>
  <c r="JHF948" i="16"/>
  <c r="JHE948" i="16" s="1"/>
  <c r="JHG948" i="16" s="1"/>
  <c r="JHC948" i="16"/>
  <c r="JGZ948" i="16"/>
  <c r="JHB948" i="16" s="1"/>
  <c r="JGY948" i="16"/>
  <c r="JGP948" i="16"/>
  <c r="JGO948" i="16" s="1"/>
  <c r="JGQ948" i="16" s="1"/>
  <c r="JGM948" i="16"/>
  <c r="JGJ948" i="16"/>
  <c r="JGL948" i="16" s="1"/>
  <c r="JGI948" i="16"/>
  <c r="JFZ948" i="16"/>
  <c r="JFY948" i="16" s="1"/>
  <c r="JGA948" i="16" s="1"/>
  <c r="JFW948" i="16"/>
  <c r="JFT948" i="16"/>
  <c r="JFV948" i="16" s="1"/>
  <c r="JFS948" i="16"/>
  <c r="JFJ948" i="16"/>
  <c r="JFI948" i="16" s="1"/>
  <c r="JFK948" i="16" s="1"/>
  <c r="JFG948" i="16"/>
  <c r="JFD948" i="16"/>
  <c r="JFF948" i="16" s="1"/>
  <c r="JFC948" i="16"/>
  <c r="JET948" i="16"/>
  <c r="JES948" i="16" s="1"/>
  <c r="JEU948" i="16" s="1"/>
  <c r="JEQ948" i="16"/>
  <c r="JEN948" i="16"/>
  <c r="JEP948" i="16" s="1"/>
  <c r="JEM948" i="16"/>
  <c r="JED948" i="16"/>
  <c r="JEC948" i="16" s="1"/>
  <c r="JEE948" i="16" s="1"/>
  <c r="JEA948" i="16"/>
  <c r="JDX948" i="16"/>
  <c r="JDZ948" i="16" s="1"/>
  <c r="JDW948" i="16"/>
  <c r="JDN948" i="16"/>
  <c r="JDM948" i="16" s="1"/>
  <c r="JDO948" i="16" s="1"/>
  <c r="JDK948" i="16"/>
  <c r="JDH948" i="16"/>
  <c r="JDJ948" i="16" s="1"/>
  <c r="JDG948" i="16"/>
  <c r="JCX948" i="16"/>
  <c r="JCW948" i="16" s="1"/>
  <c r="JCY948" i="16" s="1"/>
  <c r="JCU948" i="16"/>
  <c r="JCR948" i="16"/>
  <c r="JCT948" i="16" s="1"/>
  <c r="JCQ948" i="16"/>
  <c r="JCH948" i="16"/>
  <c r="JCG948" i="16" s="1"/>
  <c r="JCI948" i="16" s="1"/>
  <c r="JCE948" i="16"/>
  <c r="JCB948" i="16"/>
  <c r="JCD948" i="16" s="1"/>
  <c r="JCA948" i="16"/>
  <c r="JBR948" i="16"/>
  <c r="JBQ948" i="16" s="1"/>
  <c r="JBS948" i="16" s="1"/>
  <c r="JBO948" i="16"/>
  <c r="JBL948" i="16"/>
  <c r="JBN948" i="16" s="1"/>
  <c r="JBK948" i="16"/>
  <c r="JBB948" i="16"/>
  <c r="JBA948" i="16" s="1"/>
  <c r="JBC948" i="16" s="1"/>
  <c r="JAY948" i="16"/>
  <c r="JAV948" i="16"/>
  <c r="JAX948" i="16" s="1"/>
  <c r="JAU948" i="16"/>
  <c r="JAL948" i="16"/>
  <c r="JAK948" i="16" s="1"/>
  <c r="JAM948" i="16" s="1"/>
  <c r="JAI948" i="16"/>
  <c r="JAF948" i="16"/>
  <c r="JAH948" i="16" s="1"/>
  <c r="JAE948" i="16"/>
  <c r="IZV948" i="16"/>
  <c r="IZU948" i="16" s="1"/>
  <c r="IZW948" i="16" s="1"/>
  <c r="IZS948" i="16"/>
  <c r="IZP948" i="16"/>
  <c r="IZR948" i="16" s="1"/>
  <c r="IZO948" i="16"/>
  <c r="IZF948" i="16"/>
  <c r="IZE948" i="16" s="1"/>
  <c r="IZG948" i="16" s="1"/>
  <c r="IZC948" i="16"/>
  <c r="IYZ948" i="16"/>
  <c r="IZB948" i="16" s="1"/>
  <c r="IYY948" i="16"/>
  <c r="IYP948" i="16"/>
  <c r="IYO948" i="16" s="1"/>
  <c r="IYQ948" i="16" s="1"/>
  <c r="IYM948" i="16"/>
  <c r="IYJ948" i="16"/>
  <c r="IYL948" i="16" s="1"/>
  <c r="IYI948" i="16"/>
  <c r="IXZ948" i="16"/>
  <c r="IXY948" i="16" s="1"/>
  <c r="IYA948" i="16" s="1"/>
  <c r="IXW948" i="16"/>
  <c r="IXT948" i="16"/>
  <c r="IXV948" i="16" s="1"/>
  <c r="IXS948" i="16"/>
  <c r="IXJ948" i="16"/>
  <c r="IXI948" i="16" s="1"/>
  <c r="IXK948" i="16" s="1"/>
  <c r="IXG948" i="16"/>
  <c r="IXD948" i="16"/>
  <c r="IXF948" i="16" s="1"/>
  <c r="IXC948" i="16"/>
  <c r="IWT948" i="16"/>
  <c r="IWS948" i="16" s="1"/>
  <c r="IWU948" i="16" s="1"/>
  <c r="IWQ948" i="16"/>
  <c r="IWN948" i="16"/>
  <c r="IWP948" i="16" s="1"/>
  <c r="IWM948" i="16"/>
  <c r="IWD948" i="16"/>
  <c r="IWC948" i="16" s="1"/>
  <c r="IWE948" i="16" s="1"/>
  <c r="IWA948" i="16"/>
  <c r="IVX948" i="16"/>
  <c r="IVZ948" i="16" s="1"/>
  <c r="IVW948" i="16"/>
  <c r="IVN948" i="16"/>
  <c r="IVM948" i="16" s="1"/>
  <c r="IVO948" i="16" s="1"/>
  <c r="IVK948" i="16"/>
  <c r="IVH948" i="16"/>
  <c r="IVJ948" i="16" s="1"/>
  <c r="IVG948" i="16"/>
  <c r="IUX948" i="16"/>
  <c r="IUW948" i="16" s="1"/>
  <c r="IUY948" i="16" s="1"/>
  <c r="IUU948" i="16"/>
  <c r="IUR948" i="16"/>
  <c r="IUT948" i="16" s="1"/>
  <c r="IUQ948" i="16"/>
  <c r="IUH948" i="16"/>
  <c r="IUG948" i="16" s="1"/>
  <c r="IUI948" i="16" s="1"/>
  <c r="IUE948" i="16"/>
  <c r="IUB948" i="16"/>
  <c r="IUD948" i="16" s="1"/>
  <c r="IUA948" i="16"/>
  <c r="ITR948" i="16"/>
  <c r="ITQ948" i="16" s="1"/>
  <c r="ITS948" i="16" s="1"/>
  <c r="ITO948" i="16"/>
  <c r="ITL948" i="16"/>
  <c r="ITN948" i="16" s="1"/>
  <c r="ITK948" i="16"/>
  <c r="ITB948" i="16"/>
  <c r="ITA948" i="16" s="1"/>
  <c r="ITC948" i="16" s="1"/>
  <c r="ISY948" i="16"/>
  <c r="ISV948" i="16"/>
  <c r="ISX948" i="16" s="1"/>
  <c r="ISU948" i="16"/>
  <c r="ISL948" i="16"/>
  <c r="ISK948" i="16" s="1"/>
  <c r="ISM948" i="16" s="1"/>
  <c r="ISI948" i="16"/>
  <c r="ISF948" i="16"/>
  <c r="ISH948" i="16" s="1"/>
  <c r="ISE948" i="16"/>
  <c r="IRV948" i="16"/>
  <c r="IRU948" i="16" s="1"/>
  <c r="IRW948" i="16" s="1"/>
  <c r="IRS948" i="16"/>
  <c r="IRP948" i="16"/>
  <c r="IRR948" i="16" s="1"/>
  <c r="IRO948" i="16"/>
  <c r="IRF948" i="16"/>
  <c r="IRE948" i="16" s="1"/>
  <c r="IRG948" i="16" s="1"/>
  <c r="IRC948" i="16"/>
  <c r="IQZ948" i="16"/>
  <c r="IRB948" i="16" s="1"/>
  <c r="IQY948" i="16"/>
  <c r="IQP948" i="16"/>
  <c r="IQO948" i="16" s="1"/>
  <c r="IQQ948" i="16" s="1"/>
  <c r="IQM948" i="16"/>
  <c r="IQJ948" i="16"/>
  <c r="IQL948" i="16" s="1"/>
  <c r="IQI948" i="16"/>
  <c r="IPZ948" i="16"/>
  <c r="IPY948" i="16" s="1"/>
  <c r="IQA948" i="16" s="1"/>
  <c r="IPW948" i="16"/>
  <c r="IPT948" i="16"/>
  <c r="IPV948" i="16" s="1"/>
  <c r="IPS948" i="16"/>
  <c r="IPJ948" i="16"/>
  <c r="IPI948" i="16" s="1"/>
  <c r="IPK948" i="16" s="1"/>
  <c r="IPG948" i="16"/>
  <c r="IPD948" i="16"/>
  <c r="IPF948" i="16" s="1"/>
  <c r="IPC948" i="16"/>
  <c r="IOT948" i="16"/>
  <c r="IOS948" i="16" s="1"/>
  <c r="IOU948" i="16" s="1"/>
  <c r="IOQ948" i="16"/>
  <c r="ION948" i="16"/>
  <c r="IOP948" i="16" s="1"/>
  <c r="IOM948" i="16"/>
  <c r="IOD948" i="16"/>
  <c r="IOC948" i="16" s="1"/>
  <c r="IOE948" i="16" s="1"/>
  <c r="IOA948" i="16"/>
  <c r="INX948" i="16"/>
  <c r="INZ948" i="16" s="1"/>
  <c r="INW948" i="16"/>
  <c r="INN948" i="16"/>
  <c r="INM948" i="16" s="1"/>
  <c r="INO948" i="16" s="1"/>
  <c r="INK948" i="16"/>
  <c r="INH948" i="16"/>
  <c r="INJ948" i="16" s="1"/>
  <c r="ING948" i="16"/>
  <c r="IMX948" i="16"/>
  <c r="IMW948" i="16" s="1"/>
  <c r="IMY948" i="16" s="1"/>
  <c r="IMU948" i="16"/>
  <c r="IMR948" i="16"/>
  <c r="IMT948" i="16" s="1"/>
  <c r="IMQ948" i="16"/>
  <c r="IMH948" i="16"/>
  <c r="IMG948" i="16" s="1"/>
  <c r="IMI948" i="16" s="1"/>
  <c r="IME948" i="16"/>
  <c r="IMB948" i="16"/>
  <c r="IMD948" i="16" s="1"/>
  <c r="IMA948" i="16"/>
  <c r="ILR948" i="16"/>
  <c r="ILQ948" i="16" s="1"/>
  <c r="ILS948" i="16" s="1"/>
  <c r="ILO948" i="16"/>
  <c r="ILL948" i="16"/>
  <c r="ILN948" i="16" s="1"/>
  <c r="ILK948" i="16"/>
  <c r="ILB948" i="16"/>
  <c r="ILA948" i="16" s="1"/>
  <c r="ILC948" i="16" s="1"/>
  <c r="IKY948" i="16"/>
  <c r="IKV948" i="16"/>
  <c r="IKX948" i="16" s="1"/>
  <c r="IKU948" i="16"/>
  <c r="IKL948" i="16"/>
  <c r="IKK948" i="16" s="1"/>
  <c r="IKM948" i="16" s="1"/>
  <c r="IKI948" i="16"/>
  <c r="IKF948" i="16"/>
  <c r="IKH948" i="16" s="1"/>
  <c r="IKE948" i="16"/>
  <c r="IJV948" i="16"/>
  <c r="IJU948" i="16" s="1"/>
  <c r="IJW948" i="16" s="1"/>
  <c r="IJS948" i="16"/>
  <c r="IJP948" i="16"/>
  <c r="IJR948" i="16" s="1"/>
  <c r="IJO948" i="16"/>
  <c r="IJF948" i="16"/>
  <c r="IJE948" i="16" s="1"/>
  <c r="IJG948" i="16" s="1"/>
  <c r="IJC948" i="16"/>
  <c r="IIZ948" i="16"/>
  <c r="IJB948" i="16" s="1"/>
  <c r="IIY948" i="16"/>
  <c r="IIP948" i="16"/>
  <c r="IIO948" i="16" s="1"/>
  <c r="IIQ948" i="16" s="1"/>
  <c r="IIM948" i="16"/>
  <c r="IIJ948" i="16"/>
  <c r="IIL948" i="16" s="1"/>
  <c r="III948" i="16"/>
  <c r="IHZ948" i="16"/>
  <c r="IHY948" i="16" s="1"/>
  <c r="IIA948" i="16" s="1"/>
  <c r="IHW948" i="16"/>
  <c r="IHT948" i="16"/>
  <c r="IHV948" i="16" s="1"/>
  <c r="IHS948" i="16"/>
  <c r="IHJ948" i="16"/>
  <c r="IHI948" i="16" s="1"/>
  <c r="IHK948" i="16" s="1"/>
  <c r="IHG948" i="16"/>
  <c r="IHD948" i="16"/>
  <c r="IHF948" i="16" s="1"/>
  <c r="IHC948" i="16"/>
  <c r="IGT948" i="16"/>
  <c r="IGS948" i="16" s="1"/>
  <c r="IGU948" i="16" s="1"/>
  <c r="IGQ948" i="16"/>
  <c r="IGN948" i="16"/>
  <c r="IGP948" i="16" s="1"/>
  <c r="IGM948" i="16"/>
  <c r="IGD948" i="16"/>
  <c r="IGC948" i="16" s="1"/>
  <c r="IGE948" i="16" s="1"/>
  <c r="IGA948" i="16"/>
  <c r="IFX948" i="16"/>
  <c r="IFZ948" i="16" s="1"/>
  <c r="IFW948" i="16"/>
  <c r="IFN948" i="16"/>
  <c r="IFM948" i="16" s="1"/>
  <c r="IFO948" i="16" s="1"/>
  <c r="IFK948" i="16"/>
  <c r="IFH948" i="16"/>
  <c r="IFJ948" i="16" s="1"/>
  <c r="IFG948" i="16"/>
  <c r="IEX948" i="16"/>
  <c r="IEW948" i="16" s="1"/>
  <c r="IEY948" i="16" s="1"/>
  <c r="IEU948" i="16"/>
  <c r="IER948" i="16"/>
  <c r="IET948" i="16" s="1"/>
  <c r="IEQ948" i="16"/>
  <c r="IEH948" i="16"/>
  <c r="IEG948" i="16" s="1"/>
  <c r="IEI948" i="16" s="1"/>
  <c r="IEE948" i="16"/>
  <c r="IEB948" i="16"/>
  <c r="IED948" i="16" s="1"/>
  <c r="IEA948" i="16"/>
  <c r="IDR948" i="16"/>
  <c r="IDQ948" i="16" s="1"/>
  <c r="IDS948" i="16" s="1"/>
  <c r="IDO948" i="16"/>
  <c r="IDL948" i="16"/>
  <c r="IDN948" i="16" s="1"/>
  <c r="IDK948" i="16"/>
  <c r="IDB948" i="16"/>
  <c r="IDA948" i="16" s="1"/>
  <c r="IDC948" i="16" s="1"/>
  <c r="ICY948" i="16"/>
  <c r="ICV948" i="16"/>
  <c r="ICX948" i="16" s="1"/>
  <c r="ICU948" i="16"/>
  <c r="ICL948" i="16"/>
  <c r="ICK948" i="16" s="1"/>
  <c r="ICM948" i="16" s="1"/>
  <c r="ICI948" i="16"/>
  <c r="ICF948" i="16"/>
  <c r="ICH948" i="16" s="1"/>
  <c r="ICE948" i="16"/>
  <c r="IBV948" i="16"/>
  <c r="IBU948" i="16" s="1"/>
  <c r="IBW948" i="16" s="1"/>
  <c r="IBS948" i="16"/>
  <c r="IBP948" i="16"/>
  <c r="IBR948" i="16" s="1"/>
  <c r="IBO948" i="16"/>
  <c r="IBF948" i="16"/>
  <c r="IBE948" i="16" s="1"/>
  <c r="IBG948" i="16" s="1"/>
  <c r="IBC948" i="16"/>
  <c r="IAZ948" i="16"/>
  <c r="IBB948" i="16" s="1"/>
  <c r="IAY948" i="16"/>
  <c r="IAP948" i="16"/>
  <c r="IAO948" i="16" s="1"/>
  <c r="IAQ948" i="16" s="1"/>
  <c r="IAM948" i="16"/>
  <c r="IAJ948" i="16"/>
  <c r="IAL948" i="16" s="1"/>
  <c r="IAI948" i="16"/>
  <c r="HZZ948" i="16"/>
  <c r="HZY948" i="16" s="1"/>
  <c r="IAA948" i="16" s="1"/>
  <c r="HZW948" i="16"/>
  <c r="HZT948" i="16"/>
  <c r="HZV948" i="16" s="1"/>
  <c r="HZS948" i="16"/>
  <c r="HZJ948" i="16"/>
  <c r="HZI948" i="16" s="1"/>
  <c r="HZK948" i="16" s="1"/>
  <c r="HZG948" i="16"/>
  <c r="HZD948" i="16"/>
  <c r="HZF948" i="16" s="1"/>
  <c r="HZC948" i="16"/>
  <c r="HYT948" i="16"/>
  <c r="HYS948" i="16" s="1"/>
  <c r="HYU948" i="16" s="1"/>
  <c r="HYQ948" i="16"/>
  <c r="HYN948" i="16"/>
  <c r="HYP948" i="16" s="1"/>
  <c r="HYM948" i="16"/>
  <c r="HYD948" i="16"/>
  <c r="HYC948" i="16" s="1"/>
  <c r="HYE948" i="16" s="1"/>
  <c r="HYA948" i="16"/>
  <c r="HXX948" i="16"/>
  <c r="HXZ948" i="16" s="1"/>
  <c r="HXW948" i="16"/>
  <c r="HXN948" i="16"/>
  <c r="HXM948" i="16" s="1"/>
  <c r="HXO948" i="16" s="1"/>
  <c r="HXK948" i="16"/>
  <c r="HXH948" i="16"/>
  <c r="HXJ948" i="16" s="1"/>
  <c r="HXG948" i="16"/>
  <c r="HWX948" i="16"/>
  <c r="HWW948" i="16" s="1"/>
  <c r="HWY948" i="16" s="1"/>
  <c r="HWU948" i="16"/>
  <c r="HWR948" i="16"/>
  <c r="HWT948" i="16" s="1"/>
  <c r="HWQ948" i="16"/>
  <c r="HWH948" i="16"/>
  <c r="HWG948" i="16" s="1"/>
  <c r="HWI948" i="16" s="1"/>
  <c r="HWE948" i="16"/>
  <c r="HWB948" i="16"/>
  <c r="HWD948" i="16" s="1"/>
  <c r="HWA948" i="16"/>
  <c r="HVR948" i="16"/>
  <c r="HVQ948" i="16" s="1"/>
  <c r="HVS948" i="16" s="1"/>
  <c r="HVO948" i="16"/>
  <c r="HVL948" i="16"/>
  <c r="HVN948" i="16" s="1"/>
  <c r="HVK948" i="16"/>
  <c r="HVB948" i="16"/>
  <c r="HVA948" i="16" s="1"/>
  <c r="HVC948" i="16" s="1"/>
  <c r="HUY948" i="16"/>
  <c r="HUV948" i="16"/>
  <c r="HUX948" i="16" s="1"/>
  <c r="HUU948" i="16"/>
  <c r="HUL948" i="16"/>
  <c r="HUK948" i="16" s="1"/>
  <c r="HUM948" i="16" s="1"/>
  <c r="HUI948" i="16"/>
  <c r="HUF948" i="16"/>
  <c r="HUH948" i="16" s="1"/>
  <c r="HUE948" i="16"/>
  <c r="HTV948" i="16"/>
  <c r="HTU948" i="16" s="1"/>
  <c r="HTW948" i="16" s="1"/>
  <c r="HTS948" i="16"/>
  <c r="HTP948" i="16"/>
  <c r="HTR948" i="16" s="1"/>
  <c r="HTO948" i="16"/>
  <c r="HTF948" i="16"/>
  <c r="HTE948" i="16" s="1"/>
  <c r="HTG948" i="16" s="1"/>
  <c r="HTC948" i="16"/>
  <c r="HSZ948" i="16"/>
  <c r="HTB948" i="16" s="1"/>
  <c r="HSY948" i="16"/>
  <c r="HSP948" i="16"/>
  <c r="HSO948" i="16" s="1"/>
  <c r="HSQ948" i="16" s="1"/>
  <c r="HSM948" i="16"/>
  <c r="HSJ948" i="16"/>
  <c r="HSL948" i="16" s="1"/>
  <c r="HSI948" i="16"/>
  <c r="HRZ948" i="16"/>
  <c r="HRY948" i="16" s="1"/>
  <c r="HSA948" i="16" s="1"/>
  <c r="HRW948" i="16"/>
  <c r="HRT948" i="16"/>
  <c r="HRV948" i="16" s="1"/>
  <c r="HRS948" i="16"/>
  <c r="HRJ948" i="16"/>
  <c r="HRI948" i="16" s="1"/>
  <c r="HRK948" i="16" s="1"/>
  <c r="HRG948" i="16"/>
  <c r="HRD948" i="16"/>
  <c r="HRF948" i="16" s="1"/>
  <c r="HRC948" i="16"/>
  <c r="HQT948" i="16"/>
  <c r="HQS948" i="16" s="1"/>
  <c r="HQU948" i="16" s="1"/>
  <c r="HQQ948" i="16"/>
  <c r="HQN948" i="16"/>
  <c r="HQP948" i="16" s="1"/>
  <c r="HQM948" i="16"/>
  <c r="HQD948" i="16"/>
  <c r="HQC948" i="16" s="1"/>
  <c r="HQE948" i="16" s="1"/>
  <c r="HQA948" i="16"/>
  <c r="HPX948" i="16"/>
  <c r="HPZ948" i="16" s="1"/>
  <c r="HPW948" i="16"/>
  <c r="HPN948" i="16"/>
  <c r="HPM948" i="16" s="1"/>
  <c r="HPO948" i="16" s="1"/>
  <c r="HPK948" i="16"/>
  <c r="HPH948" i="16"/>
  <c r="HPJ948" i="16" s="1"/>
  <c r="HPG948" i="16"/>
  <c r="HOX948" i="16"/>
  <c r="HOW948" i="16" s="1"/>
  <c r="HOY948" i="16" s="1"/>
  <c r="HOU948" i="16"/>
  <c r="HOR948" i="16"/>
  <c r="HOT948" i="16" s="1"/>
  <c r="HOQ948" i="16"/>
  <c r="HOH948" i="16"/>
  <c r="HOG948" i="16" s="1"/>
  <c r="HOI948" i="16" s="1"/>
  <c r="HOE948" i="16"/>
  <c r="HOB948" i="16"/>
  <c r="HOD948" i="16" s="1"/>
  <c r="HOA948" i="16"/>
  <c r="HNR948" i="16"/>
  <c r="HNQ948" i="16" s="1"/>
  <c r="HNS948" i="16" s="1"/>
  <c r="HNO948" i="16"/>
  <c r="HNL948" i="16"/>
  <c r="HNN948" i="16" s="1"/>
  <c r="HNK948" i="16"/>
  <c r="HNB948" i="16"/>
  <c r="HNA948" i="16" s="1"/>
  <c r="HNC948" i="16" s="1"/>
  <c r="HMY948" i="16"/>
  <c r="HMV948" i="16"/>
  <c r="HMX948" i="16" s="1"/>
  <c r="HMU948" i="16"/>
  <c r="HML948" i="16"/>
  <c r="HMK948" i="16" s="1"/>
  <c r="HMM948" i="16" s="1"/>
  <c r="HMI948" i="16"/>
  <c r="HMF948" i="16"/>
  <c r="HMH948" i="16" s="1"/>
  <c r="HME948" i="16"/>
  <c r="HLV948" i="16"/>
  <c r="HLU948" i="16" s="1"/>
  <c r="HLW948" i="16" s="1"/>
  <c r="HLS948" i="16"/>
  <c r="HLP948" i="16"/>
  <c r="HLR948" i="16" s="1"/>
  <c r="HLO948" i="16"/>
  <c r="HLF948" i="16"/>
  <c r="HLE948" i="16" s="1"/>
  <c r="HLG948" i="16" s="1"/>
  <c r="HLC948" i="16"/>
  <c r="HKZ948" i="16"/>
  <c r="HLB948" i="16" s="1"/>
  <c r="HKY948" i="16"/>
  <c r="HKP948" i="16"/>
  <c r="HKO948" i="16" s="1"/>
  <c r="HKQ948" i="16" s="1"/>
  <c r="HKM948" i="16"/>
  <c r="HKJ948" i="16"/>
  <c r="HKL948" i="16" s="1"/>
  <c r="HKI948" i="16"/>
  <c r="HJZ948" i="16"/>
  <c r="HJY948" i="16" s="1"/>
  <c r="HKA948" i="16" s="1"/>
  <c r="HJW948" i="16"/>
  <c r="HJT948" i="16"/>
  <c r="HJV948" i="16" s="1"/>
  <c r="HJS948" i="16"/>
  <c r="HJJ948" i="16"/>
  <c r="HJI948" i="16" s="1"/>
  <c r="HJK948" i="16" s="1"/>
  <c r="HJG948" i="16"/>
  <c r="HJD948" i="16"/>
  <c r="HJF948" i="16" s="1"/>
  <c r="HJC948" i="16"/>
  <c r="HIT948" i="16"/>
  <c r="HIS948" i="16" s="1"/>
  <c r="HIU948" i="16" s="1"/>
  <c r="HIQ948" i="16"/>
  <c r="HIN948" i="16"/>
  <c r="HIP948" i="16" s="1"/>
  <c r="HIM948" i="16"/>
  <c r="HID948" i="16"/>
  <c r="HIC948" i="16" s="1"/>
  <c r="HIE948" i="16" s="1"/>
  <c r="HIA948" i="16"/>
  <c r="HHX948" i="16"/>
  <c r="HHZ948" i="16" s="1"/>
  <c r="HHW948" i="16"/>
  <c r="HHN948" i="16"/>
  <c r="HHM948" i="16" s="1"/>
  <c r="HHO948" i="16" s="1"/>
  <c r="HHK948" i="16"/>
  <c r="HHH948" i="16"/>
  <c r="HHJ948" i="16" s="1"/>
  <c r="HHG948" i="16"/>
  <c r="HGX948" i="16"/>
  <c r="HGW948" i="16" s="1"/>
  <c r="HGY948" i="16" s="1"/>
  <c r="HGU948" i="16"/>
  <c r="HGR948" i="16"/>
  <c r="HGT948" i="16" s="1"/>
  <c r="HGQ948" i="16"/>
  <c r="HGH948" i="16"/>
  <c r="HGG948" i="16" s="1"/>
  <c r="HGI948" i="16" s="1"/>
  <c r="HGE948" i="16"/>
  <c r="HGB948" i="16"/>
  <c r="HGD948" i="16" s="1"/>
  <c r="HGA948" i="16"/>
  <c r="HFR948" i="16"/>
  <c r="HFQ948" i="16" s="1"/>
  <c r="HFS948" i="16" s="1"/>
  <c r="HFO948" i="16"/>
  <c r="HFL948" i="16"/>
  <c r="HFN948" i="16" s="1"/>
  <c r="HFK948" i="16"/>
  <c r="HFB948" i="16"/>
  <c r="HFA948" i="16" s="1"/>
  <c r="HFC948" i="16" s="1"/>
  <c r="HEY948" i="16"/>
  <c r="HEV948" i="16"/>
  <c r="HEX948" i="16" s="1"/>
  <c r="HEU948" i="16"/>
  <c r="HEL948" i="16"/>
  <c r="HEK948" i="16" s="1"/>
  <c r="HEM948" i="16" s="1"/>
  <c r="HEI948" i="16"/>
  <c r="HEF948" i="16"/>
  <c r="HEH948" i="16" s="1"/>
  <c r="HEE948" i="16"/>
  <c r="HDV948" i="16"/>
  <c r="HDU948" i="16" s="1"/>
  <c r="HDW948" i="16" s="1"/>
  <c r="HDS948" i="16"/>
  <c r="HDP948" i="16"/>
  <c r="HDR948" i="16" s="1"/>
  <c r="HDO948" i="16"/>
  <c r="HDF948" i="16"/>
  <c r="HDE948" i="16" s="1"/>
  <c r="HDG948" i="16" s="1"/>
  <c r="HDC948" i="16"/>
  <c r="HCZ948" i="16"/>
  <c r="HDB948" i="16" s="1"/>
  <c r="HCY948" i="16"/>
  <c r="HCP948" i="16"/>
  <c r="HCO948" i="16" s="1"/>
  <c r="HCQ948" i="16" s="1"/>
  <c r="HCM948" i="16"/>
  <c r="HCJ948" i="16"/>
  <c r="HCL948" i="16" s="1"/>
  <c r="HCI948" i="16"/>
  <c r="HBZ948" i="16"/>
  <c r="HBY948" i="16" s="1"/>
  <c r="HCA948" i="16" s="1"/>
  <c r="HBW948" i="16"/>
  <c r="HBT948" i="16"/>
  <c r="HBV948" i="16" s="1"/>
  <c r="HBS948" i="16"/>
  <c r="HBJ948" i="16"/>
  <c r="HBI948" i="16" s="1"/>
  <c r="HBK948" i="16" s="1"/>
  <c r="HBG948" i="16"/>
  <c r="HBD948" i="16"/>
  <c r="HBF948" i="16" s="1"/>
  <c r="HBC948" i="16"/>
  <c r="HAT948" i="16"/>
  <c r="HAS948" i="16" s="1"/>
  <c r="HAU948" i="16" s="1"/>
  <c r="HAQ948" i="16"/>
  <c r="HAN948" i="16"/>
  <c r="HAP948" i="16" s="1"/>
  <c r="HAM948" i="16"/>
  <c r="HAD948" i="16"/>
  <c r="HAC948" i="16" s="1"/>
  <c r="HAE948" i="16" s="1"/>
  <c r="HAA948" i="16"/>
  <c r="GZX948" i="16"/>
  <c r="GZZ948" i="16" s="1"/>
  <c r="GZW948" i="16"/>
  <c r="GZN948" i="16"/>
  <c r="GZM948" i="16" s="1"/>
  <c r="GZO948" i="16" s="1"/>
  <c r="GZK948" i="16"/>
  <c r="GZH948" i="16"/>
  <c r="GZJ948" i="16" s="1"/>
  <c r="GZG948" i="16"/>
  <c r="GYX948" i="16"/>
  <c r="GYW948" i="16" s="1"/>
  <c r="GYY948" i="16" s="1"/>
  <c r="GYU948" i="16"/>
  <c r="GYR948" i="16"/>
  <c r="GYT948" i="16" s="1"/>
  <c r="GYQ948" i="16"/>
  <c r="GYH948" i="16"/>
  <c r="GYG948" i="16" s="1"/>
  <c r="GYI948" i="16" s="1"/>
  <c r="GYE948" i="16"/>
  <c r="GYB948" i="16"/>
  <c r="GYD948" i="16" s="1"/>
  <c r="GYA948" i="16"/>
  <c r="GXR948" i="16"/>
  <c r="GXQ948" i="16" s="1"/>
  <c r="GXS948" i="16" s="1"/>
  <c r="GXO948" i="16"/>
  <c r="GXL948" i="16"/>
  <c r="GXN948" i="16" s="1"/>
  <c r="GXK948" i="16"/>
  <c r="GXB948" i="16"/>
  <c r="GXA948" i="16" s="1"/>
  <c r="GXC948" i="16" s="1"/>
  <c r="GWY948" i="16"/>
  <c r="GWV948" i="16"/>
  <c r="GWX948" i="16" s="1"/>
  <c r="GWU948" i="16"/>
  <c r="GWL948" i="16"/>
  <c r="GWK948" i="16" s="1"/>
  <c r="GWM948" i="16" s="1"/>
  <c r="GWI948" i="16"/>
  <c r="GWF948" i="16"/>
  <c r="GWH948" i="16" s="1"/>
  <c r="GWE948" i="16"/>
  <c r="GVV948" i="16"/>
  <c r="GVU948" i="16" s="1"/>
  <c r="GVW948" i="16" s="1"/>
  <c r="GVS948" i="16"/>
  <c r="GVP948" i="16"/>
  <c r="GVR948" i="16" s="1"/>
  <c r="GVO948" i="16"/>
  <c r="GVF948" i="16"/>
  <c r="GVE948" i="16" s="1"/>
  <c r="GVG948" i="16" s="1"/>
  <c r="GVC948" i="16"/>
  <c r="GUZ948" i="16"/>
  <c r="GVB948" i="16" s="1"/>
  <c r="GUY948" i="16"/>
  <c r="GUP948" i="16"/>
  <c r="GUO948" i="16" s="1"/>
  <c r="GUQ948" i="16" s="1"/>
  <c r="GUM948" i="16"/>
  <c r="GUJ948" i="16"/>
  <c r="GUL948" i="16" s="1"/>
  <c r="GUI948" i="16"/>
  <c r="GTZ948" i="16"/>
  <c r="GTY948" i="16" s="1"/>
  <c r="GUA948" i="16" s="1"/>
  <c r="GTW948" i="16"/>
  <c r="GTT948" i="16"/>
  <c r="GTV948" i="16" s="1"/>
  <c r="GTS948" i="16"/>
  <c r="GTJ948" i="16"/>
  <c r="GTI948" i="16" s="1"/>
  <c r="GTK948" i="16" s="1"/>
  <c r="GTG948" i="16"/>
  <c r="GTD948" i="16"/>
  <c r="GTF948" i="16" s="1"/>
  <c r="GTC948" i="16"/>
  <c r="GST948" i="16"/>
  <c r="GSS948" i="16" s="1"/>
  <c r="GSU948" i="16" s="1"/>
  <c r="GSQ948" i="16"/>
  <c r="GSN948" i="16"/>
  <c r="GSP948" i="16" s="1"/>
  <c r="GSM948" i="16"/>
  <c r="GSD948" i="16"/>
  <c r="GSC948" i="16" s="1"/>
  <c r="GSE948" i="16" s="1"/>
  <c r="GSA948" i="16"/>
  <c r="GRX948" i="16"/>
  <c r="GRZ948" i="16" s="1"/>
  <c r="GRW948" i="16"/>
  <c r="GRN948" i="16"/>
  <c r="GRM948" i="16" s="1"/>
  <c r="GRO948" i="16" s="1"/>
  <c r="GRK948" i="16"/>
  <c r="GRH948" i="16"/>
  <c r="GRJ948" i="16" s="1"/>
  <c r="GRG948" i="16"/>
  <c r="GQX948" i="16"/>
  <c r="GQW948" i="16" s="1"/>
  <c r="GQY948" i="16" s="1"/>
  <c r="GQU948" i="16"/>
  <c r="GQR948" i="16"/>
  <c r="GQT948" i="16" s="1"/>
  <c r="GQQ948" i="16"/>
  <c r="GQH948" i="16"/>
  <c r="GQG948" i="16" s="1"/>
  <c r="GQI948" i="16" s="1"/>
  <c r="GQE948" i="16"/>
  <c r="GQB948" i="16"/>
  <c r="GQD948" i="16" s="1"/>
  <c r="GQA948" i="16"/>
  <c r="GPR948" i="16"/>
  <c r="GPQ948" i="16" s="1"/>
  <c r="GPS948" i="16" s="1"/>
  <c r="GPO948" i="16"/>
  <c r="GPL948" i="16"/>
  <c r="GPN948" i="16" s="1"/>
  <c r="GPK948" i="16"/>
  <c r="GPB948" i="16"/>
  <c r="GPA948" i="16" s="1"/>
  <c r="GPC948" i="16" s="1"/>
  <c r="GOY948" i="16"/>
  <c r="GOV948" i="16"/>
  <c r="GOX948" i="16" s="1"/>
  <c r="GOU948" i="16"/>
  <c r="GOL948" i="16"/>
  <c r="GOK948" i="16" s="1"/>
  <c r="GOM948" i="16" s="1"/>
  <c r="GOI948" i="16"/>
  <c r="GOF948" i="16"/>
  <c r="GOH948" i="16" s="1"/>
  <c r="GOE948" i="16"/>
  <c r="GNV948" i="16"/>
  <c r="GNU948" i="16" s="1"/>
  <c r="GNW948" i="16" s="1"/>
  <c r="GNS948" i="16"/>
  <c r="GNP948" i="16"/>
  <c r="GNR948" i="16" s="1"/>
  <c r="GNO948" i="16"/>
  <c r="GNF948" i="16"/>
  <c r="GNE948" i="16" s="1"/>
  <c r="GNG948" i="16" s="1"/>
  <c r="GNC948" i="16"/>
  <c r="GMZ948" i="16"/>
  <c r="GNB948" i="16" s="1"/>
  <c r="GMY948" i="16"/>
  <c r="GMP948" i="16"/>
  <c r="GMO948" i="16" s="1"/>
  <c r="GMQ948" i="16" s="1"/>
  <c r="GMM948" i="16"/>
  <c r="GMJ948" i="16"/>
  <c r="GML948" i="16" s="1"/>
  <c r="GMI948" i="16"/>
  <c r="GLZ948" i="16"/>
  <c r="GLY948" i="16" s="1"/>
  <c r="GMA948" i="16" s="1"/>
  <c r="GLW948" i="16"/>
  <c r="GLT948" i="16"/>
  <c r="GLV948" i="16" s="1"/>
  <c r="GLS948" i="16"/>
  <c r="GLJ948" i="16"/>
  <c r="GLI948" i="16" s="1"/>
  <c r="GLK948" i="16" s="1"/>
  <c r="GLG948" i="16"/>
  <c r="GLD948" i="16"/>
  <c r="GLF948" i="16" s="1"/>
  <c r="GLC948" i="16"/>
  <c r="GKT948" i="16"/>
  <c r="GKS948" i="16" s="1"/>
  <c r="GKU948" i="16" s="1"/>
  <c r="GKQ948" i="16"/>
  <c r="GKN948" i="16"/>
  <c r="GKP948" i="16" s="1"/>
  <c r="GKM948" i="16"/>
  <c r="GKD948" i="16"/>
  <c r="GKC948" i="16" s="1"/>
  <c r="GKE948" i="16" s="1"/>
  <c r="GKA948" i="16"/>
  <c r="GJX948" i="16"/>
  <c r="GJZ948" i="16" s="1"/>
  <c r="GJW948" i="16"/>
  <c r="GJN948" i="16"/>
  <c r="GJM948" i="16" s="1"/>
  <c r="GJO948" i="16" s="1"/>
  <c r="GJK948" i="16"/>
  <c r="GJH948" i="16"/>
  <c r="GJJ948" i="16" s="1"/>
  <c r="GJG948" i="16"/>
  <c r="GIX948" i="16"/>
  <c r="GIW948" i="16" s="1"/>
  <c r="GIY948" i="16" s="1"/>
  <c r="GIU948" i="16"/>
  <c r="GIR948" i="16"/>
  <c r="GIT948" i="16" s="1"/>
  <c r="GIQ948" i="16"/>
  <c r="GIH948" i="16"/>
  <c r="GIG948" i="16" s="1"/>
  <c r="GII948" i="16" s="1"/>
  <c r="GIE948" i="16"/>
  <c r="GIB948" i="16"/>
  <c r="GID948" i="16" s="1"/>
  <c r="GIA948" i="16"/>
  <c r="GHR948" i="16"/>
  <c r="GHQ948" i="16" s="1"/>
  <c r="GHS948" i="16" s="1"/>
  <c r="GHO948" i="16"/>
  <c r="GHL948" i="16"/>
  <c r="GHN948" i="16" s="1"/>
  <c r="GHK948" i="16"/>
  <c r="GHB948" i="16"/>
  <c r="GHA948" i="16" s="1"/>
  <c r="GHC948" i="16" s="1"/>
  <c r="GGY948" i="16"/>
  <c r="GGV948" i="16"/>
  <c r="GGX948" i="16" s="1"/>
  <c r="GGU948" i="16"/>
  <c r="GGL948" i="16"/>
  <c r="GGK948" i="16" s="1"/>
  <c r="GGM948" i="16" s="1"/>
  <c r="GGI948" i="16"/>
  <c r="GGF948" i="16"/>
  <c r="GGH948" i="16" s="1"/>
  <c r="GGE948" i="16"/>
  <c r="GFV948" i="16"/>
  <c r="GFU948" i="16" s="1"/>
  <c r="GFW948" i="16" s="1"/>
  <c r="GFS948" i="16"/>
  <c r="GFP948" i="16"/>
  <c r="GFR948" i="16" s="1"/>
  <c r="GFO948" i="16"/>
  <c r="GFF948" i="16"/>
  <c r="GFE948" i="16" s="1"/>
  <c r="GFG948" i="16" s="1"/>
  <c r="GFC948" i="16"/>
  <c r="GEZ948" i="16"/>
  <c r="GFB948" i="16" s="1"/>
  <c r="GEY948" i="16"/>
  <c r="GEP948" i="16"/>
  <c r="GEO948" i="16" s="1"/>
  <c r="GEQ948" i="16" s="1"/>
  <c r="GEM948" i="16"/>
  <c r="GEJ948" i="16"/>
  <c r="GEL948" i="16" s="1"/>
  <c r="GEI948" i="16"/>
  <c r="GDZ948" i="16"/>
  <c r="GDY948" i="16" s="1"/>
  <c r="GEA948" i="16" s="1"/>
  <c r="GDW948" i="16"/>
  <c r="GDT948" i="16"/>
  <c r="GDV948" i="16" s="1"/>
  <c r="GDS948" i="16"/>
  <c r="GDJ948" i="16"/>
  <c r="GDI948" i="16" s="1"/>
  <c r="GDK948" i="16" s="1"/>
  <c r="GDG948" i="16"/>
  <c r="GDD948" i="16"/>
  <c r="GDF948" i="16" s="1"/>
  <c r="GDC948" i="16"/>
  <c r="GCT948" i="16"/>
  <c r="GCS948" i="16" s="1"/>
  <c r="GCU948" i="16" s="1"/>
  <c r="GCQ948" i="16"/>
  <c r="GCN948" i="16"/>
  <c r="GCP948" i="16" s="1"/>
  <c r="GCM948" i="16"/>
  <c r="GCD948" i="16"/>
  <c r="GCC948" i="16" s="1"/>
  <c r="GCE948" i="16" s="1"/>
  <c r="GCA948" i="16"/>
  <c r="GBX948" i="16"/>
  <c r="GBZ948" i="16" s="1"/>
  <c r="GBW948" i="16"/>
  <c r="GBN948" i="16"/>
  <c r="GBM948" i="16" s="1"/>
  <c r="GBO948" i="16" s="1"/>
  <c r="GBK948" i="16"/>
  <c r="GBH948" i="16"/>
  <c r="GBJ948" i="16" s="1"/>
  <c r="GBG948" i="16"/>
  <c r="GAX948" i="16"/>
  <c r="GAW948" i="16" s="1"/>
  <c r="GAY948" i="16" s="1"/>
  <c r="GAU948" i="16"/>
  <c r="GAR948" i="16"/>
  <c r="GAT948" i="16" s="1"/>
  <c r="GAQ948" i="16"/>
  <c r="GAH948" i="16"/>
  <c r="GAG948" i="16" s="1"/>
  <c r="GAI948" i="16" s="1"/>
  <c r="GAE948" i="16"/>
  <c r="GAB948" i="16"/>
  <c r="GAD948" i="16" s="1"/>
  <c r="GAA948" i="16"/>
  <c r="FZR948" i="16"/>
  <c r="FZQ948" i="16" s="1"/>
  <c r="FZS948" i="16" s="1"/>
  <c r="FZO948" i="16"/>
  <c r="FZL948" i="16"/>
  <c r="FZN948" i="16" s="1"/>
  <c r="FZK948" i="16"/>
  <c r="FZB948" i="16"/>
  <c r="FZA948" i="16" s="1"/>
  <c r="FZC948" i="16" s="1"/>
  <c r="FYY948" i="16"/>
  <c r="FYV948" i="16"/>
  <c r="FYX948" i="16" s="1"/>
  <c r="FYU948" i="16"/>
  <c r="FYL948" i="16"/>
  <c r="FYK948" i="16" s="1"/>
  <c r="FYM948" i="16" s="1"/>
  <c r="FYI948" i="16"/>
  <c r="FYF948" i="16"/>
  <c r="FYH948" i="16" s="1"/>
  <c r="FYE948" i="16"/>
  <c r="FXV948" i="16"/>
  <c r="FXU948" i="16" s="1"/>
  <c r="FXW948" i="16" s="1"/>
  <c r="FXS948" i="16"/>
  <c r="FXP948" i="16"/>
  <c r="FXR948" i="16" s="1"/>
  <c r="FXO948" i="16"/>
  <c r="FXF948" i="16"/>
  <c r="FXE948" i="16" s="1"/>
  <c r="FXG948" i="16" s="1"/>
  <c r="FXC948" i="16"/>
  <c r="FWZ948" i="16"/>
  <c r="FXB948" i="16" s="1"/>
  <c r="FWY948" i="16"/>
  <c r="FWP948" i="16"/>
  <c r="FWO948" i="16" s="1"/>
  <c r="FWQ948" i="16" s="1"/>
  <c r="FWM948" i="16"/>
  <c r="FWJ948" i="16"/>
  <c r="FWL948" i="16" s="1"/>
  <c r="FWI948" i="16"/>
  <c r="FVZ948" i="16"/>
  <c r="FVY948" i="16" s="1"/>
  <c r="FWA948" i="16" s="1"/>
  <c r="FVW948" i="16"/>
  <c r="FVT948" i="16"/>
  <c r="FVV948" i="16" s="1"/>
  <c r="FVS948" i="16"/>
  <c r="FVJ948" i="16"/>
  <c r="FVI948" i="16" s="1"/>
  <c r="FVK948" i="16" s="1"/>
  <c r="FVG948" i="16"/>
  <c r="FVD948" i="16"/>
  <c r="FVF948" i="16" s="1"/>
  <c r="FVC948" i="16"/>
  <c r="FUT948" i="16"/>
  <c r="FUS948" i="16" s="1"/>
  <c r="FUU948" i="16" s="1"/>
  <c r="FUQ948" i="16"/>
  <c r="FUN948" i="16"/>
  <c r="FUP948" i="16" s="1"/>
  <c r="FUM948" i="16"/>
  <c r="FUD948" i="16"/>
  <c r="FUC948" i="16" s="1"/>
  <c r="FUE948" i="16" s="1"/>
  <c r="FUA948" i="16"/>
  <c r="FTX948" i="16"/>
  <c r="FTZ948" i="16" s="1"/>
  <c r="FTW948" i="16"/>
  <c r="FTN948" i="16"/>
  <c r="FTM948" i="16" s="1"/>
  <c r="FTO948" i="16" s="1"/>
  <c r="FTK948" i="16"/>
  <c r="FTH948" i="16"/>
  <c r="FTJ948" i="16" s="1"/>
  <c r="FTG948" i="16"/>
  <c r="FSX948" i="16"/>
  <c r="FSW948" i="16" s="1"/>
  <c r="FSY948" i="16" s="1"/>
  <c r="FSU948" i="16"/>
  <c r="FSR948" i="16"/>
  <c r="FST948" i="16" s="1"/>
  <c r="FSQ948" i="16"/>
  <c r="FSH948" i="16"/>
  <c r="FSG948" i="16" s="1"/>
  <c r="FSI948" i="16" s="1"/>
  <c r="FSE948" i="16"/>
  <c r="FSB948" i="16"/>
  <c r="FSD948" i="16" s="1"/>
  <c r="FSA948" i="16"/>
  <c r="FRR948" i="16"/>
  <c r="FRQ948" i="16" s="1"/>
  <c r="FRS948" i="16" s="1"/>
  <c r="FRO948" i="16"/>
  <c r="FRL948" i="16"/>
  <c r="FRN948" i="16" s="1"/>
  <c r="FRK948" i="16"/>
  <c r="FRB948" i="16"/>
  <c r="FRA948" i="16" s="1"/>
  <c r="FRC948" i="16" s="1"/>
  <c r="FQY948" i="16"/>
  <c r="FQV948" i="16"/>
  <c r="FQX948" i="16" s="1"/>
  <c r="FQU948" i="16"/>
  <c r="FQL948" i="16"/>
  <c r="FQK948" i="16" s="1"/>
  <c r="FQM948" i="16" s="1"/>
  <c r="FQI948" i="16"/>
  <c r="FQF948" i="16"/>
  <c r="FQH948" i="16" s="1"/>
  <c r="FQE948" i="16"/>
  <c r="FPV948" i="16"/>
  <c r="FPU948" i="16" s="1"/>
  <c r="FPW948" i="16" s="1"/>
  <c r="FPS948" i="16"/>
  <c r="FPP948" i="16"/>
  <c r="FPR948" i="16" s="1"/>
  <c r="FPO948" i="16"/>
  <c r="FPF948" i="16"/>
  <c r="FPE948" i="16" s="1"/>
  <c r="FPG948" i="16" s="1"/>
  <c r="FPC948" i="16"/>
  <c r="FOZ948" i="16"/>
  <c r="FPB948" i="16" s="1"/>
  <c r="FOY948" i="16"/>
  <c r="FOP948" i="16"/>
  <c r="FOO948" i="16" s="1"/>
  <c r="FOQ948" i="16" s="1"/>
  <c r="FOM948" i="16"/>
  <c r="FOJ948" i="16"/>
  <c r="FOL948" i="16" s="1"/>
  <c r="FOI948" i="16"/>
  <c r="FNZ948" i="16"/>
  <c r="FNY948" i="16" s="1"/>
  <c r="FOA948" i="16" s="1"/>
  <c r="FNW948" i="16"/>
  <c r="FNT948" i="16"/>
  <c r="FNV948" i="16" s="1"/>
  <c r="FNS948" i="16"/>
  <c r="FNJ948" i="16"/>
  <c r="FNI948" i="16" s="1"/>
  <c r="FNK948" i="16" s="1"/>
  <c r="FNG948" i="16"/>
  <c r="FND948" i="16"/>
  <c r="FNF948" i="16" s="1"/>
  <c r="FNC948" i="16"/>
  <c r="FMT948" i="16"/>
  <c r="FMS948" i="16" s="1"/>
  <c r="FMU948" i="16" s="1"/>
  <c r="FMQ948" i="16"/>
  <c r="FMN948" i="16"/>
  <c r="FMP948" i="16" s="1"/>
  <c r="FMM948" i="16"/>
  <c r="FMD948" i="16"/>
  <c r="FMC948" i="16" s="1"/>
  <c r="FME948" i="16" s="1"/>
  <c r="FMA948" i="16"/>
  <c r="FLX948" i="16"/>
  <c r="FLZ948" i="16" s="1"/>
  <c r="FLW948" i="16"/>
  <c r="FLN948" i="16"/>
  <c r="FLM948" i="16" s="1"/>
  <c r="FLO948" i="16" s="1"/>
  <c r="FLK948" i="16"/>
  <c r="FLH948" i="16"/>
  <c r="FLJ948" i="16" s="1"/>
  <c r="FLG948" i="16"/>
  <c r="FKX948" i="16"/>
  <c r="FKW948" i="16" s="1"/>
  <c r="FKY948" i="16" s="1"/>
  <c r="FKU948" i="16"/>
  <c r="FKR948" i="16"/>
  <c r="FKT948" i="16" s="1"/>
  <c r="FKQ948" i="16"/>
  <c r="FKH948" i="16"/>
  <c r="FKG948" i="16" s="1"/>
  <c r="FKI948" i="16" s="1"/>
  <c r="FKE948" i="16"/>
  <c r="FKB948" i="16"/>
  <c r="FKD948" i="16" s="1"/>
  <c r="FKA948" i="16"/>
  <c r="FJR948" i="16"/>
  <c r="FJQ948" i="16" s="1"/>
  <c r="FJS948" i="16" s="1"/>
  <c r="FJO948" i="16"/>
  <c r="FJL948" i="16"/>
  <c r="FJN948" i="16" s="1"/>
  <c r="FJK948" i="16"/>
  <c r="FJB948" i="16"/>
  <c r="FJA948" i="16" s="1"/>
  <c r="FJC948" i="16" s="1"/>
  <c r="FIY948" i="16"/>
  <c r="FIV948" i="16"/>
  <c r="FIX948" i="16" s="1"/>
  <c r="FIU948" i="16"/>
  <c r="FIL948" i="16"/>
  <c r="FIK948" i="16" s="1"/>
  <c r="FIM948" i="16" s="1"/>
  <c r="FII948" i="16"/>
  <c r="FIF948" i="16"/>
  <c r="FIH948" i="16" s="1"/>
  <c r="FIE948" i="16"/>
  <c r="FHV948" i="16"/>
  <c r="FHU948" i="16" s="1"/>
  <c r="FHW948" i="16" s="1"/>
  <c r="FHS948" i="16"/>
  <c r="FHP948" i="16"/>
  <c r="FHR948" i="16" s="1"/>
  <c r="FHO948" i="16"/>
  <c r="FHF948" i="16"/>
  <c r="FHE948" i="16" s="1"/>
  <c r="FHG948" i="16" s="1"/>
  <c r="FHC948" i="16"/>
  <c r="FGZ948" i="16"/>
  <c r="FHB948" i="16" s="1"/>
  <c r="FGY948" i="16"/>
  <c r="FGP948" i="16"/>
  <c r="FGO948" i="16" s="1"/>
  <c r="FGQ948" i="16" s="1"/>
  <c r="FGM948" i="16"/>
  <c r="FGJ948" i="16"/>
  <c r="FGL948" i="16" s="1"/>
  <c r="FGI948" i="16"/>
  <c r="FFZ948" i="16"/>
  <c r="FFY948" i="16" s="1"/>
  <c r="FGA948" i="16" s="1"/>
  <c r="FFW948" i="16"/>
  <c r="FFT948" i="16"/>
  <c r="FFV948" i="16" s="1"/>
  <c r="FFS948" i="16"/>
  <c r="FFJ948" i="16"/>
  <c r="FFI948" i="16" s="1"/>
  <c r="FFK948" i="16" s="1"/>
  <c r="FFG948" i="16"/>
  <c r="FFD948" i="16"/>
  <c r="FFF948" i="16" s="1"/>
  <c r="FFC948" i="16"/>
  <c r="FET948" i="16"/>
  <c r="FES948" i="16" s="1"/>
  <c r="FEU948" i="16" s="1"/>
  <c r="FEQ948" i="16"/>
  <c r="FEN948" i="16"/>
  <c r="FEP948" i="16" s="1"/>
  <c r="FEM948" i="16"/>
  <c r="FED948" i="16"/>
  <c r="FEC948" i="16" s="1"/>
  <c r="FEE948" i="16" s="1"/>
  <c r="FEA948" i="16"/>
  <c r="FDX948" i="16"/>
  <c r="FDZ948" i="16" s="1"/>
  <c r="FDW948" i="16"/>
  <c r="FDN948" i="16"/>
  <c r="FDM948" i="16" s="1"/>
  <c r="FDO948" i="16" s="1"/>
  <c r="FDK948" i="16"/>
  <c r="FDH948" i="16"/>
  <c r="FDJ948" i="16" s="1"/>
  <c r="FDG948" i="16"/>
  <c r="FCX948" i="16"/>
  <c r="FCW948" i="16" s="1"/>
  <c r="FCY948" i="16" s="1"/>
  <c r="FCU948" i="16"/>
  <c r="FCR948" i="16"/>
  <c r="FCT948" i="16" s="1"/>
  <c r="FCQ948" i="16"/>
  <c r="FCH948" i="16"/>
  <c r="FCG948" i="16" s="1"/>
  <c r="FCI948" i="16" s="1"/>
  <c r="FCE948" i="16"/>
  <c r="FCB948" i="16"/>
  <c r="FCD948" i="16" s="1"/>
  <c r="FCA948" i="16"/>
  <c r="FBR948" i="16"/>
  <c r="FBQ948" i="16" s="1"/>
  <c r="FBS948" i="16" s="1"/>
  <c r="FBO948" i="16"/>
  <c r="FBL948" i="16"/>
  <c r="FBN948" i="16" s="1"/>
  <c r="FBK948" i="16"/>
  <c r="FBB948" i="16"/>
  <c r="FBA948" i="16" s="1"/>
  <c r="FBC948" i="16" s="1"/>
  <c r="FAY948" i="16"/>
  <c r="FAV948" i="16"/>
  <c r="FAX948" i="16" s="1"/>
  <c r="FAU948" i="16"/>
  <c r="FAL948" i="16"/>
  <c r="FAK948" i="16" s="1"/>
  <c r="FAM948" i="16" s="1"/>
  <c r="FAI948" i="16"/>
  <c r="FAF948" i="16"/>
  <c r="FAH948" i="16" s="1"/>
  <c r="FAE948" i="16"/>
  <c r="EZV948" i="16"/>
  <c r="EZU948" i="16" s="1"/>
  <c r="EZW948" i="16" s="1"/>
  <c r="EZS948" i="16"/>
  <c r="EZP948" i="16"/>
  <c r="EZR948" i="16" s="1"/>
  <c r="EZO948" i="16"/>
  <c r="EZF948" i="16"/>
  <c r="EZE948" i="16" s="1"/>
  <c r="EZG948" i="16" s="1"/>
  <c r="EZC948" i="16"/>
  <c r="EYZ948" i="16"/>
  <c r="EZB948" i="16" s="1"/>
  <c r="EYY948" i="16"/>
  <c r="EYP948" i="16"/>
  <c r="EYO948" i="16" s="1"/>
  <c r="EYQ948" i="16" s="1"/>
  <c r="EYM948" i="16"/>
  <c r="EYJ948" i="16"/>
  <c r="EYL948" i="16" s="1"/>
  <c r="EYI948" i="16"/>
  <c r="EXZ948" i="16"/>
  <c r="EXY948" i="16" s="1"/>
  <c r="EYA948" i="16" s="1"/>
  <c r="EXW948" i="16"/>
  <c r="EXT948" i="16"/>
  <c r="EXV948" i="16" s="1"/>
  <c r="EXS948" i="16"/>
  <c r="EXJ948" i="16"/>
  <c r="EXI948" i="16" s="1"/>
  <c r="EXK948" i="16" s="1"/>
  <c r="EXG948" i="16"/>
  <c r="EXD948" i="16"/>
  <c r="EXF948" i="16" s="1"/>
  <c r="EXC948" i="16"/>
  <c r="EWT948" i="16"/>
  <c r="EWS948" i="16" s="1"/>
  <c r="EWU948" i="16" s="1"/>
  <c r="EWQ948" i="16"/>
  <c r="EWN948" i="16"/>
  <c r="EWP948" i="16" s="1"/>
  <c r="EWM948" i="16"/>
  <c r="EWD948" i="16"/>
  <c r="EWC948" i="16" s="1"/>
  <c r="EWE948" i="16" s="1"/>
  <c r="EWA948" i="16"/>
  <c r="EVX948" i="16"/>
  <c r="EVZ948" i="16" s="1"/>
  <c r="EVW948" i="16"/>
  <c r="EVN948" i="16"/>
  <c r="EVM948" i="16" s="1"/>
  <c r="EVO948" i="16" s="1"/>
  <c r="EVK948" i="16"/>
  <c r="EVH948" i="16"/>
  <c r="EVJ948" i="16" s="1"/>
  <c r="EVG948" i="16"/>
  <c r="EUX948" i="16"/>
  <c r="EUW948" i="16" s="1"/>
  <c r="EUY948" i="16" s="1"/>
  <c r="EUU948" i="16"/>
  <c r="EUR948" i="16"/>
  <c r="EUT948" i="16" s="1"/>
  <c r="EUQ948" i="16"/>
  <c r="EUH948" i="16"/>
  <c r="EUG948" i="16" s="1"/>
  <c r="EUI948" i="16" s="1"/>
  <c r="EUE948" i="16"/>
  <c r="EUB948" i="16"/>
  <c r="EUD948" i="16" s="1"/>
  <c r="EUA948" i="16"/>
  <c r="ETR948" i="16"/>
  <c r="ETQ948" i="16" s="1"/>
  <c r="ETS948" i="16" s="1"/>
  <c r="ETO948" i="16"/>
  <c r="ETL948" i="16"/>
  <c r="ETN948" i="16" s="1"/>
  <c r="ETK948" i="16"/>
  <c r="ETB948" i="16"/>
  <c r="ETA948" i="16" s="1"/>
  <c r="ETC948" i="16" s="1"/>
  <c r="ESY948" i="16"/>
  <c r="ESV948" i="16"/>
  <c r="ESX948" i="16" s="1"/>
  <c r="ESU948" i="16"/>
  <c r="ESL948" i="16"/>
  <c r="ESK948" i="16" s="1"/>
  <c r="ESM948" i="16" s="1"/>
  <c r="ESI948" i="16"/>
  <c r="ESF948" i="16"/>
  <c r="ESH948" i="16" s="1"/>
  <c r="ESE948" i="16"/>
  <c r="ERV948" i="16"/>
  <c r="ERU948" i="16" s="1"/>
  <c r="ERW948" i="16" s="1"/>
  <c r="ERS948" i="16"/>
  <c r="ERP948" i="16"/>
  <c r="ERR948" i="16" s="1"/>
  <c r="ERO948" i="16"/>
  <c r="ERF948" i="16"/>
  <c r="ERE948" i="16" s="1"/>
  <c r="ERG948" i="16" s="1"/>
  <c r="ERC948" i="16"/>
  <c r="EQZ948" i="16"/>
  <c r="ERB948" i="16" s="1"/>
  <c r="EQY948" i="16"/>
  <c r="EQP948" i="16"/>
  <c r="EQO948" i="16" s="1"/>
  <c r="EQQ948" i="16" s="1"/>
  <c r="EQM948" i="16"/>
  <c r="EQJ948" i="16"/>
  <c r="EQL948" i="16" s="1"/>
  <c r="EQI948" i="16"/>
  <c r="EPZ948" i="16"/>
  <c r="EPY948" i="16" s="1"/>
  <c r="EQA948" i="16" s="1"/>
  <c r="EPW948" i="16"/>
  <c r="EPT948" i="16"/>
  <c r="EPV948" i="16" s="1"/>
  <c r="EPS948" i="16"/>
  <c r="EPJ948" i="16"/>
  <c r="EPI948" i="16" s="1"/>
  <c r="EPK948" i="16" s="1"/>
  <c r="EPG948" i="16"/>
  <c r="EPD948" i="16"/>
  <c r="EPF948" i="16" s="1"/>
  <c r="EPC948" i="16"/>
  <c r="EOT948" i="16"/>
  <c r="EOS948" i="16" s="1"/>
  <c r="EOU948" i="16" s="1"/>
  <c r="EOQ948" i="16"/>
  <c r="EON948" i="16"/>
  <c r="EOP948" i="16" s="1"/>
  <c r="EOM948" i="16"/>
  <c r="EOD948" i="16"/>
  <c r="EOC948" i="16" s="1"/>
  <c r="EOE948" i="16" s="1"/>
  <c r="EOA948" i="16"/>
  <c r="ENX948" i="16"/>
  <c r="ENZ948" i="16" s="1"/>
  <c r="ENW948" i="16"/>
  <c r="ENN948" i="16"/>
  <c r="ENM948" i="16" s="1"/>
  <c r="ENO948" i="16" s="1"/>
  <c r="ENK948" i="16"/>
  <c r="ENH948" i="16"/>
  <c r="ENJ948" i="16" s="1"/>
  <c r="ENG948" i="16"/>
  <c r="EMX948" i="16"/>
  <c r="EMW948" i="16" s="1"/>
  <c r="EMY948" i="16" s="1"/>
  <c r="EMU948" i="16"/>
  <c r="EMR948" i="16"/>
  <c r="EMT948" i="16" s="1"/>
  <c r="EMQ948" i="16"/>
  <c r="EMH948" i="16"/>
  <c r="EMG948" i="16" s="1"/>
  <c r="EMI948" i="16" s="1"/>
  <c r="EME948" i="16"/>
  <c r="EMB948" i="16"/>
  <c r="EMD948" i="16" s="1"/>
  <c r="EMA948" i="16"/>
  <c r="ELR948" i="16"/>
  <c r="ELQ948" i="16" s="1"/>
  <c r="ELS948" i="16" s="1"/>
  <c r="ELO948" i="16"/>
  <c r="ELL948" i="16"/>
  <c r="ELN948" i="16" s="1"/>
  <c r="ELK948" i="16"/>
  <c r="ELB948" i="16"/>
  <c r="ELA948" i="16" s="1"/>
  <c r="ELC948" i="16" s="1"/>
  <c r="EKY948" i="16"/>
  <c r="EKV948" i="16"/>
  <c r="EKX948" i="16" s="1"/>
  <c r="EKU948" i="16"/>
  <c r="EKL948" i="16"/>
  <c r="EKK948" i="16" s="1"/>
  <c r="EKM948" i="16" s="1"/>
  <c r="EKI948" i="16"/>
  <c r="EKF948" i="16"/>
  <c r="EKH948" i="16" s="1"/>
  <c r="EKE948" i="16"/>
  <c r="EJV948" i="16"/>
  <c r="EJU948" i="16" s="1"/>
  <c r="EJW948" i="16" s="1"/>
  <c r="EJS948" i="16"/>
  <c r="EJP948" i="16"/>
  <c r="EJR948" i="16" s="1"/>
  <c r="EJO948" i="16"/>
  <c r="EJF948" i="16"/>
  <c r="EJE948" i="16" s="1"/>
  <c r="EJG948" i="16" s="1"/>
  <c r="EJC948" i="16"/>
  <c r="EIZ948" i="16"/>
  <c r="EJB948" i="16" s="1"/>
  <c r="EIY948" i="16"/>
  <c r="EIP948" i="16"/>
  <c r="EIO948" i="16" s="1"/>
  <c r="EIQ948" i="16" s="1"/>
  <c r="EIM948" i="16"/>
  <c r="EIJ948" i="16"/>
  <c r="EIL948" i="16" s="1"/>
  <c r="EII948" i="16"/>
  <c r="EHZ948" i="16"/>
  <c r="EHY948" i="16" s="1"/>
  <c r="EIA948" i="16" s="1"/>
  <c r="EHW948" i="16"/>
  <c r="EHT948" i="16"/>
  <c r="EHV948" i="16" s="1"/>
  <c r="EHS948" i="16"/>
  <c r="EHJ948" i="16"/>
  <c r="EHI948" i="16" s="1"/>
  <c r="EHK948" i="16" s="1"/>
  <c r="EHG948" i="16"/>
  <c r="EHD948" i="16"/>
  <c r="EHF948" i="16" s="1"/>
  <c r="EHC948" i="16"/>
  <c r="EGT948" i="16"/>
  <c r="EGS948" i="16" s="1"/>
  <c r="EGU948" i="16" s="1"/>
  <c r="EGQ948" i="16"/>
  <c r="EGN948" i="16"/>
  <c r="EGP948" i="16" s="1"/>
  <c r="EGM948" i="16"/>
  <c r="EGD948" i="16"/>
  <c r="EGC948" i="16" s="1"/>
  <c r="EGE948" i="16" s="1"/>
  <c r="EGA948" i="16"/>
  <c r="EFX948" i="16"/>
  <c r="EFZ948" i="16" s="1"/>
  <c r="EFW948" i="16"/>
  <c r="EFN948" i="16"/>
  <c r="EFM948" i="16" s="1"/>
  <c r="EFO948" i="16" s="1"/>
  <c r="EFK948" i="16"/>
  <c r="EFH948" i="16"/>
  <c r="EFJ948" i="16" s="1"/>
  <c r="EFG948" i="16"/>
  <c r="EEX948" i="16"/>
  <c r="EEW948" i="16" s="1"/>
  <c r="EEY948" i="16" s="1"/>
  <c r="EEU948" i="16"/>
  <c r="EER948" i="16"/>
  <c r="EET948" i="16" s="1"/>
  <c r="EEQ948" i="16"/>
  <c r="EEH948" i="16"/>
  <c r="EEG948" i="16" s="1"/>
  <c r="EEI948" i="16" s="1"/>
  <c r="EEE948" i="16"/>
  <c r="EEB948" i="16"/>
  <c r="EED948" i="16" s="1"/>
  <c r="EEA948" i="16"/>
  <c r="EDR948" i="16"/>
  <c r="EDQ948" i="16" s="1"/>
  <c r="EDS948" i="16" s="1"/>
  <c r="EDO948" i="16"/>
  <c r="EDL948" i="16"/>
  <c r="EDN948" i="16" s="1"/>
  <c r="EDK948" i="16"/>
  <c r="EDB948" i="16"/>
  <c r="EDA948" i="16" s="1"/>
  <c r="EDC948" i="16" s="1"/>
  <c r="ECY948" i="16"/>
  <c r="ECV948" i="16"/>
  <c r="ECX948" i="16" s="1"/>
  <c r="ECU948" i="16"/>
  <c r="ECL948" i="16"/>
  <c r="ECK948" i="16" s="1"/>
  <c r="ECM948" i="16" s="1"/>
  <c r="ECI948" i="16"/>
  <c r="ECF948" i="16"/>
  <c r="ECH948" i="16" s="1"/>
  <c r="ECE948" i="16"/>
  <c r="EBV948" i="16"/>
  <c r="EBU948" i="16" s="1"/>
  <c r="EBW948" i="16" s="1"/>
  <c r="EBS948" i="16"/>
  <c r="EBP948" i="16"/>
  <c r="EBR948" i="16" s="1"/>
  <c r="EBO948" i="16"/>
  <c r="EBF948" i="16"/>
  <c r="EBE948" i="16" s="1"/>
  <c r="EBG948" i="16" s="1"/>
  <c r="EBC948" i="16"/>
  <c r="EAZ948" i="16"/>
  <c r="EBB948" i="16" s="1"/>
  <c r="EAY948" i="16"/>
  <c r="EAP948" i="16"/>
  <c r="EAO948" i="16" s="1"/>
  <c r="EAQ948" i="16" s="1"/>
  <c r="EAM948" i="16"/>
  <c r="EAJ948" i="16"/>
  <c r="EAL948" i="16" s="1"/>
  <c r="EAI948" i="16"/>
  <c r="DZZ948" i="16"/>
  <c r="DZY948" i="16" s="1"/>
  <c r="EAA948" i="16" s="1"/>
  <c r="DZW948" i="16"/>
  <c r="DZT948" i="16"/>
  <c r="DZV948" i="16" s="1"/>
  <c r="DZS948" i="16"/>
  <c r="DZJ948" i="16"/>
  <c r="DZI948" i="16" s="1"/>
  <c r="DZK948" i="16" s="1"/>
  <c r="DZG948" i="16"/>
  <c r="DZD948" i="16"/>
  <c r="DZF948" i="16" s="1"/>
  <c r="DZC948" i="16"/>
  <c r="DYT948" i="16"/>
  <c r="DYS948" i="16" s="1"/>
  <c r="DYU948" i="16" s="1"/>
  <c r="DYQ948" i="16"/>
  <c r="DYN948" i="16"/>
  <c r="DYP948" i="16" s="1"/>
  <c r="DYM948" i="16"/>
  <c r="DYD948" i="16"/>
  <c r="DYC948" i="16" s="1"/>
  <c r="DYE948" i="16" s="1"/>
  <c r="DYA948" i="16"/>
  <c r="DXX948" i="16"/>
  <c r="DXZ948" i="16" s="1"/>
  <c r="DXW948" i="16"/>
  <c r="DXN948" i="16"/>
  <c r="DXM948" i="16" s="1"/>
  <c r="DXO948" i="16" s="1"/>
  <c r="DXK948" i="16"/>
  <c r="DXH948" i="16"/>
  <c r="DXJ948" i="16" s="1"/>
  <c r="DXG948" i="16"/>
  <c r="DWX948" i="16"/>
  <c r="DWW948" i="16" s="1"/>
  <c r="DWY948" i="16" s="1"/>
  <c r="DWU948" i="16"/>
  <c r="DWR948" i="16"/>
  <c r="DWT948" i="16" s="1"/>
  <c r="DWQ948" i="16"/>
  <c r="DWH948" i="16"/>
  <c r="DWG948" i="16" s="1"/>
  <c r="DWI948" i="16" s="1"/>
  <c r="DWE948" i="16"/>
  <c r="DWB948" i="16"/>
  <c r="DWD948" i="16" s="1"/>
  <c r="DWA948" i="16"/>
  <c r="DVR948" i="16"/>
  <c r="DVQ948" i="16" s="1"/>
  <c r="DVS948" i="16" s="1"/>
  <c r="DVO948" i="16"/>
  <c r="DVL948" i="16"/>
  <c r="DVN948" i="16" s="1"/>
  <c r="DVK948" i="16"/>
  <c r="DVB948" i="16"/>
  <c r="DVA948" i="16" s="1"/>
  <c r="DVC948" i="16" s="1"/>
  <c r="DUY948" i="16"/>
  <c r="DUV948" i="16"/>
  <c r="DUX948" i="16" s="1"/>
  <c r="DUU948" i="16"/>
  <c r="DUL948" i="16"/>
  <c r="DUK948" i="16" s="1"/>
  <c r="DUM948" i="16" s="1"/>
  <c r="DUI948" i="16"/>
  <c r="DUF948" i="16"/>
  <c r="DUH948" i="16" s="1"/>
  <c r="DUE948" i="16"/>
  <c r="DTV948" i="16"/>
  <c r="DTU948" i="16" s="1"/>
  <c r="DTW948" i="16" s="1"/>
  <c r="DTS948" i="16"/>
  <c r="DTP948" i="16"/>
  <c r="DTR948" i="16" s="1"/>
  <c r="DTO948" i="16"/>
  <c r="DTF948" i="16"/>
  <c r="DTE948" i="16" s="1"/>
  <c r="DTG948" i="16" s="1"/>
  <c r="DTC948" i="16"/>
  <c r="DSZ948" i="16"/>
  <c r="DTB948" i="16" s="1"/>
  <c r="DSY948" i="16"/>
  <c r="DSP948" i="16"/>
  <c r="DSO948" i="16" s="1"/>
  <c r="DSQ948" i="16" s="1"/>
  <c r="DSM948" i="16"/>
  <c r="DSJ948" i="16"/>
  <c r="DSL948" i="16" s="1"/>
  <c r="DSI948" i="16"/>
  <c r="DRZ948" i="16"/>
  <c r="DRY948" i="16" s="1"/>
  <c r="DSA948" i="16" s="1"/>
  <c r="DRW948" i="16"/>
  <c r="DRT948" i="16"/>
  <c r="DRV948" i="16" s="1"/>
  <c r="DRS948" i="16"/>
  <c r="DRJ948" i="16"/>
  <c r="DRI948" i="16" s="1"/>
  <c r="DRK948" i="16" s="1"/>
  <c r="DRG948" i="16"/>
  <c r="DRD948" i="16"/>
  <c r="DRF948" i="16" s="1"/>
  <c r="DRC948" i="16"/>
  <c r="DQT948" i="16"/>
  <c r="DQS948" i="16" s="1"/>
  <c r="DQU948" i="16" s="1"/>
  <c r="DQQ948" i="16"/>
  <c r="DQN948" i="16"/>
  <c r="DQP948" i="16" s="1"/>
  <c r="DQM948" i="16"/>
  <c r="DQD948" i="16"/>
  <c r="DQC948" i="16" s="1"/>
  <c r="DQE948" i="16" s="1"/>
  <c r="DQA948" i="16"/>
  <c r="DPX948" i="16"/>
  <c r="DPZ948" i="16" s="1"/>
  <c r="DPW948" i="16"/>
  <c r="DPN948" i="16"/>
  <c r="DPM948" i="16" s="1"/>
  <c r="DPO948" i="16" s="1"/>
  <c r="DPK948" i="16"/>
  <c r="DPH948" i="16"/>
  <c r="DPJ948" i="16" s="1"/>
  <c r="DPG948" i="16"/>
  <c r="DOX948" i="16"/>
  <c r="DOW948" i="16" s="1"/>
  <c r="DOY948" i="16" s="1"/>
  <c r="DOU948" i="16"/>
  <c r="DOR948" i="16"/>
  <c r="DOT948" i="16" s="1"/>
  <c r="DOQ948" i="16"/>
  <c r="DOH948" i="16"/>
  <c r="DOG948" i="16" s="1"/>
  <c r="DOI948" i="16" s="1"/>
  <c r="DOE948" i="16"/>
  <c r="DOB948" i="16"/>
  <c r="DOD948" i="16" s="1"/>
  <c r="DOA948" i="16"/>
  <c r="DNR948" i="16"/>
  <c r="DNQ948" i="16" s="1"/>
  <c r="DNS948" i="16" s="1"/>
  <c r="DNO948" i="16"/>
  <c r="DNL948" i="16"/>
  <c r="DNN948" i="16" s="1"/>
  <c r="DNK948" i="16"/>
  <c r="DNB948" i="16"/>
  <c r="DNA948" i="16" s="1"/>
  <c r="DNC948" i="16" s="1"/>
  <c r="DMY948" i="16"/>
  <c r="DMV948" i="16"/>
  <c r="DMX948" i="16" s="1"/>
  <c r="DMU948" i="16"/>
  <c r="DML948" i="16"/>
  <c r="DMK948" i="16" s="1"/>
  <c r="DMM948" i="16" s="1"/>
  <c r="DMI948" i="16"/>
  <c r="DMF948" i="16"/>
  <c r="DMH948" i="16" s="1"/>
  <c r="DME948" i="16"/>
  <c r="DLV948" i="16"/>
  <c r="DLU948" i="16" s="1"/>
  <c r="DLW948" i="16" s="1"/>
  <c r="DLS948" i="16"/>
  <c r="DLP948" i="16"/>
  <c r="DLR948" i="16" s="1"/>
  <c r="DLO948" i="16"/>
  <c r="DLF948" i="16"/>
  <c r="DLE948" i="16" s="1"/>
  <c r="DLG948" i="16" s="1"/>
  <c r="DLC948" i="16"/>
  <c r="DKZ948" i="16"/>
  <c r="DLB948" i="16" s="1"/>
  <c r="DKY948" i="16"/>
  <c r="DKP948" i="16"/>
  <c r="DKO948" i="16" s="1"/>
  <c r="DKQ948" i="16" s="1"/>
  <c r="DKM948" i="16"/>
  <c r="DKJ948" i="16"/>
  <c r="DKL948" i="16" s="1"/>
  <c r="DKI948" i="16"/>
  <c r="DJZ948" i="16"/>
  <c r="DJY948" i="16" s="1"/>
  <c r="DKA948" i="16" s="1"/>
  <c r="DJW948" i="16"/>
  <c r="DJT948" i="16"/>
  <c r="DJV948" i="16" s="1"/>
  <c r="DJS948" i="16"/>
  <c r="DJJ948" i="16"/>
  <c r="DJI948" i="16" s="1"/>
  <c r="DJK948" i="16" s="1"/>
  <c r="DJG948" i="16"/>
  <c r="DJD948" i="16"/>
  <c r="DJF948" i="16" s="1"/>
  <c r="DJC948" i="16"/>
  <c r="DIT948" i="16"/>
  <c r="DIS948" i="16" s="1"/>
  <c r="DIU948" i="16" s="1"/>
  <c r="DIQ948" i="16"/>
  <c r="DIN948" i="16"/>
  <c r="DIP948" i="16" s="1"/>
  <c r="DIM948" i="16"/>
  <c r="DID948" i="16"/>
  <c r="DIC948" i="16" s="1"/>
  <c r="DIE948" i="16" s="1"/>
  <c r="DIA948" i="16"/>
  <c r="DHX948" i="16"/>
  <c r="DHZ948" i="16" s="1"/>
  <c r="DHW948" i="16"/>
  <c r="DHN948" i="16"/>
  <c r="DHM948" i="16" s="1"/>
  <c r="DHO948" i="16" s="1"/>
  <c r="DHK948" i="16"/>
  <c r="DHH948" i="16"/>
  <c r="DHJ948" i="16" s="1"/>
  <c r="DHG948" i="16"/>
  <c r="DGX948" i="16"/>
  <c r="DGW948" i="16" s="1"/>
  <c r="DGY948" i="16" s="1"/>
  <c r="DGU948" i="16"/>
  <c r="DGR948" i="16"/>
  <c r="DGT948" i="16" s="1"/>
  <c r="DGQ948" i="16"/>
  <c r="DGH948" i="16"/>
  <c r="DGG948" i="16" s="1"/>
  <c r="DGI948" i="16" s="1"/>
  <c r="DGE948" i="16"/>
  <c r="DGB948" i="16"/>
  <c r="DGD948" i="16" s="1"/>
  <c r="DGA948" i="16"/>
  <c r="DFR948" i="16"/>
  <c r="DFQ948" i="16" s="1"/>
  <c r="DFS948" i="16" s="1"/>
  <c r="DFO948" i="16"/>
  <c r="DFL948" i="16"/>
  <c r="DFN948" i="16" s="1"/>
  <c r="DFK948" i="16"/>
  <c r="DFB948" i="16"/>
  <c r="DFA948" i="16" s="1"/>
  <c r="DFC948" i="16" s="1"/>
  <c r="DEY948" i="16"/>
  <c r="DEV948" i="16"/>
  <c r="DEX948" i="16" s="1"/>
  <c r="DEU948" i="16"/>
  <c r="DEL948" i="16"/>
  <c r="DEK948" i="16" s="1"/>
  <c r="DEM948" i="16" s="1"/>
  <c r="DEI948" i="16"/>
  <c r="DEF948" i="16"/>
  <c r="DEH948" i="16" s="1"/>
  <c r="DEE948" i="16"/>
  <c r="DDV948" i="16"/>
  <c r="DDU948" i="16" s="1"/>
  <c r="DDW948" i="16" s="1"/>
  <c r="DDS948" i="16"/>
  <c r="DDP948" i="16"/>
  <c r="DDR948" i="16" s="1"/>
  <c r="DDO948" i="16"/>
  <c r="DDF948" i="16"/>
  <c r="DDE948" i="16" s="1"/>
  <c r="DDG948" i="16" s="1"/>
  <c r="DDC948" i="16"/>
  <c r="DCZ948" i="16"/>
  <c r="DDB948" i="16" s="1"/>
  <c r="DCY948" i="16"/>
  <c r="DCP948" i="16"/>
  <c r="DCO948" i="16" s="1"/>
  <c r="DCQ948" i="16" s="1"/>
  <c r="DCM948" i="16"/>
  <c r="DCJ948" i="16"/>
  <c r="DCL948" i="16" s="1"/>
  <c r="DCI948" i="16"/>
  <c r="DBZ948" i="16"/>
  <c r="DBY948" i="16" s="1"/>
  <c r="DCA948" i="16" s="1"/>
  <c r="DBW948" i="16"/>
  <c r="DBT948" i="16"/>
  <c r="DBV948" i="16" s="1"/>
  <c r="DBS948" i="16"/>
  <c r="DBJ948" i="16"/>
  <c r="DBI948" i="16" s="1"/>
  <c r="DBK948" i="16" s="1"/>
  <c r="DBG948" i="16"/>
  <c r="DBD948" i="16"/>
  <c r="DBF948" i="16" s="1"/>
  <c r="DBC948" i="16"/>
  <c r="DAT948" i="16"/>
  <c r="DAS948" i="16" s="1"/>
  <c r="DAU948" i="16" s="1"/>
  <c r="DAQ948" i="16"/>
  <c r="DAN948" i="16"/>
  <c r="DAP948" i="16" s="1"/>
  <c r="DAM948" i="16"/>
  <c r="DAD948" i="16"/>
  <c r="DAC948" i="16" s="1"/>
  <c r="DAE948" i="16" s="1"/>
  <c r="DAA948" i="16"/>
  <c r="CZX948" i="16"/>
  <c r="CZZ948" i="16" s="1"/>
  <c r="CZW948" i="16"/>
  <c r="CZN948" i="16"/>
  <c r="CZM948" i="16" s="1"/>
  <c r="CZO948" i="16" s="1"/>
  <c r="CZK948" i="16"/>
  <c r="CZH948" i="16"/>
  <c r="CZJ948" i="16" s="1"/>
  <c r="CZG948" i="16"/>
  <c r="CYX948" i="16"/>
  <c r="CYW948" i="16" s="1"/>
  <c r="CYY948" i="16" s="1"/>
  <c r="CYU948" i="16"/>
  <c r="CYR948" i="16"/>
  <c r="CYT948" i="16" s="1"/>
  <c r="CYQ948" i="16"/>
  <c r="CYH948" i="16"/>
  <c r="CYG948" i="16" s="1"/>
  <c r="CYI948" i="16" s="1"/>
  <c r="CYE948" i="16"/>
  <c r="CYB948" i="16"/>
  <c r="CYD948" i="16" s="1"/>
  <c r="CYA948" i="16"/>
  <c r="CXR948" i="16"/>
  <c r="CXQ948" i="16" s="1"/>
  <c r="CXS948" i="16" s="1"/>
  <c r="CXO948" i="16"/>
  <c r="CXL948" i="16"/>
  <c r="CXN948" i="16" s="1"/>
  <c r="CXK948" i="16"/>
  <c r="CXB948" i="16"/>
  <c r="CXA948" i="16" s="1"/>
  <c r="CXC948" i="16" s="1"/>
  <c r="CWY948" i="16"/>
  <c r="CWV948" i="16"/>
  <c r="CWX948" i="16" s="1"/>
  <c r="CWU948" i="16"/>
  <c r="CWL948" i="16"/>
  <c r="CWK948" i="16" s="1"/>
  <c r="CWM948" i="16" s="1"/>
  <c r="CWI948" i="16"/>
  <c r="CWF948" i="16"/>
  <c r="CWH948" i="16" s="1"/>
  <c r="CWE948" i="16"/>
  <c r="CVV948" i="16"/>
  <c r="CVU948" i="16" s="1"/>
  <c r="CVW948" i="16" s="1"/>
  <c r="CVS948" i="16"/>
  <c r="CVP948" i="16"/>
  <c r="CVR948" i="16" s="1"/>
  <c r="CVO948" i="16"/>
  <c r="CVF948" i="16"/>
  <c r="CVE948" i="16" s="1"/>
  <c r="CVG948" i="16" s="1"/>
  <c r="CVC948" i="16"/>
  <c r="CUZ948" i="16"/>
  <c r="CVB948" i="16" s="1"/>
  <c r="CUY948" i="16"/>
  <c r="CUP948" i="16"/>
  <c r="CUO948" i="16" s="1"/>
  <c r="CUQ948" i="16" s="1"/>
  <c r="CUM948" i="16"/>
  <c r="CUJ948" i="16"/>
  <c r="CUL948" i="16" s="1"/>
  <c r="CUI948" i="16"/>
  <c r="CTZ948" i="16"/>
  <c r="CTY948" i="16" s="1"/>
  <c r="CUA948" i="16" s="1"/>
  <c r="CTW948" i="16"/>
  <c r="CTT948" i="16"/>
  <c r="CTV948" i="16" s="1"/>
  <c r="CTS948" i="16"/>
  <c r="CTJ948" i="16"/>
  <c r="CTI948" i="16" s="1"/>
  <c r="CTK948" i="16" s="1"/>
  <c r="CTG948" i="16"/>
  <c r="CTD948" i="16"/>
  <c r="CTF948" i="16" s="1"/>
  <c r="CTC948" i="16"/>
  <c r="CST948" i="16"/>
  <c r="CSS948" i="16" s="1"/>
  <c r="CSU948" i="16" s="1"/>
  <c r="CSQ948" i="16"/>
  <c r="CSN948" i="16"/>
  <c r="CSP948" i="16" s="1"/>
  <c r="CSM948" i="16"/>
  <c r="CSD948" i="16"/>
  <c r="CSC948" i="16" s="1"/>
  <c r="CSE948" i="16" s="1"/>
  <c r="CSA948" i="16"/>
  <c r="CRX948" i="16"/>
  <c r="CRZ948" i="16" s="1"/>
  <c r="CRW948" i="16"/>
  <c r="CRN948" i="16"/>
  <c r="CRM948" i="16" s="1"/>
  <c r="CRO948" i="16" s="1"/>
  <c r="CRK948" i="16"/>
  <c r="CRH948" i="16"/>
  <c r="CRJ948" i="16" s="1"/>
  <c r="CRG948" i="16"/>
  <c r="CQX948" i="16"/>
  <c r="CQW948" i="16" s="1"/>
  <c r="CQY948" i="16" s="1"/>
  <c r="CQU948" i="16"/>
  <c r="CQR948" i="16"/>
  <c r="CQT948" i="16" s="1"/>
  <c r="CQQ948" i="16"/>
  <c r="CQH948" i="16"/>
  <c r="CQG948" i="16" s="1"/>
  <c r="CQI948" i="16" s="1"/>
  <c r="CQE948" i="16"/>
  <c r="CQB948" i="16"/>
  <c r="CQD948" i="16" s="1"/>
  <c r="CQA948" i="16"/>
  <c r="CPR948" i="16"/>
  <c r="CPQ948" i="16" s="1"/>
  <c r="CPS948" i="16" s="1"/>
  <c r="CPO948" i="16"/>
  <c r="CPL948" i="16"/>
  <c r="CPN948" i="16" s="1"/>
  <c r="CPK948" i="16"/>
  <c r="CPB948" i="16"/>
  <c r="CPA948" i="16" s="1"/>
  <c r="CPC948" i="16" s="1"/>
  <c r="COY948" i="16"/>
  <c r="COV948" i="16"/>
  <c r="COX948" i="16" s="1"/>
  <c r="COU948" i="16"/>
  <c r="COL948" i="16"/>
  <c r="COK948" i="16" s="1"/>
  <c r="COM948" i="16" s="1"/>
  <c r="COI948" i="16"/>
  <c r="COF948" i="16"/>
  <c r="COH948" i="16" s="1"/>
  <c r="COE948" i="16"/>
  <c r="CNV948" i="16"/>
  <c r="CNU948" i="16" s="1"/>
  <c r="CNW948" i="16" s="1"/>
  <c r="CNS948" i="16"/>
  <c r="CNP948" i="16"/>
  <c r="CNR948" i="16" s="1"/>
  <c r="CNO948" i="16"/>
  <c r="CNF948" i="16"/>
  <c r="CNE948" i="16" s="1"/>
  <c r="CNG948" i="16" s="1"/>
  <c r="CNC948" i="16"/>
  <c r="CMZ948" i="16"/>
  <c r="CNB948" i="16" s="1"/>
  <c r="CMY948" i="16"/>
  <c r="CMP948" i="16"/>
  <c r="CMO948" i="16" s="1"/>
  <c r="CMQ948" i="16" s="1"/>
  <c r="CMM948" i="16"/>
  <c r="CMJ948" i="16"/>
  <c r="CML948" i="16" s="1"/>
  <c r="CMI948" i="16"/>
  <c r="CLZ948" i="16"/>
  <c r="CLY948" i="16" s="1"/>
  <c r="CMA948" i="16" s="1"/>
  <c r="CLW948" i="16"/>
  <c r="CLT948" i="16"/>
  <c r="CLV948" i="16" s="1"/>
  <c r="CLS948" i="16"/>
  <c r="CLJ948" i="16"/>
  <c r="CLI948" i="16" s="1"/>
  <c r="CLK948" i="16" s="1"/>
  <c r="CLG948" i="16"/>
  <c r="CLD948" i="16"/>
  <c r="CLF948" i="16" s="1"/>
  <c r="CLC948" i="16"/>
  <c r="CKT948" i="16"/>
  <c r="CKS948" i="16" s="1"/>
  <c r="CKU948" i="16" s="1"/>
  <c r="CKQ948" i="16"/>
  <c r="CKN948" i="16"/>
  <c r="CKP948" i="16" s="1"/>
  <c r="CKM948" i="16"/>
  <c r="CKD948" i="16"/>
  <c r="CKC948" i="16" s="1"/>
  <c r="CKE948" i="16" s="1"/>
  <c r="CKA948" i="16"/>
  <c r="CJX948" i="16"/>
  <c r="CJZ948" i="16" s="1"/>
  <c r="CJW948" i="16"/>
  <c r="CJN948" i="16"/>
  <c r="CJM948" i="16" s="1"/>
  <c r="CJO948" i="16" s="1"/>
  <c r="CJK948" i="16"/>
  <c r="CJH948" i="16"/>
  <c r="CJJ948" i="16" s="1"/>
  <c r="CJG948" i="16"/>
  <c r="CIX948" i="16"/>
  <c r="CIW948" i="16" s="1"/>
  <c r="CIY948" i="16" s="1"/>
  <c r="CIU948" i="16"/>
  <c r="CIR948" i="16"/>
  <c r="CIT948" i="16" s="1"/>
  <c r="CIQ948" i="16"/>
  <c r="CIH948" i="16"/>
  <c r="CIG948" i="16" s="1"/>
  <c r="CII948" i="16" s="1"/>
  <c r="CIE948" i="16"/>
  <c r="CIB948" i="16"/>
  <c r="CID948" i="16" s="1"/>
  <c r="CIA948" i="16"/>
  <c r="CHR948" i="16"/>
  <c r="CHQ948" i="16" s="1"/>
  <c r="CHS948" i="16" s="1"/>
  <c r="CHO948" i="16"/>
  <c r="CHL948" i="16"/>
  <c r="CHN948" i="16" s="1"/>
  <c r="CHK948" i="16"/>
  <c r="CHB948" i="16"/>
  <c r="CHA948" i="16" s="1"/>
  <c r="CHC948" i="16" s="1"/>
  <c r="CGY948" i="16"/>
  <c r="CGV948" i="16"/>
  <c r="CGX948" i="16" s="1"/>
  <c r="CGU948" i="16"/>
  <c r="CGL948" i="16"/>
  <c r="CGK948" i="16" s="1"/>
  <c r="CGM948" i="16" s="1"/>
  <c r="CGI948" i="16"/>
  <c r="CGF948" i="16"/>
  <c r="CGH948" i="16" s="1"/>
  <c r="CGE948" i="16"/>
  <c r="CFV948" i="16"/>
  <c r="CFU948" i="16" s="1"/>
  <c r="CFW948" i="16" s="1"/>
  <c r="CFS948" i="16"/>
  <c r="CFP948" i="16"/>
  <c r="CFR948" i="16" s="1"/>
  <c r="CFO948" i="16"/>
  <c r="CFF948" i="16"/>
  <c r="CFE948" i="16" s="1"/>
  <c r="CFG948" i="16" s="1"/>
  <c r="CFC948" i="16"/>
  <c r="CEZ948" i="16"/>
  <c r="CFB948" i="16" s="1"/>
  <c r="CEY948" i="16"/>
  <c r="CEP948" i="16"/>
  <c r="CEO948" i="16" s="1"/>
  <c r="CEQ948" i="16" s="1"/>
  <c r="CEM948" i="16"/>
  <c r="CEJ948" i="16"/>
  <c r="CEL948" i="16" s="1"/>
  <c r="CEI948" i="16"/>
  <c r="CDZ948" i="16"/>
  <c r="CDY948" i="16" s="1"/>
  <c r="CEA948" i="16" s="1"/>
  <c r="CDW948" i="16"/>
  <c r="CDT948" i="16"/>
  <c r="CDV948" i="16" s="1"/>
  <c r="CDS948" i="16"/>
  <c r="CDJ948" i="16"/>
  <c r="CDI948" i="16" s="1"/>
  <c r="CDK948" i="16" s="1"/>
  <c r="CDG948" i="16"/>
  <c r="CDD948" i="16"/>
  <c r="CDF948" i="16" s="1"/>
  <c r="CDC948" i="16"/>
  <c r="CCT948" i="16"/>
  <c r="CCS948" i="16" s="1"/>
  <c r="CCU948" i="16" s="1"/>
  <c r="CCQ948" i="16"/>
  <c r="CCN948" i="16"/>
  <c r="CCP948" i="16" s="1"/>
  <c r="CCM948" i="16"/>
  <c r="CCD948" i="16"/>
  <c r="CCC948" i="16" s="1"/>
  <c r="CCE948" i="16" s="1"/>
  <c r="CCA948" i="16"/>
  <c r="CBX948" i="16"/>
  <c r="CBZ948" i="16" s="1"/>
  <c r="CBW948" i="16"/>
  <c r="CBN948" i="16"/>
  <c r="CBM948" i="16" s="1"/>
  <c r="CBO948" i="16" s="1"/>
  <c r="CBK948" i="16"/>
  <c r="CBH948" i="16"/>
  <c r="CBJ948" i="16" s="1"/>
  <c r="CBG948" i="16"/>
  <c r="CAX948" i="16"/>
  <c r="CAW948" i="16" s="1"/>
  <c r="CAY948" i="16" s="1"/>
  <c r="CAU948" i="16"/>
  <c r="CAR948" i="16"/>
  <c r="CAT948" i="16" s="1"/>
  <c r="CAQ948" i="16"/>
  <c r="CAH948" i="16"/>
  <c r="CAG948" i="16" s="1"/>
  <c r="CAI948" i="16" s="1"/>
  <c r="CAE948" i="16"/>
  <c r="CAB948" i="16"/>
  <c r="CAD948" i="16" s="1"/>
  <c r="CAA948" i="16"/>
  <c r="BZR948" i="16"/>
  <c r="BZQ948" i="16" s="1"/>
  <c r="BZS948" i="16" s="1"/>
  <c r="BZO948" i="16"/>
  <c r="BZL948" i="16"/>
  <c r="BZN948" i="16" s="1"/>
  <c r="BZK948" i="16"/>
  <c r="BZB948" i="16"/>
  <c r="BZA948" i="16" s="1"/>
  <c r="BZC948" i="16" s="1"/>
  <c r="BYY948" i="16"/>
  <c r="BYV948" i="16"/>
  <c r="BYX948" i="16" s="1"/>
  <c r="BYU948" i="16"/>
  <c r="BYL948" i="16"/>
  <c r="BYK948" i="16" s="1"/>
  <c r="BYM948" i="16" s="1"/>
  <c r="BYI948" i="16"/>
  <c r="BYF948" i="16"/>
  <c r="BYH948" i="16" s="1"/>
  <c r="BYE948" i="16"/>
  <c r="BXV948" i="16"/>
  <c r="BXU948" i="16" s="1"/>
  <c r="BXW948" i="16" s="1"/>
  <c r="BXS948" i="16"/>
  <c r="BXP948" i="16"/>
  <c r="BXR948" i="16" s="1"/>
  <c r="BXO948" i="16"/>
  <c r="BXF948" i="16"/>
  <c r="BXE948" i="16" s="1"/>
  <c r="BXG948" i="16" s="1"/>
  <c r="BXC948" i="16"/>
  <c r="BWZ948" i="16"/>
  <c r="BXB948" i="16" s="1"/>
  <c r="BWY948" i="16"/>
  <c r="BWP948" i="16"/>
  <c r="BWO948" i="16" s="1"/>
  <c r="BWQ948" i="16" s="1"/>
  <c r="BWM948" i="16"/>
  <c r="BWJ948" i="16"/>
  <c r="BWL948" i="16" s="1"/>
  <c r="BWI948" i="16"/>
  <c r="BVZ948" i="16"/>
  <c r="BVY948" i="16" s="1"/>
  <c r="BWA948" i="16" s="1"/>
  <c r="BVW948" i="16"/>
  <c r="BVT948" i="16"/>
  <c r="BVV948" i="16" s="1"/>
  <c r="BVS948" i="16"/>
  <c r="BVJ948" i="16"/>
  <c r="BVI948" i="16" s="1"/>
  <c r="BVK948" i="16" s="1"/>
  <c r="BVG948" i="16"/>
  <c r="BVD948" i="16"/>
  <c r="BVF948" i="16" s="1"/>
  <c r="BVC948" i="16"/>
  <c r="BUT948" i="16"/>
  <c r="BUS948" i="16" s="1"/>
  <c r="BUU948" i="16" s="1"/>
  <c r="BUQ948" i="16"/>
  <c r="BUN948" i="16"/>
  <c r="BUP948" i="16" s="1"/>
  <c r="BUM948" i="16"/>
  <c r="BUD948" i="16"/>
  <c r="BUC948" i="16" s="1"/>
  <c r="BUE948" i="16" s="1"/>
  <c r="BUA948" i="16"/>
  <c r="BTX948" i="16"/>
  <c r="BTZ948" i="16" s="1"/>
  <c r="BTW948" i="16"/>
  <c r="BTN948" i="16"/>
  <c r="BTM948" i="16" s="1"/>
  <c r="BTO948" i="16" s="1"/>
  <c r="BTK948" i="16"/>
  <c r="BTH948" i="16"/>
  <c r="BTJ948" i="16" s="1"/>
  <c r="BTG948" i="16"/>
  <c r="BSX948" i="16"/>
  <c r="BSW948" i="16" s="1"/>
  <c r="BSY948" i="16" s="1"/>
  <c r="BSU948" i="16"/>
  <c r="BSR948" i="16"/>
  <c r="BST948" i="16" s="1"/>
  <c r="BSQ948" i="16"/>
  <c r="BSH948" i="16"/>
  <c r="BSG948" i="16" s="1"/>
  <c r="BSI948" i="16" s="1"/>
  <c r="BSE948" i="16"/>
  <c r="BSB948" i="16"/>
  <c r="BSD948" i="16" s="1"/>
  <c r="BSA948" i="16"/>
  <c r="BRR948" i="16"/>
  <c r="BRQ948" i="16" s="1"/>
  <c r="BRS948" i="16" s="1"/>
  <c r="BRO948" i="16"/>
  <c r="BRL948" i="16"/>
  <c r="BRN948" i="16" s="1"/>
  <c r="BRK948" i="16"/>
  <c r="BRB948" i="16"/>
  <c r="BRA948" i="16" s="1"/>
  <c r="BRC948" i="16" s="1"/>
  <c r="BQY948" i="16"/>
  <c r="BQV948" i="16"/>
  <c r="BQX948" i="16" s="1"/>
  <c r="BQU948" i="16"/>
  <c r="BQL948" i="16"/>
  <c r="BQK948" i="16" s="1"/>
  <c r="BQM948" i="16" s="1"/>
  <c r="BQI948" i="16"/>
  <c r="BQF948" i="16"/>
  <c r="BQH948" i="16" s="1"/>
  <c r="BQE948" i="16"/>
  <c r="BPV948" i="16"/>
  <c r="BPU948" i="16" s="1"/>
  <c r="BPW948" i="16" s="1"/>
  <c r="BPS948" i="16"/>
  <c r="BPP948" i="16"/>
  <c r="BPR948" i="16" s="1"/>
  <c r="BPO948" i="16"/>
  <c r="BPF948" i="16"/>
  <c r="BPE948" i="16" s="1"/>
  <c r="BPG948" i="16" s="1"/>
  <c r="BPC948" i="16"/>
  <c r="BOZ948" i="16"/>
  <c r="BPB948" i="16" s="1"/>
  <c r="BOY948" i="16"/>
  <c r="BOP948" i="16"/>
  <c r="BOO948" i="16" s="1"/>
  <c r="BOQ948" i="16" s="1"/>
  <c r="BOM948" i="16"/>
  <c r="BOJ948" i="16"/>
  <c r="BOL948" i="16" s="1"/>
  <c r="BOI948" i="16"/>
  <c r="BNZ948" i="16"/>
  <c r="BNY948" i="16" s="1"/>
  <c r="BOA948" i="16" s="1"/>
  <c r="BNW948" i="16"/>
  <c r="BNT948" i="16"/>
  <c r="BNV948" i="16" s="1"/>
  <c r="BNS948" i="16"/>
  <c r="BNJ948" i="16"/>
  <c r="BNI948" i="16" s="1"/>
  <c r="BNK948" i="16" s="1"/>
  <c r="BNG948" i="16"/>
  <c r="BND948" i="16"/>
  <c r="BNF948" i="16" s="1"/>
  <c r="BNC948" i="16"/>
  <c r="BMT948" i="16"/>
  <c r="BMS948" i="16" s="1"/>
  <c r="BMU948" i="16" s="1"/>
  <c r="BMQ948" i="16"/>
  <c r="BMN948" i="16"/>
  <c r="BMP948" i="16" s="1"/>
  <c r="BMM948" i="16"/>
  <c r="BMD948" i="16"/>
  <c r="BMC948" i="16" s="1"/>
  <c r="BME948" i="16" s="1"/>
  <c r="BMA948" i="16"/>
  <c r="BLX948" i="16"/>
  <c r="BLZ948" i="16" s="1"/>
  <c r="BLW948" i="16"/>
  <c r="BLN948" i="16"/>
  <c r="BLM948" i="16" s="1"/>
  <c r="BLO948" i="16" s="1"/>
  <c r="BLK948" i="16"/>
  <c r="BLH948" i="16"/>
  <c r="BLJ948" i="16" s="1"/>
  <c r="BLG948" i="16"/>
  <c r="BKX948" i="16"/>
  <c r="BKW948" i="16" s="1"/>
  <c r="BKY948" i="16" s="1"/>
  <c r="BKU948" i="16"/>
  <c r="BKR948" i="16"/>
  <c r="BKT948" i="16" s="1"/>
  <c r="BKQ948" i="16"/>
  <c r="BKH948" i="16"/>
  <c r="BKG948" i="16" s="1"/>
  <c r="BKI948" i="16" s="1"/>
  <c r="BKE948" i="16"/>
  <c r="BKB948" i="16"/>
  <c r="BKD948" i="16" s="1"/>
  <c r="BKA948" i="16"/>
  <c r="BJR948" i="16"/>
  <c r="BJQ948" i="16" s="1"/>
  <c r="BJS948" i="16" s="1"/>
  <c r="BJO948" i="16"/>
  <c r="BJL948" i="16"/>
  <c r="BJN948" i="16" s="1"/>
  <c r="BJK948" i="16"/>
  <c r="BJB948" i="16"/>
  <c r="BJA948" i="16" s="1"/>
  <c r="BJC948" i="16" s="1"/>
  <c r="BIY948" i="16"/>
  <c r="BIV948" i="16"/>
  <c r="BIX948" i="16" s="1"/>
  <c r="BIU948" i="16"/>
  <c r="BIL948" i="16"/>
  <c r="BIK948" i="16" s="1"/>
  <c r="BIM948" i="16" s="1"/>
  <c r="BII948" i="16"/>
  <c r="BIF948" i="16"/>
  <c r="BIH948" i="16" s="1"/>
  <c r="BIE948" i="16"/>
  <c r="BHV948" i="16"/>
  <c r="BHU948" i="16" s="1"/>
  <c r="BHW948" i="16" s="1"/>
  <c r="BHS948" i="16"/>
  <c r="BHP948" i="16"/>
  <c r="BHR948" i="16" s="1"/>
  <c r="BHO948" i="16"/>
  <c r="BHF948" i="16"/>
  <c r="BHE948" i="16" s="1"/>
  <c r="BHG948" i="16" s="1"/>
  <c r="BHC948" i="16"/>
  <c r="BGZ948" i="16"/>
  <c r="BHB948" i="16" s="1"/>
  <c r="BGY948" i="16"/>
  <c r="BGP948" i="16"/>
  <c r="BGO948" i="16" s="1"/>
  <c r="BGQ948" i="16" s="1"/>
  <c r="BGM948" i="16"/>
  <c r="BGJ948" i="16"/>
  <c r="BGL948" i="16" s="1"/>
  <c r="BGI948" i="16"/>
  <c r="BFZ948" i="16"/>
  <c r="BFY948" i="16" s="1"/>
  <c r="BGA948" i="16" s="1"/>
  <c r="BFW948" i="16"/>
  <c r="BFT948" i="16"/>
  <c r="BFV948" i="16" s="1"/>
  <c r="BFS948" i="16"/>
  <c r="BFJ948" i="16"/>
  <c r="BFI948" i="16" s="1"/>
  <c r="BFK948" i="16" s="1"/>
  <c r="BFG948" i="16"/>
  <c r="BFD948" i="16"/>
  <c r="BFF948" i="16" s="1"/>
  <c r="BFC948" i="16"/>
  <c r="BET948" i="16"/>
  <c r="BES948" i="16" s="1"/>
  <c r="BEU948" i="16" s="1"/>
  <c r="BEQ948" i="16"/>
  <c r="BEN948" i="16"/>
  <c r="BEP948" i="16" s="1"/>
  <c r="BEM948" i="16"/>
  <c r="BED948" i="16"/>
  <c r="BEC948" i="16" s="1"/>
  <c r="BEE948" i="16" s="1"/>
  <c r="BEA948" i="16"/>
  <c r="BDX948" i="16"/>
  <c r="BDZ948" i="16" s="1"/>
  <c r="BDW948" i="16"/>
  <c r="BDN948" i="16"/>
  <c r="BDM948" i="16" s="1"/>
  <c r="BDO948" i="16" s="1"/>
  <c r="BDK948" i="16"/>
  <c r="BDH948" i="16"/>
  <c r="BDJ948" i="16" s="1"/>
  <c r="BDG948" i="16"/>
  <c r="BCX948" i="16"/>
  <c r="BCW948" i="16" s="1"/>
  <c r="BCY948" i="16" s="1"/>
  <c r="BCU948" i="16"/>
  <c r="BCR948" i="16"/>
  <c r="BCT948" i="16" s="1"/>
  <c r="BCQ948" i="16"/>
  <c r="BCH948" i="16"/>
  <c r="BCG948" i="16" s="1"/>
  <c r="BCI948" i="16" s="1"/>
  <c r="BCE948" i="16"/>
  <c r="BCB948" i="16"/>
  <c r="BCD948" i="16" s="1"/>
  <c r="BCA948" i="16"/>
  <c r="BBR948" i="16"/>
  <c r="BBQ948" i="16" s="1"/>
  <c r="BBS948" i="16" s="1"/>
  <c r="BBO948" i="16"/>
  <c r="BBL948" i="16"/>
  <c r="BBN948" i="16" s="1"/>
  <c r="BBK948" i="16"/>
  <c r="BBB948" i="16"/>
  <c r="BBA948" i="16" s="1"/>
  <c r="BBC948" i="16" s="1"/>
  <c r="BAY948" i="16"/>
  <c r="BAV948" i="16"/>
  <c r="BAX948" i="16" s="1"/>
  <c r="BAU948" i="16"/>
  <c r="BAL948" i="16"/>
  <c r="BAK948" i="16" s="1"/>
  <c r="BAM948" i="16" s="1"/>
  <c r="BAI948" i="16"/>
  <c r="BAF948" i="16"/>
  <c r="BAH948" i="16" s="1"/>
  <c r="BAE948" i="16"/>
  <c r="AZV948" i="16"/>
  <c r="AZU948" i="16" s="1"/>
  <c r="AZW948" i="16" s="1"/>
  <c r="AZS948" i="16"/>
  <c r="AZP948" i="16"/>
  <c r="AZR948" i="16" s="1"/>
  <c r="AZO948" i="16"/>
  <c r="AZF948" i="16"/>
  <c r="AZE948" i="16" s="1"/>
  <c r="AZG948" i="16" s="1"/>
  <c r="AZC948" i="16"/>
  <c r="AYZ948" i="16"/>
  <c r="AZB948" i="16" s="1"/>
  <c r="AYY948" i="16"/>
  <c r="AYP948" i="16"/>
  <c r="AYO948" i="16" s="1"/>
  <c r="AYQ948" i="16" s="1"/>
  <c r="AYM948" i="16"/>
  <c r="AYJ948" i="16"/>
  <c r="AYL948" i="16" s="1"/>
  <c r="AYI948" i="16"/>
  <c r="AXZ948" i="16"/>
  <c r="AXY948" i="16" s="1"/>
  <c r="AYA948" i="16" s="1"/>
  <c r="AXW948" i="16"/>
  <c r="AXT948" i="16"/>
  <c r="AXV948" i="16" s="1"/>
  <c r="AXS948" i="16"/>
  <c r="AXJ948" i="16"/>
  <c r="AXI948" i="16" s="1"/>
  <c r="AXK948" i="16" s="1"/>
  <c r="AXG948" i="16"/>
  <c r="AXD948" i="16"/>
  <c r="AXF948" i="16" s="1"/>
  <c r="AXC948" i="16"/>
  <c r="AWT948" i="16"/>
  <c r="AWS948" i="16" s="1"/>
  <c r="AWU948" i="16" s="1"/>
  <c r="AWQ948" i="16"/>
  <c r="AWN948" i="16"/>
  <c r="AWP948" i="16" s="1"/>
  <c r="AWM948" i="16"/>
  <c r="AWD948" i="16"/>
  <c r="AWC948" i="16" s="1"/>
  <c r="AWE948" i="16" s="1"/>
  <c r="AWA948" i="16"/>
  <c r="AVX948" i="16"/>
  <c r="AVZ948" i="16" s="1"/>
  <c r="AVW948" i="16"/>
  <c r="AVN948" i="16"/>
  <c r="AVM948" i="16" s="1"/>
  <c r="AVO948" i="16" s="1"/>
  <c r="AVK948" i="16"/>
  <c r="AVH948" i="16"/>
  <c r="AVJ948" i="16" s="1"/>
  <c r="AVG948" i="16"/>
  <c r="AUX948" i="16"/>
  <c r="AUW948" i="16" s="1"/>
  <c r="AUY948" i="16" s="1"/>
  <c r="AUU948" i="16"/>
  <c r="AUR948" i="16"/>
  <c r="AUT948" i="16" s="1"/>
  <c r="AUQ948" i="16"/>
  <c r="AUH948" i="16"/>
  <c r="AUG948" i="16" s="1"/>
  <c r="AUI948" i="16" s="1"/>
  <c r="AUE948" i="16"/>
  <c r="AUB948" i="16"/>
  <c r="AUD948" i="16" s="1"/>
  <c r="AUA948" i="16"/>
  <c r="ATR948" i="16"/>
  <c r="ATQ948" i="16" s="1"/>
  <c r="ATS948" i="16" s="1"/>
  <c r="ATO948" i="16"/>
  <c r="ATL948" i="16"/>
  <c r="ATN948" i="16" s="1"/>
  <c r="ATK948" i="16"/>
  <c r="ATB948" i="16"/>
  <c r="ATA948" i="16" s="1"/>
  <c r="ATC948" i="16" s="1"/>
  <c r="ASY948" i="16"/>
  <c r="ASV948" i="16"/>
  <c r="ASX948" i="16" s="1"/>
  <c r="ASU948" i="16"/>
  <c r="ASL948" i="16"/>
  <c r="ASK948" i="16" s="1"/>
  <c r="ASM948" i="16" s="1"/>
  <c r="ASI948" i="16"/>
  <c r="ASF948" i="16"/>
  <c r="ASH948" i="16" s="1"/>
  <c r="ASE948" i="16"/>
  <c r="ARV948" i="16"/>
  <c r="ARU948" i="16" s="1"/>
  <c r="ARW948" i="16" s="1"/>
  <c r="ARS948" i="16"/>
  <c r="ARP948" i="16"/>
  <c r="ARR948" i="16" s="1"/>
  <c r="ARO948" i="16"/>
  <c r="ARF948" i="16"/>
  <c r="ARE948" i="16" s="1"/>
  <c r="ARG948" i="16" s="1"/>
  <c r="ARC948" i="16"/>
  <c r="AQZ948" i="16"/>
  <c r="ARB948" i="16" s="1"/>
  <c r="AQY948" i="16"/>
  <c r="AQP948" i="16"/>
  <c r="AQO948" i="16" s="1"/>
  <c r="AQQ948" i="16" s="1"/>
  <c r="AQM948" i="16"/>
  <c r="AQJ948" i="16"/>
  <c r="AQL948" i="16" s="1"/>
  <c r="AQI948" i="16"/>
  <c r="APZ948" i="16"/>
  <c r="APY948" i="16" s="1"/>
  <c r="AQA948" i="16" s="1"/>
  <c r="APW948" i="16"/>
  <c r="APT948" i="16"/>
  <c r="APV948" i="16" s="1"/>
  <c r="APS948" i="16"/>
  <c r="APJ948" i="16"/>
  <c r="API948" i="16" s="1"/>
  <c r="APK948" i="16" s="1"/>
  <c r="APG948" i="16"/>
  <c r="APD948" i="16"/>
  <c r="APF948" i="16" s="1"/>
  <c r="APC948" i="16"/>
  <c r="AOT948" i="16"/>
  <c r="AOS948" i="16" s="1"/>
  <c r="AOU948" i="16" s="1"/>
  <c r="AOQ948" i="16"/>
  <c r="AON948" i="16"/>
  <c r="AOP948" i="16" s="1"/>
  <c r="AOM948" i="16"/>
  <c r="AOD948" i="16"/>
  <c r="AOC948" i="16" s="1"/>
  <c r="AOE948" i="16" s="1"/>
  <c r="AOA948" i="16"/>
  <c r="ANX948" i="16"/>
  <c r="ANZ948" i="16" s="1"/>
  <c r="ANW948" i="16"/>
  <c r="ANN948" i="16"/>
  <c r="ANM948" i="16" s="1"/>
  <c r="ANO948" i="16" s="1"/>
  <c r="ANK948" i="16"/>
  <c r="ANH948" i="16"/>
  <c r="ANJ948" i="16" s="1"/>
  <c r="ANG948" i="16"/>
  <c r="AMX948" i="16"/>
  <c r="AMW948" i="16" s="1"/>
  <c r="AMY948" i="16" s="1"/>
  <c r="AMU948" i="16"/>
  <c r="AMR948" i="16"/>
  <c r="AMT948" i="16" s="1"/>
  <c r="AMQ948" i="16"/>
  <c r="AMH948" i="16"/>
  <c r="AMG948" i="16" s="1"/>
  <c r="AMI948" i="16" s="1"/>
  <c r="AME948" i="16"/>
  <c r="AMB948" i="16"/>
  <c r="AMD948" i="16" s="1"/>
  <c r="AMA948" i="16"/>
  <c r="ALR948" i="16"/>
  <c r="ALQ948" i="16" s="1"/>
  <c r="ALS948" i="16" s="1"/>
  <c r="ALO948" i="16"/>
  <c r="ALL948" i="16"/>
  <c r="ALN948" i="16" s="1"/>
  <c r="ALK948" i="16"/>
  <c r="ALB948" i="16"/>
  <c r="ALA948" i="16" s="1"/>
  <c r="ALC948" i="16" s="1"/>
  <c r="AKY948" i="16"/>
  <c r="AKV948" i="16"/>
  <c r="AKX948" i="16" s="1"/>
  <c r="AKU948" i="16"/>
  <c r="AKL948" i="16"/>
  <c r="AKK948" i="16" s="1"/>
  <c r="AKM948" i="16" s="1"/>
  <c r="AKI948" i="16"/>
  <c r="AKF948" i="16"/>
  <c r="AKH948" i="16" s="1"/>
  <c r="AKE948" i="16"/>
  <c r="AJV948" i="16"/>
  <c r="AJU948" i="16" s="1"/>
  <c r="AJW948" i="16" s="1"/>
  <c r="AJS948" i="16"/>
  <c r="AJP948" i="16"/>
  <c r="AJR948" i="16" s="1"/>
  <c r="AJO948" i="16"/>
  <c r="AJF948" i="16"/>
  <c r="AJE948" i="16" s="1"/>
  <c r="AJG948" i="16" s="1"/>
  <c r="AJC948" i="16"/>
  <c r="AIZ948" i="16"/>
  <c r="AJB948" i="16" s="1"/>
  <c r="AIY948" i="16"/>
  <c r="AIP948" i="16"/>
  <c r="AIO948" i="16" s="1"/>
  <c r="AIQ948" i="16" s="1"/>
  <c r="AIM948" i="16"/>
  <c r="AIJ948" i="16"/>
  <c r="AIL948" i="16" s="1"/>
  <c r="AII948" i="16"/>
  <c r="AHZ948" i="16"/>
  <c r="AHY948" i="16" s="1"/>
  <c r="AIA948" i="16" s="1"/>
  <c r="AHW948" i="16"/>
  <c r="AHT948" i="16"/>
  <c r="AHV948" i="16" s="1"/>
  <c r="AHS948" i="16"/>
  <c r="AHJ948" i="16"/>
  <c r="AHI948" i="16" s="1"/>
  <c r="AHK948" i="16" s="1"/>
  <c r="AHG948" i="16"/>
  <c r="AHD948" i="16"/>
  <c r="AHF948" i="16" s="1"/>
  <c r="AHC948" i="16"/>
  <c r="AGT948" i="16"/>
  <c r="AGS948" i="16" s="1"/>
  <c r="AGU948" i="16" s="1"/>
  <c r="AGQ948" i="16"/>
  <c r="AGN948" i="16"/>
  <c r="AGP948" i="16" s="1"/>
  <c r="AGM948" i="16"/>
  <c r="AGD948" i="16"/>
  <c r="AGC948" i="16" s="1"/>
  <c r="AGE948" i="16" s="1"/>
  <c r="AGA948" i="16"/>
  <c r="AFX948" i="16"/>
  <c r="AFZ948" i="16" s="1"/>
  <c r="AFW948" i="16"/>
  <c r="AFN948" i="16"/>
  <c r="AFM948" i="16" s="1"/>
  <c r="AFO948" i="16" s="1"/>
  <c r="AFK948" i="16"/>
  <c r="AFH948" i="16"/>
  <c r="AFJ948" i="16" s="1"/>
  <c r="AFG948" i="16"/>
  <c r="AEX948" i="16"/>
  <c r="AEW948" i="16" s="1"/>
  <c r="AEY948" i="16" s="1"/>
  <c r="AEU948" i="16"/>
  <c r="AER948" i="16"/>
  <c r="AET948" i="16" s="1"/>
  <c r="AEQ948" i="16"/>
  <c r="AEH948" i="16"/>
  <c r="AEG948" i="16" s="1"/>
  <c r="AEI948" i="16" s="1"/>
  <c r="AEE948" i="16"/>
  <c r="AEB948" i="16"/>
  <c r="AED948" i="16" s="1"/>
  <c r="AEA948" i="16"/>
  <c r="ADR948" i="16"/>
  <c r="ADQ948" i="16" s="1"/>
  <c r="ADS948" i="16" s="1"/>
  <c r="ADO948" i="16"/>
  <c r="ADL948" i="16"/>
  <c r="ADN948" i="16" s="1"/>
  <c r="ADK948" i="16"/>
  <c r="ADB948" i="16"/>
  <c r="ADA948" i="16" s="1"/>
  <c r="ADC948" i="16" s="1"/>
  <c r="ACY948" i="16"/>
  <c r="ACV948" i="16"/>
  <c r="ACX948" i="16" s="1"/>
  <c r="ACU948" i="16"/>
  <c r="ACL948" i="16"/>
  <c r="ACK948" i="16" s="1"/>
  <c r="ACM948" i="16" s="1"/>
  <c r="ACI948" i="16"/>
  <c r="ACF948" i="16"/>
  <c r="ACH948" i="16" s="1"/>
  <c r="ACE948" i="16"/>
  <c r="ABV948" i="16"/>
  <c r="ABU948" i="16" s="1"/>
  <c r="ABW948" i="16" s="1"/>
  <c r="ABS948" i="16"/>
  <c r="ABP948" i="16"/>
  <c r="ABR948" i="16" s="1"/>
  <c r="ABO948" i="16"/>
  <c r="ABF948" i="16"/>
  <c r="ABE948" i="16" s="1"/>
  <c r="ABG948" i="16" s="1"/>
  <c r="ABC948" i="16"/>
  <c r="AAZ948" i="16"/>
  <c r="ABB948" i="16" s="1"/>
  <c r="AAY948" i="16"/>
  <c r="AAP948" i="16"/>
  <c r="AAO948" i="16" s="1"/>
  <c r="AAQ948" i="16" s="1"/>
  <c r="AAM948" i="16"/>
  <c r="AAJ948" i="16"/>
  <c r="AAL948" i="16" s="1"/>
  <c r="AAI948" i="16"/>
  <c r="ZZ948" i="16"/>
  <c r="ZY948" i="16" s="1"/>
  <c r="AAA948" i="16" s="1"/>
  <c r="ZW948" i="16"/>
  <c r="ZT948" i="16"/>
  <c r="ZV948" i="16" s="1"/>
  <c r="ZS948" i="16"/>
  <c r="ZJ948" i="16"/>
  <c r="ZI948" i="16" s="1"/>
  <c r="ZK948" i="16" s="1"/>
  <c r="ZG948" i="16"/>
  <c r="ZD948" i="16"/>
  <c r="ZF948" i="16" s="1"/>
  <c r="ZC948" i="16"/>
  <c r="YT948" i="16"/>
  <c r="YS948" i="16" s="1"/>
  <c r="YU948" i="16" s="1"/>
  <c r="YQ948" i="16"/>
  <c r="YN948" i="16"/>
  <c r="YP948" i="16" s="1"/>
  <c r="YM948" i="16"/>
  <c r="YD948" i="16"/>
  <c r="YC948" i="16" s="1"/>
  <c r="YE948" i="16" s="1"/>
  <c r="YA948" i="16"/>
  <c r="XX948" i="16"/>
  <c r="XZ948" i="16" s="1"/>
  <c r="XW948" i="16"/>
  <c r="XN948" i="16"/>
  <c r="XM948" i="16" s="1"/>
  <c r="XO948" i="16" s="1"/>
  <c r="XK948" i="16"/>
  <c r="XH948" i="16"/>
  <c r="XJ948" i="16" s="1"/>
  <c r="XG948" i="16"/>
  <c r="WX948" i="16"/>
  <c r="WW948" i="16" s="1"/>
  <c r="WY948" i="16" s="1"/>
  <c r="WU948" i="16"/>
  <c r="WR948" i="16"/>
  <c r="WT948" i="16" s="1"/>
  <c r="WQ948" i="16"/>
  <c r="WH948" i="16"/>
  <c r="WG948" i="16" s="1"/>
  <c r="WI948" i="16" s="1"/>
  <c r="WE948" i="16"/>
  <c r="WB948" i="16"/>
  <c r="WD948" i="16" s="1"/>
  <c r="WA948" i="16"/>
  <c r="VR948" i="16"/>
  <c r="VQ948" i="16" s="1"/>
  <c r="VS948" i="16" s="1"/>
  <c r="VO948" i="16"/>
  <c r="VL948" i="16"/>
  <c r="VN948" i="16" s="1"/>
  <c r="VK948" i="16"/>
  <c r="VB948" i="16"/>
  <c r="VA948" i="16" s="1"/>
  <c r="VC948" i="16" s="1"/>
  <c r="UY948" i="16"/>
  <c r="UV948" i="16"/>
  <c r="UX948" i="16" s="1"/>
  <c r="UU948" i="16"/>
  <c r="UL948" i="16"/>
  <c r="UK948" i="16" s="1"/>
  <c r="UM948" i="16" s="1"/>
  <c r="UI948" i="16"/>
  <c r="UF948" i="16"/>
  <c r="UH948" i="16" s="1"/>
  <c r="UE948" i="16"/>
  <c r="TV948" i="16"/>
  <c r="TU948" i="16" s="1"/>
  <c r="TW948" i="16" s="1"/>
  <c r="TS948" i="16"/>
  <c r="TP948" i="16"/>
  <c r="TR948" i="16" s="1"/>
  <c r="TO948" i="16"/>
  <c r="TF948" i="16"/>
  <c r="TE948" i="16" s="1"/>
  <c r="TG948" i="16" s="1"/>
  <c r="TC948" i="16"/>
  <c r="SZ948" i="16"/>
  <c r="TB948" i="16" s="1"/>
  <c r="SY948" i="16"/>
  <c r="SP948" i="16"/>
  <c r="SO948" i="16" s="1"/>
  <c r="SQ948" i="16" s="1"/>
  <c r="SM948" i="16"/>
  <c r="SJ948" i="16"/>
  <c r="SL948" i="16" s="1"/>
  <c r="SI948" i="16"/>
  <c r="RZ948" i="16"/>
  <c r="RY948" i="16" s="1"/>
  <c r="SA948" i="16" s="1"/>
  <c r="RW948" i="16"/>
  <c r="RT948" i="16"/>
  <c r="RV948" i="16" s="1"/>
  <c r="RS948" i="16"/>
  <c r="RJ948" i="16"/>
  <c r="RI948" i="16" s="1"/>
  <c r="RK948" i="16" s="1"/>
  <c r="RG948" i="16"/>
  <c r="RD948" i="16"/>
  <c r="RF948" i="16" s="1"/>
  <c r="RC948" i="16"/>
  <c r="QT948" i="16"/>
  <c r="QS948" i="16" s="1"/>
  <c r="QU948" i="16" s="1"/>
  <c r="QQ948" i="16"/>
  <c r="QN948" i="16"/>
  <c r="QP948" i="16" s="1"/>
  <c r="QM948" i="16"/>
  <c r="QD948" i="16"/>
  <c r="QC948" i="16" s="1"/>
  <c r="QE948" i="16" s="1"/>
  <c r="QA948" i="16"/>
  <c r="PX948" i="16"/>
  <c r="PZ948" i="16" s="1"/>
  <c r="PW948" i="16"/>
  <c r="PN948" i="16"/>
  <c r="PM948" i="16" s="1"/>
  <c r="PO948" i="16" s="1"/>
  <c r="PK948" i="16"/>
  <c r="PH948" i="16"/>
  <c r="PJ948" i="16" s="1"/>
  <c r="PG948" i="16"/>
  <c r="OX948" i="16"/>
  <c r="OW948" i="16" s="1"/>
  <c r="OY948" i="16" s="1"/>
  <c r="OU948" i="16"/>
  <c r="OR948" i="16"/>
  <c r="OT948" i="16" s="1"/>
  <c r="OQ948" i="16"/>
  <c r="OH948" i="16"/>
  <c r="OG948" i="16" s="1"/>
  <c r="OI948" i="16" s="1"/>
  <c r="OE948" i="16"/>
  <c r="OB948" i="16"/>
  <c r="OD948" i="16" s="1"/>
  <c r="OA948" i="16"/>
  <c r="NR948" i="16"/>
  <c r="NQ948" i="16" s="1"/>
  <c r="NS948" i="16" s="1"/>
  <c r="NO948" i="16"/>
  <c r="NL948" i="16"/>
  <c r="NN948" i="16" s="1"/>
  <c r="NK948" i="16"/>
  <c r="NB948" i="16"/>
  <c r="NA948" i="16" s="1"/>
  <c r="NC948" i="16" s="1"/>
  <c r="MY948" i="16"/>
  <c r="MV948" i="16"/>
  <c r="MX948" i="16" s="1"/>
  <c r="MU948" i="16"/>
  <c r="ML948" i="16"/>
  <c r="MK948" i="16" s="1"/>
  <c r="MM948" i="16" s="1"/>
  <c r="MI948" i="16"/>
  <c r="MF948" i="16"/>
  <c r="MH948" i="16" s="1"/>
  <c r="ME948" i="16"/>
  <c r="LV948" i="16"/>
  <c r="LU948" i="16" s="1"/>
  <c r="LW948" i="16" s="1"/>
  <c r="LS948" i="16"/>
  <c r="LP948" i="16"/>
  <c r="LR948" i="16" s="1"/>
  <c r="LO948" i="16"/>
  <c r="LF948" i="16"/>
  <c r="LE948" i="16" s="1"/>
  <c r="LG948" i="16" s="1"/>
  <c r="LC948" i="16"/>
  <c r="KZ948" i="16"/>
  <c r="LB948" i="16" s="1"/>
  <c r="KY948" i="16"/>
  <c r="KP948" i="16"/>
  <c r="KO948" i="16" s="1"/>
  <c r="KQ948" i="16" s="1"/>
  <c r="KM948" i="16"/>
  <c r="KJ948" i="16"/>
  <c r="KL948" i="16" s="1"/>
  <c r="KI948" i="16"/>
  <c r="JZ948" i="16"/>
  <c r="JY948" i="16" s="1"/>
  <c r="KA948" i="16" s="1"/>
  <c r="JW948" i="16"/>
  <c r="JT948" i="16"/>
  <c r="JV948" i="16" s="1"/>
  <c r="JS948" i="16"/>
  <c r="JJ948" i="16"/>
  <c r="JI948" i="16" s="1"/>
  <c r="JK948" i="16" s="1"/>
  <c r="JG948" i="16"/>
  <c r="JD948" i="16"/>
  <c r="JF948" i="16" s="1"/>
  <c r="JC948" i="16"/>
  <c r="IT948" i="16"/>
  <c r="IS948" i="16" s="1"/>
  <c r="IU948" i="16" s="1"/>
  <c r="IQ948" i="16"/>
  <c r="IN948" i="16"/>
  <c r="IP948" i="16" s="1"/>
  <c r="IM948" i="16"/>
  <c r="ID948" i="16"/>
  <c r="IC948" i="16" s="1"/>
  <c r="IE948" i="16" s="1"/>
  <c r="IA948" i="16"/>
  <c r="HX948" i="16"/>
  <c r="HZ948" i="16" s="1"/>
  <c r="HW948" i="16"/>
  <c r="HN948" i="16"/>
  <c r="HM948" i="16" s="1"/>
  <c r="HO948" i="16" s="1"/>
  <c r="HK948" i="16"/>
  <c r="HH948" i="16"/>
  <c r="HJ948" i="16" s="1"/>
  <c r="HG948" i="16"/>
  <c r="GX948" i="16"/>
  <c r="GW948" i="16" s="1"/>
  <c r="GY948" i="16" s="1"/>
  <c r="GU948" i="16"/>
  <c r="GR948" i="16"/>
  <c r="GT948" i="16" s="1"/>
  <c r="GQ948" i="16"/>
  <c r="GH948" i="16"/>
  <c r="GG948" i="16" s="1"/>
  <c r="GI948" i="16" s="1"/>
  <c r="GE948" i="16"/>
  <c r="GB948" i="16"/>
  <c r="GD948" i="16" s="1"/>
  <c r="GA948" i="16"/>
  <c r="FR948" i="16"/>
  <c r="FQ948" i="16" s="1"/>
  <c r="FS948" i="16" s="1"/>
  <c r="FO948" i="16"/>
  <c r="FL948" i="16"/>
  <c r="FN948" i="16" s="1"/>
  <c r="FK948" i="16"/>
  <c r="FB948" i="16"/>
  <c r="FA948" i="16" s="1"/>
  <c r="FC948" i="16" s="1"/>
  <c r="EY948" i="16"/>
  <c r="EV948" i="16"/>
  <c r="EX948" i="16" s="1"/>
  <c r="EU948" i="16"/>
  <c r="EL948" i="16"/>
  <c r="EK948" i="16" s="1"/>
  <c r="EM948" i="16" s="1"/>
  <c r="EI948" i="16"/>
  <c r="EF948" i="16"/>
  <c r="EH948" i="16" s="1"/>
  <c r="EE948" i="16"/>
  <c r="DV948" i="16"/>
  <c r="DU948" i="16" s="1"/>
  <c r="DW948" i="16" s="1"/>
  <c r="DS948" i="16"/>
  <c r="DP948" i="16"/>
  <c r="DR948" i="16" s="1"/>
  <c r="DO948" i="16"/>
  <c r="DF948" i="16"/>
  <c r="DE948" i="16" s="1"/>
  <c r="DG948" i="16" s="1"/>
  <c r="DC948" i="16"/>
  <c r="CZ948" i="16"/>
  <c r="DB948" i="16" s="1"/>
  <c r="CY948" i="16"/>
  <c r="CP948" i="16"/>
  <c r="CO948" i="16" s="1"/>
  <c r="CQ948" i="16" s="1"/>
  <c r="CM948" i="16"/>
  <c r="CJ948" i="16"/>
  <c r="CL948" i="16" s="1"/>
  <c r="CI948" i="16"/>
  <c r="BZ948" i="16"/>
  <c r="BY948" i="16" s="1"/>
  <c r="CA948" i="16" s="1"/>
  <c r="BW948" i="16"/>
  <c r="BT948" i="16"/>
  <c r="BV948" i="16" s="1"/>
  <c r="BS948" i="16"/>
  <c r="BJ948" i="16"/>
  <c r="BI948" i="16" s="1"/>
  <c r="BK948" i="16" s="1"/>
  <c r="BG948" i="16"/>
  <c r="BD948" i="16"/>
  <c r="BF948" i="16" s="1"/>
  <c r="BC948" i="16"/>
  <c r="AT948" i="16"/>
  <c r="AS948" i="16" s="1"/>
  <c r="AU948" i="16" s="1"/>
  <c r="AQ948" i="16"/>
  <c r="AN948" i="16"/>
  <c r="AP948" i="16" s="1"/>
  <c r="AM948" i="16"/>
  <c r="AD948" i="16"/>
  <c r="AC948" i="16" s="1"/>
  <c r="AE948" i="16" s="1"/>
  <c r="AA948" i="16"/>
  <c r="X948" i="16"/>
  <c r="Z948" i="16" s="1"/>
  <c r="W948" i="16"/>
  <c r="M991" i="16"/>
  <c r="O991" i="16" s="1"/>
  <c r="K991" i="16"/>
  <c r="H991" i="16"/>
  <c r="J991" i="16" s="1"/>
  <c r="G991" i="16"/>
  <c r="N946" i="16"/>
  <c r="M946" i="16" s="1"/>
  <c r="O946" i="16" s="1"/>
  <c r="K946" i="16"/>
  <c r="H946" i="16"/>
  <c r="J946" i="16" s="1"/>
  <c r="G946" i="16"/>
  <c r="M944" i="16"/>
  <c r="O944" i="16" s="1"/>
  <c r="K944" i="16"/>
  <c r="H944" i="16"/>
  <c r="J944" i="16" s="1"/>
  <c r="G944" i="16"/>
  <c r="M945" i="16"/>
  <c r="O945" i="16" s="1"/>
  <c r="K945" i="16"/>
  <c r="H945" i="16"/>
  <c r="J945" i="16" s="1"/>
  <c r="G945" i="16"/>
  <c r="M943" i="16"/>
  <c r="O943" i="16" s="1"/>
  <c r="K943" i="16"/>
  <c r="H943" i="16"/>
  <c r="J943" i="16" s="1"/>
  <c r="G943" i="16"/>
  <c r="M942" i="16"/>
  <c r="O942" i="16" s="1"/>
  <c r="K942" i="16"/>
  <c r="H942" i="16"/>
  <c r="J942" i="16" s="1"/>
  <c r="G942" i="16"/>
  <c r="M941" i="16"/>
  <c r="O941" i="16" s="1"/>
  <c r="K941" i="16"/>
  <c r="H941" i="16"/>
  <c r="J941" i="16" s="1"/>
  <c r="G941" i="16"/>
  <c r="M940" i="16"/>
  <c r="O940" i="16" s="1"/>
  <c r="K940" i="16"/>
  <c r="H940" i="16"/>
  <c r="J940" i="16" s="1"/>
  <c r="G940" i="16"/>
  <c r="M939" i="16"/>
  <c r="O939" i="16" s="1"/>
  <c r="K939" i="16"/>
  <c r="H939" i="16"/>
  <c r="J939" i="16" s="1"/>
  <c r="G939" i="16"/>
  <c r="M938" i="16"/>
  <c r="O938" i="16" s="1"/>
  <c r="K938" i="16"/>
  <c r="H938" i="16"/>
  <c r="J938" i="16" s="1"/>
  <c r="G938" i="16"/>
  <c r="M937" i="16"/>
  <c r="O937" i="16" s="1"/>
  <c r="K937" i="16"/>
  <c r="H937" i="16"/>
  <c r="J937" i="16" s="1"/>
  <c r="G937" i="16"/>
  <c r="M936" i="16"/>
  <c r="O936" i="16" s="1"/>
  <c r="K936" i="16"/>
  <c r="H936" i="16"/>
  <c r="J936" i="16" s="1"/>
  <c r="G936" i="16"/>
  <c r="M935" i="16"/>
  <c r="O935" i="16" s="1"/>
  <c r="K935" i="16"/>
  <c r="H935" i="16"/>
  <c r="J935" i="16" s="1"/>
  <c r="G935" i="16"/>
  <c r="M934" i="16"/>
  <c r="O934" i="16" s="1"/>
  <c r="K934" i="16"/>
  <c r="H934" i="16"/>
  <c r="J934" i="16" s="1"/>
  <c r="G934" i="16"/>
  <c r="M933" i="16"/>
  <c r="O933" i="16" s="1"/>
  <c r="K933" i="16"/>
  <c r="H933" i="16"/>
  <c r="J933" i="16" s="1"/>
  <c r="G933" i="16"/>
  <c r="M932" i="16"/>
  <c r="O932" i="16" s="1"/>
  <c r="K932" i="16"/>
  <c r="H932" i="16"/>
  <c r="J932" i="16" s="1"/>
  <c r="G932" i="16"/>
  <c r="M931" i="16"/>
  <c r="O931" i="16" s="1"/>
  <c r="K931" i="16"/>
  <c r="H931" i="16"/>
  <c r="J931" i="16" s="1"/>
  <c r="G931" i="16"/>
  <c r="M930" i="16"/>
  <c r="O930" i="16" s="1"/>
  <c r="K930" i="16"/>
  <c r="H930" i="16"/>
  <c r="J930" i="16" s="1"/>
  <c r="G930" i="16"/>
  <c r="M929" i="16"/>
  <c r="O929" i="16" s="1"/>
  <c r="K929" i="16"/>
  <c r="H929" i="16"/>
  <c r="J929" i="16" s="1"/>
  <c r="G929" i="16"/>
  <c r="M928" i="16"/>
  <c r="O928" i="16" s="1"/>
  <c r="K928" i="16"/>
  <c r="H928" i="16"/>
  <c r="J928" i="16" s="1"/>
  <c r="G928" i="16"/>
  <c r="M927" i="16"/>
  <c r="O927" i="16" s="1"/>
  <c r="K927" i="16"/>
  <c r="H927" i="16"/>
  <c r="J927" i="16" s="1"/>
  <c r="G927" i="16"/>
  <c r="M926" i="16"/>
  <c r="O926" i="16" s="1"/>
  <c r="K926" i="16"/>
  <c r="H926" i="16"/>
  <c r="J926" i="16" s="1"/>
  <c r="G926" i="16"/>
  <c r="M925" i="16"/>
  <c r="O925" i="16" s="1"/>
  <c r="K925" i="16"/>
  <c r="H925" i="16"/>
  <c r="J925" i="16" s="1"/>
  <c r="G925" i="16"/>
  <c r="M924" i="16"/>
  <c r="O924" i="16" s="1"/>
  <c r="K924" i="16"/>
  <c r="H924" i="16"/>
  <c r="J924" i="16" s="1"/>
  <c r="G924" i="16"/>
  <c r="M923" i="16"/>
  <c r="O923" i="16" s="1"/>
  <c r="K923" i="16"/>
  <c r="H923" i="16"/>
  <c r="J923" i="16" s="1"/>
  <c r="G923" i="16"/>
  <c r="M922" i="16"/>
  <c r="O922" i="16" s="1"/>
  <c r="K922" i="16"/>
  <c r="H922" i="16"/>
  <c r="J922" i="16" s="1"/>
  <c r="G922" i="16"/>
  <c r="M921" i="16"/>
  <c r="O921" i="16" s="1"/>
  <c r="K921" i="16"/>
  <c r="H921" i="16"/>
  <c r="J921" i="16" s="1"/>
  <c r="G921" i="16"/>
  <c r="M920" i="16"/>
  <c r="O920" i="16" s="1"/>
  <c r="K920" i="16"/>
  <c r="H920" i="16"/>
  <c r="J920" i="16" s="1"/>
  <c r="G920" i="16"/>
  <c r="M917" i="16"/>
  <c r="O917" i="16" s="1"/>
  <c r="K917" i="16"/>
  <c r="H917" i="16"/>
  <c r="J917" i="16" s="1"/>
  <c r="G917" i="16"/>
  <c r="M916" i="16"/>
  <c r="O916" i="16" s="1"/>
  <c r="K916" i="16"/>
  <c r="H916" i="16"/>
  <c r="J916" i="16" s="1"/>
  <c r="G916" i="16"/>
  <c r="M915" i="16"/>
  <c r="O915" i="16" s="1"/>
  <c r="K915" i="16"/>
  <c r="H915" i="16"/>
  <c r="J915" i="16" s="1"/>
  <c r="G915" i="16"/>
  <c r="M918" i="16"/>
  <c r="O918" i="16" s="1"/>
  <c r="K918" i="16"/>
  <c r="H918" i="16"/>
  <c r="J918" i="16" s="1"/>
  <c r="G918" i="16"/>
  <c r="M919" i="16"/>
  <c r="O919" i="16" s="1"/>
  <c r="K919" i="16"/>
  <c r="H919" i="16"/>
  <c r="J919" i="16" s="1"/>
  <c r="G919" i="16"/>
  <c r="M914" i="16"/>
  <c r="O914" i="16" s="1"/>
  <c r="K914" i="16"/>
  <c r="H914" i="16"/>
  <c r="J914" i="16" s="1"/>
  <c r="G914" i="16"/>
  <c r="M913" i="16"/>
  <c r="O913" i="16" s="1"/>
  <c r="K913" i="16"/>
  <c r="H913" i="16"/>
  <c r="J913" i="16" s="1"/>
  <c r="G913" i="16"/>
  <c r="M911" i="16"/>
  <c r="O911" i="16" s="1"/>
  <c r="K911" i="16"/>
  <c r="H911" i="16"/>
  <c r="J911" i="16" s="1"/>
  <c r="G911" i="16"/>
  <c r="M912" i="16"/>
  <c r="O912" i="16" s="1"/>
  <c r="K912" i="16"/>
  <c r="H912" i="16"/>
  <c r="J912" i="16" s="1"/>
  <c r="G912" i="16"/>
  <c r="M910" i="16"/>
  <c r="O910" i="16" s="1"/>
  <c r="K910" i="16"/>
  <c r="H910" i="16"/>
  <c r="J910" i="16" s="1"/>
  <c r="G910" i="16"/>
  <c r="M909" i="16"/>
  <c r="O909" i="16" s="1"/>
  <c r="K909" i="16"/>
  <c r="H909" i="16"/>
  <c r="J909" i="16" s="1"/>
  <c r="G909" i="16"/>
  <c r="M908" i="16"/>
  <c r="O908" i="16" s="1"/>
  <c r="K908" i="16"/>
  <c r="H908" i="16"/>
  <c r="J908" i="16" s="1"/>
  <c r="G908" i="16"/>
  <c r="M855" i="16"/>
  <c r="O855" i="16" s="1"/>
  <c r="K855" i="16"/>
  <c r="H855" i="16"/>
  <c r="J855" i="16" s="1"/>
  <c r="G855" i="16"/>
  <c r="M854" i="16"/>
  <c r="O854" i="16" s="1"/>
  <c r="K854" i="16"/>
  <c r="H854" i="16"/>
  <c r="J854" i="16" s="1"/>
  <c r="G854" i="16"/>
  <c r="M852" i="16"/>
  <c r="O852" i="16" s="1"/>
  <c r="K852" i="16"/>
  <c r="H852" i="16"/>
  <c r="J852" i="16" s="1"/>
  <c r="G852" i="16"/>
  <c r="M851" i="16"/>
  <c r="O851" i="16" s="1"/>
  <c r="K851" i="16"/>
  <c r="H851" i="16"/>
  <c r="J851" i="16" s="1"/>
  <c r="G851" i="16"/>
  <c r="M850" i="16"/>
  <c r="O850" i="16" s="1"/>
  <c r="K850" i="16"/>
  <c r="H850" i="16"/>
  <c r="J850" i="16" s="1"/>
  <c r="G850" i="16"/>
  <c r="M849" i="16"/>
  <c r="O849" i="16" s="1"/>
  <c r="K849" i="16"/>
  <c r="H849" i="16"/>
  <c r="J849" i="16" s="1"/>
  <c r="G849" i="16"/>
  <c r="M848" i="16"/>
  <c r="O848" i="16" s="1"/>
  <c r="K848" i="16"/>
  <c r="H848" i="16"/>
  <c r="J848" i="16" s="1"/>
  <c r="G848" i="16"/>
  <c r="M853" i="16"/>
  <c r="O853" i="16" s="1"/>
  <c r="K853" i="16"/>
  <c r="H853" i="16"/>
  <c r="J853" i="16" s="1"/>
  <c r="G853" i="16"/>
  <c r="M846" i="16"/>
  <c r="O846" i="16" s="1"/>
  <c r="K846" i="16"/>
  <c r="H846" i="16"/>
  <c r="J846" i="16" s="1"/>
  <c r="G846" i="16"/>
  <c r="M845" i="16"/>
  <c r="O845" i="16" s="1"/>
  <c r="K845" i="16"/>
  <c r="H845" i="16"/>
  <c r="J845" i="16" s="1"/>
  <c r="G845" i="16"/>
  <c r="M843" i="16"/>
  <c r="O843" i="16" s="1"/>
  <c r="K843" i="16"/>
  <c r="H843" i="16"/>
  <c r="J843" i="16" s="1"/>
  <c r="G843" i="16"/>
  <c r="M842" i="16"/>
  <c r="O842" i="16" s="1"/>
  <c r="K842" i="16"/>
  <c r="H842" i="16"/>
  <c r="J842" i="16" s="1"/>
  <c r="G842" i="16"/>
  <c r="M823" i="16"/>
  <c r="O823" i="16" s="1"/>
  <c r="K823" i="16"/>
  <c r="H823" i="16"/>
  <c r="J823" i="16" s="1"/>
  <c r="G823" i="16"/>
  <c r="M822" i="16"/>
  <c r="O822" i="16" s="1"/>
  <c r="K822" i="16"/>
  <c r="H822" i="16"/>
  <c r="J822" i="16" s="1"/>
  <c r="G822" i="16"/>
  <c r="M832" i="16"/>
  <c r="O832" i="16" s="1"/>
  <c r="K832" i="16"/>
  <c r="H832" i="16"/>
  <c r="J832" i="16" s="1"/>
  <c r="G832" i="16"/>
  <c r="M830" i="16"/>
  <c r="O830" i="16" s="1"/>
  <c r="K830" i="16"/>
  <c r="H830" i="16"/>
  <c r="J830" i="16" s="1"/>
  <c r="G830" i="16"/>
  <c r="M831" i="16"/>
  <c r="O831" i="16" s="1"/>
  <c r="K831" i="16"/>
  <c r="H831" i="16"/>
  <c r="J831" i="16" s="1"/>
  <c r="G831" i="16"/>
  <c r="M841" i="16"/>
  <c r="O841" i="16" s="1"/>
  <c r="K841" i="16"/>
  <c r="H841" i="16"/>
  <c r="J841" i="16" s="1"/>
  <c r="G841" i="16"/>
  <c r="M840" i="16"/>
  <c r="O840" i="16" s="1"/>
  <c r="K840" i="16"/>
  <c r="H840" i="16"/>
  <c r="J840" i="16" s="1"/>
  <c r="G840" i="16"/>
  <c r="M839" i="16"/>
  <c r="O839" i="16" s="1"/>
  <c r="K839" i="16"/>
  <c r="H839" i="16"/>
  <c r="J839" i="16" s="1"/>
  <c r="G839" i="16"/>
  <c r="M829" i="16"/>
  <c r="O829" i="16" s="1"/>
  <c r="K829" i="16"/>
  <c r="H829" i="16"/>
  <c r="J829" i="16" s="1"/>
  <c r="G829" i="16"/>
  <c r="M838" i="16"/>
  <c r="O838" i="16" s="1"/>
  <c r="K838" i="16"/>
  <c r="H838" i="16"/>
  <c r="J838" i="16" s="1"/>
  <c r="G838" i="16"/>
  <c r="M828" i="16"/>
  <c r="O828" i="16" s="1"/>
  <c r="K828" i="16"/>
  <c r="H828" i="16"/>
  <c r="J828" i="16" s="1"/>
  <c r="G828" i="16"/>
  <c r="M827" i="16"/>
  <c r="O827" i="16" s="1"/>
  <c r="K827" i="16"/>
  <c r="H827" i="16"/>
  <c r="J827" i="16" s="1"/>
  <c r="G827" i="16"/>
  <c r="M837" i="16"/>
  <c r="O837" i="16" s="1"/>
  <c r="K837" i="16"/>
  <c r="H837" i="16"/>
  <c r="J837" i="16" s="1"/>
  <c r="G837" i="16"/>
  <c r="M836" i="16"/>
  <c r="O836" i="16" s="1"/>
  <c r="K836" i="16"/>
  <c r="H836" i="16"/>
  <c r="J836" i="16" s="1"/>
  <c r="G836" i="16"/>
  <c r="M835" i="16"/>
  <c r="O835" i="16" s="1"/>
  <c r="K835" i="16"/>
  <c r="H835" i="16"/>
  <c r="J835" i="16" s="1"/>
  <c r="G835" i="16"/>
  <c r="M821" i="16"/>
  <c r="O821" i="16" s="1"/>
  <c r="K821" i="16"/>
  <c r="H821" i="16"/>
  <c r="J821" i="16" s="1"/>
  <c r="G821" i="16"/>
  <c r="M826" i="16"/>
  <c r="O826" i="16" s="1"/>
  <c r="K826" i="16"/>
  <c r="H826" i="16"/>
  <c r="J826" i="16" s="1"/>
  <c r="G826" i="16"/>
  <c r="M825" i="16"/>
  <c r="O825" i="16" s="1"/>
  <c r="K825" i="16"/>
  <c r="H825" i="16"/>
  <c r="J825" i="16" s="1"/>
  <c r="G825" i="16"/>
  <c r="M824" i="16"/>
  <c r="O824" i="16" s="1"/>
  <c r="K824" i="16"/>
  <c r="H824" i="16"/>
  <c r="J824" i="16" s="1"/>
  <c r="G824" i="16"/>
  <c r="M834" i="16"/>
  <c r="O834" i="16" s="1"/>
  <c r="K834" i="16"/>
  <c r="H834" i="16"/>
  <c r="J834" i="16" s="1"/>
  <c r="G834" i="16"/>
  <c r="M833" i="16"/>
  <c r="O833" i="16" s="1"/>
  <c r="K833" i="16"/>
  <c r="H833" i="16"/>
  <c r="J833" i="16" s="1"/>
  <c r="G833" i="16"/>
  <c r="M820" i="16"/>
  <c r="O820" i="16" s="1"/>
  <c r="K820" i="16"/>
  <c r="H820" i="16"/>
  <c r="J820" i="16" s="1"/>
  <c r="G820" i="16"/>
  <c r="M819" i="16"/>
  <c r="O819" i="16" s="1"/>
  <c r="K819" i="16"/>
  <c r="H819" i="16"/>
  <c r="J819" i="16" s="1"/>
  <c r="G819" i="16"/>
  <c r="M818" i="16"/>
  <c r="O818" i="16" s="1"/>
  <c r="K818" i="16"/>
  <c r="H818" i="16"/>
  <c r="J818" i="16" s="1"/>
  <c r="G818" i="16"/>
  <c r="M817" i="16"/>
  <c r="O817" i="16" s="1"/>
  <c r="K817" i="16"/>
  <c r="H817" i="16"/>
  <c r="J817" i="16" s="1"/>
  <c r="G817" i="16"/>
  <c r="M816" i="16"/>
  <c r="O816" i="16" s="1"/>
  <c r="K816" i="16"/>
  <c r="H816" i="16"/>
  <c r="J816" i="16" s="1"/>
  <c r="G816" i="16"/>
  <c r="M815" i="16"/>
  <c r="O815" i="16" s="1"/>
  <c r="K815" i="16"/>
  <c r="H815" i="16"/>
  <c r="J815" i="16" s="1"/>
  <c r="G815" i="16"/>
  <c r="M814" i="16"/>
  <c r="O814" i="16" s="1"/>
  <c r="K814" i="16"/>
  <c r="H814" i="16"/>
  <c r="J814" i="16" s="1"/>
  <c r="G814" i="16"/>
  <c r="N813" i="16"/>
  <c r="M813" i="16" s="1"/>
  <c r="O813" i="16" s="1"/>
  <c r="K813" i="16"/>
  <c r="H813" i="16"/>
  <c r="J813" i="16" s="1"/>
  <c r="G813" i="16"/>
  <c r="N812" i="16"/>
  <c r="M812" i="16" s="1"/>
  <c r="O812" i="16" s="1"/>
  <c r="K812" i="16"/>
  <c r="H812" i="16"/>
  <c r="J812" i="16" s="1"/>
  <c r="G812" i="16"/>
  <c r="N811" i="16"/>
  <c r="M811" i="16" s="1"/>
  <c r="O811" i="16" s="1"/>
  <c r="K811" i="16"/>
  <c r="H811" i="16"/>
  <c r="J811" i="16" s="1"/>
  <c r="G811" i="16"/>
  <c r="N810" i="16"/>
  <c r="M810" i="16" s="1"/>
  <c r="O810" i="16" s="1"/>
  <c r="K810" i="16"/>
  <c r="H810" i="16"/>
  <c r="J810" i="16" s="1"/>
  <c r="G810" i="16"/>
  <c r="N809" i="16"/>
  <c r="M809" i="16" s="1"/>
  <c r="O809" i="16" s="1"/>
  <c r="K809" i="16"/>
  <c r="H809" i="16"/>
  <c r="J809" i="16" s="1"/>
  <c r="G809" i="16"/>
  <c r="N808" i="16"/>
  <c r="M808" i="16" s="1"/>
  <c r="O808" i="16" s="1"/>
  <c r="K808" i="16"/>
  <c r="H808" i="16"/>
  <c r="J808" i="16" s="1"/>
  <c r="G808" i="16"/>
  <c r="N807" i="16"/>
  <c r="M807" i="16" s="1"/>
  <c r="O807" i="16" s="1"/>
  <c r="K807" i="16"/>
  <c r="H807" i="16"/>
  <c r="J807" i="16" s="1"/>
  <c r="G807" i="16"/>
  <c r="N806" i="16"/>
  <c r="M806" i="16" s="1"/>
  <c r="O806" i="16" s="1"/>
  <c r="K806" i="16"/>
  <c r="H806" i="16"/>
  <c r="J806" i="16" s="1"/>
  <c r="G806" i="16"/>
  <c r="N805" i="16"/>
  <c r="M805" i="16" s="1"/>
  <c r="O805" i="16" s="1"/>
  <c r="K805" i="16"/>
  <c r="H805" i="16"/>
  <c r="J805" i="16" s="1"/>
  <c r="G805" i="16"/>
  <c r="N804" i="16"/>
  <c r="M804" i="16" s="1"/>
  <c r="O804" i="16" s="1"/>
  <c r="K804" i="16"/>
  <c r="H804" i="16"/>
  <c r="J804" i="16" s="1"/>
  <c r="G804" i="16"/>
  <c r="N803" i="16"/>
  <c r="M803" i="16" s="1"/>
  <c r="O803" i="16" s="1"/>
  <c r="K803" i="16"/>
  <c r="H803" i="16"/>
  <c r="J803" i="16" s="1"/>
  <c r="G803" i="16"/>
  <c r="N802" i="16"/>
  <c r="M802" i="16" s="1"/>
  <c r="O802" i="16" s="1"/>
  <c r="K802" i="16"/>
  <c r="H802" i="16"/>
  <c r="J802" i="16" s="1"/>
  <c r="G802" i="16"/>
  <c r="N801" i="16"/>
  <c r="M801" i="16" s="1"/>
  <c r="O801" i="16" s="1"/>
  <c r="K801" i="16"/>
  <c r="H801" i="16"/>
  <c r="J801" i="16" s="1"/>
  <c r="G801" i="16"/>
  <c r="N800" i="16"/>
  <c r="M800" i="16" s="1"/>
  <c r="O800" i="16" s="1"/>
  <c r="K800" i="16"/>
  <c r="H800" i="16"/>
  <c r="J800" i="16" s="1"/>
  <c r="G800" i="16"/>
  <c r="N799" i="16"/>
  <c r="M799" i="16" s="1"/>
  <c r="O799" i="16" s="1"/>
  <c r="K799" i="16"/>
  <c r="H799" i="16"/>
  <c r="J799" i="16" s="1"/>
  <c r="G799" i="16"/>
  <c r="N798" i="16"/>
  <c r="M798" i="16" s="1"/>
  <c r="O798" i="16" s="1"/>
  <c r="K798" i="16"/>
  <c r="H798" i="16"/>
  <c r="J798" i="16" s="1"/>
  <c r="G798" i="16"/>
  <c r="N797" i="16"/>
  <c r="M797" i="16" s="1"/>
  <c r="O797" i="16" s="1"/>
  <c r="K797" i="16"/>
  <c r="H797" i="16"/>
  <c r="J797" i="16" s="1"/>
  <c r="G797" i="16"/>
  <c r="N796" i="16"/>
  <c r="M796" i="16" s="1"/>
  <c r="O796" i="16" s="1"/>
  <c r="K796" i="16"/>
  <c r="H796" i="16"/>
  <c r="J796" i="16" s="1"/>
  <c r="G796" i="16"/>
  <c r="N795" i="16"/>
  <c r="M795" i="16" s="1"/>
  <c r="O795" i="16" s="1"/>
  <c r="K795" i="16"/>
  <c r="H795" i="16"/>
  <c r="J795" i="16" s="1"/>
  <c r="G795" i="16"/>
  <c r="N794" i="16"/>
  <c r="M794" i="16" s="1"/>
  <c r="O794" i="16" s="1"/>
  <c r="K794" i="16"/>
  <c r="H794" i="16"/>
  <c r="J794" i="16" s="1"/>
  <c r="G794" i="16"/>
  <c r="M793" i="16"/>
  <c r="O793" i="16" s="1"/>
  <c r="K793" i="16"/>
  <c r="H793" i="16"/>
  <c r="J793" i="16" s="1"/>
  <c r="G793" i="16"/>
  <c r="M792" i="16"/>
  <c r="O792" i="16" s="1"/>
  <c r="K792" i="16"/>
  <c r="H792" i="16"/>
  <c r="J792" i="16" s="1"/>
  <c r="G792" i="16"/>
  <c r="M791" i="16"/>
  <c r="O791" i="16" s="1"/>
  <c r="K791" i="16"/>
  <c r="H791" i="16"/>
  <c r="J791" i="16" s="1"/>
  <c r="G791" i="16"/>
  <c r="M790" i="16"/>
  <c r="O790" i="16" s="1"/>
  <c r="K790" i="16"/>
  <c r="H790" i="16"/>
  <c r="J790" i="16" s="1"/>
  <c r="G790" i="16"/>
  <c r="M789" i="16"/>
  <c r="O789" i="16" s="1"/>
  <c r="K789" i="16"/>
  <c r="H789" i="16"/>
  <c r="J789" i="16" s="1"/>
  <c r="G789" i="16"/>
  <c r="M788" i="16"/>
  <c r="O788" i="16" s="1"/>
  <c r="K788" i="16"/>
  <c r="H788" i="16"/>
  <c r="J788" i="16" s="1"/>
  <c r="G788" i="16"/>
  <c r="M787" i="16"/>
  <c r="O787" i="16" s="1"/>
  <c r="K787" i="16"/>
  <c r="H787" i="16"/>
  <c r="J787" i="16" s="1"/>
  <c r="G787" i="16"/>
  <c r="M786" i="16"/>
  <c r="O786" i="16" s="1"/>
  <c r="K786" i="16"/>
  <c r="H786" i="16"/>
  <c r="J786" i="16" s="1"/>
  <c r="G786" i="16"/>
  <c r="M785" i="16"/>
  <c r="O785" i="16" s="1"/>
  <c r="K785" i="16"/>
  <c r="H785" i="16"/>
  <c r="J785" i="16" s="1"/>
  <c r="G785" i="16"/>
  <c r="M784" i="16"/>
  <c r="O784" i="16" s="1"/>
  <c r="K784" i="16"/>
  <c r="H784" i="16"/>
  <c r="J784" i="16" s="1"/>
  <c r="G784" i="16"/>
  <c r="M783" i="16"/>
  <c r="O783" i="16" s="1"/>
  <c r="K783" i="16"/>
  <c r="H783" i="16"/>
  <c r="J783" i="16" s="1"/>
  <c r="G783" i="16"/>
  <c r="M782" i="16"/>
  <c r="O782" i="16" s="1"/>
  <c r="K782" i="16"/>
  <c r="H782" i="16"/>
  <c r="J782" i="16" s="1"/>
  <c r="G782" i="16"/>
  <c r="M781" i="16"/>
  <c r="O781" i="16" s="1"/>
  <c r="K781" i="16"/>
  <c r="H781" i="16"/>
  <c r="J781" i="16" s="1"/>
  <c r="G781" i="16"/>
  <c r="M780" i="16"/>
  <c r="O780" i="16" s="1"/>
  <c r="K780" i="16"/>
  <c r="H780" i="16"/>
  <c r="J780" i="16" s="1"/>
  <c r="G780" i="16"/>
  <c r="M779" i="16"/>
  <c r="O779" i="16" s="1"/>
  <c r="K779" i="16"/>
  <c r="H779" i="16"/>
  <c r="J779" i="16" s="1"/>
  <c r="G779" i="16"/>
  <c r="M778" i="16"/>
  <c r="O778" i="16" s="1"/>
  <c r="K778" i="16"/>
  <c r="H778" i="16"/>
  <c r="J778" i="16" s="1"/>
  <c r="G778" i="16"/>
  <c r="M777" i="16"/>
  <c r="O777" i="16" s="1"/>
  <c r="K777" i="16"/>
  <c r="H777" i="16"/>
  <c r="J777" i="16" s="1"/>
  <c r="G777" i="16"/>
  <c r="M776" i="16"/>
  <c r="O776" i="16" s="1"/>
  <c r="K776" i="16"/>
  <c r="H776" i="16"/>
  <c r="J776" i="16" s="1"/>
  <c r="G776" i="16"/>
  <c r="M775" i="16"/>
  <c r="O775" i="16" s="1"/>
  <c r="K775" i="16"/>
  <c r="H775" i="16"/>
  <c r="J775" i="16" s="1"/>
  <c r="G775" i="16"/>
  <c r="M774" i="16"/>
  <c r="O774" i="16" s="1"/>
  <c r="K774" i="16"/>
  <c r="H774" i="16"/>
  <c r="J774" i="16" s="1"/>
  <c r="G774" i="16"/>
  <c r="M773" i="16"/>
  <c r="O773" i="16" s="1"/>
  <c r="K773" i="16"/>
  <c r="H773" i="16"/>
  <c r="J773" i="16" s="1"/>
  <c r="G773" i="16"/>
  <c r="M772" i="16"/>
  <c r="O772" i="16" s="1"/>
  <c r="K772" i="16"/>
  <c r="H772" i="16"/>
  <c r="J772" i="16" s="1"/>
  <c r="G772" i="16"/>
  <c r="M771" i="16"/>
  <c r="O771" i="16" s="1"/>
  <c r="K771" i="16"/>
  <c r="H771" i="16"/>
  <c r="J771" i="16" s="1"/>
  <c r="G771" i="16"/>
  <c r="M770" i="16"/>
  <c r="O770" i="16" s="1"/>
  <c r="K770" i="16"/>
  <c r="H770" i="16"/>
  <c r="J770" i="16" s="1"/>
  <c r="G770" i="16"/>
  <c r="M769" i="16"/>
  <c r="O769" i="16" s="1"/>
  <c r="K769" i="16"/>
  <c r="H769" i="16"/>
  <c r="J769" i="16" s="1"/>
  <c r="G769" i="16"/>
  <c r="M768" i="16"/>
  <c r="O768" i="16" s="1"/>
  <c r="K768" i="16"/>
  <c r="H768" i="16"/>
  <c r="J768" i="16" s="1"/>
  <c r="G768" i="16"/>
  <c r="M767" i="16"/>
  <c r="O767" i="16" s="1"/>
  <c r="K767" i="16"/>
  <c r="H767" i="16"/>
  <c r="J767" i="16" s="1"/>
  <c r="G767" i="16"/>
  <c r="M766" i="16"/>
  <c r="O766" i="16" s="1"/>
  <c r="K766" i="16"/>
  <c r="H766" i="16"/>
  <c r="J766" i="16" s="1"/>
  <c r="G766" i="16"/>
  <c r="M765" i="16"/>
  <c r="O765" i="16" s="1"/>
  <c r="K765" i="16"/>
  <c r="H765" i="16"/>
  <c r="J765" i="16" s="1"/>
  <c r="G765" i="16"/>
  <c r="M764" i="16"/>
  <c r="O764" i="16" s="1"/>
  <c r="K764" i="16"/>
  <c r="H764" i="16"/>
  <c r="J764" i="16" s="1"/>
  <c r="G764" i="16"/>
  <c r="M763" i="16"/>
  <c r="O763" i="16" s="1"/>
  <c r="K763" i="16"/>
  <c r="H763" i="16"/>
  <c r="J763" i="16" s="1"/>
  <c r="G763" i="16"/>
  <c r="M762" i="16"/>
  <c r="O762" i="16" s="1"/>
  <c r="K762" i="16"/>
  <c r="H762" i="16"/>
  <c r="J762" i="16" s="1"/>
  <c r="G762" i="16"/>
  <c r="M761" i="16"/>
  <c r="O761" i="16" s="1"/>
  <c r="K761" i="16"/>
  <c r="H761" i="16"/>
  <c r="J761" i="16" s="1"/>
  <c r="G761" i="16"/>
  <c r="M760" i="16"/>
  <c r="O760" i="16" s="1"/>
  <c r="K760" i="16"/>
  <c r="H760" i="16"/>
  <c r="J760" i="16" s="1"/>
  <c r="G760" i="16"/>
  <c r="M759" i="16"/>
  <c r="O759" i="16" s="1"/>
  <c r="K759" i="16"/>
  <c r="H759" i="16"/>
  <c r="J759" i="16" s="1"/>
  <c r="G759" i="16"/>
  <c r="M758" i="16"/>
  <c r="O758" i="16" s="1"/>
  <c r="K758" i="16"/>
  <c r="H758" i="16"/>
  <c r="J758" i="16" s="1"/>
  <c r="G758" i="16"/>
  <c r="M757" i="16"/>
  <c r="O757" i="16" s="1"/>
  <c r="K757" i="16"/>
  <c r="H757" i="16"/>
  <c r="J757" i="16" s="1"/>
  <c r="G757" i="16"/>
  <c r="M756" i="16"/>
  <c r="O756" i="16" s="1"/>
  <c r="K756" i="16"/>
  <c r="H756" i="16"/>
  <c r="J756" i="16" s="1"/>
  <c r="G756" i="16"/>
  <c r="M755" i="16"/>
  <c r="O755" i="16" s="1"/>
  <c r="K755" i="16"/>
  <c r="H755" i="16"/>
  <c r="J755" i="16" s="1"/>
  <c r="G755" i="16"/>
  <c r="M754" i="16"/>
  <c r="O754" i="16" s="1"/>
  <c r="K754" i="16"/>
  <c r="H754" i="16"/>
  <c r="J754" i="16" s="1"/>
  <c r="G754" i="16"/>
  <c r="M753" i="16"/>
  <c r="O753" i="16" s="1"/>
  <c r="K753" i="16"/>
  <c r="H753" i="16"/>
  <c r="J753" i="16" s="1"/>
  <c r="G753" i="16"/>
  <c r="M752" i="16"/>
  <c r="O752" i="16" s="1"/>
  <c r="K752" i="16"/>
  <c r="H752" i="16"/>
  <c r="J752" i="16" s="1"/>
  <c r="G752" i="16"/>
  <c r="M751" i="16"/>
  <c r="O751" i="16" s="1"/>
  <c r="K751" i="16"/>
  <c r="H751" i="16"/>
  <c r="J751" i="16" s="1"/>
  <c r="G751" i="16"/>
  <c r="M749" i="16"/>
  <c r="O749" i="16" s="1"/>
  <c r="K749" i="16"/>
  <c r="H749" i="16"/>
  <c r="J749" i="16" s="1"/>
  <c r="G749" i="16"/>
  <c r="M748" i="16"/>
  <c r="O748" i="16" s="1"/>
  <c r="K748" i="16"/>
  <c r="H748" i="16"/>
  <c r="J748" i="16" s="1"/>
  <c r="G748" i="16"/>
  <c r="M747" i="16"/>
  <c r="O747" i="16" s="1"/>
  <c r="K747" i="16"/>
  <c r="H747" i="16"/>
  <c r="J747" i="16" s="1"/>
  <c r="G747" i="16"/>
  <c r="M746" i="16"/>
  <c r="O746" i="16" s="1"/>
  <c r="K746" i="16"/>
  <c r="H746" i="16"/>
  <c r="J746" i="16" s="1"/>
  <c r="G746" i="16"/>
  <c r="M745" i="16"/>
  <c r="O745" i="16" s="1"/>
  <c r="K745" i="16"/>
  <c r="H745" i="16"/>
  <c r="J745" i="16" s="1"/>
  <c r="G745" i="16"/>
  <c r="M744" i="16"/>
  <c r="O744" i="16" s="1"/>
  <c r="K744" i="16"/>
  <c r="H744" i="16"/>
  <c r="J744" i="16" s="1"/>
  <c r="G744" i="16"/>
  <c r="M743" i="16"/>
  <c r="O743" i="16" s="1"/>
  <c r="K743" i="16"/>
  <c r="H743" i="16"/>
  <c r="J743" i="16" s="1"/>
  <c r="G743" i="16"/>
  <c r="M742" i="16"/>
  <c r="O742" i="16" s="1"/>
  <c r="K742" i="16"/>
  <c r="H742" i="16"/>
  <c r="J742" i="16" s="1"/>
  <c r="G742" i="16"/>
  <c r="M741" i="16"/>
  <c r="O741" i="16" s="1"/>
  <c r="K741" i="16"/>
  <c r="H741" i="16"/>
  <c r="J741" i="16" s="1"/>
  <c r="G741" i="16"/>
  <c r="M740" i="16"/>
  <c r="O740" i="16" s="1"/>
  <c r="K740" i="16"/>
  <c r="H740" i="16"/>
  <c r="J740" i="16" s="1"/>
  <c r="G740" i="16"/>
  <c r="M739" i="16"/>
  <c r="O739" i="16" s="1"/>
  <c r="K739" i="16"/>
  <c r="H739" i="16"/>
  <c r="J739" i="16" s="1"/>
  <c r="G739" i="16"/>
  <c r="M738" i="16"/>
  <c r="O738" i="16" s="1"/>
  <c r="K738" i="16"/>
  <c r="H738" i="16"/>
  <c r="J738" i="16" s="1"/>
  <c r="G738" i="16"/>
  <c r="M737" i="16"/>
  <c r="O737" i="16" s="1"/>
  <c r="K737" i="16"/>
  <c r="H737" i="16"/>
  <c r="J737" i="16" s="1"/>
  <c r="G737" i="16"/>
  <c r="M736" i="16"/>
  <c r="O736" i="16" s="1"/>
  <c r="K736" i="16"/>
  <c r="H736" i="16"/>
  <c r="J736" i="16" s="1"/>
  <c r="G736" i="16"/>
  <c r="M735" i="16"/>
  <c r="O735" i="16" s="1"/>
  <c r="K735" i="16"/>
  <c r="H735" i="16"/>
  <c r="J735" i="16" s="1"/>
  <c r="G735" i="16"/>
  <c r="M734" i="16"/>
  <c r="O734" i="16" s="1"/>
  <c r="K734" i="16"/>
  <c r="H734" i="16"/>
  <c r="J734" i="16" s="1"/>
  <c r="G734" i="16"/>
  <c r="M733" i="16"/>
  <c r="O733" i="16" s="1"/>
  <c r="K733" i="16"/>
  <c r="H733" i="16"/>
  <c r="J733" i="16" s="1"/>
  <c r="G733" i="16"/>
  <c r="M732" i="16"/>
  <c r="O732" i="16" s="1"/>
  <c r="K732" i="16"/>
  <c r="H732" i="16"/>
  <c r="J732" i="16" s="1"/>
  <c r="G732" i="16"/>
  <c r="M731" i="16"/>
  <c r="O731" i="16" s="1"/>
  <c r="K731" i="16"/>
  <c r="H731" i="16"/>
  <c r="J731" i="16" s="1"/>
  <c r="G731" i="16"/>
  <c r="M730" i="16"/>
  <c r="O730" i="16" s="1"/>
  <c r="K730" i="16"/>
  <c r="H730" i="16"/>
  <c r="J730" i="16" s="1"/>
  <c r="G730" i="16"/>
  <c r="M729" i="16"/>
  <c r="O729" i="16" s="1"/>
  <c r="K729" i="16"/>
  <c r="H729" i="16"/>
  <c r="J729" i="16" s="1"/>
  <c r="G729" i="16"/>
  <c r="M728" i="16"/>
  <c r="O728" i="16" s="1"/>
  <c r="K728" i="16"/>
  <c r="H728" i="16"/>
  <c r="J728" i="16" s="1"/>
  <c r="G728" i="16"/>
  <c r="M727" i="16"/>
  <c r="O727" i="16" s="1"/>
  <c r="K727" i="16"/>
  <c r="H727" i="16"/>
  <c r="J727" i="16" s="1"/>
  <c r="G727" i="16"/>
  <c r="M726" i="16"/>
  <c r="O726" i="16" s="1"/>
  <c r="K726" i="16"/>
  <c r="H726" i="16"/>
  <c r="J726" i="16" s="1"/>
  <c r="G726" i="16"/>
  <c r="M725" i="16"/>
  <c r="O725" i="16" s="1"/>
  <c r="K725" i="16"/>
  <c r="H725" i="16"/>
  <c r="J725" i="16" s="1"/>
  <c r="G725" i="16"/>
  <c r="M724" i="16"/>
  <c r="O724" i="16" s="1"/>
  <c r="K724" i="16"/>
  <c r="H724" i="16"/>
  <c r="J724" i="16" s="1"/>
  <c r="G724" i="16"/>
  <c r="N723" i="16"/>
  <c r="M723" i="16" s="1"/>
  <c r="O723" i="16" s="1"/>
  <c r="K723" i="16"/>
  <c r="H723" i="16"/>
  <c r="J723" i="16" s="1"/>
  <c r="G723" i="16"/>
  <c r="N722" i="16"/>
  <c r="M722" i="16" s="1"/>
  <c r="O722" i="16" s="1"/>
  <c r="K722" i="16"/>
  <c r="H722" i="16"/>
  <c r="J722" i="16" s="1"/>
  <c r="G722" i="16"/>
  <c r="N721" i="16"/>
  <c r="M721" i="16" s="1"/>
  <c r="O721" i="16" s="1"/>
  <c r="K721" i="16"/>
  <c r="H721" i="16"/>
  <c r="J721" i="16" s="1"/>
  <c r="G721" i="16"/>
  <c r="N720" i="16"/>
  <c r="M720" i="16" s="1"/>
  <c r="O720" i="16" s="1"/>
  <c r="K720" i="16"/>
  <c r="H720" i="16"/>
  <c r="J720" i="16" s="1"/>
  <c r="G720" i="16"/>
  <c r="N719" i="16"/>
  <c r="M719" i="16" s="1"/>
  <c r="O719" i="16" s="1"/>
  <c r="K719" i="16"/>
  <c r="H719" i="16"/>
  <c r="J719" i="16" s="1"/>
  <c r="G719" i="16"/>
  <c r="N718" i="16"/>
  <c r="M718" i="16" s="1"/>
  <c r="O718" i="16" s="1"/>
  <c r="K718" i="16"/>
  <c r="H718" i="16"/>
  <c r="J718" i="16" s="1"/>
  <c r="G718" i="16"/>
  <c r="N717" i="16"/>
  <c r="M717" i="16" s="1"/>
  <c r="O717" i="16" s="1"/>
  <c r="K717" i="16"/>
  <c r="H717" i="16"/>
  <c r="J717" i="16" s="1"/>
  <c r="G717" i="16"/>
  <c r="N716" i="16"/>
  <c r="M716" i="16" s="1"/>
  <c r="O716" i="16" s="1"/>
  <c r="K716" i="16"/>
  <c r="H716" i="16"/>
  <c r="J716" i="16" s="1"/>
  <c r="G716" i="16"/>
  <c r="N715" i="16"/>
  <c r="M715" i="16" s="1"/>
  <c r="O715" i="16" s="1"/>
  <c r="K715" i="16"/>
  <c r="H715" i="16"/>
  <c r="J715" i="16" s="1"/>
  <c r="G715" i="16"/>
  <c r="N714" i="16"/>
  <c r="M714" i="16" s="1"/>
  <c r="O714" i="16" s="1"/>
  <c r="K714" i="16"/>
  <c r="H714" i="16"/>
  <c r="J714" i="16" s="1"/>
  <c r="G714" i="16"/>
  <c r="N713" i="16"/>
  <c r="M713" i="16" s="1"/>
  <c r="O713" i="16" s="1"/>
  <c r="K713" i="16"/>
  <c r="H713" i="16"/>
  <c r="J713" i="16" s="1"/>
  <c r="G713" i="16"/>
  <c r="N712" i="16"/>
  <c r="M712" i="16" s="1"/>
  <c r="O712" i="16" s="1"/>
  <c r="K712" i="16"/>
  <c r="H712" i="16"/>
  <c r="J712" i="16" s="1"/>
  <c r="G712" i="16"/>
  <c r="N711" i="16"/>
  <c r="M711" i="16" s="1"/>
  <c r="O711" i="16" s="1"/>
  <c r="K711" i="16"/>
  <c r="H711" i="16"/>
  <c r="J711" i="16" s="1"/>
  <c r="G711" i="16"/>
  <c r="N710" i="16"/>
  <c r="M710" i="16" s="1"/>
  <c r="O710" i="16" s="1"/>
  <c r="K710" i="16"/>
  <c r="H710" i="16"/>
  <c r="J710" i="16" s="1"/>
  <c r="G710" i="16"/>
  <c r="N709" i="16"/>
  <c r="M709" i="16" s="1"/>
  <c r="O709" i="16" s="1"/>
  <c r="K709" i="16"/>
  <c r="H709" i="16"/>
  <c r="J709" i="16" s="1"/>
  <c r="G709" i="16"/>
  <c r="N708" i="16"/>
  <c r="M708" i="16" s="1"/>
  <c r="O708" i="16" s="1"/>
  <c r="K708" i="16"/>
  <c r="H708" i="16"/>
  <c r="J708" i="16" s="1"/>
  <c r="G708" i="16"/>
  <c r="N707" i="16"/>
  <c r="M707" i="16" s="1"/>
  <c r="O707" i="16" s="1"/>
  <c r="K707" i="16"/>
  <c r="H707" i="16"/>
  <c r="J707" i="16" s="1"/>
  <c r="G707" i="16"/>
  <c r="N706" i="16"/>
  <c r="M706" i="16" s="1"/>
  <c r="O706" i="16" s="1"/>
  <c r="K706" i="16"/>
  <c r="H706" i="16"/>
  <c r="J706" i="16" s="1"/>
  <c r="G706" i="16"/>
  <c r="N705" i="16"/>
  <c r="M705" i="16" s="1"/>
  <c r="O705" i="16" s="1"/>
  <c r="K705" i="16"/>
  <c r="H705" i="16"/>
  <c r="J705" i="16" s="1"/>
  <c r="G705" i="16"/>
  <c r="N704" i="16"/>
  <c r="M704" i="16" s="1"/>
  <c r="O704" i="16" s="1"/>
  <c r="K704" i="16"/>
  <c r="H704" i="16"/>
  <c r="J704" i="16" s="1"/>
  <c r="G704" i="16"/>
  <c r="N703" i="16"/>
  <c r="M703" i="16" s="1"/>
  <c r="O703" i="16" s="1"/>
  <c r="K703" i="16"/>
  <c r="H703" i="16"/>
  <c r="J703" i="16" s="1"/>
  <c r="G703" i="16"/>
  <c r="N702" i="16"/>
  <c r="M702" i="16" s="1"/>
  <c r="O702" i="16" s="1"/>
  <c r="K702" i="16"/>
  <c r="H702" i="16"/>
  <c r="J702" i="16" s="1"/>
  <c r="G702" i="16"/>
  <c r="N701" i="16"/>
  <c r="M701" i="16" s="1"/>
  <c r="O701" i="16" s="1"/>
  <c r="K701" i="16"/>
  <c r="H701" i="16"/>
  <c r="J701" i="16" s="1"/>
  <c r="G701" i="16"/>
  <c r="N700" i="16"/>
  <c r="M700" i="16" s="1"/>
  <c r="O700" i="16" s="1"/>
  <c r="K700" i="16"/>
  <c r="H700" i="16"/>
  <c r="J700" i="16" s="1"/>
  <c r="G700" i="16"/>
  <c r="N699" i="16"/>
  <c r="M699" i="16" s="1"/>
  <c r="O699" i="16" s="1"/>
  <c r="K699" i="16"/>
  <c r="H699" i="16"/>
  <c r="J699" i="16" s="1"/>
  <c r="G699" i="16"/>
  <c r="N698" i="16"/>
  <c r="M698" i="16" s="1"/>
  <c r="O698" i="16" s="1"/>
  <c r="K698" i="16"/>
  <c r="H698" i="16"/>
  <c r="J698" i="16" s="1"/>
  <c r="G698" i="16"/>
  <c r="N697" i="16"/>
  <c r="M697" i="16" s="1"/>
  <c r="O697" i="16" s="1"/>
  <c r="K697" i="16"/>
  <c r="H697" i="16"/>
  <c r="J697" i="16" s="1"/>
  <c r="G697" i="16"/>
  <c r="N696" i="16"/>
  <c r="M696" i="16" s="1"/>
  <c r="O696" i="16" s="1"/>
  <c r="K696" i="16"/>
  <c r="H696" i="16"/>
  <c r="J696" i="16" s="1"/>
  <c r="G696" i="16"/>
  <c r="N695" i="16"/>
  <c r="M695" i="16" s="1"/>
  <c r="O695" i="16" s="1"/>
  <c r="K695" i="16"/>
  <c r="H695" i="16"/>
  <c r="J695" i="16" s="1"/>
  <c r="G695" i="16"/>
  <c r="N694" i="16"/>
  <c r="M694" i="16" s="1"/>
  <c r="O694" i="16" s="1"/>
  <c r="K694" i="16"/>
  <c r="H694" i="16"/>
  <c r="J694" i="16" s="1"/>
  <c r="G694" i="16"/>
  <c r="M639" i="16"/>
  <c r="O639" i="16" s="1"/>
  <c r="K639" i="16"/>
  <c r="H639" i="16"/>
  <c r="J639" i="16" s="1"/>
  <c r="G639" i="16"/>
  <c r="M638" i="16"/>
  <c r="O638" i="16" s="1"/>
  <c r="K638" i="16"/>
  <c r="H638" i="16"/>
  <c r="J638" i="16" s="1"/>
  <c r="G638" i="16"/>
  <c r="M637" i="16"/>
  <c r="O637" i="16" s="1"/>
  <c r="K637" i="16"/>
  <c r="H637" i="16"/>
  <c r="J637" i="16" s="1"/>
  <c r="G637" i="16"/>
  <c r="M636" i="16"/>
  <c r="O636" i="16" s="1"/>
  <c r="K636" i="16"/>
  <c r="H636" i="16"/>
  <c r="J636" i="16" s="1"/>
  <c r="G636" i="16"/>
  <c r="M635" i="16"/>
  <c r="O635" i="16" s="1"/>
  <c r="K635" i="16"/>
  <c r="H635" i="16"/>
  <c r="J635" i="16" s="1"/>
  <c r="G635" i="16"/>
  <c r="M634" i="16"/>
  <c r="O634" i="16" s="1"/>
  <c r="K634" i="16"/>
  <c r="H634" i="16"/>
  <c r="J634" i="16" s="1"/>
  <c r="G634" i="16"/>
  <c r="M633" i="16"/>
  <c r="O633" i="16" s="1"/>
  <c r="K633" i="16"/>
  <c r="H633" i="16"/>
  <c r="J633" i="16" s="1"/>
  <c r="G633" i="16"/>
  <c r="M632" i="16"/>
  <c r="O632" i="16" s="1"/>
  <c r="K632" i="16"/>
  <c r="H632" i="16"/>
  <c r="J632" i="16" s="1"/>
  <c r="G632" i="16"/>
  <c r="M631" i="16"/>
  <c r="O631" i="16" s="1"/>
  <c r="K631" i="16"/>
  <c r="H631" i="16"/>
  <c r="J631" i="16" s="1"/>
  <c r="G631" i="16"/>
  <c r="M630" i="16"/>
  <c r="O630" i="16" s="1"/>
  <c r="K630" i="16"/>
  <c r="H630" i="16"/>
  <c r="J630" i="16" s="1"/>
  <c r="G630" i="16"/>
  <c r="M629" i="16"/>
  <c r="O629" i="16" s="1"/>
  <c r="K629" i="16"/>
  <c r="H629" i="16"/>
  <c r="J629" i="16" s="1"/>
  <c r="G629" i="16"/>
  <c r="M628" i="16"/>
  <c r="O628" i="16" s="1"/>
  <c r="K628" i="16"/>
  <c r="H628" i="16"/>
  <c r="J628" i="16" s="1"/>
  <c r="G628" i="16"/>
  <c r="M627" i="16"/>
  <c r="O627" i="16" s="1"/>
  <c r="K627" i="16"/>
  <c r="H627" i="16"/>
  <c r="J627" i="16" s="1"/>
  <c r="G627" i="16"/>
  <c r="M626" i="16"/>
  <c r="O626" i="16" s="1"/>
  <c r="K626" i="16"/>
  <c r="H626" i="16"/>
  <c r="J626" i="16" s="1"/>
  <c r="G626" i="16"/>
  <c r="M625" i="16"/>
  <c r="O625" i="16" s="1"/>
  <c r="K625" i="16"/>
  <c r="H625" i="16"/>
  <c r="J625" i="16" s="1"/>
  <c r="G625" i="16"/>
  <c r="M624" i="16"/>
  <c r="O624" i="16" s="1"/>
  <c r="K624" i="16"/>
  <c r="H624" i="16"/>
  <c r="J624" i="16" s="1"/>
  <c r="G624" i="16"/>
  <c r="M623" i="16"/>
  <c r="O623" i="16" s="1"/>
  <c r="K623" i="16"/>
  <c r="H623" i="16"/>
  <c r="J623" i="16" s="1"/>
  <c r="G623" i="16"/>
  <c r="M622" i="16"/>
  <c r="O622" i="16" s="1"/>
  <c r="K622" i="16"/>
  <c r="H622" i="16"/>
  <c r="J622" i="16" s="1"/>
  <c r="G622" i="16"/>
  <c r="M621" i="16"/>
  <c r="O621" i="16" s="1"/>
  <c r="K621" i="16"/>
  <c r="H621" i="16"/>
  <c r="J621" i="16" s="1"/>
  <c r="G621" i="16"/>
  <c r="M620" i="16"/>
  <c r="O620" i="16" s="1"/>
  <c r="K620" i="16"/>
  <c r="H620" i="16"/>
  <c r="J620" i="16" s="1"/>
  <c r="G620" i="16"/>
  <c r="M619" i="16"/>
  <c r="O619" i="16" s="1"/>
  <c r="K619" i="16"/>
  <c r="H619" i="16"/>
  <c r="J619" i="16" s="1"/>
  <c r="G619" i="16"/>
  <c r="M618" i="16"/>
  <c r="O618" i="16" s="1"/>
  <c r="K618" i="16"/>
  <c r="H618" i="16"/>
  <c r="J618" i="16" s="1"/>
  <c r="G618" i="16"/>
  <c r="M642" i="16"/>
  <c r="O642" i="16" s="1"/>
  <c r="K642" i="16"/>
  <c r="H642" i="16"/>
  <c r="J642" i="16" s="1"/>
  <c r="G642" i="16"/>
  <c r="M641" i="16"/>
  <c r="O641" i="16" s="1"/>
  <c r="K641" i="16"/>
  <c r="H641" i="16"/>
  <c r="J641" i="16" s="1"/>
  <c r="G641" i="16"/>
  <c r="M640" i="16"/>
  <c r="O640" i="16" s="1"/>
  <c r="K640" i="16"/>
  <c r="H640" i="16"/>
  <c r="J640" i="16" s="1"/>
  <c r="G640" i="16"/>
  <c r="M617" i="16"/>
  <c r="O617" i="16" s="1"/>
  <c r="K617" i="16"/>
  <c r="H617" i="16"/>
  <c r="J617" i="16" s="1"/>
  <c r="G617" i="16"/>
  <c r="M614" i="16"/>
  <c r="O614" i="16" s="1"/>
  <c r="K614" i="16"/>
  <c r="H614" i="16"/>
  <c r="J614" i="16" s="1"/>
  <c r="G614" i="16"/>
  <c r="M643" i="16"/>
  <c r="O643" i="16" s="1"/>
  <c r="K643" i="16"/>
  <c r="H643" i="16"/>
  <c r="J643" i="16" s="1"/>
  <c r="G643" i="16"/>
  <c r="M613" i="16"/>
  <c r="O613" i="16" s="1"/>
  <c r="K613" i="16"/>
  <c r="H613" i="16"/>
  <c r="J613" i="16" s="1"/>
  <c r="G613" i="16"/>
  <c r="M615" i="16"/>
  <c r="O615" i="16" s="1"/>
  <c r="K615" i="16"/>
  <c r="H615" i="16"/>
  <c r="J615" i="16" s="1"/>
  <c r="G615" i="16"/>
  <c r="M616" i="16"/>
  <c r="O616" i="16" s="1"/>
  <c r="K616" i="16"/>
  <c r="H616" i="16"/>
  <c r="J616" i="16" s="1"/>
  <c r="G616" i="16"/>
  <c r="M607" i="16"/>
  <c r="O607" i="16" s="1"/>
  <c r="K607" i="16"/>
  <c r="H607" i="16"/>
  <c r="J607" i="16" s="1"/>
  <c r="G607" i="16"/>
  <c r="M606" i="16"/>
  <c r="O606" i="16" s="1"/>
  <c r="K606" i="16"/>
  <c r="H606" i="16"/>
  <c r="J606" i="16" s="1"/>
  <c r="G606" i="16"/>
  <c r="M605" i="16"/>
  <c r="O605" i="16" s="1"/>
  <c r="K605" i="16"/>
  <c r="H605" i="16"/>
  <c r="J605" i="16" s="1"/>
  <c r="G605" i="16"/>
  <c r="M604" i="16"/>
  <c r="O604" i="16" s="1"/>
  <c r="K604" i="16"/>
  <c r="H604" i="16"/>
  <c r="J604" i="16" s="1"/>
  <c r="G604" i="16"/>
  <c r="M603" i="16"/>
  <c r="O603" i="16" s="1"/>
  <c r="K603" i="16"/>
  <c r="H603" i="16"/>
  <c r="J603" i="16" s="1"/>
  <c r="G603" i="16"/>
  <c r="M602" i="16"/>
  <c r="O602" i="16" s="1"/>
  <c r="K602" i="16"/>
  <c r="H602" i="16"/>
  <c r="J602" i="16" s="1"/>
  <c r="G602" i="16"/>
  <c r="M601" i="16"/>
  <c r="O601" i="16" s="1"/>
  <c r="K601" i="16"/>
  <c r="H601" i="16"/>
  <c r="J601" i="16" s="1"/>
  <c r="G601" i="16"/>
  <c r="M600" i="16"/>
  <c r="O600" i="16" s="1"/>
  <c r="K600" i="16"/>
  <c r="H600" i="16"/>
  <c r="J600" i="16" s="1"/>
  <c r="G600" i="16"/>
  <c r="M599" i="16"/>
  <c r="O599" i="16" s="1"/>
  <c r="K599" i="16"/>
  <c r="H599" i="16"/>
  <c r="J599" i="16" s="1"/>
  <c r="G599" i="16"/>
  <c r="M598" i="16"/>
  <c r="O598" i="16" s="1"/>
  <c r="K598" i="16"/>
  <c r="H598" i="16"/>
  <c r="J598" i="16" s="1"/>
  <c r="G598" i="16"/>
  <c r="M597" i="16"/>
  <c r="O597" i="16" s="1"/>
  <c r="K597" i="16"/>
  <c r="H597" i="16"/>
  <c r="J597" i="16" s="1"/>
  <c r="G597" i="16"/>
  <c r="M596" i="16"/>
  <c r="O596" i="16" s="1"/>
  <c r="K596" i="16"/>
  <c r="H596" i="16"/>
  <c r="J596" i="16" s="1"/>
  <c r="G596" i="16"/>
  <c r="M592" i="16"/>
  <c r="O592" i="16" s="1"/>
  <c r="K592" i="16"/>
  <c r="H592" i="16"/>
  <c r="J592" i="16" s="1"/>
  <c r="G592" i="16"/>
  <c r="M594" i="16"/>
  <c r="O594" i="16" s="1"/>
  <c r="K594" i="16"/>
  <c r="H594" i="16"/>
  <c r="J594" i="16" s="1"/>
  <c r="G594" i="16"/>
  <c r="M595" i="16"/>
  <c r="O595" i="16" s="1"/>
  <c r="K595" i="16"/>
  <c r="H595" i="16"/>
  <c r="J595" i="16" s="1"/>
  <c r="G595" i="16"/>
  <c r="M591" i="16"/>
  <c r="O591" i="16" s="1"/>
  <c r="K591" i="16"/>
  <c r="H591" i="16"/>
  <c r="J591" i="16" s="1"/>
  <c r="G591" i="16"/>
  <c r="M590" i="16"/>
  <c r="O590" i="16" s="1"/>
  <c r="K590" i="16"/>
  <c r="H590" i="16"/>
  <c r="J590" i="16" s="1"/>
  <c r="G590" i="16"/>
  <c r="M589" i="16"/>
  <c r="O589" i="16" s="1"/>
  <c r="K589" i="16"/>
  <c r="H589" i="16"/>
  <c r="J589" i="16" s="1"/>
  <c r="G589" i="16"/>
  <c r="M588" i="16"/>
  <c r="O588" i="16" s="1"/>
  <c r="K588" i="16"/>
  <c r="H588" i="16"/>
  <c r="J588" i="16" s="1"/>
  <c r="G588" i="16"/>
  <c r="M587" i="16"/>
  <c r="O587" i="16" s="1"/>
  <c r="K587" i="16"/>
  <c r="H587" i="16"/>
  <c r="J587" i="16" s="1"/>
  <c r="G587" i="16"/>
  <c r="M586" i="16"/>
  <c r="O586" i="16" s="1"/>
  <c r="K586" i="16"/>
  <c r="H586" i="16"/>
  <c r="J586" i="16" s="1"/>
  <c r="G586" i="16"/>
  <c r="M585" i="16"/>
  <c r="O585" i="16" s="1"/>
  <c r="K585" i="16"/>
  <c r="H585" i="16"/>
  <c r="J585" i="16" s="1"/>
  <c r="G585" i="16"/>
  <c r="M593" i="16"/>
  <c r="O593" i="16" s="1"/>
  <c r="K593" i="16"/>
  <c r="H593" i="16"/>
  <c r="J593" i="16" s="1"/>
  <c r="G593" i="16"/>
  <c r="M584" i="16"/>
  <c r="O584" i="16" s="1"/>
  <c r="K584" i="16"/>
  <c r="H584" i="16"/>
  <c r="J584" i="16" s="1"/>
  <c r="G584" i="16"/>
  <c r="M612" i="16"/>
  <c r="O612" i="16" s="1"/>
  <c r="K612" i="16"/>
  <c r="H612" i="16"/>
  <c r="J612" i="16" s="1"/>
  <c r="G612" i="16"/>
  <c r="M610" i="16"/>
  <c r="O610" i="16" s="1"/>
  <c r="K610" i="16"/>
  <c r="H610" i="16"/>
  <c r="J610" i="16" s="1"/>
  <c r="G610" i="16"/>
  <c r="M609" i="16"/>
  <c r="O609" i="16" s="1"/>
  <c r="K609" i="16"/>
  <c r="H609" i="16"/>
  <c r="J609" i="16" s="1"/>
  <c r="G609" i="16"/>
  <c r="M608" i="16"/>
  <c r="O608" i="16" s="1"/>
  <c r="K608" i="16"/>
  <c r="H608" i="16"/>
  <c r="J608" i="16" s="1"/>
  <c r="G608" i="16"/>
  <c r="M582" i="16"/>
  <c r="O582" i="16" s="1"/>
  <c r="K582" i="16"/>
  <c r="H582" i="16"/>
  <c r="J582" i="16" s="1"/>
  <c r="G582" i="16"/>
  <c r="M579" i="16"/>
  <c r="O579" i="16" s="1"/>
  <c r="K579" i="16"/>
  <c r="H579" i="16"/>
  <c r="J579" i="16" s="1"/>
  <c r="G579" i="16"/>
  <c r="M583" i="16"/>
  <c r="O583" i="16" s="1"/>
  <c r="K583" i="16"/>
  <c r="H583" i="16"/>
  <c r="J583" i="16" s="1"/>
  <c r="G583" i="16"/>
  <c r="M578" i="16"/>
  <c r="O578" i="16" s="1"/>
  <c r="K578" i="16"/>
  <c r="H578" i="16"/>
  <c r="J578" i="16" s="1"/>
  <c r="G578" i="16"/>
  <c r="M611" i="16"/>
  <c r="O611" i="16" s="1"/>
  <c r="K611" i="16"/>
  <c r="H611" i="16"/>
  <c r="J611" i="16" s="1"/>
  <c r="G611" i="16"/>
  <c r="M577" i="16"/>
  <c r="O577" i="16" s="1"/>
  <c r="K577" i="16"/>
  <c r="H577" i="16"/>
  <c r="J577" i="16" s="1"/>
  <c r="G577" i="16"/>
  <c r="M576" i="16"/>
  <c r="O576" i="16" s="1"/>
  <c r="K576" i="16"/>
  <c r="H576" i="16"/>
  <c r="J576" i="16" s="1"/>
  <c r="G576" i="16"/>
  <c r="M580" i="16"/>
  <c r="O580" i="16" s="1"/>
  <c r="K580" i="16"/>
  <c r="H580" i="16"/>
  <c r="J580" i="16" s="1"/>
  <c r="G580" i="16"/>
  <c r="M581" i="16"/>
  <c r="O581" i="16" s="1"/>
  <c r="K581" i="16"/>
  <c r="H581" i="16"/>
  <c r="J581" i="16" s="1"/>
  <c r="G581" i="16"/>
  <c r="M574" i="16"/>
  <c r="O574" i="16" s="1"/>
  <c r="K574" i="16"/>
  <c r="H574" i="16"/>
  <c r="J574" i="16" s="1"/>
  <c r="G574" i="16"/>
  <c r="M560" i="16"/>
  <c r="O560" i="16" s="1"/>
  <c r="K560" i="16"/>
  <c r="H560" i="16"/>
  <c r="J560" i="16" s="1"/>
  <c r="G560" i="16"/>
  <c r="M575" i="16"/>
  <c r="O575" i="16" s="1"/>
  <c r="K575" i="16"/>
  <c r="H575" i="16"/>
  <c r="J575" i="16" s="1"/>
  <c r="G575" i="16"/>
  <c r="M573" i="16"/>
  <c r="O573" i="16" s="1"/>
  <c r="K573" i="16"/>
  <c r="H573" i="16"/>
  <c r="J573" i="16" s="1"/>
  <c r="G573" i="16"/>
  <c r="M572" i="16"/>
  <c r="O572" i="16" s="1"/>
  <c r="K572" i="16"/>
  <c r="H572" i="16"/>
  <c r="J572" i="16" s="1"/>
  <c r="G572" i="16"/>
  <c r="M571" i="16"/>
  <c r="O571" i="16" s="1"/>
  <c r="K571" i="16"/>
  <c r="H571" i="16"/>
  <c r="J571" i="16" s="1"/>
  <c r="G571" i="16"/>
  <c r="M570" i="16"/>
  <c r="O570" i="16" s="1"/>
  <c r="K570" i="16"/>
  <c r="H570" i="16"/>
  <c r="J570" i="16" s="1"/>
  <c r="G570" i="16"/>
  <c r="M569" i="16"/>
  <c r="O569" i="16" s="1"/>
  <c r="K569" i="16"/>
  <c r="H569" i="16"/>
  <c r="J569" i="16" s="1"/>
  <c r="G569" i="16"/>
  <c r="M568" i="16"/>
  <c r="O568" i="16" s="1"/>
  <c r="K568" i="16"/>
  <c r="H568" i="16"/>
  <c r="J568" i="16" s="1"/>
  <c r="G568" i="16"/>
  <c r="M567" i="16"/>
  <c r="O567" i="16" s="1"/>
  <c r="K567" i="16"/>
  <c r="H567" i="16"/>
  <c r="J567" i="16" s="1"/>
  <c r="G567" i="16"/>
  <c r="M566" i="16"/>
  <c r="O566" i="16" s="1"/>
  <c r="K566" i="16"/>
  <c r="H566" i="16"/>
  <c r="J566" i="16" s="1"/>
  <c r="G566" i="16"/>
  <c r="M565" i="16"/>
  <c r="O565" i="16" s="1"/>
  <c r="K565" i="16"/>
  <c r="H565" i="16"/>
  <c r="J565" i="16" s="1"/>
  <c r="G565" i="16"/>
  <c r="M564" i="16"/>
  <c r="O564" i="16" s="1"/>
  <c r="K564" i="16"/>
  <c r="H564" i="16"/>
  <c r="J564" i="16" s="1"/>
  <c r="G564" i="16"/>
  <c r="M563" i="16"/>
  <c r="O563" i="16" s="1"/>
  <c r="K563" i="16"/>
  <c r="H563" i="16"/>
  <c r="J563" i="16" s="1"/>
  <c r="G563" i="16"/>
  <c r="M562" i="16"/>
  <c r="O562" i="16" s="1"/>
  <c r="K562" i="16"/>
  <c r="H562" i="16"/>
  <c r="J562" i="16" s="1"/>
  <c r="G562" i="16"/>
  <c r="M561" i="16"/>
  <c r="O561" i="16" s="1"/>
  <c r="K561" i="16"/>
  <c r="H561" i="16"/>
  <c r="J561" i="16" s="1"/>
  <c r="G561" i="16"/>
  <c r="M559" i="16"/>
  <c r="O559" i="16" s="1"/>
  <c r="K559" i="16"/>
  <c r="H559" i="16"/>
  <c r="J559" i="16" s="1"/>
  <c r="G559" i="16"/>
  <c r="M558" i="16"/>
  <c r="O558" i="16" s="1"/>
  <c r="K558" i="16"/>
  <c r="H558" i="16"/>
  <c r="J558" i="16" s="1"/>
  <c r="G558" i="16"/>
  <c r="M557" i="16"/>
  <c r="O557" i="16" s="1"/>
  <c r="K557" i="16"/>
  <c r="H557" i="16"/>
  <c r="J557" i="16" s="1"/>
  <c r="G557" i="16"/>
  <c r="M556" i="16"/>
  <c r="O556" i="16" s="1"/>
  <c r="K556" i="16"/>
  <c r="H556" i="16"/>
  <c r="J556" i="16" s="1"/>
  <c r="G556" i="16"/>
  <c r="M555" i="16"/>
  <c r="O555" i="16" s="1"/>
  <c r="K555" i="16"/>
  <c r="H555" i="16"/>
  <c r="J555" i="16" s="1"/>
  <c r="G555" i="16"/>
  <c r="M554" i="16"/>
  <c r="O554" i="16" s="1"/>
  <c r="K554" i="16"/>
  <c r="H554" i="16"/>
  <c r="J554" i="16" s="1"/>
  <c r="G554" i="16"/>
  <c r="M553" i="16"/>
  <c r="O553" i="16" s="1"/>
  <c r="K553" i="16"/>
  <c r="H553" i="16"/>
  <c r="J553" i="16" s="1"/>
  <c r="G553" i="16"/>
  <c r="M552" i="16"/>
  <c r="O552" i="16" s="1"/>
  <c r="K552" i="16"/>
  <c r="H552" i="16"/>
  <c r="J552" i="16" s="1"/>
  <c r="G552" i="16"/>
  <c r="M551" i="16"/>
  <c r="O551" i="16" s="1"/>
  <c r="K551" i="16"/>
  <c r="H551" i="16"/>
  <c r="J551" i="16" s="1"/>
  <c r="G551" i="16"/>
  <c r="M550" i="16"/>
  <c r="O550" i="16" s="1"/>
  <c r="K550" i="16"/>
  <c r="H550" i="16"/>
  <c r="J550" i="16" s="1"/>
  <c r="G550" i="16"/>
  <c r="M549" i="16"/>
  <c r="O549" i="16" s="1"/>
  <c r="K549" i="16"/>
  <c r="H549" i="16"/>
  <c r="J549" i="16" s="1"/>
  <c r="G549" i="16"/>
  <c r="M548" i="16"/>
  <c r="O548" i="16" s="1"/>
  <c r="K548" i="16"/>
  <c r="H548" i="16"/>
  <c r="J548" i="16" s="1"/>
  <c r="G548" i="16"/>
  <c r="M547" i="16"/>
  <c r="O547" i="16" s="1"/>
  <c r="K547" i="16"/>
  <c r="H547" i="16"/>
  <c r="J547" i="16" s="1"/>
  <c r="G547" i="16"/>
  <c r="M546" i="16"/>
  <c r="O546" i="16" s="1"/>
  <c r="K546" i="16"/>
  <c r="H546" i="16"/>
  <c r="J546" i="16" s="1"/>
  <c r="G546" i="16"/>
  <c r="M545" i="16"/>
  <c r="O545" i="16" s="1"/>
  <c r="K545" i="16"/>
  <c r="H545" i="16"/>
  <c r="J545" i="16" s="1"/>
  <c r="G545" i="16"/>
  <c r="M544" i="16"/>
  <c r="O544" i="16" s="1"/>
  <c r="K544" i="16"/>
  <c r="H544" i="16"/>
  <c r="J544" i="16" s="1"/>
  <c r="G544" i="16"/>
  <c r="M543" i="16"/>
  <c r="O543" i="16" s="1"/>
  <c r="K543" i="16"/>
  <c r="H543" i="16"/>
  <c r="J543" i="16" s="1"/>
  <c r="G543" i="16"/>
  <c r="M542" i="16"/>
  <c r="O542" i="16" s="1"/>
  <c r="K542" i="16"/>
  <c r="H542" i="16"/>
  <c r="J542" i="16" s="1"/>
  <c r="G542" i="16"/>
  <c r="M541" i="16"/>
  <c r="O541" i="16" s="1"/>
  <c r="K541" i="16"/>
  <c r="H541" i="16"/>
  <c r="J541" i="16" s="1"/>
  <c r="G541" i="16"/>
  <c r="M540" i="16"/>
  <c r="O540" i="16" s="1"/>
  <c r="K540" i="16"/>
  <c r="H540" i="16"/>
  <c r="J540" i="16" s="1"/>
  <c r="G540" i="16"/>
  <c r="M539" i="16"/>
  <c r="O539" i="16" s="1"/>
  <c r="K539" i="16"/>
  <c r="H539" i="16"/>
  <c r="J539" i="16" s="1"/>
  <c r="G539" i="16"/>
  <c r="M538" i="16"/>
  <c r="O538" i="16" s="1"/>
  <c r="K538" i="16"/>
  <c r="H538" i="16"/>
  <c r="J538" i="16" s="1"/>
  <c r="G538" i="16"/>
  <c r="M537" i="16"/>
  <c r="O537" i="16" s="1"/>
  <c r="K537" i="16"/>
  <c r="H537" i="16"/>
  <c r="J537" i="16" s="1"/>
  <c r="G537" i="16"/>
  <c r="M536" i="16"/>
  <c r="O536" i="16" s="1"/>
  <c r="K536" i="16"/>
  <c r="H536" i="16"/>
  <c r="J536" i="16" s="1"/>
  <c r="G536" i="16"/>
  <c r="M535" i="16"/>
  <c r="O535" i="16" s="1"/>
  <c r="K535" i="16"/>
  <c r="H535" i="16"/>
  <c r="J535" i="16" s="1"/>
  <c r="G535" i="16"/>
  <c r="M534" i="16"/>
  <c r="O534" i="16" s="1"/>
  <c r="K534" i="16"/>
  <c r="H534" i="16"/>
  <c r="J534" i="16" s="1"/>
  <c r="G534" i="16"/>
  <c r="M533" i="16"/>
  <c r="O533" i="16" s="1"/>
  <c r="K533" i="16"/>
  <c r="H533" i="16"/>
  <c r="J533" i="16" s="1"/>
  <c r="G533" i="16"/>
  <c r="M532" i="16"/>
  <c r="O532" i="16" s="1"/>
  <c r="K532" i="16"/>
  <c r="H532" i="16"/>
  <c r="J532" i="16" s="1"/>
  <c r="G532" i="16"/>
  <c r="M531" i="16"/>
  <c r="O531" i="16" s="1"/>
  <c r="K531" i="16"/>
  <c r="H531" i="16"/>
  <c r="J531" i="16" s="1"/>
  <c r="G531" i="16"/>
  <c r="M530" i="16"/>
  <c r="O530" i="16" s="1"/>
  <c r="K530" i="16"/>
  <c r="H530" i="16"/>
  <c r="J530" i="16" s="1"/>
  <c r="G530" i="16"/>
  <c r="M529" i="16"/>
  <c r="O529" i="16" s="1"/>
  <c r="K529" i="16"/>
  <c r="H529" i="16"/>
  <c r="J529" i="16" s="1"/>
  <c r="G529" i="16"/>
  <c r="M528" i="16"/>
  <c r="O528" i="16" s="1"/>
  <c r="K528" i="16"/>
  <c r="H528" i="16"/>
  <c r="J528" i="16" s="1"/>
  <c r="G528" i="16"/>
  <c r="M527" i="16"/>
  <c r="O527" i="16" s="1"/>
  <c r="K527" i="16"/>
  <c r="H527" i="16"/>
  <c r="J527" i="16" s="1"/>
  <c r="G527" i="16"/>
  <c r="M526" i="16"/>
  <c r="O526" i="16" s="1"/>
  <c r="K526" i="16"/>
  <c r="H526" i="16"/>
  <c r="J526" i="16" s="1"/>
  <c r="G526" i="16"/>
  <c r="M525" i="16"/>
  <c r="O525" i="16" s="1"/>
  <c r="K525" i="16"/>
  <c r="H525" i="16"/>
  <c r="J525" i="16" s="1"/>
  <c r="G525" i="16"/>
  <c r="M524" i="16"/>
  <c r="O524" i="16" s="1"/>
  <c r="K524" i="16"/>
  <c r="H524" i="16"/>
  <c r="J524" i="16" s="1"/>
  <c r="G524" i="16"/>
  <c r="M523" i="16"/>
  <c r="O523" i="16" s="1"/>
  <c r="K523" i="16"/>
  <c r="H523" i="16"/>
  <c r="J523" i="16" s="1"/>
  <c r="G523" i="16"/>
  <c r="M512" i="16"/>
  <c r="O512" i="16" s="1"/>
  <c r="K512" i="16"/>
  <c r="H512" i="16"/>
  <c r="J512" i="16" s="1"/>
  <c r="G512" i="16"/>
  <c r="M511" i="16"/>
  <c r="O511" i="16" s="1"/>
  <c r="K511" i="16"/>
  <c r="H511" i="16"/>
  <c r="J511" i="16" s="1"/>
  <c r="G511" i="16"/>
  <c r="M510" i="16"/>
  <c r="O510" i="16" s="1"/>
  <c r="K510" i="16"/>
  <c r="H510" i="16"/>
  <c r="J510" i="16" s="1"/>
  <c r="G510" i="16"/>
  <c r="M509" i="16"/>
  <c r="O509" i="16" s="1"/>
  <c r="K509" i="16"/>
  <c r="H509" i="16"/>
  <c r="J509" i="16" s="1"/>
  <c r="G509" i="16"/>
  <c r="M508" i="16"/>
  <c r="O508" i="16" s="1"/>
  <c r="K508" i="16"/>
  <c r="H508" i="16"/>
  <c r="J508" i="16" s="1"/>
  <c r="G508" i="16"/>
  <c r="M507" i="16"/>
  <c r="O507" i="16" s="1"/>
  <c r="K507" i="16"/>
  <c r="H507" i="16"/>
  <c r="J507" i="16" s="1"/>
  <c r="G507" i="16"/>
  <c r="M506" i="16"/>
  <c r="O506" i="16" s="1"/>
  <c r="K506" i="16"/>
  <c r="H506" i="16"/>
  <c r="J506" i="16" s="1"/>
  <c r="G506" i="16"/>
  <c r="M513" i="16"/>
  <c r="O513" i="16" s="1"/>
  <c r="K513" i="16"/>
  <c r="H513" i="16"/>
  <c r="J513" i="16" s="1"/>
  <c r="G513" i="16"/>
  <c r="M505" i="16"/>
  <c r="O505" i="16" s="1"/>
  <c r="K505" i="16"/>
  <c r="H505" i="16"/>
  <c r="J505" i="16" s="1"/>
  <c r="G505" i="16"/>
  <c r="M504" i="16"/>
  <c r="O504" i="16" s="1"/>
  <c r="K504" i="16"/>
  <c r="H504" i="16"/>
  <c r="J504" i="16" s="1"/>
  <c r="G504" i="16"/>
  <c r="M503" i="16"/>
  <c r="O503" i="16" s="1"/>
  <c r="K503" i="16"/>
  <c r="H503" i="16"/>
  <c r="J503" i="16" s="1"/>
  <c r="G503" i="16"/>
  <c r="M502" i="16"/>
  <c r="O502" i="16" s="1"/>
  <c r="K502" i="16"/>
  <c r="H502" i="16"/>
  <c r="J502" i="16" s="1"/>
  <c r="G502" i="16"/>
  <c r="M501" i="16"/>
  <c r="O501" i="16" s="1"/>
  <c r="K501" i="16"/>
  <c r="H501" i="16"/>
  <c r="J501" i="16" s="1"/>
  <c r="G501" i="16"/>
  <c r="M500" i="16"/>
  <c r="O500" i="16" s="1"/>
  <c r="K500" i="16"/>
  <c r="H500" i="16"/>
  <c r="J500" i="16" s="1"/>
  <c r="G500" i="16"/>
  <c r="M499" i="16"/>
  <c r="O499" i="16" s="1"/>
  <c r="K499" i="16"/>
  <c r="H499" i="16"/>
  <c r="J499" i="16" s="1"/>
  <c r="G499" i="16"/>
  <c r="M521" i="16"/>
  <c r="O521" i="16" s="1"/>
  <c r="K521" i="16"/>
  <c r="H521" i="16"/>
  <c r="J521" i="16" s="1"/>
  <c r="G521" i="16"/>
  <c r="M522" i="16"/>
  <c r="O522" i="16" s="1"/>
  <c r="K522" i="16"/>
  <c r="H522" i="16"/>
  <c r="J522" i="16" s="1"/>
  <c r="G522" i="16"/>
  <c r="M520" i="16"/>
  <c r="O520" i="16" s="1"/>
  <c r="K520" i="16"/>
  <c r="H520" i="16"/>
  <c r="J520" i="16" s="1"/>
  <c r="G520" i="16"/>
  <c r="M519" i="16"/>
  <c r="O519" i="16" s="1"/>
  <c r="K519" i="16"/>
  <c r="H519" i="16"/>
  <c r="J519" i="16" s="1"/>
  <c r="G519" i="16"/>
  <c r="M518" i="16"/>
  <c r="O518" i="16" s="1"/>
  <c r="K518" i="16"/>
  <c r="H518" i="16"/>
  <c r="J518" i="16" s="1"/>
  <c r="G518" i="16"/>
  <c r="M517" i="16"/>
  <c r="O517" i="16" s="1"/>
  <c r="K517" i="16"/>
  <c r="H517" i="16"/>
  <c r="J517" i="16" s="1"/>
  <c r="G517" i="16"/>
  <c r="M516" i="16"/>
  <c r="O516" i="16" s="1"/>
  <c r="K516" i="16"/>
  <c r="H516" i="16"/>
  <c r="J516" i="16" s="1"/>
  <c r="G516" i="16"/>
  <c r="M515" i="16"/>
  <c r="O515" i="16" s="1"/>
  <c r="K515" i="16"/>
  <c r="H515" i="16"/>
  <c r="J515" i="16" s="1"/>
  <c r="G515" i="16"/>
  <c r="M514" i="16"/>
  <c r="O514" i="16" s="1"/>
  <c r="K514" i="16"/>
  <c r="H514" i="16"/>
  <c r="J514" i="16" s="1"/>
  <c r="G514" i="16"/>
  <c r="M495" i="16"/>
  <c r="O495" i="16" s="1"/>
  <c r="K495" i="16"/>
  <c r="H495" i="16"/>
  <c r="J495" i="16" s="1"/>
  <c r="G495" i="16"/>
  <c r="M494" i="16"/>
  <c r="O494" i="16" s="1"/>
  <c r="K494" i="16"/>
  <c r="H494" i="16"/>
  <c r="J494" i="16" s="1"/>
  <c r="G494" i="16"/>
  <c r="M493" i="16"/>
  <c r="O493" i="16" s="1"/>
  <c r="K493" i="16"/>
  <c r="H493" i="16"/>
  <c r="J493" i="16" s="1"/>
  <c r="G493" i="16"/>
  <c r="M496" i="16"/>
  <c r="O496" i="16" s="1"/>
  <c r="K496" i="16"/>
  <c r="H496" i="16"/>
  <c r="J496" i="16" s="1"/>
  <c r="G496" i="16"/>
  <c r="M492" i="16"/>
  <c r="O492" i="16" s="1"/>
  <c r="K492" i="16"/>
  <c r="H492" i="16"/>
  <c r="J492" i="16" s="1"/>
  <c r="G492" i="16"/>
  <c r="M490" i="16"/>
  <c r="O490" i="16" s="1"/>
  <c r="K490" i="16"/>
  <c r="H490" i="16"/>
  <c r="J490" i="16" s="1"/>
  <c r="G490" i="16"/>
  <c r="M489" i="16"/>
  <c r="O489" i="16" s="1"/>
  <c r="K489" i="16"/>
  <c r="H489" i="16"/>
  <c r="J489" i="16" s="1"/>
  <c r="G489" i="16"/>
  <c r="M488" i="16"/>
  <c r="O488" i="16" s="1"/>
  <c r="K488" i="16"/>
  <c r="H488" i="16"/>
  <c r="J488" i="16" s="1"/>
  <c r="G488" i="16"/>
  <c r="M487" i="16"/>
  <c r="O487" i="16" s="1"/>
  <c r="K487" i="16"/>
  <c r="H487" i="16"/>
  <c r="J487" i="16" s="1"/>
  <c r="G487" i="16"/>
  <c r="M486" i="16"/>
  <c r="O486" i="16" s="1"/>
  <c r="K486" i="16"/>
  <c r="H486" i="16"/>
  <c r="J486" i="16" s="1"/>
  <c r="G486" i="16"/>
  <c r="M485" i="16"/>
  <c r="O485" i="16" s="1"/>
  <c r="K485" i="16"/>
  <c r="H485" i="16"/>
  <c r="J485" i="16" s="1"/>
  <c r="G485" i="16"/>
  <c r="M484" i="16"/>
  <c r="O484" i="16" s="1"/>
  <c r="K484" i="16"/>
  <c r="H484" i="16"/>
  <c r="J484" i="16" s="1"/>
  <c r="G484" i="16"/>
  <c r="M491" i="16"/>
  <c r="O491" i="16" s="1"/>
  <c r="K491" i="16"/>
  <c r="H491" i="16"/>
  <c r="J491" i="16" s="1"/>
  <c r="G491" i="16"/>
  <c r="M483" i="16"/>
  <c r="O483" i="16" s="1"/>
  <c r="K483" i="16"/>
  <c r="H483" i="16"/>
  <c r="J483" i="16" s="1"/>
  <c r="G483" i="16"/>
  <c r="M481" i="16"/>
  <c r="O481" i="16" s="1"/>
  <c r="K481" i="16"/>
  <c r="H481" i="16"/>
  <c r="J481" i="16" s="1"/>
  <c r="G481" i="16"/>
  <c r="M478" i="16"/>
  <c r="O478" i="16" s="1"/>
  <c r="K478" i="16"/>
  <c r="H478" i="16"/>
  <c r="J478" i="16" s="1"/>
  <c r="G478" i="16"/>
  <c r="M477" i="16"/>
  <c r="O477" i="16" s="1"/>
  <c r="K477" i="16"/>
  <c r="H477" i="16"/>
  <c r="J477" i="16" s="1"/>
  <c r="G477" i="16"/>
  <c r="M476" i="16"/>
  <c r="O476" i="16" s="1"/>
  <c r="K476" i="16"/>
  <c r="H476" i="16"/>
  <c r="J476" i="16" s="1"/>
  <c r="G476" i="16"/>
  <c r="M475" i="16"/>
  <c r="O475" i="16" s="1"/>
  <c r="K475" i="16"/>
  <c r="H475" i="16"/>
  <c r="J475" i="16" s="1"/>
  <c r="G475" i="16"/>
  <c r="M474" i="16"/>
  <c r="O474" i="16" s="1"/>
  <c r="K474" i="16"/>
  <c r="H474" i="16"/>
  <c r="J474" i="16" s="1"/>
  <c r="G474" i="16"/>
  <c r="M473" i="16"/>
  <c r="O473" i="16" s="1"/>
  <c r="K473" i="16"/>
  <c r="H473" i="16"/>
  <c r="J473" i="16" s="1"/>
  <c r="G473" i="16"/>
  <c r="M472" i="16"/>
  <c r="O472" i="16" s="1"/>
  <c r="K472" i="16"/>
  <c r="H472" i="16"/>
  <c r="J472" i="16" s="1"/>
  <c r="G472" i="16"/>
  <c r="M471" i="16"/>
  <c r="O471" i="16" s="1"/>
  <c r="K471" i="16"/>
  <c r="H471" i="16"/>
  <c r="J471" i="16" s="1"/>
  <c r="G471" i="16"/>
  <c r="M470" i="16"/>
  <c r="O470" i="16" s="1"/>
  <c r="K470" i="16"/>
  <c r="H470" i="16"/>
  <c r="J470" i="16" s="1"/>
  <c r="G470" i="16"/>
  <c r="M479" i="16"/>
  <c r="O479" i="16" s="1"/>
  <c r="K479" i="16"/>
  <c r="H479" i="16"/>
  <c r="J479" i="16" s="1"/>
  <c r="G479" i="16"/>
  <c r="M469" i="16"/>
  <c r="O469" i="16" s="1"/>
  <c r="K469" i="16"/>
  <c r="H469" i="16"/>
  <c r="J469" i="16" s="1"/>
  <c r="G469" i="16"/>
  <c r="M465" i="16"/>
  <c r="O465" i="16" s="1"/>
  <c r="K465" i="16"/>
  <c r="H465" i="16"/>
  <c r="J465" i="16" s="1"/>
  <c r="G465" i="16"/>
  <c r="M464" i="16"/>
  <c r="O464" i="16" s="1"/>
  <c r="K464" i="16"/>
  <c r="H464" i="16"/>
  <c r="J464" i="16" s="1"/>
  <c r="G464" i="16"/>
  <c r="M463" i="16"/>
  <c r="O463" i="16" s="1"/>
  <c r="K463" i="16"/>
  <c r="H463" i="16"/>
  <c r="J463" i="16" s="1"/>
  <c r="G463" i="16"/>
  <c r="M462" i="16"/>
  <c r="O462" i="16" s="1"/>
  <c r="K462" i="16"/>
  <c r="H462" i="16"/>
  <c r="J462" i="16" s="1"/>
  <c r="G462" i="16"/>
  <c r="M461" i="16"/>
  <c r="O461" i="16" s="1"/>
  <c r="K461" i="16"/>
  <c r="H461" i="16"/>
  <c r="J461" i="16" s="1"/>
  <c r="G461" i="16"/>
  <c r="M460" i="16"/>
  <c r="O460" i="16" s="1"/>
  <c r="K460" i="16"/>
  <c r="H460" i="16"/>
  <c r="J460" i="16" s="1"/>
  <c r="G460" i="16"/>
  <c r="M459" i="16"/>
  <c r="O459" i="16" s="1"/>
  <c r="K459" i="16"/>
  <c r="H459" i="16"/>
  <c r="J459" i="16" s="1"/>
  <c r="G459" i="16"/>
  <c r="M468" i="16"/>
  <c r="O468" i="16" s="1"/>
  <c r="K468" i="16"/>
  <c r="H468" i="16"/>
  <c r="J468" i="16" s="1"/>
  <c r="G468" i="16"/>
  <c r="M467" i="16"/>
  <c r="O467" i="16" s="1"/>
  <c r="K467" i="16"/>
  <c r="H467" i="16"/>
  <c r="J467" i="16" s="1"/>
  <c r="G467" i="16"/>
  <c r="M466" i="16"/>
  <c r="O466" i="16" s="1"/>
  <c r="K466" i="16"/>
  <c r="H466" i="16"/>
  <c r="J466" i="16" s="1"/>
  <c r="G466" i="16"/>
  <c r="M458" i="16"/>
  <c r="O458" i="16" s="1"/>
  <c r="K458" i="16"/>
  <c r="H458" i="16"/>
  <c r="J458" i="16" s="1"/>
  <c r="G458" i="16"/>
  <c r="M457" i="16"/>
  <c r="O457" i="16" s="1"/>
  <c r="K457" i="16"/>
  <c r="H457" i="16"/>
  <c r="J457" i="16" s="1"/>
  <c r="G457" i="16"/>
  <c r="M456" i="16"/>
  <c r="O456" i="16" s="1"/>
  <c r="K456" i="16"/>
  <c r="H456" i="16"/>
  <c r="J456" i="16" s="1"/>
  <c r="G456" i="16"/>
  <c r="M455" i="16"/>
  <c r="O455" i="16" s="1"/>
  <c r="K455" i="16"/>
  <c r="H455" i="16"/>
  <c r="J455" i="16" s="1"/>
  <c r="G455" i="16"/>
  <c r="M454" i="16"/>
  <c r="O454" i="16" s="1"/>
  <c r="K454" i="16"/>
  <c r="H454" i="16"/>
  <c r="J454" i="16" s="1"/>
  <c r="G454" i="16"/>
  <c r="M453" i="16"/>
  <c r="O453" i="16" s="1"/>
  <c r="K453" i="16"/>
  <c r="H453" i="16"/>
  <c r="J453" i="16" s="1"/>
  <c r="G453" i="16"/>
  <c r="M452" i="16"/>
  <c r="O452" i="16" s="1"/>
  <c r="K452" i="16"/>
  <c r="H452" i="16"/>
  <c r="J452" i="16" s="1"/>
  <c r="G452" i="16"/>
  <c r="M451" i="16"/>
  <c r="O451" i="16" s="1"/>
  <c r="K451" i="16"/>
  <c r="H451" i="16"/>
  <c r="J451" i="16" s="1"/>
  <c r="G451" i="16"/>
  <c r="M450" i="16"/>
  <c r="O450" i="16" s="1"/>
  <c r="K450" i="16"/>
  <c r="H450" i="16"/>
  <c r="J450" i="16" s="1"/>
  <c r="G450" i="16"/>
  <c r="M449" i="16"/>
  <c r="O449" i="16" s="1"/>
  <c r="K449" i="16"/>
  <c r="H449" i="16"/>
  <c r="J449" i="16" s="1"/>
  <c r="G449" i="16"/>
  <c r="M448" i="16"/>
  <c r="O448" i="16" s="1"/>
  <c r="K448" i="16"/>
  <c r="H448" i="16"/>
  <c r="J448" i="16" s="1"/>
  <c r="G448" i="16"/>
  <c r="M447" i="16"/>
  <c r="O447" i="16" s="1"/>
  <c r="K447" i="16"/>
  <c r="H447" i="16"/>
  <c r="J447" i="16" s="1"/>
  <c r="G447" i="16"/>
  <c r="M446" i="16"/>
  <c r="O446" i="16" s="1"/>
  <c r="K446" i="16"/>
  <c r="H446" i="16"/>
  <c r="J446" i="16" s="1"/>
  <c r="G446" i="16"/>
  <c r="M445" i="16"/>
  <c r="O445" i="16" s="1"/>
  <c r="K445" i="16"/>
  <c r="H445" i="16"/>
  <c r="J445" i="16" s="1"/>
  <c r="G445" i="16"/>
  <c r="M444" i="16"/>
  <c r="O444" i="16" s="1"/>
  <c r="K444" i="16"/>
  <c r="H444" i="16"/>
  <c r="J444" i="16" s="1"/>
  <c r="G444" i="16"/>
  <c r="M443" i="16"/>
  <c r="O443" i="16" s="1"/>
  <c r="K443" i="16"/>
  <c r="H443" i="16"/>
  <c r="J443" i="16" s="1"/>
  <c r="G443" i="16"/>
  <c r="M442" i="16"/>
  <c r="O442" i="16" s="1"/>
  <c r="K442" i="16"/>
  <c r="H442" i="16"/>
  <c r="J442" i="16" s="1"/>
  <c r="G442" i="16"/>
  <c r="M441" i="16"/>
  <c r="O441" i="16" s="1"/>
  <c r="K441" i="16"/>
  <c r="H441" i="16"/>
  <c r="J441" i="16" s="1"/>
  <c r="G441" i="16"/>
  <c r="M440" i="16"/>
  <c r="O440" i="16" s="1"/>
  <c r="K440" i="16"/>
  <c r="H440" i="16"/>
  <c r="J440" i="16" s="1"/>
  <c r="G440" i="16"/>
  <c r="M439" i="16"/>
  <c r="O439" i="16" s="1"/>
  <c r="K439" i="16"/>
  <c r="H439" i="16"/>
  <c r="J439" i="16" s="1"/>
  <c r="G439" i="16"/>
  <c r="M438" i="16"/>
  <c r="O438" i="16" s="1"/>
  <c r="K438" i="16"/>
  <c r="H438" i="16"/>
  <c r="J438" i="16" s="1"/>
  <c r="G438" i="16"/>
  <c r="M437" i="16"/>
  <c r="O437" i="16" s="1"/>
  <c r="K437" i="16"/>
  <c r="H437" i="16"/>
  <c r="J437" i="16" s="1"/>
  <c r="G437" i="16"/>
  <c r="M436" i="16"/>
  <c r="O436" i="16" s="1"/>
  <c r="K436" i="16"/>
  <c r="H436" i="16"/>
  <c r="J436" i="16" s="1"/>
  <c r="G436" i="16"/>
  <c r="M414" i="16"/>
  <c r="O414" i="16" s="1"/>
  <c r="K414" i="16"/>
  <c r="H414" i="16"/>
  <c r="J414" i="16" s="1"/>
  <c r="G414" i="16"/>
  <c r="M413" i="16"/>
  <c r="O413" i="16" s="1"/>
  <c r="K413" i="16"/>
  <c r="H413" i="16"/>
  <c r="J413" i="16" s="1"/>
  <c r="G413" i="16"/>
  <c r="M412" i="16"/>
  <c r="O412" i="16" s="1"/>
  <c r="K412" i="16"/>
  <c r="H412" i="16"/>
  <c r="J412" i="16" s="1"/>
  <c r="G412" i="16"/>
  <c r="M427" i="16"/>
  <c r="O427" i="16" s="1"/>
  <c r="K427" i="16"/>
  <c r="H427" i="16"/>
  <c r="J427" i="16" s="1"/>
  <c r="G427" i="16"/>
  <c r="M426" i="16"/>
  <c r="O426" i="16" s="1"/>
  <c r="K426" i="16"/>
  <c r="H426" i="16"/>
  <c r="J426" i="16" s="1"/>
  <c r="G426" i="16"/>
  <c r="M425" i="16"/>
  <c r="O425" i="16" s="1"/>
  <c r="K425" i="16"/>
  <c r="H425" i="16"/>
  <c r="J425" i="16" s="1"/>
  <c r="G425" i="16"/>
  <c r="M416" i="16"/>
  <c r="O416" i="16" s="1"/>
  <c r="K416" i="16"/>
  <c r="H416" i="16"/>
  <c r="J416" i="16" s="1"/>
  <c r="G416" i="16"/>
  <c r="M415" i="16"/>
  <c r="O415" i="16" s="1"/>
  <c r="K415" i="16"/>
  <c r="H415" i="16"/>
  <c r="J415" i="16" s="1"/>
  <c r="G415" i="16"/>
  <c r="M227" i="16"/>
  <c r="O227" i="16" s="1"/>
  <c r="K227" i="16"/>
  <c r="H227" i="16"/>
  <c r="J227" i="16" s="1"/>
  <c r="G227" i="16"/>
  <c r="M424" i="16"/>
  <c r="O424" i="16" s="1"/>
  <c r="K424" i="16"/>
  <c r="H424" i="16"/>
  <c r="J424" i="16" s="1"/>
  <c r="G424" i="16"/>
  <c r="M423" i="16"/>
  <c r="O423" i="16" s="1"/>
  <c r="K423" i="16"/>
  <c r="H423" i="16"/>
  <c r="J423" i="16" s="1"/>
  <c r="G423" i="16"/>
  <c r="M422" i="16"/>
  <c r="O422" i="16" s="1"/>
  <c r="K422" i="16"/>
  <c r="H422" i="16"/>
  <c r="J422" i="16" s="1"/>
  <c r="G422" i="16"/>
  <c r="M421" i="16"/>
  <c r="O421" i="16" s="1"/>
  <c r="K421" i="16"/>
  <c r="H421" i="16"/>
  <c r="J421" i="16" s="1"/>
  <c r="G421" i="16"/>
  <c r="M420" i="16"/>
  <c r="O420" i="16" s="1"/>
  <c r="K420" i="16"/>
  <c r="H420" i="16"/>
  <c r="J420" i="16" s="1"/>
  <c r="G420" i="16"/>
  <c r="M434" i="16"/>
  <c r="O434" i="16" s="1"/>
  <c r="K434" i="16"/>
  <c r="H434" i="16"/>
  <c r="J434" i="16" s="1"/>
  <c r="G434" i="16"/>
  <c r="M433" i="16"/>
  <c r="O433" i="16" s="1"/>
  <c r="K433" i="16"/>
  <c r="H433" i="16"/>
  <c r="J433" i="16" s="1"/>
  <c r="G433" i="16"/>
  <c r="M432" i="16"/>
  <c r="O432" i="16" s="1"/>
  <c r="K432" i="16"/>
  <c r="H432" i="16"/>
  <c r="J432" i="16" s="1"/>
  <c r="G432" i="16"/>
  <c r="M431" i="16"/>
  <c r="O431" i="16" s="1"/>
  <c r="K431" i="16"/>
  <c r="H431" i="16"/>
  <c r="J431" i="16" s="1"/>
  <c r="G431" i="16"/>
  <c r="M430" i="16"/>
  <c r="O430" i="16" s="1"/>
  <c r="K430" i="16"/>
  <c r="H430" i="16"/>
  <c r="J430" i="16" s="1"/>
  <c r="G430" i="16"/>
  <c r="M429" i="16"/>
  <c r="O429" i="16" s="1"/>
  <c r="K429" i="16"/>
  <c r="H429" i="16"/>
  <c r="J429" i="16" s="1"/>
  <c r="G429" i="16"/>
  <c r="M428" i="16"/>
  <c r="O428" i="16" s="1"/>
  <c r="K428" i="16"/>
  <c r="H428" i="16"/>
  <c r="J428" i="16" s="1"/>
  <c r="G428" i="16"/>
  <c r="M419" i="16"/>
  <c r="O419" i="16" s="1"/>
  <c r="K419" i="16"/>
  <c r="H419" i="16"/>
  <c r="J419" i="16" s="1"/>
  <c r="G419" i="16"/>
  <c r="M417" i="16"/>
  <c r="O417" i="16" s="1"/>
  <c r="K417" i="16"/>
  <c r="H417" i="16"/>
  <c r="J417" i="16" s="1"/>
  <c r="G417" i="16"/>
  <c r="M418" i="16"/>
  <c r="O418" i="16" s="1"/>
  <c r="K418" i="16"/>
  <c r="H418" i="16"/>
  <c r="J418" i="16" s="1"/>
  <c r="G418" i="16"/>
  <c r="M435" i="16"/>
  <c r="O435" i="16" s="1"/>
  <c r="K435" i="16"/>
  <c r="H435" i="16"/>
  <c r="J435" i="16" s="1"/>
  <c r="G435" i="16"/>
  <c r="M406" i="16"/>
  <c r="O406" i="16" s="1"/>
  <c r="K406" i="16"/>
  <c r="H406" i="16"/>
  <c r="J406" i="16" s="1"/>
  <c r="G406" i="16"/>
  <c r="M405" i="16"/>
  <c r="O405" i="16" s="1"/>
  <c r="K405" i="16"/>
  <c r="H405" i="16"/>
  <c r="J405" i="16" s="1"/>
  <c r="G405" i="16"/>
  <c r="M410" i="16"/>
  <c r="O410" i="16" s="1"/>
  <c r="K410" i="16"/>
  <c r="H410" i="16"/>
  <c r="J410" i="16" s="1"/>
  <c r="G410" i="16"/>
  <c r="M409" i="16"/>
  <c r="O409" i="16" s="1"/>
  <c r="K409" i="16"/>
  <c r="H409" i="16"/>
  <c r="J409" i="16" s="1"/>
  <c r="G409" i="16"/>
  <c r="M404" i="16"/>
  <c r="O404" i="16" s="1"/>
  <c r="K404" i="16"/>
  <c r="H404" i="16"/>
  <c r="J404" i="16" s="1"/>
  <c r="G404" i="16"/>
  <c r="M398" i="16"/>
  <c r="O398" i="16" s="1"/>
  <c r="K398" i="16"/>
  <c r="H398" i="16"/>
  <c r="J398" i="16" s="1"/>
  <c r="G398" i="16"/>
  <c r="M397" i="16"/>
  <c r="O397" i="16" s="1"/>
  <c r="K397" i="16"/>
  <c r="H397" i="16"/>
  <c r="J397" i="16" s="1"/>
  <c r="G397" i="16"/>
  <c r="M402" i="16"/>
  <c r="O402" i="16" s="1"/>
  <c r="K402" i="16"/>
  <c r="H402" i="16"/>
  <c r="J402" i="16" s="1"/>
  <c r="G402" i="16"/>
  <c r="M395" i="16"/>
  <c r="O395" i="16" s="1"/>
  <c r="K395" i="16"/>
  <c r="H395" i="16"/>
  <c r="J395" i="16" s="1"/>
  <c r="G395" i="16"/>
  <c r="M394" i="16"/>
  <c r="O394" i="16" s="1"/>
  <c r="K394" i="16"/>
  <c r="H394" i="16"/>
  <c r="J394" i="16" s="1"/>
  <c r="G394" i="16"/>
  <c r="M393" i="16"/>
  <c r="O393" i="16" s="1"/>
  <c r="K393" i="16"/>
  <c r="H393" i="16"/>
  <c r="J393" i="16" s="1"/>
  <c r="G393" i="16"/>
  <c r="M392" i="16"/>
  <c r="O392" i="16" s="1"/>
  <c r="K392" i="16"/>
  <c r="H392" i="16"/>
  <c r="J392" i="16" s="1"/>
  <c r="G392" i="16"/>
  <c r="M401" i="16"/>
  <c r="O401" i="16" s="1"/>
  <c r="K401" i="16"/>
  <c r="H401" i="16"/>
  <c r="J401" i="16" s="1"/>
  <c r="G401" i="16"/>
  <c r="M396" i="16"/>
  <c r="O396" i="16" s="1"/>
  <c r="K396" i="16"/>
  <c r="H396" i="16"/>
  <c r="J396" i="16" s="1"/>
  <c r="G396" i="16"/>
  <c r="M387" i="16"/>
  <c r="O387" i="16" s="1"/>
  <c r="K387" i="16"/>
  <c r="H387" i="16"/>
  <c r="J387" i="16" s="1"/>
  <c r="G387" i="16"/>
  <c r="M386" i="16"/>
  <c r="O386" i="16" s="1"/>
  <c r="K386" i="16"/>
  <c r="H386" i="16"/>
  <c r="J386" i="16" s="1"/>
  <c r="G386" i="16"/>
  <c r="M388" i="16"/>
  <c r="O388" i="16" s="1"/>
  <c r="K388" i="16"/>
  <c r="H388" i="16"/>
  <c r="J388" i="16" s="1"/>
  <c r="G388" i="16"/>
  <c r="M385" i="16"/>
  <c r="O385" i="16" s="1"/>
  <c r="K385" i="16"/>
  <c r="H385" i="16"/>
  <c r="J385" i="16" s="1"/>
  <c r="G385" i="16"/>
  <c r="M379" i="16"/>
  <c r="O379" i="16" s="1"/>
  <c r="K379" i="16"/>
  <c r="H379" i="16"/>
  <c r="J379" i="16" s="1"/>
  <c r="G379" i="16"/>
  <c r="M378" i="16"/>
  <c r="O378" i="16" s="1"/>
  <c r="K378" i="16"/>
  <c r="H378" i="16"/>
  <c r="J378" i="16" s="1"/>
  <c r="G378" i="16"/>
  <c r="M381" i="16"/>
  <c r="O381" i="16" s="1"/>
  <c r="K381" i="16"/>
  <c r="H381" i="16"/>
  <c r="J381" i="16" s="1"/>
  <c r="G381" i="16"/>
  <c r="M380" i="16"/>
  <c r="O380" i="16" s="1"/>
  <c r="K380" i="16"/>
  <c r="H380" i="16"/>
  <c r="J380" i="16" s="1"/>
  <c r="G380" i="16"/>
  <c r="M377" i="16"/>
  <c r="O377" i="16" s="1"/>
  <c r="K377" i="16"/>
  <c r="H377" i="16"/>
  <c r="J377" i="16" s="1"/>
  <c r="G377" i="16"/>
  <c r="M371" i="16"/>
  <c r="O371" i="16" s="1"/>
  <c r="K371" i="16"/>
  <c r="H371" i="16"/>
  <c r="J371" i="16" s="1"/>
  <c r="G371" i="16"/>
  <c r="M370" i="16"/>
  <c r="O370" i="16" s="1"/>
  <c r="K370" i="16"/>
  <c r="H370" i="16"/>
  <c r="J370" i="16" s="1"/>
  <c r="G370" i="16"/>
  <c r="M369" i="16"/>
  <c r="O369" i="16" s="1"/>
  <c r="K369" i="16"/>
  <c r="H369" i="16"/>
  <c r="J369" i="16" s="1"/>
  <c r="G369" i="16"/>
  <c r="M372" i="16"/>
  <c r="O372" i="16" s="1"/>
  <c r="K372" i="16"/>
  <c r="H372" i="16"/>
  <c r="J372" i="16" s="1"/>
  <c r="G372" i="16"/>
  <c r="M373" i="16"/>
  <c r="O373" i="16" s="1"/>
  <c r="K373" i="16"/>
  <c r="H373" i="16"/>
  <c r="J373" i="16" s="1"/>
  <c r="G373" i="16"/>
  <c r="M368" i="16"/>
  <c r="O368" i="16" s="1"/>
  <c r="K368" i="16"/>
  <c r="H368" i="16"/>
  <c r="J368" i="16" s="1"/>
  <c r="G368" i="16"/>
  <c r="M367" i="16"/>
  <c r="O367" i="16" s="1"/>
  <c r="K367" i="16"/>
  <c r="H367" i="16"/>
  <c r="J367" i="16" s="1"/>
  <c r="G367" i="16"/>
  <c r="M366" i="16"/>
  <c r="O366" i="16" s="1"/>
  <c r="K366" i="16"/>
  <c r="H366" i="16"/>
  <c r="J366" i="16" s="1"/>
  <c r="G366" i="16"/>
  <c r="M365" i="16"/>
  <c r="O365" i="16" s="1"/>
  <c r="K365" i="16"/>
  <c r="H365" i="16"/>
  <c r="J365" i="16" s="1"/>
  <c r="G365" i="16"/>
  <c r="M364" i="16"/>
  <c r="O364" i="16" s="1"/>
  <c r="K364" i="16"/>
  <c r="H364" i="16"/>
  <c r="J364" i="16" s="1"/>
  <c r="G364" i="16"/>
  <c r="M363" i="16"/>
  <c r="O363" i="16" s="1"/>
  <c r="K363" i="16"/>
  <c r="H363" i="16"/>
  <c r="J363" i="16" s="1"/>
  <c r="G363" i="16"/>
  <c r="M362" i="16"/>
  <c r="O362" i="16" s="1"/>
  <c r="K362" i="16"/>
  <c r="H362" i="16"/>
  <c r="J362" i="16" s="1"/>
  <c r="G362" i="16"/>
  <c r="M361" i="16"/>
  <c r="O361" i="16" s="1"/>
  <c r="K361" i="16"/>
  <c r="H361" i="16"/>
  <c r="J361" i="16" s="1"/>
  <c r="G361" i="16"/>
  <c r="M360" i="16"/>
  <c r="O360" i="16" s="1"/>
  <c r="K360" i="16"/>
  <c r="H360" i="16"/>
  <c r="J360" i="16" s="1"/>
  <c r="G360" i="16"/>
  <c r="M359" i="16"/>
  <c r="O359" i="16" s="1"/>
  <c r="K359" i="16"/>
  <c r="H359" i="16"/>
  <c r="J359" i="16" s="1"/>
  <c r="G359" i="16"/>
  <c r="M358" i="16"/>
  <c r="O358" i="16" s="1"/>
  <c r="K358" i="16"/>
  <c r="H358" i="16"/>
  <c r="J358" i="16" s="1"/>
  <c r="G358" i="16"/>
  <c r="M357" i="16"/>
  <c r="O357" i="16" s="1"/>
  <c r="K357" i="16"/>
  <c r="H357" i="16"/>
  <c r="J357" i="16" s="1"/>
  <c r="G357" i="16"/>
  <c r="M356" i="16"/>
  <c r="O356" i="16" s="1"/>
  <c r="K356" i="16"/>
  <c r="H356" i="16"/>
  <c r="J356" i="16" s="1"/>
  <c r="G356" i="16"/>
  <c r="M355" i="16"/>
  <c r="O355" i="16" s="1"/>
  <c r="K355" i="16"/>
  <c r="H355" i="16"/>
  <c r="J355" i="16" s="1"/>
  <c r="G355" i="16"/>
  <c r="M354" i="16"/>
  <c r="O354" i="16" s="1"/>
  <c r="K354" i="16"/>
  <c r="H354" i="16"/>
  <c r="J354" i="16" s="1"/>
  <c r="G354" i="16"/>
  <c r="M353" i="16"/>
  <c r="O353" i="16" s="1"/>
  <c r="K353" i="16"/>
  <c r="H353" i="16"/>
  <c r="J353" i="16" s="1"/>
  <c r="G353" i="16"/>
  <c r="M352" i="16"/>
  <c r="O352" i="16" s="1"/>
  <c r="K352" i="16"/>
  <c r="H352" i="16"/>
  <c r="J352" i="16" s="1"/>
  <c r="G352" i="16"/>
  <c r="M351" i="16"/>
  <c r="O351" i="16" s="1"/>
  <c r="K351" i="16"/>
  <c r="H351" i="16"/>
  <c r="J351" i="16" s="1"/>
  <c r="G351" i="16"/>
  <c r="M350" i="16"/>
  <c r="O350" i="16" s="1"/>
  <c r="K350" i="16"/>
  <c r="H350" i="16"/>
  <c r="J350" i="16" s="1"/>
  <c r="G350" i="16"/>
  <c r="M349" i="16"/>
  <c r="O349" i="16" s="1"/>
  <c r="K349" i="16"/>
  <c r="H349" i="16"/>
  <c r="J349" i="16" s="1"/>
  <c r="G349" i="16"/>
  <c r="M348" i="16"/>
  <c r="O348" i="16" s="1"/>
  <c r="K348" i="16"/>
  <c r="H348" i="16"/>
  <c r="J348" i="16" s="1"/>
  <c r="G348" i="16"/>
  <c r="M347" i="16"/>
  <c r="O347" i="16" s="1"/>
  <c r="K347" i="16"/>
  <c r="H347" i="16"/>
  <c r="J347" i="16" s="1"/>
  <c r="G347" i="16"/>
  <c r="M346" i="16"/>
  <c r="O346" i="16" s="1"/>
  <c r="K346" i="16"/>
  <c r="H346" i="16"/>
  <c r="J346" i="16" s="1"/>
  <c r="G346" i="16"/>
  <c r="M345" i="16"/>
  <c r="O345" i="16" s="1"/>
  <c r="K345" i="16"/>
  <c r="H345" i="16"/>
  <c r="J345" i="16" s="1"/>
  <c r="G345" i="16"/>
  <c r="M342" i="16"/>
  <c r="O342" i="16" s="1"/>
  <c r="K342" i="16"/>
  <c r="H342" i="16"/>
  <c r="J342" i="16" s="1"/>
  <c r="G342" i="16"/>
  <c r="M344" i="16"/>
  <c r="O344" i="16" s="1"/>
  <c r="K344" i="16"/>
  <c r="H344" i="16"/>
  <c r="J344" i="16" s="1"/>
  <c r="G344" i="16"/>
  <c r="M340" i="16"/>
  <c r="O340" i="16" s="1"/>
  <c r="K340" i="16"/>
  <c r="H340" i="16"/>
  <c r="J340" i="16" s="1"/>
  <c r="G340" i="16"/>
  <c r="M341" i="16"/>
  <c r="O341" i="16" s="1"/>
  <c r="K341" i="16"/>
  <c r="H341" i="16"/>
  <c r="J341" i="16" s="1"/>
  <c r="G341" i="16"/>
  <c r="M343" i="16"/>
  <c r="O343" i="16" s="1"/>
  <c r="K343" i="16"/>
  <c r="H343" i="16"/>
  <c r="J343" i="16" s="1"/>
  <c r="G343" i="16"/>
  <c r="M335" i="16"/>
  <c r="O335" i="16" s="1"/>
  <c r="K335" i="16"/>
  <c r="H335" i="16"/>
  <c r="J335" i="16" s="1"/>
  <c r="G335" i="16"/>
  <c r="M336" i="16"/>
  <c r="O336" i="16" s="1"/>
  <c r="K336" i="16"/>
  <c r="H336" i="16"/>
  <c r="J336" i="16" s="1"/>
  <c r="G336" i="16"/>
  <c r="M339" i="16"/>
  <c r="O339" i="16" s="1"/>
  <c r="K339" i="16"/>
  <c r="H339" i="16"/>
  <c r="J339" i="16" s="1"/>
  <c r="G339" i="16"/>
  <c r="M334" i="16"/>
  <c r="O334" i="16" s="1"/>
  <c r="K334" i="16"/>
  <c r="H334" i="16"/>
  <c r="J334" i="16" s="1"/>
  <c r="G334" i="16"/>
  <c r="M337" i="16"/>
  <c r="O337" i="16" s="1"/>
  <c r="K337" i="16"/>
  <c r="H337" i="16"/>
  <c r="J337" i="16" s="1"/>
  <c r="G337" i="16"/>
  <c r="M338" i="16"/>
  <c r="O338" i="16" s="1"/>
  <c r="K338" i="16"/>
  <c r="H338" i="16"/>
  <c r="J338" i="16" s="1"/>
  <c r="G338" i="16"/>
  <c r="M333" i="16"/>
  <c r="O333" i="16" s="1"/>
  <c r="K333" i="16"/>
  <c r="H333" i="16"/>
  <c r="J333" i="16" s="1"/>
  <c r="G333" i="16"/>
  <c r="M332" i="16"/>
  <c r="O332" i="16" s="1"/>
  <c r="K332" i="16"/>
  <c r="H332" i="16"/>
  <c r="J332" i="16" s="1"/>
  <c r="G332" i="16"/>
  <c r="M331" i="16"/>
  <c r="O331" i="16" s="1"/>
  <c r="K331" i="16"/>
  <c r="H331" i="16"/>
  <c r="J331" i="16" s="1"/>
  <c r="G331" i="16"/>
  <c r="M330" i="16"/>
  <c r="O330" i="16" s="1"/>
  <c r="K330" i="16"/>
  <c r="H330" i="16"/>
  <c r="J330" i="16" s="1"/>
  <c r="G330" i="16"/>
  <c r="M329" i="16"/>
  <c r="O329" i="16" s="1"/>
  <c r="K329" i="16"/>
  <c r="H329" i="16"/>
  <c r="J329" i="16" s="1"/>
  <c r="G329" i="16"/>
  <c r="M328" i="16"/>
  <c r="O328" i="16" s="1"/>
  <c r="K328" i="16"/>
  <c r="H328" i="16"/>
  <c r="J328" i="16" s="1"/>
  <c r="G328" i="16"/>
  <c r="M327" i="16"/>
  <c r="O327" i="16" s="1"/>
  <c r="K327" i="16"/>
  <c r="H327" i="16"/>
  <c r="J327" i="16" s="1"/>
  <c r="G327" i="16"/>
  <c r="M326" i="16"/>
  <c r="O326" i="16" s="1"/>
  <c r="K326" i="16"/>
  <c r="H326" i="16"/>
  <c r="J326" i="16" s="1"/>
  <c r="G326" i="16"/>
  <c r="M325" i="16"/>
  <c r="O325" i="16" s="1"/>
  <c r="K325" i="16"/>
  <c r="H325" i="16"/>
  <c r="J325" i="16" s="1"/>
  <c r="G325" i="16"/>
  <c r="M324" i="16"/>
  <c r="O324" i="16" s="1"/>
  <c r="K324" i="16"/>
  <c r="H324" i="16"/>
  <c r="J324" i="16" s="1"/>
  <c r="G324" i="16"/>
  <c r="M315" i="16"/>
  <c r="O315" i="16" s="1"/>
  <c r="K315" i="16"/>
  <c r="H315" i="16"/>
  <c r="J315" i="16" s="1"/>
  <c r="G315" i="16"/>
  <c r="M321" i="16"/>
  <c r="O321" i="16" s="1"/>
  <c r="K321" i="16"/>
  <c r="H321" i="16"/>
  <c r="J321" i="16" s="1"/>
  <c r="G321" i="16"/>
  <c r="M319" i="16"/>
  <c r="O319" i="16" s="1"/>
  <c r="K319" i="16"/>
  <c r="H319" i="16"/>
  <c r="J319" i="16" s="1"/>
  <c r="G319" i="16"/>
  <c r="M318" i="16"/>
  <c r="O318" i="16" s="1"/>
  <c r="K318" i="16"/>
  <c r="H318" i="16"/>
  <c r="J318" i="16" s="1"/>
  <c r="G318" i="16"/>
  <c r="M317" i="16"/>
  <c r="O317" i="16" s="1"/>
  <c r="K317" i="16"/>
  <c r="H317" i="16"/>
  <c r="J317" i="16" s="1"/>
  <c r="G317" i="16"/>
  <c r="M323" i="16"/>
  <c r="O323" i="16" s="1"/>
  <c r="K323" i="16"/>
  <c r="H323" i="16"/>
  <c r="J323" i="16" s="1"/>
  <c r="G323" i="16"/>
  <c r="M322" i="16"/>
  <c r="O322" i="16" s="1"/>
  <c r="K322" i="16"/>
  <c r="H322" i="16"/>
  <c r="J322" i="16" s="1"/>
  <c r="G322" i="16"/>
  <c r="M312" i="16"/>
  <c r="O312" i="16" s="1"/>
  <c r="K312" i="16"/>
  <c r="H312" i="16"/>
  <c r="J312" i="16" s="1"/>
  <c r="G312" i="16"/>
  <c r="M311" i="16"/>
  <c r="O311" i="16" s="1"/>
  <c r="K311" i="16"/>
  <c r="H311" i="16"/>
  <c r="J311" i="16" s="1"/>
  <c r="G311" i="16"/>
  <c r="M302" i="16"/>
  <c r="O302" i="16" s="1"/>
  <c r="K302" i="16"/>
  <c r="H302" i="16"/>
  <c r="J302" i="16" s="1"/>
  <c r="G302" i="16"/>
  <c r="M301" i="16"/>
  <c r="O301" i="16" s="1"/>
  <c r="K301" i="16"/>
  <c r="H301" i="16"/>
  <c r="J301" i="16" s="1"/>
  <c r="G301" i="16"/>
  <c r="M300" i="16"/>
  <c r="O300" i="16" s="1"/>
  <c r="K300" i="16"/>
  <c r="H300" i="16"/>
  <c r="J300" i="16" s="1"/>
  <c r="G300" i="16"/>
  <c r="M299" i="16"/>
  <c r="O299" i="16" s="1"/>
  <c r="K299" i="16"/>
  <c r="H299" i="16"/>
  <c r="J299" i="16" s="1"/>
  <c r="G299" i="16"/>
  <c r="M298" i="16"/>
  <c r="O298" i="16" s="1"/>
  <c r="K298" i="16"/>
  <c r="H298" i="16"/>
  <c r="J298" i="16" s="1"/>
  <c r="G298" i="16"/>
  <c r="M297" i="16"/>
  <c r="O297" i="16" s="1"/>
  <c r="K297" i="16"/>
  <c r="H297" i="16"/>
  <c r="J297" i="16" s="1"/>
  <c r="G297" i="16"/>
  <c r="M296" i="16"/>
  <c r="O296" i="16" s="1"/>
  <c r="K296" i="16"/>
  <c r="H296" i="16"/>
  <c r="J296" i="16" s="1"/>
  <c r="G296" i="16"/>
  <c r="M295" i="16"/>
  <c r="O295" i="16" s="1"/>
  <c r="K295" i="16"/>
  <c r="H295" i="16"/>
  <c r="J295" i="16" s="1"/>
  <c r="G295" i="16"/>
  <c r="M294" i="16"/>
  <c r="O294" i="16" s="1"/>
  <c r="K294" i="16"/>
  <c r="H294" i="16"/>
  <c r="J294" i="16" s="1"/>
  <c r="G294" i="16"/>
  <c r="M293" i="16"/>
  <c r="O293" i="16" s="1"/>
  <c r="K293" i="16"/>
  <c r="H293" i="16"/>
  <c r="J293" i="16" s="1"/>
  <c r="G293" i="16"/>
  <c r="M292" i="16"/>
  <c r="O292" i="16" s="1"/>
  <c r="K292" i="16"/>
  <c r="H292" i="16"/>
  <c r="J292" i="16" s="1"/>
  <c r="G292" i="16"/>
  <c r="M291" i="16"/>
  <c r="O291" i="16" s="1"/>
  <c r="K291" i="16"/>
  <c r="H291" i="16"/>
  <c r="J291" i="16" s="1"/>
  <c r="G291" i="16"/>
  <c r="M290" i="16"/>
  <c r="O290" i="16" s="1"/>
  <c r="K290" i="16"/>
  <c r="H290" i="16"/>
  <c r="J290" i="16" s="1"/>
  <c r="G290" i="16"/>
  <c r="M289" i="16"/>
  <c r="O289" i="16" s="1"/>
  <c r="K289" i="16"/>
  <c r="H289" i="16"/>
  <c r="J289" i="16" s="1"/>
  <c r="G289" i="16"/>
  <c r="M288" i="16"/>
  <c r="O288" i="16" s="1"/>
  <c r="K288" i="16"/>
  <c r="H288" i="16"/>
  <c r="J288" i="16" s="1"/>
  <c r="G288" i="16"/>
  <c r="M287" i="16"/>
  <c r="O287" i="16" s="1"/>
  <c r="K287" i="16"/>
  <c r="H287" i="16"/>
  <c r="J287" i="16" s="1"/>
  <c r="G287" i="16"/>
  <c r="M286" i="16"/>
  <c r="O286" i="16" s="1"/>
  <c r="K286" i="16"/>
  <c r="H286" i="16"/>
  <c r="J286" i="16" s="1"/>
  <c r="G286" i="16"/>
  <c r="M285" i="16"/>
  <c r="O285" i="16" s="1"/>
  <c r="K285" i="16"/>
  <c r="H285" i="16"/>
  <c r="J285" i="16" s="1"/>
  <c r="G285" i="16"/>
  <c r="M284" i="16"/>
  <c r="O284" i="16" s="1"/>
  <c r="K284" i="16"/>
  <c r="H284" i="16"/>
  <c r="J284" i="16" s="1"/>
  <c r="G284" i="16"/>
  <c r="M283" i="16"/>
  <c r="O283" i="16" s="1"/>
  <c r="K283" i="16"/>
  <c r="H283" i="16"/>
  <c r="J283" i="16" s="1"/>
  <c r="G283" i="16"/>
  <c r="M282" i="16"/>
  <c r="O282" i="16" s="1"/>
  <c r="K282" i="16"/>
  <c r="H282" i="16"/>
  <c r="J282" i="16" s="1"/>
  <c r="G282" i="16"/>
  <c r="M281" i="16"/>
  <c r="O281" i="16" s="1"/>
  <c r="K281" i="16"/>
  <c r="H281" i="16"/>
  <c r="J281" i="16" s="1"/>
  <c r="G281" i="16"/>
  <c r="M280" i="16"/>
  <c r="O280" i="16" s="1"/>
  <c r="K280" i="16"/>
  <c r="H280" i="16"/>
  <c r="J280" i="16" s="1"/>
  <c r="G280" i="16"/>
  <c r="M306" i="16"/>
  <c r="O306" i="16" s="1"/>
  <c r="K306" i="16"/>
  <c r="H306" i="16"/>
  <c r="J306" i="16" s="1"/>
  <c r="G306" i="16"/>
  <c r="M305" i="16"/>
  <c r="O305" i="16" s="1"/>
  <c r="K305" i="16"/>
  <c r="H305" i="16"/>
  <c r="J305" i="16" s="1"/>
  <c r="G305" i="16"/>
  <c r="M310" i="16"/>
  <c r="O310" i="16" s="1"/>
  <c r="K310" i="16"/>
  <c r="H310" i="16"/>
  <c r="J310" i="16" s="1"/>
  <c r="G310" i="16"/>
  <c r="M276" i="16"/>
  <c r="O276" i="16" s="1"/>
  <c r="K276" i="16"/>
  <c r="H276" i="16"/>
  <c r="J276" i="16" s="1"/>
  <c r="G276" i="16"/>
  <c r="M309" i="16"/>
  <c r="O309" i="16" s="1"/>
  <c r="K309" i="16"/>
  <c r="H309" i="16"/>
  <c r="J309" i="16" s="1"/>
  <c r="G309" i="16"/>
  <c r="M279" i="16"/>
  <c r="O279" i="16" s="1"/>
  <c r="K279" i="16"/>
  <c r="H279" i="16"/>
  <c r="J279" i="16" s="1"/>
  <c r="G279" i="16"/>
  <c r="M308" i="16"/>
  <c r="O308" i="16" s="1"/>
  <c r="K308" i="16"/>
  <c r="H308" i="16"/>
  <c r="J308" i="16" s="1"/>
  <c r="G308" i="16"/>
  <c r="M307" i="16"/>
  <c r="O307" i="16" s="1"/>
  <c r="K307" i="16"/>
  <c r="H307" i="16"/>
  <c r="J307" i="16" s="1"/>
  <c r="G307" i="16"/>
  <c r="M304" i="16"/>
  <c r="O304" i="16" s="1"/>
  <c r="K304" i="16"/>
  <c r="H304" i="16"/>
  <c r="J304" i="16" s="1"/>
  <c r="G304" i="16"/>
  <c r="M278" i="16"/>
  <c r="O278" i="16" s="1"/>
  <c r="K278" i="16"/>
  <c r="H278" i="16"/>
  <c r="J278" i="16" s="1"/>
  <c r="G278" i="16"/>
  <c r="M277" i="16"/>
  <c r="O277" i="16" s="1"/>
  <c r="K277" i="16"/>
  <c r="H277" i="16"/>
  <c r="J277" i="16" s="1"/>
  <c r="G277" i="16"/>
  <c r="M266" i="16"/>
  <c r="O266" i="16" s="1"/>
  <c r="K266" i="16"/>
  <c r="H266" i="16"/>
  <c r="J266" i="16" s="1"/>
  <c r="G266" i="16"/>
  <c r="M265" i="16"/>
  <c r="O265" i="16" s="1"/>
  <c r="K265" i="16"/>
  <c r="H265" i="16"/>
  <c r="J265" i="16" s="1"/>
  <c r="G265" i="16"/>
  <c r="M264" i="16"/>
  <c r="O264" i="16" s="1"/>
  <c r="K264" i="16"/>
  <c r="H264" i="16"/>
  <c r="J264" i="16" s="1"/>
  <c r="G264" i="16"/>
  <c r="M263" i="16"/>
  <c r="O263" i="16" s="1"/>
  <c r="K263" i="16"/>
  <c r="H263" i="16"/>
  <c r="J263" i="16" s="1"/>
  <c r="G263" i="16"/>
  <c r="M262" i="16"/>
  <c r="O262" i="16" s="1"/>
  <c r="K262" i="16"/>
  <c r="H262" i="16"/>
  <c r="J262" i="16" s="1"/>
  <c r="G262" i="16"/>
  <c r="M261" i="16"/>
  <c r="O261" i="16" s="1"/>
  <c r="K261" i="16"/>
  <c r="H261" i="16"/>
  <c r="J261" i="16" s="1"/>
  <c r="G261" i="16"/>
  <c r="M260" i="16"/>
  <c r="O260" i="16" s="1"/>
  <c r="K260" i="16"/>
  <c r="H260" i="16"/>
  <c r="J260" i="16" s="1"/>
  <c r="G260" i="16"/>
  <c r="M259" i="16"/>
  <c r="O259" i="16" s="1"/>
  <c r="K259" i="16"/>
  <c r="H259" i="16"/>
  <c r="J259" i="16" s="1"/>
  <c r="G259" i="16"/>
  <c r="M258" i="16"/>
  <c r="O258" i="16" s="1"/>
  <c r="K258" i="16"/>
  <c r="H258" i="16"/>
  <c r="J258" i="16" s="1"/>
  <c r="G258" i="16"/>
  <c r="M257" i="16"/>
  <c r="O257" i="16" s="1"/>
  <c r="K257" i="16"/>
  <c r="H257" i="16"/>
  <c r="J257" i="16" s="1"/>
  <c r="G257" i="16"/>
  <c r="M256" i="16"/>
  <c r="O256" i="16" s="1"/>
  <c r="K256" i="16"/>
  <c r="H256" i="16"/>
  <c r="J256" i="16" s="1"/>
  <c r="G256" i="16"/>
  <c r="M255" i="16"/>
  <c r="O255" i="16" s="1"/>
  <c r="K255" i="16"/>
  <c r="H255" i="16"/>
  <c r="J255" i="16" s="1"/>
  <c r="G255" i="16"/>
  <c r="M254" i="16"/>
  <c r="O254" i="16" s="1"/>
  <c r="K254" i="16"/>
  <c r="H254" i="16"/>
  <c r="J254" i="16" s="1"/>
  <c r="G254" i="16"/>
  <c r="M253" i="16"/>
  <c r="O253" i="16" s="1"/>
  <c r="K253" i="16"/>
  <c r="H253" i="16"/>
  <c r="J253" i="16" s="1"/>
  <c r="G253" i="16"/>
  <c r="M252" i="16"/>
  <c r="O252" i="16" s="1"/>
  <c r="K252" i="16"/>
  <c r="H252" i="16"/>
  <c r="J252" i="16" s="1"/>
  <c r="G252" i="16"/>
  <c r="M251" i="16"/>
  <c r="O251" i="16" s="1"/>
  <c r="K251" i="16"/>
  <c r="H251" i="16"/>
  <c r="J251" i="16" s="1"/>
  <c r="G251" i="16"/>
  <c r="M250" i="16"/>
  <c r="O250" i="16" s="1"/>
  <c r="K250" i="16"/>
  <c r="H250" i="16"/>
  <c r="J250" i="16" s="1"/>
  <c r="G250" i="16"/>
  <c r="M249" i="16"/>
  <c r="O249" i="16" s="1"/>
  <c r="K249" i="16"/>
  <c r="H249" i="16"/>
  <c r="J249" i="16" s="1"/>
  <c r="G249" i="16"/>
  <c r="M248" i="16"/>
  <c r="O248" i="16" s="1"/>
  <c r="K248" i="16"/>
  <c r="H248" i="16"/>
  <c r="J248" i="16" s="1"/>
  <c r="G248" i="16"/>
  <c r="M247" i="16"/>
  <c r="O247" i="16" s="1"/>
  <c r="K247" i="16"/>
  <c r="H247" i="16"/>
  <c r="J247" i="16" s="1"/>
  <c r="G247" i="16"/>
  <c r="M246" i="16"/>
  <c r="O246" i="16" s="1"/>
  <c r="K246" i="16"/>
  <c r="H246" i="16"/>
  <c r="J246" i="16" s="1"/>
  <c r="G246" i="16"/>
  <c r="M271" i="16"/>
  <c r="O271" i="16" s="1"/>
  <c r="K271" i="16"/>
  <c r="H271" i="16"/>
  <c r="J271" i="16" s="1"/>
  <c r="G271" i="16"/>
  <c r="M270" i="16"/>
  <c r="O270" i="16" s="1"/>
  <c r="K270" i="16"/>
  <c r="H270" i="16"/>
  <c r="J270" i="16" s="1"/>
  <c r="G270" i="16"/>
  <c r="M275" i="16"/>
  <c r="O275" i="16" s="1"/>
  <c r="K275" i="16"/>
  <c r="H275" i="16"/>
  <c r="J275" i="16" s="1"/>
  <c r="G275" i="16"/>
  <c r="M242" i="16"/>
  <c r="O242" i="16" s="1"/>
  <c r="K242" i="16"/>
  <c r="H242" i="16"/>
  <c r="J242" i="16" s="1"/>
  <c r="G242" i="16"/>
  <c r="M274" i="16"/>
  <c r="O274" i="16" s="1"/>
  <c r="K274" i="16"/>
  <c r="H274" i="16"/>
  <c r="J274" i="16" s="1"/>
  <c r="G274" i="16"/>
  <c r="M245" i="16"/>
  <c r="O245" i="16" s="1"/>
  <c r="K245" i="16"/>
  <c r="H245" i="16"/>
  <c r="J245" i="16" s="1"/>
  <c r="G245" i="16"/>
  <c r="M273" i="16"/>
  <c r="O273" i="16" s="1"/>
  <c r="K273" i="16"/>
  <c r="H273" i="16"/>
  <c r="J273" i="16" s="1"/>
  <c r="G273" i="16"/>
  <c r="M272" i="16"/>
  <c r="O272" i="16" s="1"/>
  <c r="K272" i="16"/>
  <c r="H272" i="16"/>
  <c r="J272" i="16" s="1"/>
  <c r="G272" i="16"/>
  <c r="M269" i="16"/>
  <c r="O269" i="16" s="1"/>
  <c r="K269" i="16"/>
  <c r="H269" i="16"/>
  <c r="J269" i="16" s="1"/>
  <c r="G269" i="16"/>
  <c r="M244" i="16"/>
  <c r="O244" i="16" s="1"/>
  <c r="K244" i="16"/>
  <c r="H244" i="16"/>
  <c r="J244" i="16" s="1"/>
  <c r="G244" i="16"/>
  <c r="M243" i="16"/>
  <c r="O243" i="16" s="1"/>
  <c r="K243" i="16"/>
  <c r="H243" i="16"/>
  <c r="J243" i="16" s="1"/>
  <c r="G243" i="16"/>
  <c r="M241" i="16"/>
  <c r="O241" i="16" s="1"/>
  <c r="K241" i="16"/>
  <c r="H241" i="16"/>
  <c r="J241" i="16" s="1"/>
  <c r="G241" i="16"/>
  <c r="M240" i="16"/>
  <c r="O240" i="16" s="1"/>
  <c r="K240" i="16"/>
  <c r="H240" i="16"/>
  <c r="J240" i="16" s="1"/>
  <c r="G240" i="16"/>
  <c r="M239" i="16"/>
  <c r="O239" i="16" s="1"/>
  <c r="K239" i="16"/>
  <c r="H239" i="16"/>
  <c r="J239" i="16" s="1"/>
  <c r="G239" i="16"/>
  <c r="M238" i="16"/>
  <c r="O238" i="16" s="1"/>
  <c r="K238" i="16"/>
  <c r="H238" i="16"/>
  <c r="J238" i="16" s="1"/>
  <c r="G238" i="16"/>
  <c r="M233" i="16"/>
  <c r="O233" i="16" s="1"/>
  <c r="M232" i="16"/>
  <c r="O232" i="16" s="1"/>
  <c r="K232" i="16"/>
  <c r="H232" i="16"/>
  <c r="J232" i="16" s="1"/>
  <c r="G232" i="16"/>
  <c r="M231" i="16"/>
  <c r="O231" i="16" s="1"/>
  <c r="K231" i="16"/>
  <c r="H231" i="16"/>
  <c r="J231" i="16" s="1"/>
  <c r="G231" i="16"/>
  <c r="M230" i="16"/>
  <c r="O230" i="16" s="1"/>
  <c r="K230" i="16"/>
  <c r="H230" i="16"/>
  <c r="J230" i="16" s="1"/>
  <c r="G230" i="16"/>
  <c r="H510" i="9"/>
  <c r="J510" i="9" s="1"/>
  <c r="H2" i="14"/>
  <c r="G3" i="14"/>
  <c r="I3" i="14" s="1"/>
  <c r="G4" i="14"/>
  <c r="I4" i="14" s="1"/>
  <c r="G5" i="14"/>
  <c r="I5" i="14" s="1"/>
  <c r="G2" i="14"/>
  <c r="I2" i="14" s="1"/>
  <c r="F3" i="14"/>
  <c r="H3" i="14" s="1"/>
  <c r="F4" i="14"/>
  <c r="H4" i="14" s="1"/>
  <c r="F5" i="14"/>
  <c r="H5" i="14" s="1"/>
  <c r="F2" i="14"/>
  <c r="K137" i="9"/>
  <c r="K138" i="9"/>
  <c r="K139" i="9"/>
  <c r="K140" i="9"/>
  <c r="K141" i="9"/>
  <c r="K142" i="9"/>
  <c r="K143" i="9"/>
  <c r="K144" i="9"/>
  <c r="K145" i="9"/>
  <c r="K146" i="9"/>
  <c r="K147" i="9"/>
  <c r="K148" i="9"/>
  <c r="K149" i="9"/>
  <c r="K150" i="9"/>
  <c r="K151" i="9"/>
  <c r="K152" i="9"/>
  <c r="K153" i="9"/>
  <c r="K171" i="9"/>
  <c r="K172" i="9"/>
  <c r="K173" i="9"/>
  <c r="K174" i="9"/>
  <c r="K175" i="9"/>
  <c r="K176" i="9"/>
  <c r="K177" i="9"/>
  <c r="K178" i="9"/>
  <c r="K179" i="9"/>
  <c r="K180" i="9"/>
  <c r="K181" i="9"/>
  <c r="K182" i="9"/>
  <c r="K183" i="9"/>
  <c r="K184" i="9"/>
  <c r="K185" i="9"/>
  <c r="K186" i="9"/>
  <c r="K187" i="9"/>
  <c r="K190" i="9"/>
  <c r="K191" i="9"/>
  <c r="K192" i="9"/>
  <c r="K193" i="9"/>
  <c r="K194" i="9"/>
  <c r="K195" i="9"/>
  <c r="K196" i="9"/>
  <c r="K197" i="9"/>
  <c r="K198"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409" i="9"/>
  <c r="K334" i="9"/>
  <c r="K335" i="9"/>
  <c r="K336" i="9"/>
  <c r="K337" i="9"/>
  <c r="K338" i="9"/>
  <c r="K339" i="9"/>
  <c r="K340" i="9"/>
  <c r="K341" i="9"/>
  <c r="K342" i="9"/>
  <c r="K343" i="9"/>
  <c r="K344" i="9"/>
  <c r="K345" i="9"/>
  <c r="K346" i="9"/>
  <c r="K347" i="9"/>
  <c r="K348" i="9"/>
  <c r="K349" i="9"/>
  <c r="K351" i="9"/>
  <c r="K352" i="9"/>
  <c r="K353" i="9"/>
  <c r="K354" i="9"/>
  <c r="K355" i="9"/>
  <c r="K356" i="9"/>
  <c r="K357" i="9"/>
  <c r="K358" i="9"/>
  <c r="K359" i="9"/>
  <c r="K360" i="9"/>
  <c r="K361" i="9"/>
  <c r="K362" i="9"/>
  <c r="K363" i="9"/>
  <c r="K364" i="9"/>
  <c r="K365" i="9"/>
  <c r="K366" i="9"/>
  <c r="K367" i="9"/>
  <c r="K368" i="9"/>
  <c r="K369" i="9"/>
  <c r="K370" i="9"/>
  <c r="K371" i="9"/>
  <c r="K372" i="9"/>
  <c r="K373" i="9"/>
  <c r="K392" i="9"/>
  <c r="K393" i="9"/>
  <c r="K394" i="9"/>
  <c r="K395" i="9"/>
  <c r="K396" i="9"/>
  <c r="K397" i="9"/>
  <c r="K398" i="9"/>
  <c r="K399" i="9"/>
  <c r="K400" i="9"/>
  <c r="K401" i="9"/>
  <c r="K402" i="9"/>
  <c r="K403" i="9"/>
  <c r="K404" i="9"/>
  <c r="K405" i="9"/>
  <c r="K406" i="9"/>
  <c r="K407" i="9"/>
  <c r="K408" i="9"/>
  <c r="K410" i="9"/>
  <c r="K411" i="9"/>
  <c r="K412" i="9"/>
  <c r="K413" i="9"/>
  <c r="K414" i="9"/>
  <c r="K415" i="9"/>
  <c r="K416" i="9"/>
  <c r="K417" i="9"/>
  <c r="K418" i="9"/>
  <c r="K419" i="9"/>
  <c r="K420" i="9"/>
  <c r="K421" i="9"/>
  <c r="K422" i="9"/>
  <c r="K423" i="9"/>
  <c r="K424" i="9"/>
  <c r="K425" i="9"/>
  <c r="K426" i="9"/>
  <c r="K427" i="9"/>
  <c r="K428" i="9"/>
  <c r="K429" i="9"/>
  <c r="K430" i="9"/>
  <c r="K431" i="9"/>
  <c r="K433" i="9"/>
  <c r="K434" i="9"/>
  <c r="K435" i="9"/>
  <c r="K436" i="9"/>
  <c r="K437" i="9"/>
  <c r="K438" i="9"/>
  <c r="K439" i="9"/>
  <c r="K440" i="9"/>
  <c r="K441" i="9"/>
  <c r="K442" i="9"/>
  <c r="K374"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188" i="9"/>
  <c r="K18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582" i="9"/>
  <c r="K583" i="9"/>
  <c r="K584" i="9"/>
  <c r="K585" i="9"/>
  <c r="K586" i="9"/>
  <c r="K587" i="9"/>
  <c r="K588" i="9"/>
  <c r="K589" i="9"/>
  <c r="K590" i="9"/>
  <c r="K591" i="9"/>
  <c r="K592" i="9"/>
  <c r="K593" i="9"/>
  <c r="K594" i="9"/>
  <c r="K595" i="9"/>
  <c r="K596" i="9"/>
  <c r="K597" i="9"/>
  <c r="K598" i="9"/>
  <c r="K599" i="9"/>
  <c r="K600" i="9"/>
  <c r="K601" i="9"/>
  <c r="K602" i="9"/>
  <c r="K603" i="9"/>
  <c r="K604" i="9"/>
  <c r="K605" i="9"/>
  <c r="K606" i="9"/>
  <c r="K607" i="9"/>
  <c r="K608" i="9"/>
  <c r="K609" i="9"/>
  <c r="K610" i="9"/>
  <c r="K611" i="9"/>
  <c r="K612" i="9"/>
  <c r="K613" i="9"/>
  <c r="K614" i="9"/>
  <c r="K615" i="9"/>
  <c r="K616" i="9"/>
  <c r="K617" i="9"/>
  <c r="K618" i="9"/>
  <c r="K619" i="9"/>
  <c r="K620" i="9"/>
  <c r="K621" i="9"/>
  <c r="K622" i="9"/>
  <c r="K623" i="9"/>
  <c r="K624" i="9"/>
  <c r="K625" i="9"/>
  <c r="K626" i="9"/>
  <c r="K627" i="9"/>
  <c r="K628" i="9"/>
  <c r="K629" i="9"/>
  <c r="K630" i="9"/>
  <c r="K631" i="9"/>
  <c r="K632" i="9"/>
  <c r="K633" i="9"/>
  <c r="K634" i="9"/>
  <c r="K635" i="9"/>
  <c r="K636" i="9"/>
  <c r="K637" i="9"/>
  <c r="K638" i="9"/>
  <c r="K639" i="9"/>
  <c r="K640" i="9"/>
  <c r="K641" i="9"/>
  <c r="K642" i="9"/>
  <c r="K643" i="9"/>
  <c r="K644" i="9"/>
  <c r="K645" i="9"/>
  <c r="K646" i="9"/>
  <c r="K647" i="9"/>
  <c r="K648" i="9"/>
  <c r="K649" i="9"/>
  <c r="K650" i="9"/>
  <c r="K651" i="9"/>
  <c r="K652" i="9"/>
  <c r="K653" i="9"/>
  <c r="K654" i="9"/>
  <c r="K655" i="9"/>
  <c r="K656" i="9"/>
  <c r="K657" i="9"/>
  <c r="K658" i="9"/>
  <c r="K659" i="9"/>
  <c r="K660" i="9"/>
  <c r="K661" i="9"/>
  <c r="K662" i="9"/>
  <c r="K663" i="9"/>
  <c r="K664" i="9"/>
  <c r="K665" i="9"/>
  <c r="K666" i="9"/>
  <c r="K667" i="9"/>
  <c r="K668" i="9"/>
  <c r="K669" i="9"/>
  <c r="K670" i="9"/>
  <c r="K671" i="9"/>
  <c r="K672" i="9"/>
  <c r="K673" i="9"/>
  <c r="K674" i="9"/>
  <c r="K675" i="9"/>
  <c r="K676" i="9"/>
  <c r="K677" i="9"/>
  <c r="K678" i="9"/>
  <c r="K679" i="9"/>
  <c r="K680" i="9"/>
  <c r="K681" i="9"/>
  <c r="K682" i="9"/>
  <c r="K683" i="9"/>
  <c r="K684" i="9"/>
  <c r="K685" i="9"/>
  <c r="K686" i="9"/>
  <c r="K687" i="9"/>
  <c r="K688" i="9"/>
  <c r="K689" i="9"/>
  <c r="K690" i="9"/>
  <c r="K691" i="9"/>
  <c r="K692" i="9"/>
  <c r="K693" i="9"/>
  <c r="K694" i="9"/>
  <c r="K695" i="9"/>
  <c r="K696" i="9"/>
  <c r="K697" i="9"/>
  <c r="K698" i="9"/>
  <c r="K699" i="9"/>
  <c r="K700" i="9"/>
  <c r="K701" i="9"/>
  <c r="K702" i="9"/>
  <c r="K703" i="9"/>
  <c r="K704" i="9"/>
  <c r="K705" i="9"/>
  <c r="K706" i="9"/>
  <c r="K707" i="9"/>
  <c r="K708" i="9"/>
  <c r="K709" i="9"/>
  <c r="K710" i="9"/>
  <c r="K711" i="9"/>
  <c r="K712" i="9"/>
  <c r="K713" i="9"/>
  <c r="K714" i="9"/>
  <c r="K715" i="9"/>
  <c r="K716" i="9"/>
  <c r="K717" i="9"/>
  <c r="K718" i="9"/>
  <c r="K719" i="9"/>
  <c r="K720" i="9"/>
  <c r="K721" i="9"/>
  <c r="K722" i="9"/>
  <c r="K723" i="9"/>
  <c r="K724" i="9"/>
  <c r="K725" i="9"/>
  <c r="K726" i="9"/>
  <c r="K727" i="9"/>
  <c r="K728" i="9"/>
  <c r="K729" i="9"/>
  <c r="K730" i="9"/>
  <c r="K731" i="9"/>
  <c r="K732" i="9"/>
  <c r="K733" i="9"/>
  <c r="K734" i="9"/>
  <c r="K735" i="9"/>
  <c r="K736" i="9"/>
  <c r="K737" i="9"/>
  <c r="K738" i="9"/>
  <c r="K739" i="9"/>
  <c r="K740" i="9"/>
  <c r="K741" i="9"/>
  <c r="K742" i="9"/>
  <c r="K743" i="9"/>
  <c r="K744" i="9"/>
  <c r="K745" i="9"/>
  <c r="K746" i="9"/>
  <c r="K747" i="9"/>
  <c r="K748" i="9"/>
  <c r="K749" i="9"/>
  <c r="K750" i="9"/>
  <c r="K751" i="9"/>
  <c r="K752" i="9"/>
  <c r="K753" i="9"/>
  <c r="K754" i="9"/>
  <c r="K755" i="9"/>
  <c r="K756" i="9"/>
  <c r="K757" i="9"/>
  <c r="K758" i="9"/>
  <c r="K759" i="9"/>
  <c r="K760" i="9"/>
  <c r="K761" i="9"/>
  <c r="K762" i="9"/>
  <c r="K763" i="9"/>
  <c r="K764" i="9"/>
  <c r="K765" i="9"/>
  <c r="K766" i="9"/>
  <c r="K767" i="9"/>
  <c r="K768" i="9"/>
  <c r="K769" i="9"/>
  <c r="K770" i="9"/>
  <c r="K771" i="9"/>
  <c r="K772" i="9"/>
  <c r="K773" i="9"/>
  <c r="K778" i="9"/>
  <c r="K779" i="9"/>
  <c r="K780" i="9"/>
  <c r="K781" i="9"/>
  <c r="K782" i="9"/>
  <c r="K783" i="9"/>
  <c r="K784" i="9"/>
  <c r="K785" i="9"/>
  <c r="K786" i="9"/>
  <c r="K787" i="9"/>
  <c r="K788" i="9"/>
  <c r="K789" i="9"/>
  <c r="K790" i="9"/>
  <c r="K791" i="9"/>
  <c r="K792" i="9"/>
  <c r="K793" i="9"/>
  <c r="K794" i="9"/>
  <c r="K795" i="9"/>
  <c r="K796" i="9"/>
  <c r="K797" i="9"/>
  <c r="K798" i="9"/>
  <c r="K799" i="9"/>
  <c r="K800" i="9"/>
  <c r="K801" i="9"/>
  <c r="K802" i="9"/>
  <c r="K803" i="9"/>
  <c r="K804" i="9"/>
  <c r="K805" i="9"/>
  <c r="K806" i="9"/>
  <c r="K807" i="9"/>
  <c r="K808" i="9"/>
  <c r="K809" i="9"/>
  <c r="K810" i="9"/>
  <c r="K811" i="9"/>
  <c r="K812" i="9"/>
  <c r="K813" i="9"/>
  <c r="K814" i="9"/>
  <c r="K815" i="9"/>
  <c r="K816" i="9"/>
  <c r="K817" i="9"/>
  <c r="K818" i="9"/>
  <c r="K819" i="9"/>
  <c r="K820" i="9"/>
  <c r="K821" i="9"/>
  <c r="K822" i="9"/>
  <c r="K823" i="9"/>
  <c r="K824" i="9"/>
  <c r="K825" i="9"/>
  <c r="K826" i="9"/>
  <c r="K827" i="9"/>
  <c r="K828" i="9"/>
  <c r="K829" i="9"/>
  <c r="K830" i="9"/>
  <c r="K831" i="9"/>
  <c r="K832" i="9"/>
  <c r="K833" i="9"/>
  <c r="K834" i="9"/>
  <c r="K835" i="9"/>
  <c r="K836" i="9"/>
  <c r="K837" i="9"/>
  <c r="K838" i="9"/>
  <c r="K839" i="9"/>
  <c r="K840" i="9"/>
  <c r="K841" i="9"/>
  <c r="K842" i="9"/>
  <c r="K843" i="9"/>
  <c r="K844" i="9"/>
  <c r="K845" i="9"/>
  <c r="K846" i="9"/>
  <c r="K847" i="9"/>
  <c r="K848" i="9"/>
  <c r="K849" i="9"/>
  <c r="K850" i="9"/>
  <c r="K851" i="9"/>
  <c r="K852" i="9"/>
  <c r="K853" i="9"/>
  <c r="K854" i="9"/>
  <c r="K855" i="9"/>
  <c r="K856" i="9"/>
  <c r="K857" i="9"/>
  <c r="K858" i="9"/>
  <c r="K859" i="9"/>
  <c r="K775" i="9"/>
  <c r="K776" i="9"/>
  <c r="K777" i="9"/>
  <c r="K774" i="9"/>
  <c r="O137" i="9"/>
  <c r="N137" i="9" s="1"/>
  <c r="P137" i="9" s="1"/>
  <c r="O138" i="9"/>
  <c r="N138" i="9" s="1"/>
  <c r="P138" i="9" s="1"/>
  <c r="O139" i="9"/>
  <c r="N139" i="9" s="1"/>
  <c r="P139" i="9" s="1"/>
  <c r="O140" i="9"/>
  <c r="N140" i="9" s="1"/>
  <c r="P140" i="9" s="1"/>
  <c r="O141" i="9"/>
  <c r="N141" i="9" s="1"/>
  <c r="P141" i="9" s="1"/>
  <c r="O142" i="9"/>
  <c r="N142" i="9" s="1"/>
  <c r="P142" i="9" s="1"/>
  <c r="O143" i="9"/>
  <c r="N143" i="9" s="1"/>
  <c r="P143" i="9" s="1"/>
  <c r="O144" i="9"/>
  <c r="N144" i="9" s="1"/>
  <c r="P144" i="9" s="1"/>
  <c r="O145" i="9"/>
  <c r="N145" i="9" s="1"/>
  <c r="P145" i="9" s="1"/>
  <c r="O146" i="9"/>
  <c r="N146" i="9" s="1"/>
  <c r="P146" i="9" s="1"/>
  <c r="O147" i="9"/>
  <c r="N147" i="9" s="1"/>
  <c r="P147" i="9" s="1"/>
  <c r="O148" i="9"/>
  <c r="N148" i="9" s="1"/>
  <c r="P148" i="9" s="1"/>
  <c r="O149" i="9"/>
  <c r="N149" i="9" s="1"/>
  <c r="P149" i="9" s="1"/>
  <c r="O150" i="9"/>
  <c r="N150" i="9" s="1"/>
  <c r="P150" i="9" s="1"/>
  <c r="O151" i="9"/>
  <c r="N151" i="9" s="1"/>
  <c r="P151" i="9" s="1"/>
  <c r="O152" i="9"/>
  <c r="N152" i="9" s="1"/>
  <c r="P152" i="9" s="1"/>
  <c r="O153" i="9"/>
  <c r="N153" i="9" s="1"/>
  <c r="P153" i="9" s="1"/>
  <c r="N171" i="9"/>
  <c r="P171" i="9" s="1"/>
  <c r="N172" i="9"/>
  <c r="P172" i="9" s="1"/>
  <c r="N173" i="9"/>
  <c r="P173" i="9" s="1"/>
  <c r="N174" i="9"/>
  <c r="P174" i="9" s="1"/>
  <c r="N175" i="9"/>
  <c r="P175" i="9" s="1"/>
  <c r="N176" i="9"/>
  <c r="P176" i="9" s="1"/>
  <c r="N177" i="9"/>
  <c r="P177" i="9" s="1"/>
  <c r="N178" i="9"/>
  <c r="P178" i="9" s="1"/>
  <c r="N179" i="9"/>
  <c r="P179" i="9" s="1"/>
  <c r="N180" i="9"/>
  <c r="P180" i="9" s="1"/>
  <c r="N181" i="9"/>
  <c r="P181" i="9" s="1"/>
  <c r="N182" i="9"/>
  <c r="P182" i="9" s="1"/>
  <c r="N183" i="9"/>
  <c r="P183" i="9" s="1"/>
  <c r="N184" i="9"/>
  <c r="P184" i="9" s="1"/>
  <c r="N185" i="9"/>
  <c r="P185" i="9" s="1"/>
  <c r="N186" i="9"/>
  <c r="P186" i="9" s="1"/>
  <c r="N187" i="9"/>
  <c r="P187" i="9" s="1"/>
  <c r="N190" i="9"/>
  <c r="P190" i="9" s="1"/>
  <c r="N191" i="9"/>
  <c r="P191" i="9" s="1"/>
  <c r="N192" i="9"/>
  <c r="P192" i="9" s="1"/>
  <c r="O193" i="9"/>
  <c r="N193" i="9" s="1"/>
  <c r="P193" i="9" s="1"/>
  <c r="N194" i="9"/>
  <c r="P194" i="9" s="1"/>
  <c r="N195" i="9"/>
  <c r="P195" i="9" s="1"/>
  <c r="N196" i="9"/>
  <c r="P196" i="9" s="1"/>
  <c r="O197" i="9"/>
  <c r="N197" i="9" s="1"/>
  <c r="P197" i="9" s="1"/>
  <c r="O198" i="9"/>
  <c r="N198" i="9" s="1"/>
  <c r="P198" i="9" s="1"/>
  <c r="N202" i="9"/>
  <c r="P202" i="9" s="1"/>
  <c r="N203" i="9"/>
  <c r="P203" i="9" s="1"/>
  <c r="N204" i="9"/>
  <c r="P204" i="9" s="1"/>
  <c r="N205" i="9"/>
  <c r="P205" i="9" s="1"/>
  <c r="N206" i="9"/>
  <c r="P206" i="9" s="1"/>
  <c r="N207" i="9"/>
  <c r="P207" i="9" s="1"/>
  <c r="N208" i="9"/>
  <c r="P208" i="9" s="1"/>
  <c r="N209" i="9"/>
  <c r="P209" i="9" s="1"/>
  <c r="N210" i="9"/>
  <c r="P210" i="9" s="1"/>
  <c r="N211" i="9"/>
  <c r="P211" i="9" s="1"/>
  <c r="N212" i="9"/>
  <c r="P212" i="9" s="1"/>
  <c r="N213" i="9"/>
  <c r="P213" i="9" s="1"/>
  <c r="N214" i="9"/>
  <c r="P214" i="9" s="1"/>
  <c r="N215" i="9"/>
  <c r="P215" i="9" s="1"/>
  <c r="N216" i="9"/>
  <c r="P216" i="9" s="1"/>
  <c r="N217" i="9"/>
  <c r="P217" i="9" s="1"/>
  <c r="N218" i="9"/>
  <c r="P218" i="9" s="1"/>
  <c r="N219" i="9"/>
  <c r="P219" i="9" s="1"/>
  <c r="N220" i="9"/>
  <c r="P220" i="9" s="1"/>
  <c r="N221" i="9"/>
  <c r="P221" i="9" s="1"/>
  <c r="N222" i="9"/>
  <c r="P222" i="9" s="1"/>
  <c r="N223" i="9"/>
  <c r="P223" i="9" s="1"/>
  <c r="N224" i="9"/>
  <c r="P224" i="9" s="1"/>
  <c r="N225" i="9"/>
  <c r="P225" i="9" s="1"/>
  <c r="N226" i="9"/>
  <c r="P226" i="9" s="1"/>
  <c r="N227" i="9"/>
  <c r="P227" i="9" s="1"/>
  <c r="N228" i="9"/>
  <c r="P228" i="9" s="1"/>
  <c r="N229" i="9"/>
  <c r="P229" i="9" s="1"/>
  <c r="N230" i="9"/>
  <c r="P230" i="9" s="1"/>
  <c r="N231" i="9"/>
  <c r="P231" i="9" s="1"/>
  <c r="N232" i="9"/>
  <c r="P232" i="9" s="1"/>
  <c r="N233" i="9"/>
  <c r="P233" i="9" s="1"/>
  <c r="N234" i="9"/>
  <c r="P234" i="9" s="1"/>
  <c r="N235" i="9"/>
  <c r="P235" i="9" s="1"/>
  <c r="N236" i="9"/>
  <c r="P236" i="9" s="1"/>
  <c r="N237" i="9"/>
  <c r="P237" i="9" s="1"/>
  <c r="N238" i="9"/>
  <c r="P238" i="9" s="1"/>
  <c r="N239" i="9"/>
  <c r="P239" i="9" s="1"/>
  <c r="N240" i="9"/>
  <c r="P240" i="9" s="1"/>
  <c r="N241" i="9"/>
  <c r="P241" i="9" s="1"/>
  <c r="N242" i="9"/>
  <c r="P242" i="9" s="1"/>
  <c r="N243" i="9"/>
  <c r="P243" i="9" s="1"/>
  <c r="N244" i="9"/>
  <c r="P244" i="9" s="1"/>
  <c r="N245" i="9"/>
  <c r="P245" i="9" s="1"/>
  <c r="N246" i="9"/>
  <c r="P246" i="9" s="1"/>
  <c r="N247" i="9"/>
  <c r="P247" i="9" s="1"/>
  <c r="N248" i="9"/>
  <c r="P248" i="9" s="1"/>
  <c r="N249" i="9"/>
  <c r="P249" i="9" s="1"/>
  <c r="N250" i="9"/>
  <c r="P250" i="9" s="1"/>
  <c r="N251" i="9"/>
  <c r="P251" i="9" s="1"/>
  <c r="N252" i="9"/>
  <c r="P252" i="9" s="1"/>
  <c r="N253" i="9"/>
  <c r="P253" i="9" s="1"/>
  <c r="N254" i="9"/>
  <c r="P254" i="9" s="1"/>
  <c r="N255" i="9"/>
  <c r="P255" i="9" s="1"/>
  <c r="N256" i="9"/>
  <c r="P256" i="9" s="1"/>
  <c r="N257" i="9"/>
  <c r="P257" i="9" s="1"/>
  <c r="N258" i="9"/>
  <c r="P258" i="9" s="1"/>
  <c r="N259" i="9"/>
  <c r="P259" i="9" s="1"/>
  <c r="N260" i="9"/>
  <c r="P260" i="9" s="1"/>
  <c r="O261" i="9"/>
  <c r="N261" i="9" s="1"/>
  <c r="P261" i="9" s="1"/>
  <c r="O262" i="9"/>
  <c r="N262" i="9" s="1"/>
  <c r="P262" i="9" s="1"/>
  <c r="O263" i="9"/>
  <c r="N263" i="9" s="1"/>
  <c r="P263" i="9" s="1"/>
  <c r="N264" i="9"/>
  <c r="P264" i="9" s="1"/>
  <c r="N265" i="9"/>
  <c r="P265" i="9" s="1"/>
  <c r="N266" i="9"/>
  <c r="P266" i="9" s="1"/>
  <c r="N267" i="9"/>
  <c r="P267" i="9" s="1"/>
  <c r="N268" i="9"/>
  <c r="P268" i="9" s="1"/>
  <c r="N269" i="9"/>
  <c r="P269" i="9" s="1"/>
  <c r="N270" i="9"/>
  <c r="P270" i="9" s="1"/>
  <c r="N271" i="9"/>
  <c r="P271" i="9" s="1"/>
  <c r="N272" i="9"/>
  <c r="P272" i="9" s="1"/>
  <c r="N273" i="9"/>
  <c r="P273" i="9" s="1"/>
  <c r="N274" i="9"/>
  <c r="P274" i="9" s="1"/>
  <c r="N275" i="9"/>
  <c r="P275" i="9" s="1"/>
  <c r="N276" i="9"/>
  <c r="P276" i="9" s="1"/>
  <c r="N277" i="9"/>
  <c r="P277" i="9" s="1"/>
  <c r="N278" i="9"/>
  <c r="P278" i="9" s="1"/>
  <c r="N279" i="9"/>
  <c r="P279" i="9" s="1"/>
  <c r="N280" i="9"/>
  <c r="P280" i="9" s="1"/>
  <c r="N281" i="9"/>
  <c r="P281" i="9" s="1"/>
  <c r="N282" i="9"/>
  <c r="P282" i="9" s="1"/>
  <c r="N283" i="9"/>
  <c r="P283" i="9" s="1"/>
  <c r="N284" i="9"/>
  <c r="P284" i="9" s="1"/>
  <c r="N285" i="9"/>
  <c r="P285" i="9" s="1"/>
  <c r="N286" i="9"/>
  <c r="P286" i="9" s="1"/>
  <c r="N287" i="9"/>
  <c r="P287" i="9" s="1"/>
  <c r="N288" i="9"/>
  <c r="P288" i="9" s="1"/>
  <c r="N289" i="9"/>
  <c r="P289" i="9" s="1"/>
  <c r="N290" i="9"/>
  <c r="P290" i="9" s="1"/>
  <c r="N291" i="9"/>
  <c r="P291" i="9" s="1"/>
  <c r="N292" i="9"/>
  <c r="P292" i="9" s="1"/>
  <c r="N293" i="9"/>
  <c r="P293" i="9" s="1"/>
  <c r="N294" i="9"/>
  <c r="P294" i="9" s="1"/>
  <c r="N295" i="9"/>
  <c r="P295" i="9" s="1"/>
  <c r="N296" i="9"/>
  <c r="P296" i="9" s="1"/>
  <c r="N297" i="9"/>
  <c r="P297" i="9" s="1"/>
  <c r="N298" i="9"/>
  <c r="P298" i="9" s="1"/>
  <c r="N299" i="9"/>
  <c r="P299" i="9" s="1"/>
  <c r="N300" i="9"/>
  <c r="P300" i="9" s="1"/>
  <c r="N301" i="9"/>
  <c r="P301" i="9" s="1"/>
  <c r="N302" i="9"/>
  <c r="P302" i="9" s="1"/>
  <c r="N303" i="9"/>
  <c r="P303" i="9" s="1"/>
  <c r="N304" i="9"/>
  <c r="P304" i="9" s="1"/>
  <c r="O305" i="9"/>
  <c r="N305" i="9" s="1"/>
  <c r="P305" i="9" s="1"/>
  <c r="O306" i="9"/>
  <c r="N306" i="9" s="1"/>
  <c r="P306" i="9" s="1"/>
  <c r="O307" i="9"/>
  <c r="N307" i="9" s="1"/>
  <c r="P307" i="9" s="1"/>
  <c r="O308" i="9"/>
  <c r="N308" i="9" s="1"/>
  <c r="P308" i="9" s="1"/>
  <c r="O309" i="9"/>
  <c r="N309" i="9" s="1"/>
  <c r="P309" i="9" s="1"/>
  <c r="O310" i="9"/>
  <c r="N310" i="9" s="1"/>
  <c r="P310" i="9" s="1"/>
  <c r="O311" i="9"/>
  <c r="N311" i="9" s="1"/>
  <c r="P311" i="9" s="1"/>
  <c r="O312" i="9"/>
  <c r="N312" i="9" s="1"/>
  <c r="P312" i="9" s="1"/>
  <c r="O313" i="9"/>
  <c r="N313" i="9" s="1"/>
  <c r="P313" i="9" s="1"/>
  <c r="O314" i="9"/>
  <c r="N314" i="9" s="1"/>
  <c r="P314" i="9" s="1"/>
  <c r="O315" i="9"/>
  <c r="N315" i="9" s="1"/>
  <c r="P315" i="9" s="1"/>
  <c r="O316" i="9"/>
  <c r="N316" i="9" s="1"/>
  <c r="P316" i="9" s="1"/>
  <c r="O317" i="9"/>
  <c r="N317" i="9" s="1"/>
  <c r="P317" i="9" s="1"/>
  <c r="O318" i="9"/>
  <c r="N318" i="9" s="1"/>
  <c r="P318" i="9" s="1"/>
  <c r="O319" i="9"/>
  <c r="N319" i="9" s="1"/>
  <c r="P319" i="9" s="1"/>
  <c r="O320" i="9"/>
  <c r="N320" i="9" s="1"/>
  <c r="P320" i="9" s="1"/>
  <c r="O321" i="9"/>
  <c r="N321" i="9" s="1"/>
  <c r="P321" i="9" s="1"/>
  <c r="O322" i="9"/>
  <c r="N322" i="9" s="1"/>
  <c r="P322" i="9" s="1"/>
  <c r="O323" i="9"/>
  <c r="N323" i="9" s="1"/>
  <c r="P323" i="9" s="1"/>
  <c r="O324" i="9"/>
  <c r="N324" i="9" s="1"/>
  <c r="P324" i="9" s="1"/>
  <c r="O325" i="9"/>
  <c r="N325" i="9" s="1"/>
  <c r="P325" i="9" s="1"/>
  <c r="O326" i="9"/>
  <c r="N326" i="9" s="1"/>
  <c r="P326" i="9" s="1"/>
  <c r="O327" i="9"/>
  <c r="N327" i="9" s="1"/>
  <c r="P327" i="9" s="1"/>
  <c r="O328" i="9"/>
  <c r="N328" i="9" s="1"/>
  <c r="P328" i="9" s="1"/>
  <c r="O329" i="9"/>
  <c r="N329" i="9" s="1"/>
  <c r="P329" i="9" s="1"/>
  <c r="O330" i="9"/>
  <c r="N330" i="9" s="1"/>
  <c r="P330" i="9" s="1"/>
  <c r="O331" i="9"/>
  <c r="N331" i="9" s="1"/>
  <c r="P331" i="9" s="1"/>
  <c r="O332" i="9"/>
  <c r="N332" i="9" s="1"/>
  <c r="P332" i="9" s="1"/>
  <c r="O333" i="9"/>
  <c r="N333" i="9" s="1"/>
  <c r="P333" i="9" s="1"/>
  <c r="O409" i="9"/>
  <c r="N409" i="9" s="1"/>
  <c r="P409" i="9" s="1"/>
  <c r="O334" i="9"/>
  <c r="N334" i="9" s="1"/>
  <c r="P334" i="9" s="1"/>
  <c r="O335" i="9"/>
  <c r="N335" i="9" s="1"/>
  <c r="P335" i="9" s="1"/>
  <c r="O336" i="9"/>
  <c r="N336" i="9" s="1"/>
  <c r="P336" i="9" s="1"/>
  <c r="O337" i="9"/>
  <c r="N337" i="9" s="1"/>
  <c r="P337" i="9" s="1"/>
  <c r="O338" i="9"/>
  <c r="N338" i="9" s="1"/>
  <c r="P338" i="9" s="1"/>
  <c r="O339" i="9"/>
  <c r="N339" i="9" s="1"/>
  <c r="P339" i="9" s="1"/>
  <c r="O340" i="9"/>
  <c r="N340" i="9" s="1"/>
  <c r="P340" i="9" s="1"/>
  <c r="O341" i="9"/>
  <c r="N341" i="9" s="1"/>
  <c r="P341" i="9" s="1"/>
  <c r="N342" i="9"/>
  <c r="P342" i="9" s="1"/>
  <c r="N343" i="9"/>
  <c r="P343" i="9" s="1"/>
  <c r="N344" i="9"/>
  <c r="P344" i="9" s="1"/>
  <c r="N345" i="9"/>
  <c r="P345" i="9" s="1"/>
  <c r="N346" i="9"/>
  <c r="P346" i="9" s="1"/>
  <c r="N347" i="9"/>
  <c r="P347" i="9" s="1"/>
  <c r="N348" i="9"/>
  <c r="P348" i="9" s="1"/>
  <c r="N349" i="9"/>
  <c r="P349" i="9" s="1"/>
  <c r="N351" i="9"/>
  <c r="P351" i="9" s="1"/>
  <c r="N352" i="9"/>
  <c r="P352" i="9" s="1"/>
  <c r="N353" i="9"/>
  <c r="P353" i="9" s="1"/>
  <c r="N354" i="9"/>
  <c r="P354" i="9" s="1"/>
  <c r="N355" i="9"/>
  <c r="P355" i="9" s="1"/>
  <c r="N356" i="9"/>
  <c r="P356" i="9" s="1"/>
  <c r="N357" i="9"/>
  <c r="P357" i="9" s="1"/>
  <c r="N358" i="9"/>
  <c r="P358" i="9" s="1"/>
  <c r="N359" i="9"/>
  <c r="P359" i="9" s="1"/>
  <c r="N360" i="9"/>
  <c r="P360" i="9" s="1"/>
  <c r="N361" i="9"/>
  <c r="P361" i="9" s="1"/>
  <c r="N362" i="9"/>
  <c r="P362" i="9" s="1"/>
  <c r="N363" i="9"/>
  <c r="P363" i="9" s="1"/>
  <c r="N364" i="9"/>
  <c r="P364" i="9" s="1"/>
  <c r="N365" i="9"/>
  <c r="P365" i="9" s="1"/>
  <c r="N366" i="9"/>
  <c r="P366" i="9" s="1"/>
  <c r="N367" i="9"/>
  <c r="P367" i="9" s="1"/>
  <c r="N368" i="9"/>
  <c r="P368" i="9" s="1"/>
  <c r="N369" i="9"/>
  <c r="P369" i="9" s="1"/>
  <c r="N370" i="9"/>
  <c r="P370" i="9" s="1"/>
  <c r="N371" i="9"/>
  <c r="P371" i="9" s="1"/>
  <c r="N372" i="9"/>
  <c r="P372" i="9" s="1"/>
  <c r="N373" i="9"/>
  <c r="P373" i="9" s="1"/>
  <c r="N392" i="9"/>
  <c r="P392" i="9" s="1"/>
  <c r="N393" i="9"/>
  <c r="P393" i="9" s="1"/>
  <c r="N394" i="9"/>
  <c r="P394" i="9" s="1"/>
  <c r="N396" i="9"/>
  <c r="P396" i="9" s="1"/>
  <c r="N397" i="9"/>
  <c r="P397" i="9" s="1"/>
  <c r="N398" i="9"/>
  <c r="P398" i="9" s="1"/>
  <c r="N399" i="9"/>
  <c r="P399" i="9" s="1"/>
  <c r="N400" i="9"/>
  <c r="P400" i="9" s="1"/>
  <c r="N401" i="9"/>
  <c r="P401" i="9" s="1"/>
  <c r="N402" i="9"/>
  <c r="P402" i="9" s="1"/>
  <c r="N403" i="9"/>
  <c r="P403" i="9" s="1"/>
  <c r="N404" i="9"/>
  <c r="P404" i="9" s="1"/>
  <c r="N405" i="9"/>
  <c r="P405" i="9" s="1"/>
  <c r="N406" i="9"/>
  <c r="P406" i="9" s="1"/>
  <c r="N407" i="9"/>
  <c r="P407" i="9" s="1"/>
  <c r="N408" i="9"/>
  <c r="P408" i="9" s="1"/>
  <c r="N410" i="9"/>
  <c r="P410" i="9" s="1"/>
  <c r="N411" i="9"/>
  <c r="P411" i="9" s="1"/>
  <c r="N412" i="9"/>
  <c r="P412" i="9" s="1"/>
  <c r="N413" i="9"/>
  <c r="P413" i="9" s="1"/>
  <c r="N414" i="9"/>
  <c r="P414" i="9" s="1"/>
  <c r="N415" i="9"/>
  <c r="P415" i="9" s="1"/>
  <c r="N416" i="9"/>
  <c r="P416" i="9" s="1"/>
  <c r="N417" i="9"/>
  <c r="P417" i="9" s="1"/>
  <c r="N418" i="9"/>
  <c r="P418" i="9" s="1"/>
  <c r="N419" i="9"/>
  <c r="P419" i="9" s="1"/>
  <c r="N420" i="9"/>
  <c r="P420" i="9" s="1"/>
  <c r="N421" i="9"/>
  <c r="P421" i="9" s="1"/>
  <c r="N422" i="9"/>
  <c r="P422" i="9" s="1"/>
  <c r="N424" i="9"/>
  <c r="P424" i="9" s="1"/>
  <c r="N425" i="9"/>
  <c r="P425" i="9" s="1"/>
  <c r="N426" i="9"/>
  <c r="P426" i="9" s="1"/>
  <c r="N427" i="9"/>
  <c r="P427" i="9" s="1"/>
  <c r="N428" i="9"/>
  <c r="P428" i="9" s="1"/>
  <c r="N429" i="9"/>
  <c r="P429" i="9" s="1"/>
  <c r="N430" i="9"/>
  <c r="P430" i="9" s="1"/>
  <c r="N431" i="9"/>
  <c r="P431" i="9" s="1"/>
  <c r="N433" i="9"/>
  <c r="P433" i="9" s="1"/>
  <c r="N434" i="9"/>
  <c r="P434" i="9" s="1"/>
  <c r="N435" i="9"/>
  <c r="P435" i="9" s="1"/>
  <c r="N436" i="9"/>
  <c r="P436" i="9" s="1"/>
  <c r="N437" i="9"/>
  <c r="P437" i="9" s="1"/>
  <c r="N438" i="9"/>
  <c r="P438" i="9" s="1"/>
  <c r="N439" i="9"/>
  <c r="P439" i="9" s="1"/>
  <c r="N440" i="9"/>
  <c r="P440" i="9" s="1"/>
  <c r="N442" i="9"/>
  <c r="P442" i="9" s="1"/>
  <c r="O374" i="9"/>
  <c r="N374" i="9" s="1"/>
  <c r="P374" i="9" s="1"/>
  <c r="O443" i="9"/>
  <c r="N443" i="9" s="1"/>
  <c r="P443" i="9" s="1"/>
  <c r="O444" i="9"/>
  <c r="N444" i="9" s="1"/>
  <c r="P444" i="9" s="1"/>
  <c r="O445" i="9"/>
  <c r="N445" i="9" s="1"/>
  <c r="P445" i="9" s="1"/>
  <c r="N446" i="9"/>
  <c r="P446" i="9" s="1"/>
  <c r="N447" i="9"/>
  <c r="P447" i="9" s="1"/>
  <c r="N448" i="9"/>
  <c r="P448" i="9" s="1"/>
  <c r="N449" i="9"/>
  <c r="P449" i="9" s="1"/>
  <c r="N450" i="9"/>
  <c r="P450" i="9" s="1"/>
  <c r="N451" i="9"/>
  <c r="P451" i="9" s="1"/>
  <c r="N452" i="9"/>
  <c r="P452" i="9" s="1"/>
  <c r="N453" i="9"/>
  <c r="P453" i="9" s="1"/>
  <c r="N454" i="9"/>
  <c r="P454" i="9" s="1"/>
  <c r="O455" i="9"/>
  <c r="N455" i="9" s="1"/>
  <c r="P455" i="9" s="1"/>
  <c r="O456" i="9"/>
  <c r="N456" i="9" s="1"/>
  <c r="P456" i="9" s="1"/>
  <c r="O457" i="9"/>
  <c r="N457" i="9" s="1"/>
  <c r="P457" i="9" s="1"/>
  <c r="O458" i="9"/>
  <c r="N458" i="9" s="1"/>
  <c r="P458" i="9" s="1"/>
  <c r="O459" i="9"/>
  <c r="N459" i="9" s="1"/>
  <c r="P459" i="9" s="1"/>
  <c r="O460" i="9"/>
  <c r="N460" i="9" s="1"/>
  <c r="P460" i="9" s="1"/>
  <c r="O461" i="9"/>
  <c r="N461" i="9" s="1"/>
  <c r="P461" i="9" s="1"/>
  <c r="O462" i="9"/>
  <c r="N462" i="9" s="1"/>
  <c r="P462" i="9" s="1"/>
  <c r="O463" i="9"/>
  <c r="N463" i="9" s="1"/>
  <c r="P463" i="9" s="1"/>
  <c r="O464" i="9"/>
  <c r="N464" i="9" s="1"/>
  <c r="P464" i="9" s="1"/>
  <c r="O465" i="9"/>
  <c r="N465" i="9" s="1"/>
  <c r="P465" i="9" s="1"/>
  <c r="N466" i="9"/>
  <c r="P466" i="9" s="1"/>
  <c r="O467" i="9"/>
  <c r="N467" i="9" s="1"/>
  <c r="P467" i="9" s="1"/>
  <c r="O468" i="9"/>
  <c r="N468" i="9" s="1"/>
  <c r="P468" i="9" s="1"/>
  <c r="O469" i="9"/>
  <c r="N469" i="9" s="1"/>
  <c r="P469" i="9" s="1"/>
  <c r="O470" i="9"/>
  <c r="N470" i="9" s="1"/>
  <c r="P470" i="9" s="1"/>
  <c r="O471" i="9"/>
  <c r="N471" i="9" s="1"/>
  <c r="P471" i="9" s="1"/>
  <c r="O472" i="9"/>
  <c r="N472" i="9" s="1"/>
  <c r="P472" i="9" s="1"/>
  <c r="O473" i="9"/>
  <c r="N473" i="9" s="1"/>
  <c r="P473" i="9" s="1"/>
  <c r="O474" i="9"/>
  <c r="N474" i="9" s="1"/>
  <c r="P474" i="9" s="1"/>
  <c r="O475" i="9"/>
  <c r="N475" i="9" s="1"/>
  <c r="P475" i="9" s="1"/>
  <c r="O476" i="9"/>
  <c r="N476" i="9" s="1"/>
  <c r="P476" i="9" s="1"/>
  <c r="O477" i="9"/>
  <c r="N477" i="9" s="1"/>
  <c r="P477" i="9" s="1"/>
  <c r="O478" i="9"/>
  <c r="N478" i="9" s="1"/>
  <c r="P478" i="9" s="1"/>
  <c r="O479" i="9"/>
  <c r="N479" i="9" s="1"/>
  <c r="P479" i="9" s="1"/>
  <c r="O480" i="9"/>
  <c r="N480" i="9" s="1"/>
  <c r="P480" i="9" s="1"/>
  <c r="O481" i="9"/>
  <c r="N481" i="9" s="1"/>
  <c r="P481" i="9" s="1"/>
  <c r="O482" i="9"/>
  <c r="N482" i="9" s="1"/>
  <c r="P482" i="9" s="1"/>
  <c r="O483" i="9"/>
  <c r="N483" i="9" s="1"/>
  <c r="P483" i="9" s="1"/>
  <c r="O485" i="9"/>
  <c r="N485" i="9" s="1"/>
  <c r="P485" i="9" s="1"/>
  <c r="O486" i="9"/>
  <c r="N486" i="9" s="1"/>
  <c r="P486" i="9" s="1"/>
  <c r="O487" i="9"/>
  <c r="N487" i="9" s="1"/>
  <c r="P487" i="9" s="1"/>
  <c r="O488" i="9"/>
  <c r="N488" i="9" s="1"/>
  <c r="P488" i="9" s="1"/>
  <c r="O489" i="9"/>
  <c r="N489" i="9" s="1"/>
  <c r="P489" i="9" s="1"/>
  <c r="O490" i="9"/>
  <c r="N490" i="9" s="1"/>
  <c r="P490" i="9" s="1"/>
  <c r="O491" i="9"/>
  <c r="N491" i="9" s="1"/>
  <c r="P491" i="9" s="1"/>
  <c r="O492" i="9"/>
  <c r="N492" i="9" s="1"/>
  <c r="P492" i="9" s="1"/>
  <c r="O493" i="9"/>
  <c r="N493" i="9" s="1"/>
  <c r="P493" i="9" s="1"/>
  <c r="O494" i="9"/>
  <c r="N494" i="9" s="1"/>
  <c r="P494" i="9" s="1"/>
  <c r="O495" i="9"/>
  <c r="N495" i="9" s="1"/>
  <c r="P495" i="9" s="1"/>
  <c r="O496" i="9"/>
  <c r="N496" i="9" s="1"/>
  <c r="P496" i="9" s="1"/>
  <c r="O497" i="9"/>
  <c r="N497" i="9" s="1"/>
  <c r="P497" i="9" s="1"/>
  <c r="O498" i="9"/>
  <c r="N498" i="9" s="1"/>
  <c r="P498" i="9" s="1"/>
  <c r="O499" i="9"/>
  <c r="N499" i="9" s="1"/>
  <c r="P499" i="9" s="1"/>
  <c r="O500" i="9"/>
  <c r="N500" i="9" s="1"/>
  <c r="P500" i="9" s="1"/>
  <c r="O501" i="9"/>
  <c r="N501" i="9" s="1"/>
  <c r="P501" i="9" s="1"/>
  <c r="O502" i="9"/>
  <c r="N502" i="9" s="1"/>
  <c r="P502" i="9" s="1"/>
  <c r="O503" i="9"/>
  <c r="N503" i="9" s="1"/>
  <c r="P503" i="9" s="1"/>
  <c r="O504" i="9"/>
  <c r="N504" i="9" s="1"/>
  <c r="P504" i="9" s="1"/>
  <c r="O505" i="9"/>
  <c r="N505" i="9" s="1"/>
  <c r="P505" i="9" s="1"/>
  <c r="O506" i="9"/>
  <c r="N506" i="9" s="1"/>
  <c r="P506" i="9" s="1"/>
  <c r="O507" i="9"/>
  <c r="N507" i="9" s="1"/>
  <c r="P507" i="9" s="1"/>
  <c r="N508" i="9"/>
  <c r="P508" i="9" s="1"/>
  <c r="N509" i="9"/>
  <c r="P509" i="9" s="1"/>
  <c r="O188" i="9"/>
  <c r="N188" i="9" s="1"/>
  <c r="P188" i="9" s="1"/>
  <c r="O189" i="9"/>
  <c r="N189" i="9" s="1"/>
  <c r="P189" i="9" s="1"/>
  <c r="N510" i="9"/>
  <c r="P510" i="9" s="1"/>
  <c r="N511" i="9"/>
  <c r="P511" i="9" s="1"/>
  <c r="N512" i="9"/>
  <c r="P512" i="9" s="1"/>
  <c r="N513" i="9"/>
  <c r="P513" i="9" s="1"/>
  <c r="N514" i="9"/>
  <c r="P514" i="9" s="1"/>
  <c r="N515" i="9"/>
  <c r="P515" i="9" s="1"/>
  <c r="N516" i="9"/>
  <c r="P516" i="9" s="1"/>
  <c r="N517" i="9"/>
  <c r="P517" i="9" s="1"/>
  <c r="N518" i="9"/>
  <c r="P518" i="9" s="1"/>
  <c r="N519" i="9"/>
  <c r="P519" i="9" s="1"/>
  <c r="N520" i="9"/>
  <c r="P520" i="9" s="1"/>
  <c r="N521" i="9"/>
  <c r="P521" i="9" s="1"/>
  <c r="N522" i="9"/>
  <c r="P522" i="9" s="1"/>
  <c r="N523" i="9"/>
  <c r="P523" i="9" s="1"/>
  <c r="N524" i="9"/>
  <c r="P524" i="9" s="1"/>
  <c r="N525" i="9"/>
  <c r="P525" i="9" s="1"/>
  <c r="N526" i="9"/>
  <c r="P526" i="9" s="1"/>
  <c r="N527" i="9"/>
  <c r="P527" i="9" s="1"/>
  <c r="N528" i="9"/>
  <c r="P528" i="9" s="1"/>
  <c r="N529" i="9"/>
  <c r="P529" i="9" s="1"/>
  <c r="N530" i="9"/>
  <c r="P530" i="9" s="1"/>
  <c r="N531" i="9"/>
  <c r="P531" i="9" s="1"/>
  <c r="N532" i="9"/>
  <c r="P532" i="9" s="1"/>
  <c r="N533" i="9"/>
  <c r="P533" i="9" s="1"/>
  <c r="N534" i="9"/>
  <c r="P534" i="9" s="1"/>
  <c r="N535" i="9"/>
  <c r="P535" i="9" s="1"/>
  <c r="N536" i="9"/>
  <c r="P536" i="9" s="1"/>
  <c r="N537" i="9"/>
  <c r="P537" i="9" s="1"/>
  <c r="N538" i="9"/>
  <c r="P538" i="9" s="1"/>
  <c r="N539" i="9"/>
  <c r="P539" i="9" s="1"/>
  <c r="N540" i="9"/>
  <c r="P540" i="9" s="1"/>
  <c r="N541" i="9"/>
  <c r="P541" i="9" s="1"/>
  <c r="N542" i="9"/>
  <c r="P542" i="9" s="1"/>
  <c r="N543" i="9"/>
  <c r="P543" i="9" s="1"/>
  <c r="N544" i="9"/>
  <c r="P544" i="9" s="1"/>
  <c r="N545" i="9"/>
  <c r="P545" i="9" s="1"/>
  <c r="N546" i="9"/>
  <c r="P546" i="9" s="1"/>
  <c r="N547" i="9"/>
  <c r="P547" i="9" s="1"/>
  <c r="N548" i="9"/>
  <c r="P548" i="9" s="1"/>
  <c r="N549" i="9"/>
  <c r="P549" i="9" s="1"/>
  <c r="N550" i="9"/>
  <c r="P550" i="9" s="1"/>
  <c r="N551" i="9"/>
  <c r="P551" i="9" s="1"/>
  <c r="N552" i="9"/>
  <c r="P552" i="9" s="1"/>
  <c r="N553" i="9"/>
  <c r="P553" i="9" s="1"/>
  <c r="N554" i="9"/>
  <c r="P554" i="9" s="1"/>
  <c r="N555" i="9"/>
  <c r="P555" i="9" s="1"/>
  <c r="N556" i="9"/>
  <c r="P556" i="9" s="1"/>
  <c r="N557" i="9"/>
  <c r="P557" i="9" s="1"/>
  <c r="N558" i="9"/>
  <c r="P558" i="9" s="1"/>
  <c r="N559" i="9"/>
  <c r="P559" i="9" s="1"/>
  <c r="N560" i="9"/>
  <c r="P560" i="9" s="1"/>
  <c r="N561" i="9"/>
  <c r="P561" i="9" s="1"/>
  <c r="N562" i="9"/>
  <c r="P562" i="9" s="1"/>
  <c r="N563" i="9"/>
  <c r="P563" i="9" s="1"/>
  <c r="N564" i="9"/>
  <c r="P564" i="9" s="1"/>
  <c r="N565" i="9"/>
  <c r="P565" i="9" s="1"/>
  <c r="N566" i="9"/>
  <c r="P566" i="9" s="1"/>
  <c r="N567" i="9"/>
  <c r="P567" i="9" s="1"/>
  <c r="N568" i="9"/>
  <c r="P568" i="9" s="1"/>
  <c r="N569" i="9"/>
  <c r="P569" i="9" s="1"/>
  <c r="N570" i="9"/>
  <c r="P570" i="9" s="1"/>
  <c r="N571" i="9"/>
  <c r="P571" i="9" s="1"/>
  <c r="N572" i="9"/>
  <c r="P572" i="9" s="1"/>
  <c r="N573" i="9"/>
  <c r="P573" i="9" s="1"/>
  <c r="N574" i="9"/>
  <c r="P574" i="9" s="1"/>
  <c r="N575" i="9"/>
  <c r="P575" i="9" s="1"/>
  <c r="N576" i="9"/>
  <c r="P576" i="9" s="1"/>
  <c r="N577" i="9"/>
  <c r="P577" i="9" s="1"/>
  <c r="N578" i="9"/>
  <c r="P578" i="9" s="1"/>
  <c r="N579" i="9"/>
  <c r="P579" i="9" s="1"/>
  <c r="N580" i="9"/>
  <c r="P580" i="9" s="1"/>
  <c r="N581" i="9"/>
  <c r="P581" i="9" s="1"/>
  <c r="N582" i="9"/>
  <c r="P582" i="9" s="1"/>
  <c r="N583" i="9"/>
  <c r="P583" i="9" s="1"/>
  <c r="N584" i="9"/>
  <c r="P584" i="9" s="1"/>
  <c r="N585" i="9"/>
  <c r="P585" i="9" s="1"/>
  <c r="N586" i="9"/>
  <c r="P586" i="9" s="1"/>
  <c r="N587" i="9"/>
  <c r="P587" i="9" s="1"/>
  <c r="N588" i="9"/>
  <c r="P588" i="9" s="1"/>
  <c r="N589" i="9"/>
  <c r="P589" i="9" s="1"/>
  <c r="N590" i="9"/>
  <c r="P590" i="9" s="1"/>
  <c r="N591" i="9"/>
  <c r="P591" i="9" s="1"/>
  <c r="N592" i="9"/>
  <c r="P592" i="9" s="1"/>
  <c r="N593" i="9"/>
  <c r="P593" i="9" s="1"/>
  <c r="N594" i="9"/>
  <c r="P594" i="9" s="1"/>
  <c r="N595" i="9"/>
  <c r="P595" i="9" s="1"/>
  <c r="N596" i="9"/>
  <c r="P596" i="9" s="1"/>
  <c r="N597" i="9"/>
  <c r="P597" i="9" s="1"/>
  <c r="N598" i="9"/>
  <c r="P598" i="9" s="1"/>
  <c r="N599" i="9"/>
  <c r="P599" i="9" s="1"/>
  <c r="N600" i="9"/>
  <c r="P600" i="9" s="1"/>
  <c r="N601" i="9"/>
  <c r="P601" i="9" s="1"/>
  <c r="N602" i="9"/>
  <c r="P602" i="9" s="1"/>
  <c r="N603" i="9"/>
  <c r="P603" i="9" s="1"/>
  <c r="N604" i="9"/>
  <c r="P604" i="9" s="1"/>
  <c r="N605" i="9"/>
  <c r="P605" i="9" s="1"/>
  <c r="N606" i="9"/>
  <c r="P606" i="9" s="1"/>
  <c r="N607" i="9"/>
  <c r="P607" i="9" s="1"/>
  <c r="N608" i="9"/>
  <c r="P608" i="9" s="1"/>
  <c r="N609" i="9"/>
  <c r="P609" i="9" s="1"/>
  <c r="N610" i="9"/>
  <c r="P610" i="9" s="1"/>
  <c r="N611" i="9"/>
  <c r="P611" i="9" s="1"/>
  <c r="N612" i="9"/>
  <c r="P612" i="9" s="1"/>
  <c r="N613" i="9"/>
  <c r="P613" i="9" s="1"/>
  <c r="N614" i="9"/>
  <c r="P614" i="9" s="1"/>
  <c r="N615" i="9"/>
  <c r="P615" i="9" s="1"/>
  <c r="N616" i="9"/>
  <c r="P616" i="9" s="1"/>
  <c r="N617" i="9"/>
  <c r="P617" i="9" s="1"/>
  <c r="N618" i="9"/>
  <c r="P618" i="9" s="1"/>
  <c r="N619" i="9"/>
  <c r="P619" i="9" s="1"/>
  <c r="N620" i="9"/>
  <c r="P620" i="9" s="1"/>
  <c r="N621" i="9"/>
  <c r="P621" i="9" s="1"/>
  <c r="N622" i="9"/>
  <c r="P622" i="9" s="1"/>
  <c r="N623" i="9"/>
  <c r="P623" i="9" s="1"/>
  <c r="N624" i="9"/>
  <c r="P624" i="9" s="1"/>
  <c r="N625" i="9"/>
  <c r="P625" i="9" s="1"/>
  <c r="N626" i="9"/>
  <c r="P626" i="9" s="1"/>
  <c r="N627" i="9"/>
  <c r="P627" i="9" s="1"/>
  <c r="N628" i="9"/>
  <c r="P628" i="9" s="1"/>
  <c r="N629" i="9"/>
  <c r="P629" i="9" s="1"/>
  <c r="N630" i="9"/>
  <c r="P630" i="9" s="1"/>
  <c r="N631" i="9"/>
  <c r="P631" i="9" s="1"/>
  <c r="N632" i="9"/>
  <c r="P632" i="9" s="1"/>
  <c r="N633" i="9"/>
  <c r="P633" i="9" s="1"/>
  <c r="N634" i="9"/>
  <c r="P634" i="9" s="1"/>
  <c r="N635" i="9"/>
  <c r="P635" i="9" s="1"/>
  <c r="N636" i="9"/>
  <c r="P636" i="9" s="1"/>
  <c r="N637" i="9"/>
  <c r="P637" i="9" s="1"/>
  <c r="N638" i="9"/>
  <c r="P638" i="9" s="1"/>
  <c r="N639" i="9"/>
  <c r="P639" i="9" s="1"/>
  <c r="N640" i="9"/>
  <c r="P640" i="9" s="1"/>
  <c r="N641" i="9"/>
  <c r="P641" i="9" s="1"/>
  <c r="N642" i="9"/>
  <c r="P642" i="9" s="1"/>
  <c r="N643" i="9"/>
  <c r="P643" i="9" s="1"/>
  <c r="N644" i="9"/>
  <c r="P644" i="9" s="1"/>
  <c r="O645" i="9"/>
  <c r="N645" i="9" s="1"/>
  <c r="P645" i="9" s="1"/>
  <c r="O646" i="9"/>
  <c r="N646" i="9" s="1"/>
  <c r="P646" i="9" s="1"/>
  <c r="O647" i="9"/>
  <c r="N647" i="9" s="1"/>
  <c r="P647" i="9" s="1"/>
  <c r="O648" i="9"/>
  <c r="N648" i="9" s="1"/>
  <c r="P648" i="9" s="1"/>
  <c r="O649" i="9"/>
  <c r="N649" i="9" s="1"/>
  <c r="P649" i="9" s="1"/>
  <c r="O650" i="9"/>
  <c r="N650" i="9" s="1"/>
  <c r="P650" i="9" s="1"/>
  <c r="O651" i="9"/>
  <c r="N651" i="9" s="1"/>
  <c r="P651" i="9" s="1"/>
  <c r="O652" i="9"/>
  <c r="N652" i="9" s="1"/>
  <c r="P652" i="9" s="1"/>
  <c r="O653" i="9"/>
  <c r="N653" i="9" s="1"/>
  <c r="P653" i="9" s="1"/>
  <c r="O654" i="9"/>
  <c r="N654" i="9" s="1"/>
  <c r="P654" i="9" s="1"/>
  <c r="O655" i="9"/>
  <c r="N655" i="9" s="1"/>
  <c r="P655" i="9" s="1"/>
  <c r="O656" i="9"/>
  <c r="N656" i="9" s="1"/>
  <c r="P656" i="9" s="1"/>
  <c r="O657" i="9"/>
  <c r="N657" i="9" s="1"/>
  <c r="P657" i="9" s="1"/>
  <c r="O658" i="9"/>
  <c r="N658" i="9" s="1"/>
  <c r="P658" i="9" s="1"/>
  <c r="O659" i="9"/>
  <c r="N659" i="9" s="1"/>
  <c r="P659" i="9" s="1"/>
  <c r="O660" i="9"/>
  <c r="N660" i="9" s="1"/>
  <c r="P660" i="9" s="1"/>
  <c r="O661" i="9"/>
  <c r="N661" i="9" s="1"/>
  <c r="P661" i="9" s="1"/>
  <c r="O662" i="9"/>
  <c r="N662" i="9" s="1"/>
  <c r="P662" i="9" s="1"/>
  <c r="O663" i="9"/>
  <c r="N663" i="9" s="1"/>
  <c r="P663" i="9" s="1"/>
  <c r="O664" i="9"/>
  <c r="N664" i="9" s="1"/>
  <c r="P664" i="9" s="1"/>
  <c r="N665" i="9"/>
  <c r="P665" i="9" s="1"/>
  <c r="N666" i="9"/>
  <c r="P666" i="9" s="1"/>
  <c r="N667" i="9"/>
  <c r="P667" i="9" s="1"/>
  <c r="N668" i="9"/>
  <c r="P668" i="9" s="1"/>
  <c r="N669" i="9"/>
  <c r="P669" i="9" s="1"/>
  <c r="N670" i="9"/>
  <c r="P670" i="9" s="1"/>
  <c r="N671" i="9"/>
  <c r="P671" i="9" s="1"/>
  <c r="N672" i="9"/>
  <c r="P672" i="9" s="1"/>
  <c r="N673" i="9"/>
  <c r="P673" i="9" s="1"/>
  <c r="N674" i="9"/>
  <c r="P674" i="9" s="1"/>
  <c r="N675" i="9"/>
  <c r="P675" i="9" s="1"/>
  <c r="N676" i="9"/>
  <c r="P676" i="9" s="1"/>
  <c r="N677" i="9"/>
  <c r="P677" i="9" s="1"/>
  <c r="N678" i="9"/>
  <c r="P678" i="9" s="1"/>
  <c r="N679" i="9"/>
  <c r="P679" i="9" s="1"/>
  <c r="N680" i="9"/>
  <c r="P680" i="9" s="1"/>
  <c r="N681" i="9"/>
  <c r="P681" i="9" s="1"/>
  <c r="N682" i="9"/>
  <c r="P682" i="9" s="1"/>
  <c r="N683" i="9"/>
  <c r="P683" i="9" s="1"/>
  <c r="N684" i="9"/>
  <c r="P684" i="9" s="1"/>
  <c r="N685" i="9"/>
  <c r="P685" i="9" s="1"/>
  <c r="N686" i="9"/>
  <c r="P686" i="9" s="1"/>
  <c r="N687" i="9"/>
  <c r="P687" i="9" s="1"/>
  <c r="N688" i="9"/>
  <c r="P688" i="9" s="1"/>
  <c r="N689" i="9"/>
  <c r="P689" i="9" s="1"/>
  <c r="N690" i="9"/>
  <c r="P690" i="9" s="1"/>
  <c r="N691" i="9"/>
  <c r="P691" i="9" s="1"/>
  <c r="N692" i="9"/>
  <c r="P692" i="9" s="1"/>
  <c r="N693" i="9"/>
  <c r="P693" i="9" s="1"/>
  <c r="N694" i="9"/>
  <c r="P694" i="9" s="1"/>
  <c r="N695" i="9"/>
  <c r="P695" i="9" s="1"/>
  <c r="N696" i="9"/>
  <c r="P696" i="9" s="1"/>
  <c r="N697" i="9"/>
  <c r="P697" i="9" s="1"/>
  <c r="N698" i="9"/>
  <c r="P698" i="9" s="1"/>
  <c r="N699" i="9"/>
  <c r="P699" i="9" s="1"/>
  <c r="N700" i="9"/>
  <c r="P700" i="9" s="1"/>
  <c r="N701" i="9"/>
  <c r="P701" i="9" s="1"/>
  <c r="N702" i="9"/>
  <c r="P702" i="9" s="1"/>
  <c r="N703" i="9"/>
  <c r="P703" i="9" s="1"/>
  <c r="N704" i="9"/>
  <c r="P704" i="9" s="1"/>
  <c r="N705" i="9"/>
  <c r="P705" i="9" s="1"/>
  <c r="N706" i="9"/>
  <c r="P706" i="9" s="1"/>
  <c r="N707" i="9"/>
  <c r="P707" i="9" s="1"/>
  <c r="N708" i="9"/>
  <c r="P708" i="9" s="1"/>
  <c r="N709" i="9"/>
  <c r="P709" i="9" s="1"/>
  <c r="N710" i="9"/>
  <c r="P710" i="9" s="1"/>
  <c r="N711" i="9"/>
  <c r="P711" i="9" s="1"/>
  <c r="N712" i="9"/>
  <c r="P712" i="9" s="1"/>
  <c r="N713" i="9"/>
  <c r="P713" i="9" s="1"/>
  <c r="N714" i="9"/>
  <c r="P714" i="9" s="1"/>
  <c r="N715" i="9"/>
  <c r="P715" i="9" s="1"/>
  <c r="N716" i="9"/>
  <c r="P716" i="9" s="1"/>
  <c r="N717" i="9"/>
  <c r="P717" i="9" s="1"/>
  <c r="N718" i="9"/>
  <c r="P718" i="9" s="1"/>
  <c r="N719" i="9"/>
  <c r="P719" i="9" s="1"/>
  <c r="N720" i="9"/>
  <c r="P720" i="9" s="1"/>
  <c r="N721" i="9"/>
  <c r="P721" i="9" s="1"/>
  <c r="N722" i="9"/>
  <c r="P722" i="9" s="1"/>
  <c r="N723" i="9"/>
  <c r="P723" i="9" s="1"/>
  <c r="N724" i="9"/>
  <c r="P724" i="9" s="1"/>
  <c r="N725" i="9"/>
  <c r="P725" i="9" s="1"/>
  <c r="N726" i="9"/>
  <c r="P726" i="9" s="1"/>
  <c r="N727" i="9"/>
  <c r="P727" i="9" s="1"/>
  <c r="N728" i="9"/>
  <c r="P728" i="9" s="1"/>
  <c r="N729" i="9"/>
  <c r="P729" i="9" s="1"/>
  <c r="N730" i="9"/>
  <c r="P730" i="9" s="1"/>
  <c r="N731" i="9"/>
  <c r="P731" i="9" s="1"/>
  <c r="N732" i="9"/>
  <c r="P732" i="9" s="1"/>
  <c r="N733" i="9"/>
  <c r="P733" i="9" s="1"/>
  <c r="N734" i="9"/>
  <c r="P734" i="9" s="1"/>
  <c r="N735" i="9"/>
  <c r="P735" i="9" s="1"/>
  <c r="N736" i="9"/>
  <c r="P736" i="9" s="1"/>
  <c r="N737" i="9"/>
  <c r="P737" i="9" s="1"/>
  <c r="N738" i="9"/>
  <c r="P738" i="9" s="1"/>
  <c r="N739" i="9"/>
  <c r="P739" i="9" s="1"/>
  <c r="N740" i="9"/>
  <c r="P740" i="9" s="1"/>
  <c r="N741" i="9"/>
  <c r="P741" i="9" s="1"/>
  <c r="N742" i="9"/>
  <c r="P742" i="9" s="1"/>
  <c r="N743" i="9"/>
  <c r="P743" i="9" s="1"/>
  <c r="N744" i="9"/>
  <c r="P744" i="9" s="1"/>
  <c r="N745" i="9"/>
  <c r="P745" i="9" s="1"/>
  <c r="N746" i="9"/>
  <c r="P746" i="9" s="1"/>
  <c r="N747" i="9"/>
  <c r="P747" i="9" s="1"/>
  <c r="N748" i="9"/>
  <c r="P748" i="9" s="1"/>
  <c r="N749" i="9"/>
  <c r="P749" i="9" s="1"/>
  <c r="N750" i="9"/>
  <c r="P750" i="9" s="1"/>
  <c r="N751" i="9"/>
  <c r="P751" i="9" s="1"/>
  <c r="N752" i="9"/>
  <c r="P752" i="9" s="1"/>
  <c r="N753" i="9"/>
  <c r="P753" i="9" s="1"/>
  <c r="N754" i="9"/>
  <c r="P754" i="9" s="1"/>
  <c r="N765" i="9"/>
  <c r="P765" i="9" s="1"/>
  <c r="N766" i="9"/>
  <c r="P766" i="9" s="1"/>
  <c r="N767" i="9"/>
  <c r="P767" i="9" s="1"/>
  <c r="N768" i="9"/>
  <c r="P768" i="9" s="1"/>
  <c r="N769" i="9"/>
  <c r="P769" i="9" s="1"/>
  <c r="N770" i="9"/>
  <c r="P770" i="9" s="1"/>
  <c r="N771" i="9"/>
  <c r="P771" i="9" s="1"/>
  <c r="N772" i="9"/>
  <c r="P772" i="9" s="1"/>
  <c r="N773" i="9"/>
  <c r="P773" i="9" s="1"/>
  <c r="N778" i="9"/>
  <c r="P778" i="9" s="1"/>
  <c r="N779" i="9"/>
  <c r="P779" i="9" s="1"/>
  <c r="N780" i="9"/>
  <c r="P780" i="9" s="1"/>
  <c r="N781" i="9"/>
  <c r="P781" i="9" s="1"/>
  <c r="O782" i="9"/>
  <c r="N782" i="9" s="1"/>
  <c r="P782" i="9" s="1"/>
  <c r="O783" i="9"/>
  <c r="N783" i="9" s="1"/>
  <c r="P783" i="9" s="1"/>
  <c r="O784" i="9"/>
  <c r="N784" i="9" s="1"/>
  <c r="P784" i="9" s="1"/>
  <c r="O785" i="9"/>
  <c r="N785" i="9" s="1"/>
  <c r="P785" i="9" s="1"/>
  <c r="O786" i="9"/>
  <c r="N786" i="9" s="1"/>
  <c r="P786" i="9" s="1"/>
  <c r="O787" i="9"/>
  <c r="N787" i="9" s="1"/>
  <c r="P787" i="9" s="1"/>
  <c r="O788" i="9"/>
  <c r="N788" i="9" s="1"/>
  <c r="P788" i="9" s="1"/>
  <c r="O789" i="9"/>
  <c r="N789" i="9" s="1"/>
  <c r="P789" i="9" s="1"/>
  <c r="O790" i="9"/>
  <c r="N790" i="9" s="1"/>
  <c r="P790" i="9" s="1"/>
  <c r="O791" i="9"/>
  <c r="N791" i="9" s="1"/>
  <c r="P791" i="9" s="1"/>
  <c r="O792" i="9"/>
  <c r="N792" i="9" s="1"/>
  <c r="P792" i="9" s="1"/>
  <c r="O793" i="9"/>
  <c r="N793" i="9" s="1"/>
  <c r="P793" i="9" s="1"/>
  <c r="N794" i="9"/>
  <c r="P794" i="9" s="1"/>
  <c r="N795" i="9"/>
  <c r="P795" i="9" s="1"/>
  <c r="N796" i="9"/>
  <c r="P796" i="9" s="1"/>
  <c r="O797" i="9"/>
  <c r="N797" i="9" s="1"/>
  <c r="P797" i="9" s="1"/>
  <c r="N798" i="9"/>
  <c r="P798" i="9" s="1"/>
  <c r="N799" i="9"/>
  <c r="P799" i="9" s="1"/>
  <c r="N800" i="9"/>
  <c r="P800" i="9" s="1"/>
  <c r="N801" i="9"/>
  <c r="P801" i="9" s="1"/>
  <c r="N802" i="9"/>
  <c r="P802" i="9" s="1"/>
  <c r="N803" i="9"/>
  <c r="P803" i="9" s="1"/>
  <c r="N804" i="9"/>
  <c r="P804" i="9" s="1"/>
  <c r="N805" i="9"/>
  <c r="P805" i="9" s="1"/>
  <c r="N806" i="9"/>
  <c r="P806" i="9" s="1"/>
  <c r="N807" i="9"/>
  <c r="P807" i="9" s="1"/>
  <c r="N808" i="9"/>
  <c r="P808" i="9" s="1"/>
  <c r="N809" i="9"/>
  <c r="P809" i="9" s="1"/>
  <c r="N810" i="9"/>
  <c r="P810" i="9" s="1"/>
  <c r="N811" i="9"/>
  <c r="P811" i="9" s="1"/>
  <c r="N812" i="9"/>
  <c r="P812" i="9" s="1"/>
  <c r="N813" i="9"/>
  <c r="P813" i="9" s="1"/>
  <c r="N814" i="9"/>
  <c r="P814" i="9" s="1"/>
  <c r="N815" i="9"/>
  <c r="P815" i="9" s="1"/>
  <c r="N816" i="9"/>
  <c r="P816" i="9" s="1"/>
  <c r="N817" i="9"/>
  <c r="P817" i="9" s="1"/>
  <c r="O818" i="9"/>
  <c r="N818" i="9" s="1"/>
  <c r="P818" i="9" s="1"/>
  <c r="N819" i="9"/>
  <c r="P819" i="9" s="1"/>
  <c r="N820" i="9"/>
  <c r="P820" i="9" s="1"/>
  <c r="N821" i="9"/>
  <c r="P821" i="9" s="1"/>
  <c r="N822" i="9"/>
  <c r="P822" i="9" s="1"/>
  <c r="N823" i="9"/>
  <c r="P823" i="9" s="1"/>
  <c r="N824" i="9"/>
  <c r="P824" i="9" s="1"/>
  <c r="N825" i="9"/>
  <c r="P825" i="9" s="1"/>
  <c r="N826" i="9"/>
  <c r="P826" i="9" s="1"/>
  <c r="N827" i="9"/>
  <c r="P827" i="9" s="1"/>
  <c r="N828" i="9"/>
  <c r="P828" i="9" s="1"/>
  <c r="N829" i="9"/>
  <c r="P829" i="9" s="1"/>
  <c r="N830" i="9"/>
  <c r="P830" i="9" s="1"/>
  <c r="N831" i="9"/>
  <c r="P831" i="9" s="1"/>
  <c r="N832" i="9"/>
  <c r="P832" i="9" s="1"/>
  <c r="N833" i="9"/>
  <c r="P833" i="9" s="1"/>
  <c r="N834" i="9"/>
  <c r="P834" i="9" s="1"/>
  <c r="N835" i="9"/>
  <c r="P835" i="9" s="1"/>
  <c r="N836" i="9"/>
  <c r="P836" i="9" s="1"/>
  <c r="N837" i="9"/>
  <c r="P837" i="9" s="1"/>
  <c r="N838" i="9"/>
  <c r="P838" i="9" s="1"/>
  <c r="N839" i="9"/>
  <c r="P839" i="9" s="1"/>
  <c r="N840" i="9"/>
  <c r="P840" i="9" s="1"/>
  <c r="N841" i="9"/>
  <c r="P841" i="9" s="1"/>
  <c r="N842" i="9"/>
  <c r="P842" i="9" s="1"/>
  <c r="N843" i="9"/>
  <c r="P843" i="9" s="1"/>
  <c r="O844" i="9"/>
  <c r="N844" i="9" s="1"/>
  <c r="P844" i="9" s="1"/>
  <c r="O845" i="9"/>
  <c r="N845" i="9" s="1"/>
  <c r="P845" i="9" s="1"/>
  <c r="O846" i="9"/>
  <c r="N846" i="9" s="1"/>
  <c r="P846" i="9" s="1"/>
  <c r="O847" i="9"/>
  <c r="N847" i="9" s="1"/>
  <c r="P847" i="9" s="1"/>
  <c r="O848" i="9"/>
  <c r="N848" i="9" s="1"/>
  <c r="P848" i="9" s="1"/>
  <c r="O849" i="9"/>
  <c r="N849" i="9" s="1"/>
  <c r="P849" i="9" s="1"/>
  <c r="N850" i="9"/>
  <c r="P850" i="9" s="1"/>
  <c r="N851" i="9"/>
  <c r="P851" i="9" s="1"/>
  <c r="N852" i="9"/>
  <c r="P852" i="9" s="1"/>
  <c r="N853" i="9"/>
  <c r="P853" i="9" s="1"/>
  <c r="N854" i="9"/>
  <c r="P854" i="9" s="1"/>
  <c r="N855" i="9"/>
  <c r="P855" i="9" s="1"/>
  <c r="N856" i="9"/>
  <c r="P856" i="9" s="1"/>
  <c r="N857" i="9"/>
  <c r="P857" i="9" s="1"/>
  <c r="N858" i="9"/>
  <c r="P858" i="9" s="1"/>
  <c r="N775" i="9"/>
  <c r="P775" i="9" s="1"/>
  <c r="N776" i="9"/>
  <c r="P776" i="9" s="1"/>
  <c r="N777" i="9"/>
  <c r="P777" i="9" s="1"/>
  <c r="N774" i="9"/>
  <c r="P774" i="9" s="1"/>
  <c r="J775" i="9"/>
  <c r="J776" i="9"/>
  <c r="J777" i="9"/>
  <c r="J774" i="9"/>
  <c r="G441" i="9"/>
  <c r="H441" i="9"/>
  <c r="J441" i="9" s="1"/>
  <c r="G442" i="9"/>
  <c r="H442" i="9"/>
  <c r="J442" i="9" s="1"/>
  <c r="G425" i="9"/>
  <c r="H425" i="9"/>
  <c r="J425" i="9" s="1"/>
  <c r="G423" i="9"/>
  <c r="H423" i="9"/>
  <c r="J423" i="9" s="1"/>
  <c r="G424" i="9"/>
  <c r="H424" i="9"/>
  <c r="J424" i="9" s="1"/>
  <c r="G189" i="9"/>
  <c r="H189" i="9"/>
  <c r="J189" i="9" s="1"/>
  <c r="G188" i="9"/>
  <c r="H188" i="9"/>
  <c r="J188" i="9" s="1"/>
  <c r="G374" i="9"/>
  <c r="H374" i="9"/>
  <c r="J374" i="9" s="1"/>
  <c r="G197" i="9"/>
  <c r="H197" i="9"/>
  <c r="J197" i="9" s="1"/>
  <c r="G821" i="9"/>
  <c r="H821" i="9"/>
  <c r="J821" i="9" s="1"/>
  <c r="G820" i="9"/>
  <c r="H820" i="9"/>
  <c r="J820" i="9" s="1"/>
  <c r="G819" i="9"/>
  <c r="H819" i="9"/>
  <c r="J819" i="9" s="1"/>
  <c r="G409" i="9"/>
  <c r="H409" i="9"/>
  <c r="J409" i="9" s="1"/>
  <c r="G198" i="9"/>
  <c r="H198" i="9"/>
  <c r="J198" i="9" s="1"/>
  <c r="H686" i="9"/>
  <c r="J686" i="9" s="1"/>
  <c r="G686" i="9"/>
  <c r="H679" i="9"/>
  <c r="J679" i="9" s="1"/>
  <c r="G679" i="9"/>
  <c r="H674" i="9"/>
  <c r="J674" i="9" s="1"/>
  <c r="G674" i="9"/>
  <c r="H673" i="9"/>
  <c r="J673" i="9" s="1"/>
  <c r="G673" i="9"/>
  <c r="H670" i="9"/>
  <c r="J670" i="9" s="1"/>
  <c r="G670" i="9"/>
  <c r="H669" i="9"/>
  <c r="J669" i="9" s="1"/>
  <c r="G669" i="9"/>
  <c r="H668" i="9"/>
  <c r="J668" i="9" s="1"/>
  <c r="G668" i="9"/>
  <c r="H667" i="9"/>
  <c r="J667" i="9" s="1"/>
  <c r="G667" i="9"/>
  <c r="H666" i="9"/>
  <c r="J666" i="9" s="1"/>
  <c r="G666" i="9"/>
  <c r="H665" i="9"/>
  <c r="J665" i="9" s="1"/>
  <c r="G665" i="9"/>
  <c r="H261" i="9"/>
  <c r="J261" i="9" s="1"/>
  <c r="G261" i="9"/>
  <c r="H797" i="9"/>
  <c r="J797" i="9" s="1"/>
  <c r="G797" i="9"/>
  <c r="H443" i="9"/>
  <c r="J443" i="9" s="1"/>
  <c r="G443"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272" i="9"/>
  <c r="G273" i="9"/>
  <c r="G274" i="9"/>
  <c r="G275" i="9"/>
  <c r="G276" i="9"/>
  <c r="G277" i="9"/>
  <c r="G278" i="9"/>
  <c r="G279" i="9"/>
  <c r="G280" i="9"/>
  <c r="G281" i="9"/>
  <c r="G282" i="9"/>
  <c r="G283" i="9"/>
  <c r="G284" i="9"/>
  <c r="G222" i="9"/>
  <c r="G223" i="9"/>
  <c r="G224" i="9"/>
  <c r="G202" i="9"/>
  <c r="G203" i="9"/>
  <c r="G204" i="9"/>
  <c r="G225" i="9"/>
  <c r="G226" i="9"/>
  <c r="G227" i="9"/>
  <c r="G243" i="9"/>
  <c r="G244" i="9"/>
  <c r="G245" i="9"/>
  <c r="G338" i="9"/>
  <c r="G339" i="9"/>
  <c r="G340" i="9"/>
  <c r="G341" i="9"/>
  <c r="G342" i="9"/>
  <c r="G343" i="9"/>
  <c r="G344" i="9"/>
  <c r="G345" i="9"/>
  <c r="G426" i="9"/>
  <c r="G427" i="9"/>
  <c r="G428" i="9"/>
  <c r="G429" i="9"/>
  <c r="G430" i="9"/>
  <c r="G431" i="9"/>
  <c r="G433" i="9"/>
  <c r="G434" i="9"/>
  <c r="G435" i="9"/>
  <c r="G436" i="9"/>
  <c r="G437" i="9"/>
  <c r="G438" i="9"/>
  <c r="G439" i="9"/>
  <c r="G440" i="9"/>
  <c r="G444" i="9"/>
  <c r="G445" i="9"/>
  <c r="G782" i="9"/>
  <c r="G783" i="9"/>
  <c r="G784" i="9"/>
  <c r="G785" i="9"/>
  <c r="G786" i="9"/>
  <c r="G787" i="9"/>
  <c r="G788" i="9"/>
  <c r="G789" i="9"/>
  <c r="G790" i="9"/>
  <c r="G791" i="9"/>
  <c r="G792" i="9"/>
  <c r="G793" i="9"/>
  <c r="G794" i="9"/>
  <c r="G795" i="9"/>
  <c r="G796" i="9"/>
  <c r="G840" i="9"/>
  <c r="G841" i="9"/>
  <c r="G842" i="9"/>
  <c r="G843" i="9"/>
  <c r="G844" i="9"/>
  <c r="G845" i="9"/>
  <c r="G846" i="9"/>
  <c r="G847" i="9"/>
  <c r="G848" i="9"/>
  <c r="G849" i="9"/>
  <c r="G850" i="9"/>
  <c r="G851" i="9"/>
  <c r="G852" i="9"/>
  <c r="G853" i="9"/>
  <c r="G854" i="9"/>
  <c r="G855" i="9"/>
  <c r="G856" i="9"/>
  <c r="G857" i="9"/>
  <c r="G858" i="9"/>
  <c r="G859" i="9"/>
  <c r="G285" i="9"/>
  <c r="G286" i="9"/>
  <c r="G287" i="9"/>
  <c r="G288" i="9"/>
  <c r="G289" i="9"/>
  <c r="G290" i="9"/>
  <c r="G291" i="9"/>
  <c r="G292" i="9"/>
  <c r="G293" i="9"/>
  <c r="G294" i="9"/>
  <c r="G295" i="9"/>
  <c r="G296" i="9"/>
  <c r="G297" i="9"/>
  <c r="G228" i="9"/>
  <c r="G229" i="9"/>
  <c r="G230" i="9"/>
  <c r="G231" i="9"/>
  <c r="G232" i="9"/>
  <c r="G233" i="9"/>
  <c r="G234" i="9"/>
  <c r="G235" i="9"/>
  <c r="G236" i="9"/>
  <c r="G237" i="9"/>
  <c r="G238" i="9"/>
  <c r="G239" i="9"/>
  <c r="G240" i="9"/>
  <c r="G241" i="9"/>
  <c r="G242" i="9"/>
  <c r="G246" i="9"/>
  <c r="G247" i="9"/>
  <c r="G248" i="9"/>
  <c r="G249" i="9"/>
  <c r="G250" i="9"/>
  <c r="G251" i="9"/>
  <c r="G410" i="9"/>
  <c r="G411" i="9"/>
  <c r="G412" i="9"/>
  <c r="G413" i="9"/>
  <c r="G414" i="9"/>
  <c r="G415" i="9"/>
  <c r="G416" i="9"/>
  <c r="G417" i="9"/>
  <c r="G418" i="9"/>
  <c r="G419" i="9"/>
  <c r="G420" i="9"/>
  <c r="G421" i="9"/>
  <c r="G422" i="9"/>
  <c r="G190" i="9"/>
  <c r="G191" i="9"/>
  <c r="G192" i="9"/>
  <c r="G193" i="9"/>
  <c r="G194" i="9"/>
  <c r="G195" i="9"/>
  <c r="G196" i="9"/>
  <c r="G298" i="9"/>
  <c r="G299" i="9"/>
  <c r="G300" i="9"/>
  <c r="G301" i="9"/>
  <c r="G302" i="9"/>
  <c r="G303" i="9"/>
  <c r="G304" i="9"/>
  <c r="G346" i="9"/>
  <c r="G347" i="9"/>
  <c r="G348" i="9"/>
  <c r="G349" i="9"/>
  <c r="G366" i="9"/>
  <c r="G367" i="9"/>
  <c r="G368" i="9"/>
  <c r="G369" i="9"/>
  <c r="G370" i="9"/>
  <c r="G371" i="9"/>
  <c r="G372" i="9"/>
  <c r="G373" i="9"/>
  <c r="G455" i="9"/>
  <c r="G456" i="9"/>
  <c r="G457" i="9"/>
  <c r="G458" i="9"/>
  <c r="G459" i="9"/>
  <c r="G460" i="9"/>
  <c r="G461" i="9"/>
  <c r="G462" i="9"/>
  <c r="G463" i="9"/>
  <c r="G464" i="9"/>
  <c r="G465" i="9"/>
  <c r="G466" i="9"/>
  <c r="G467" i="9"/>
  <c r="G468" i="9"/>
  <c r="G469" i="9"/>
  <c r="G470" i="9"/>
  <c r="G471" i="9"/>
  <c r="G472" i="9"/>
  <c r="G473" i="9"/>
  <c r="G474" i="9"/>
  <c r="G475" i="9"/>
  <c r="G476" i="9"/>
  <c r="G477" i="9"/>
  <c r="G798" i="9"/>
  <c r="G799" i="9"/>
  <c r="G800" i="9"/>
  <c r="G801" i="9"/>
  <c r="G802" i="9"/>
  <c r="G803" i="9"/>
  <c r="G804" i="9"/>
  <c r="G805" i="9"/>
  <c r="G806" i="9"/>
  <c r="G807" i="9"/>
  <c r="G808" i="9"/>
  <c r="G809" i="9"/>
  <c r="G810" i="9"/>
  <c r="G811" i="9"/>
  <c r="G812" i="9"/>
  <c r="G813" i="9"/>
  <c r="G814" i="9"/>
  <c r="G815" i="9"/>
  <c r="G816" i="9"/>
  <c r="G817" i="9"/>
  <c r="G818" i="9"/>
  <c r="G822" i="9"/>
  <c r="G823" i="9"/>
  <c r="G824" i="9"/>
  <c r="G825" i="9"/>
  <c r="G826" i="9"/>
  <c r="G827" i="9"/>
  <c r="G828" i="9"/>
  <c r="G829" i="9"/>
  <c r="G830" i="9"/>
  <c r="G831" i="9"/>
  <c r="G832" i="9"/>
  <c r="G833" i="9"/>
  <c r="G834" i="9"/>
  <c r="G835" i="9"/>
  <c r="G836" i="9"/>
  <c r="G837" i="9"/>
  <c r="G838" i="9"/>
  <c r="G839" i="9"/>
  <c r="G252" i="9"/>
  <c r="G253" i="9"/>
  <c r="G254" i="9"/>
  <c r="G255" i="9"/>
  <c r="G256" i="9"/>
  <c r="G257" i="9"/>
  <c r="G258" i="9"/>
  <c r="G259" i="9"/>
  <c r="G260" i="9"/>
  <c r="G262" i="9"/>
  <c r="G263" i="9"/>
  <c r="G392" i="9"/>
  <c r="G393" i="9"/>
  <c r="G394" i="9"/>
  <c r="G395" i="9"/>
  <c r="G396" i="9"/>
  <c r="G397" i="9"/>
  <c r="G398" i="9"/>
  <c r="G399" i="9"/>
  <c r="G400" i="9"/>
  <c r="G401" i="9"/>
  <c r="G402" i="9"/>
  <c r="G403" i="9"/>
  <c r="G404" i="9"/>
  <c r="G405" i="9"/>
  <c r="G406" i="9"/>
  <c r="G407" i="9"/>
  <c r="G408" i="9"/>
  <c r="G755" i="9"/>
  <c r="G756" i="9"/>
  <c r="G757" i="9"/>
  <c r="G758" i="9"/>
  <c r="G759" i="9"/>
  <c r="G760" i="9"/>
  <c r="G761" i="9"/>
  <c r="G762" i="9"/>
  <c r="G763" i="9"/>
  <c r="G764" i="9"/>
  <c r="G765" i="9"/>
  <c r="G766" i="9"/>
  <c r="G767" i="9"/>
  <c r="G768" i="9"/>
  <c r="G769" i="9"/>
  <c r="G770" i="9"/>
  <c r="G771" i="9"/>
  <c r="G772" i="9"/>
  <c r="G773" i="9"/>
  <c r="G671" i="9"/>
  <c r="G672" i="9"/>
  <c r="G675" i="9"/>
  <c r="G677" i="9"/>
  <c r="G678" i="9"/>
  <c r="G676" i="9"/>
  <c r="G680" i="9"/>
  <c r="G681" i="9"/>
  <c r="G682" i="9"/>
  <c r="G683" i="9"/>
  <c r="G684" i="9"/>
  <c r="G685" i="9"/>
  <c r="G687" i="9"/>
  <c r="G688" i="9"/>
  <c r="G689" i="9"/>
  <c r="G690" i="9"/>
  <c r="G691" i="9"/>
  <c r="G692" i="9"/>
  <c r="G693" i="9"/>
  <c r="G694" i="9"/>
  <c r="G205" i="9"/>
  <c r="G206" i="9"/>
  <c r="G207" i="9"/>
  <c r="G208" i="9"/>
  <c r="G209" i="9"/>
  <c r="G210" i="9"/>
  <c r="G211" i="9"/>
  <c r="G212" i="9"/>
  <c r="G213" i="9"/>
  <c r="G214" i="9"/>
  <c r="G215" i="9"/>
  <c r="G216" i="9"/>
  <c r="G351" i="9"/>
  <c r="G352" i="9"/>
  <c r="G353" i="9"/>
  <c r="G354" i="9"/>
  <c r="G355" i="9"/>
  <c r="G356" i="9"/>
  <c r="G357" i="9"/>
  <c r="G358" i="9"/>
  <c r="G359" i="9"/>
  <c r="G360" i="9"/>
  <c r="G695" i="9"/>
  <c r="G696" i="9"/>
  <c r="G697" i="9"/>
  <c r="G698" i="9"/>
  <c r="G699" i="9"/>
  <c r="G700" i="9"/>
  <c r="G701" i="9"/>
  <c r="G702" i="9"/>
  <c r="G703" i="9"/>
  <c r="G704" i="9"/>
  <c r="G705" i="9"/>
  <c r="G706" i="9"/>
  <c r="G707" i="9"/>
  <c r="G708" i="9"/>
  <c r="G709" i="9"/>
  <c r="G710" i="9"/>
  <c r="G711" i="9"/>
  <c r="G712" i="9"/>
  <c r="G713" i="9"/>
  <c r="G714" i="9"/>
  <c r="G715" i="9"/>
  <c r="G716" i="9"/>
  <c r="G717" i="9"/>
  <c r="G718" i="9"/>
  <c r="G719" i="9"/>
  <c r="G720" i="9"/>
  <c r="G721" i="9"/>
  <c r="G722" i="9"/>
  <c r="G723" i="9"/>
  <c r="G724" i="9"/>
  <c r="G725" i="9"/>
  <c r="G305" i="9"/>
  <c r="G306" i="9"/>
  <c r="G307" i="9"/>
  <c r="G308" i="9"/>
  <c r="G309" i="9"/>
  <c r="G310" i="9"/>
  <c r="G311" i="9"/>
  <c r="G312" i="9"/>
  <c r="G313" i="9"/>
  <c r="G314" i="9"/>
  <c r="G315" i="9"/>
  <c r="G316" i="9"/>
  <c r="G317" i="9"/>
  <c r="G318" i="9"/>
  <c r="G319" i="9"/>
  <c r="G320" i="9"/>
  <c r="G321" i="9"/>
  <c r="G330" i="9"/>
  <c r="G331" i="9"/>
  <c r="G332" i="9"/>
  <c r="G333" i="9"/>
  <c r="G334" i="9"/>
  <c r="G335" i="9"/>
  <c r="G336" i="9"/>
  <c r="G337" i="9"/>
  <c r="G322" i="9"/>
  <c r="G323" i="9"/>
  <c r="G324" i="9"/>
  <c r="G325" i="9"/>
  <c r="G326" i="9"/>
  <c r="G327" i="9"/>
  <c r="G328" i="9"/>
  <c r="G329" i="9"/>
  <c r="G147" i="9"/>
  <c r="G148" i="9"/>
  <c r="G149" i="9"/>
  <c r="G150" i="9"/>
  <c r="G151" i="9"/>
  <c r="G152" i="9"/>
  <c r="G153" i="9"/>
  <c r="G137" i="9"/>
  <c r="G138" i="9"/>
  <c r="G139" i="9"/>
  <c r="G140" i="9"/>
  <c r="G141" i="9"/>
  <c r="G142" i="9"/>
  <c r="G143" i="9"/>
  <c r="G144" i="9"/>
  <c r="G145" i="9"/>
  <c r="G146" i="9"/>
  <c r="G778" i="9"/>
  <c r="G779" i="9"/>
  <c r="G780" i="9"/>
  <c r="G781" i="9"/>
  <c r="G217" i="9"/>
  <c r="G218" i="9"/>
  <c r="G219" i="9"/>
  <c r="G220" i="9"/>
  <c r="G221" i="9"/>
  <c r="G726" i="9"/>
  <c r="G727" i="9"/>
  <c r="G728" i="9"/>
  <c r="G729" i="9"/>
  <c r="G730" i="9"/>
  <c r="G731" i="9"/>
  <c r="G732" i="9"/>
  <c r="G733" i="9"/>
  <c r="G734" i="9"/>
  <c r="G735" i="9"/>
  <c r="G736" i="9"/>
  <c r="G737" i="9"/>
  <c r="G738" i="9"/>
  <c r="G739" i="9"/>
  <c r="G740" i="9"/>
  <c r="G741" i="9"/>
  <c r="G742" i="9"/>
  <c r="G743" i="9"/>
  <c r="G744" i="9"/>
  <c r="G745" i="9"/>
  <c r="G746" i="9"/>
  <c r="G747" i="9"/>
  <c r="G748" i="9"/>
  <c r="G749" i="9"/>
  <c r="G750" i="9"/>
  <c r="G751" i="9"/>
  <c r="G752" i="9"/>
  <c r="G753" i="9"/>
  <c r="G754" i="9"/>
  <c r="G361" i="9"/>
  <c r="G362" i="9"/>
  <c r="G363" i="9"/>
  <c r="G364" i="9"/>
  <c r="G365" i="9"/>
  <c r="G446" i="9"/>
  <c r="G447" i="9"/>
  <c r="G448" i="9"/>
  <c r="G449" i="9"/>
  <c r="G450" i="9"/>
  <c r="G451" i="9"/>
  <c r="G452" i="9"/>
  <c r="G453" i="9"/>
  <c r="G454" i="9"/>
  <c r="G171" i="9"/>
  <c r="G264" i="9"/>
  <c r="G265" i="9"/>
  <c r="G266" i="9"/>
  <c r="G267" i="9"/>
  <c r="G268" i="9"/>
  <c r="G269" i="9"/>
  <c r="G270" i="9"/>
  <c r="G271" i="9"/>
  <c r="G173" i="9"/>
  <c r="G174" i="9"/>
  <c r="G175" i="9"/>
  <c r="G176" i="9"/>
  <c r="G177" i="9"/>
  <c r="G178" i="9"/>
  <c r="G179" i="9"/>
  <c r="G180" i="9"/>
  <c r="G181" i="9"/>
  <c r="G182" i="9"/>
  <c r="G183" i="9"/>
  <c r="G184" i="9"/>
  <c r="G185" i="9"/>
  <c r="G186" i="9"/>
  <c r="G187" i="9"/>
  <c r="G478" i="9"/>
  <c r="H479" i="9"/>
  <c r="J479" i="9" s="1"/>
  <c r="H480" i="9"/>
  <c r="J480" i="9" s="1"/>
  <c r="H481" i="9"/>
  <c r="J481" i="9" s="1"/>
  <c r="H482" i="9"/>
  <c r="J482" i="9" s="1"/>
  <c r="H483" i="9"/>
  <c r="J483" i="9" s="1"/>
  <c r="H484" i="9"/>
  <c r="J484" i="9" s="1"/>
  <c r="H485" i="9"/>
  <c r="J485" i="9" s="1"/>
  <c r="H486" i="9"/>
  <c r="J486" i="9" s="1"/>
  <c r="H487" i="9"/>
  <c r="J487" i="9" s="1"/>
  <c r="H488" i="9"/>
  <c r="J488" i="9" s="1"/>
  <c r="H489" i="9"/>
  <c r="J489" i="9" s="1"/>
  <c r="H490" i="9"/>
  <c r="J490" i="9" s="1"/>
  <c r="H491" i="9"/>
  <c r="J491" i="9" s="1"/>
  <c r="H492" i="9"/>
  <c r="J492" i="9" s="1"/>
  <c r="H493" i="9"/>
  <c r="J493" i="9" s="1"/>
  <c r="H494" i="9"/>
  <c r="J494" i="9" s="1"/>
  <c r="H495" i="9"/>
  <c r="J495" i="9" s="1"/>
  <c r="H496" i="9"/>
  <c r="J496" i="9" s="1"/>
  <c r="H497" i="9"/>
  <c r="J497" i="9" s="1"/>
  <c r="H498" i="9"/>
  <c r="J498" i="9" s="1"/>
  <c r="H499" i="9"/>
  <c r="J499" i="9" s="1"/>
  <c r="H500" i="9"/>
  <c r="J500" i="9" s="1"/>
  <c r="H501" i="9"/>
  <c r="J501" i="9" s="1"/>
  <c r="H502" i="9"/>
  <c r="J502" i="9" s="1"/>
  <c r="H503" i="9"/>
  <c r="J503" i="9" s="1"/>
  <c r="H504" i="9"/>
  <c r="J504" i="9" s="1"/>
  <c r="H505" i="9"/>
  <c r="J505" i="9" s="1"/>
  <c r="H506" i="9"/>
  <c r="J506" i="9" s="1"/>
  <c r="H507" i="9"/>
  <c r="J507" i="9" s="1"/>
  <c r="H508" i="9"/>
  <c r="J508" i="9" s="1"/>
  <c r="H509" i="9"/>
  <c r="J509" i="9" s="1"/>
  <c r="H511" i="9"/>
  <c r="J511" i="9" s="1"/>
  <c r="H512" i="9"/>
  <c r="J512" i="9" s="1"/>
  <c r="H513" i="9"/>
  <c r="J513" i="9" s="1"/>
  <c r="H514" i="9"/>
  <c r="J514" i="9" s="1"/>
  <c r="H515" i="9"/>
  <c r="J515" i="9" s="1"/>
  <c r="H516" i="9"/>
  <c r="J516" i="9" s="1"/>
  <c r="H517" i="9"/>
  <c r="J517" i="9" s="1"/>
  <c r="H518" i="9"/>
  <c r="J518" i="9" s="1"/>
  <c r="H519" i="9"/>
  <c r="J519" i="9" s="1"/>
  <c r="H520" i="9"/>
  <c r="J520" i="9" s="1"/>
  <c r="H521" i="9"/>
  <c r="J521" i="9" s="1"/>
  <c r="H522" i="9"/>
  <c r="J522" i="9" s="1"/>
  <c r="H523" i="9"/>
  <c r="J523" i="9" s="1"/>
  <c r="H524" i="9"/>
  <c r="J524" i="9" s="1"/>
  <c r="H525" i="9"/>
  <c r="J525" i="9" s="1"/>
  <c r="H526" i="9"/>
  <c r="J526" i="9" s="1"/>
  <c r="H527" i="9"/>
  <c r="J527" i="9" s="1"/>
  <c r="H528" i="9"/>
  <c r="J528" i="9" s="1"/>
  <c r="H529" i="9"/>
  <c r="J529" i="9" s="1"/>
  <c r="H530" i="9"/>
  <c r="J530" i="9" s="1"/>
  <c r="H531" i="9"/>
  <c r="J531" i="9" s="1"/>
  <c r="H532" i="9"/>
  <c r="J532" i="9" s="1"/>
  <c r="H533" i="9"/>
  <c r="J533" i="9" s="1"/>
  <c r="H534" i="9"/>
  <c r="J534" i="9" s="1"/>
  <c r="H535" i="9"/>
  <c r="J535" i="9" s="1"/>
  <c r="H536" i="9"/>
  <c r="J536" i="9" s="1"/>
  <c r="H537" i="9"/>
  <c r="J537" i="9" s="1"/>
  <c r="J538" i="9"/>
  <c r="H539" i="9"/>
  <c r="J539" i="9" s="1"/>
  <c r="H540" i="9"/>
  <c r="J540" i="9" s="1"/>
  <c r="H541" i="9"/>
  <c r="J541" i="9" s="1"/>
  <c r="H542" i="9"/>
  <c r="J542" i="9" s="1"/>
  <c r="H543" i="9"/>
  <c r="J543" i="9" s="1"/>
  <c r="H544" i="9"/>
  <c r="J544" i="9" s="1"/>
  <c r="H545" i="9"/>
  <c r="J545" i="9" s="1"/>
  <c r="H546" i="9"/>
  <c r="J546" i="9" s="1"/>
  <c r="H547" i="9"/>
  <c r="J547" i="9" s="1"/>
  <c r="H548" i="9"/>
  <c r="J548" i="9" s="1"/>
  <c r="H549" i="9"/>
  <c r="J549" i="9" s="1"/>
  <c r="H550" i="9"/>
  <c r="J550" i="9" s="1"/>
  <c r="H551" i="9"/>
  <c r="J551" i="9" s="1"/>
  <c r="H552" i="9"/>
  <c r="J552" i="9" s="1"/>
  <c r="H553" i="9"/>
  <c r="J553" i="9" s="1"/>
  <c r="H554" i="9"/>
  <c r="J554" i="9" s="1"/>
  <c r="H555" i="9"/>
  <c r="J555" i="9" s="1"/>
  <c r="H556" i="9"/>
  <c r="J556" i="9" s="1"/>
  <c r="H557" i="9"/>
  <c r="J557" i="9" s="1"/>
  <c r="H558" i="9"/>
  <c r="J558" i="9" s="1"/>
  <c r="H559" i="9"/>
  <c r="J559" i="9" s="1"/>
  <c r="H560" i="9"/>
  <c r="J560" i="9" s="1"/>
  <c r="H561" i="9"/>
  <c r="J561" i="9" s="1"/>
  <c r="H562" i="9"/>
  <c r="J562" i="9" s="1"/>
  <c r="H563" i="9"/>
  <c r="J563" i="9" s="1"/>
  <c r="H564" i="9"/>
  <c r="J564" i="9" s="1"/>
  <c r="H565" i="9"/>
  <c r="J565" i="9" s="1"/>
  <c r="H566" i="9"/>
  <c r="J566" i="9" s="1"/>
  <c r="H567" i="9"/>
  <c r="J567" i="9" s="1"/>
  <c r="H568" i="9"/>
  <c r="J568" i="9" s="1"/>
  <c r="H569" i="9"/>
  <c r="J569" i="9" s="1"/>
  <c r="H570" i="9"/>
  <c r="J570" i="9" s="1"/>
  <c r="H571" i="9"/>
  <c r="J571" i="9" s="1"/>
  <c r="H572" i="9"/>
  <c r="J572" i="9" s="1"/>
  <c r="H573" i="9"/>
  <c r="J573" i="9" s="1"/>
  <c r="H574" i="9"/>
  <c r="J574" i="9" s="1"/>
  <c r="H575" i="9"/>
  <c r="J575" i="9" s="1"/>
  <c r="H576" i="9"/>
  <c r="J576" i="9" s="1"/>
  <c r="H577" i="9"/>
  <c r="J577" i="9" s="1"/>
  <c r="H578" i="9"/>
  <c r="J578" i="9" s="1"/>
  <c r="H579" i="9"/>
  <c r="J579" i="9" s="1"/>
  <c r="H580" i="9"/>
  <c r="J580" i="9" s="1"/>
  <c r="H581" i="9"/>
  <c r="J581" i="9" s="1"/>
  <c r="H582" i="9"/>
  <c r="J582" i="9" s="1"/>
  <c r="H583" i="9"/>
  <c r="J583" i="9" s="1"/>
  <c r="H584" i="9"/>
  <c r="J584" i="9" s="1"/>
  <c r="H585" i="9"/>
  <c r="J585" i="9" s="1"/>
  <c r="H586" i="9"/>
  <c r="J586" i="9" s="1"/>
  <c r="H587" i="9"/>
  <c r="J587" i="9" s="1"/>
  <c r="H588" i="9"/>
  <c r="J588" i="9" s="1"/>
  <c r="H589" i="9"/>
  <c r="J589" i="9" s="1"/>
  <c r="H590" i="9"/>
  <c r="J590" i="9" s="1"/>
  <c r="H591" i="9"/>
  <c r="J591" i="9" s="1"/>
  <c r="H592" i="9"/>
  <c r="J592" i="9" s="1"/>
  <c r="H593" i="9"/>
  <c r="J593" i="9" s="1"/>
  <c r="H594" i="9"/>
  <c r="J594" i="9" s="1"/>
  <c r="H595" i="9"/>
  <c r="J595" i="9" s="1"/>
  <c r="H596" i="9"/>
  <c r="J596" i="9" s="1"/>
  <c r="H597" i="9"/>
  <c r="J597" i="9" s="1"/>
  <c r="H598" i="9"/>
  <c r="J598" i="9" s="1"/>
  <c r="H599" i="9"/>
  <c r="J599" i="9" s="1"/>
  <c r="H600" i="9"/>
  <c r="J600" i="9" s="1"/>
  <c r="H601" i="9"/>
  <c r="J601" i="9" s="1"/>
  <c r="H602" i="9"/>
  <c r="J602" i="9" s="1"/>
  <c r="H603" i="9"/>
  <c r="J603" i="9" s="1"/>
  <c r="H604" i="9"/>
  <c r="J604" i="9" s="1"/>
  <c r="H605" i="9"/>
  <c r="J605" i="9" s="1"/>
  <c r="H606" i="9"/>
  <c r="J606" i="9" s="1"/>
  <c r="H607" i="9"/>
  <c r="J607" i="9" s="1"/>
  <c r="H608" i="9"/>
  <c r="J608" i="9" s="1"/>
  <c r="H609" i="9"/>
  <c r="J609" i="9" s="1"/>
  <c r="H610" i="9"/>
  <c r="J610" i="9" s="1"/>
  <c r="H611" i="9"/>
  <c r="J611" i="9" s="1"/>
  <c r="H612" i="9"/>
  <c r="J612" i="9" s="1"/>
  <c r="H613" i="9"/>
  <c r="J613" i="9" s="1"/>
  <c r="H614" i="9"/>
  <c r="J614" i="9" s="1"/>
  <c r="H615" i="9"/>
  <c r="J615" i="9" s="1"/>
  <c r="H616" i="9"/>
  <c r="J616" i="9" s="1"/>
  <c r="H617" i="9"/>
  <c r="J617" i="9" s="1"/>
  <c r="H618" i="9"/>
  <c r="J618" i="9" s="1"/>
  <c r="H619" i="9"/>
  <c r="J619" i="9" s="1"/>
  <c r="H620" i="9"/>
  <c r="J620" i="9" s="1"/>
  <c r="H621" i="9"/>
  <c r="J621" i="9" s="1"/>
  <c r="H622" i="9"/>
  <c r="J622" i="9" s="1"/>
  <c r="H623" i="9"/>
  <c r="J623" i="9" s="1"/>
  <c r="H624" i="9"/>
  <c r="J624" i="9" s="1"/>
  <c r="H625" i="9"/>
  <c r="J625" i="9" s="1"/>
  <c r="H626" i="9"/>
  <c r="J626" i="9" s="1"/>
  <c r="H627" i="9"/>
  <c r="J627" i="9" s="1"/>
  <c r="H628" i="9"/>
  <c r="J628" i="9" s="1"/>
  <c r="H629" i="9"/>
  <c r="J629" i="9" s="1"/>
  <c r="H630" i="9"/>
  <c r="J630" i="9" s="1"/>
  <c r="H631" i="9"/>
  <c r="J631" i="9" s="1"/>
  <c r="H632" i="9"/>
  <c r="J632" i="9" s="1"/>
  <c r="H633" i="9"/>
  <c r="J633" i="9" s="1"/>
  <c r="H634" i="9"/>
  <c r="J634" i="9" s="1"/>
  <c r="H635" i="9"/>
  <c r="J635" i="9" s="1"/>
  <c r="H636" i="9"/>
  <c r="J636" i="9" s="1"/>
  <c r="H637" i="9"/>
  <c r="J637" i="9" s="1"/>
  <c r="H638" i="9"/>
  <c r="J638" i="9" s="1"/>
  <c r="H639" i="9"/>
  <c r="J639" i="9" s="1"/>
  <c r="H640" i="9"/>
  <c r="J640" i="9" s="1"/>
  <c r="H641" i="9"/>
  <c r="J641" i="9" s="1"/>
  <c r="H642" i="9"/>
  <c r="J642" i="9" s="1"/>
  <c r="H643" i="9"/>
  <c r="J643" i="9" s="1"/>
  <c r="H644" i="9"/>
  <c r="J644" i="9" s="1"/>
  <c r="H645" i="9"/>
  <c r="J645" i="9" s="1"/>
  <c r="H646" i="9"/>
  <c r="J646" i="9" s="1"/>
  <c r="H647" i="9"/>
  <c r="J647" i="9" s="1"/>
  <c r="H648" i="9"/>
  <c r="J648" i="9" s="1"/>
  <c r="H649" i="9"/>
  <c r="J649" i="9" s="1"/>
  <c r="H650" i="9"/>
  <c r="J650" i="9" s="1"/>
  <c r="H651" i="9"/>
  <c r="J651" i="9" s="1"/>
  <c r="H652" i="9"/>
  <c r="J652" i="9" s="1"/>
  <c r="H653" i="9"/>
  <c r="J653" i="9" s="1"/>
  <c r="H654" i="9"/>
  <c r="J654" i="9" s="1"/>
  <c r="H655" i="9"/>
  <c r="J655" i="9" s="1"/>
  <c r="H656" i="9"/>
  <c r="J656" i="9" s="1"/>
  <c r="H657" i="9"/>
  <c r="J657" i="9" s="1"/>
  <c r="H658" i="9"/>
  <c r="J658" i="9" s="1"/>
  <c r="H659" i="9"/>
  <c r="J659" i="9" s="1"/>
  <c r="H660" i="9"/>
  <c r="J660" i="9" s="1"/>
  <c r="H661" i="9"/>
  <c r="J661" i="9" s="1"/>
  <c r="H662" i="9"/>
  <c r="J662" i="9" s="1"/>
  <c r="H663" i="9"/>
  <c r="J663" i="9" s="1"/>
  <c r="H664" i="9"/>
  <c r="J664" i="9" s="1"/>
  <c r="H272" i="9"/>
  <c r="J272" i="9" s="1"/>
  <c r="H273" i="9"/>
  <c r="J273" i="9" s="1"/>
  <c r="H274" i="9"/>
  <c r="J274" i="9" s="1"/>
  <c r="H275" i="9"/>
  <c r="J275" i="9" s="1"/>
  <c r="H276" i="9"/>
  <c r="J276" i="9" s="1"/>
  <c r="H277" i="9"/>
  <c r="J277" i="9" s="1"/>
  <c r="H278" i="9"/>
  <c r="J278" i="9" s="1"/>
  <c r="H279" i="9"/>
  <c r="J279" i="9" s="1"/>
  <c r="H280" i="9"/>
  <c r="J280" i="9" s="1"/>
  <c r="H281" i="9"/>
  <c r="J281" i="9" s="1"/>
  <c r="H282" i="9"/>
  <c r="J282" i="9" s="1"/>
  <c r="H283" i="9"/>
  <c r="J283" i="9" s="1"/>
  <c r="H284" i="9"/>
  <c r="J284" i="9" s="1"/>
  <c r="H222" i="9"/>
  <c r="J222" i="9" s="1"/>
  <c r="H223" i="9"/>
  <c r="J223" i="9" s="1"/>
  <c r="H224" i="9"/>
  <c r="J224" i="9" s="1"/>
  <c r="H202" i="9"/>
  <c r="J202" i="9" s="1"/>
  <c r="H203" i="9"/>
  <c r="J203" i="9" s="1"/>
  <c r="H204" i="9"/>
  <c r="J204" i="9" s="1"/>
  <c r="H225" i="9"/>
  <c r="J225" i="9" s="1"/>
  <c r="H226" i="9"/>
  <c r="J226" i="9" s="1"/>
  <c r="H227" i="9"/>
  <c r="J227" i="9" s="1"/>
  <c r="H243" i="9"/>
  <c r="J243" i="9" s="1"/>
  <c r="H244" i="9"/>
  <c r="J244" i="9" s="1"/>
  <c r="H245" i="9"/>
  <c r="J245" i="9" s="1"/>
  <c r="H338" i="9"/>
  <c r="J338" i="9" s="1"/>
  <c r="H339" i="9"/>
  <c r="J339" i="9" s="1"/>
  <c r="H340" i="9"/>
  <c r="J340" i="9" s="1"/>
  <c r="H341" i="9"/>
  <c r="J341" i="9" s="1"/>
  <c r="H342" i="9"/>
  <c r="J342" i="9" s="1"/>
  <c r="H343" i="9"/>
  <c r="J343" i="9" s="1"/>
  <c r="H344" i="9"/>
  <c r="J344" i="9" s="1"/>
  <c r="H345" i="9"/>
  <c r="J345" i="9" s="1"/>
  <c r="H426" i="9"/>
  <c r="J426" i="9" s="1"/>
  <c r="H427" i="9"/>
  <c r="J427" i="9" s="1"/>
  <c r="H428" i="9"/>
  <c r="J428" i="9" s="1"/>
  <c r="H429" i="9"/>
  <c r="J429" i="9" s="1"/>
  <c r="H430" i="9"/>
  <c r="J430" i="9" s="1"/>
  <c r="H431" i="9"/>
  <c r="J431" i="9" s="1"/>
  <c r="H433" i="9"/>
  <c r="J433" i="9" s="1"/>
  <c r="H434" i="9"/>
  <c r="J434" i="9" s="1"/>
  <c r="H435" i="9"/>
  <c r="J435" i="9" s="1"/>
  <c r="H436" i="9"/>
  <c r="J436" i="9" s="1"/>
  <c r="H437" i="9"/>
  <c r="J437" i="9" s="1"/>
  <c r="H438" i="9"/>
  <c r="J438" i="9" s="1"/>
  <c r="H439" i="9"/>
  <c r="J439" i="9" s="1"/>
  <c r="H440" i="9"/>
  <c r="J440" i="9" s="1"/>
  <c r="H444" i="9"/>
  <c r="J444" i="9" s="1"/>
  <c r="H445" i="9"/>
  <c r="J445" i="9" s="1"/>
  <c r="H782" i="9"/>
  <c r="J782" i="9" s="1"/>
  <c r="H783" i="9"/>
  <c r="J783" i="9" s="1"/>
  <c r="H784" i="9"/>
  <c r="J784" i="9" s="1"/>
  <c r="H785" i="9"/>
  <c r="J785" i="9" s="1"/>
  <c r="H786" i="9"/>
  <c r="J786" i="9" s="1"/>
  <c r="H787" i="9"/>
  <c r="J787" i="9" s="1"/>
  <c r="H788" i="9"/>
  <c r="J788" i="9" s="1"/>
  <c r="H789" i="9"/>
  <c r="J789" i="9" s="1"/>
  <c r="H790" i="9"/>
  <c r="J790" i="9" s="1"/>
  <c r="H791" i="9"/>
  <c r="J791" i="9" s="1"/>
  <c r="H792" i="9"/>
  <c r="J792" i="9" s="1"/>
  <c r="H793" i="9"/>
  <c r="J793" i="9" s="1"/>
  <c r="H794" i="9"/>
  <c r="J794" i="9" s="1"/>
  <c r="H795" i="9"/>
  <c r="J795" i="9" s="1"/>
  <c r="H796" i="9"/>
  <c r="J796" i="9" s="1"/>
  <c r="H840" i="9"/>
  <c r="J840" i="9" s="1"/>
  <c r="H841" i="9"/>
  <c r="J841" i="9" s="1"/>
  <c r="H842" i="9"/>
  <c r="J842" i="9" s="1"/>
  <c r="H843" i="9"/>
  <c r="J843" i="9" s="1"/>
  <c r="H844" i="9"/>
  <c r="J844" i="9" s="1"/>
  <c r="H845" i="9"/>
  <c r="J845" i="9" s="1"/>
  <c r="H846" i="9"/>
  <c r="J846" i="9" s="1"/>
  <c r="H847" i="9"/>
  <c r="J847" i="9" s="1"/>
  <c r="H848" i="9"/>
  <c r="J848" i="9" s="1"/>
  <c r="H849" i="9"/>
  <c r="J849" i="9" s="1"/>
  <c r="H850" i="9"/>
  <c r="J850" i="9" s="1"/>
  <c r="H851" i="9"/>
  <c r="J851" i="9" s="1"/>
  <c r="H852" i="9"/>
  <c r="J852" i="9" s="1"/>
  <c r="H853" i="9"/>
  <c r="J853" i="9" s="1"/>
  <c r="H854" i="9"/>
  <c r="J854" i="9" s="1"/>
  <c r="H855" i="9"/>
  <c r="J855" i="9" s="1"/>
  <c r="H856" i="9"/>
  <c r="J856" i="9" s="1"/>
  <c r="H857" i="9"/>
  <c r="J857" i="9" s="1"/>
  <c r="H858" i="9"/>
  <c r="J858" i="9" s="1"/>
  <c r="H859" i="9"/>
  <c r="J859" i="9" s="1"/>
  <c r="H285" i="9"/>
  <c r="J285" i="9" s="1"/>
  <c r="H286" i="9"/>
  <c r="J286" i="9" s="1"/>
  <c r="H287" i="9"/>
  <c r="J287" i="9" s="1"/>
  <c r="H288" i="9"/>
  <c r="J288" i="9" s="1"/>
  <c r="H289" i="9"/>
  <c r="J289" i="9" s="1"/>
  <c r="H290" i="9"/>
  <c r="J290" i="9" s="1"/>
  <c r="H291" i="9"/>
  <c r="J291" i="9" s="1"/>
  <c r="H292" i="9"/>
  <c r="J292" i="9" s="1"/>
  <c r="H293" i="9"/>
  <c r="J293" i="9" s="1"/>
  <c r="H294" i="9"/>
  <c r="J294" i="9" s="1"/>
  <c r="H295" i="9"/>
  <c r="J295" i="9" s="1"/>
  <c r="H296" i="9"/>
  <c r="J296" i="9" s="1"/>
  <c r="H297" i="9"/>
  <c r="J297" i="9" s="1"/>
  <c r="H228" i="9"/>
  <c r="J228" i="9" s="1"/>
  <c r="H229" i="9"/>
  <c r="J229" i="9" s="1"/>
  <c r="H230" i="9"/>
  <c r="J230" i="9" s="1"/>
  <c r="H231" i="9"/>
  <c r="J231" i="9" s="1"/>
  <c r="H232" i="9"/>
  <c r="J232" i="9" s="1"/>
  <c r="H233" i="9"/>
  <c r="J233" i="9" s="1"/>
  <c r="H234" i="9"/>
  <c r="J234" i="9" s="1"/>
  <c r="H235" i="9"/>
  <c r="J235" i="9" s="1"/>
  <c r="H236" i="9"/>
  <c r="J236" i="9" s="1"/>
  <c r="H237" i="9"/>
  <c r="J237" i="9" s="1"/>
  <c r="H238" i="9"/>
  <c r="J238" i="9" s="1"/>
  <c r="H239" i="9"/>
  <c r="J239" i="9" s="1"/>
  <c r="H240" i="9"/>
  <c r="J240" i="9" s="1"/>
  <c r="H241" i="9"/>
  <c r="J241" i="9" s="1"/>
  <c r="H242" i="9"/>
  <c r="J242" i="9" s="1"/>
  <c r="H246" i="9"/>
  <c r="J246" i="9" s="1"/>
  <c r="H247" i="9"/>
  <c r="J247" i="9" s="1"/>
  <c r="H248" i="9"/>
  <c r="J248" i="9" s="1"/>
  <c r="H249" i="9"/>
  <c r="J249" i="9" s="1"/>
  <c r="H250" i="9"/>
  <c r="J250" i="9" s="1"/>
  <c r="H251" i="9"/>
  <c r="J251" i="9" s="1"/>
  <c r="H410" i="9"/>
  <c r="J410" i="9" s="1"/>
  <c r="H411" i="9"/>
  <c r="J411" i="9" s="1"/>
  <c r="H412" i="9"/>
  <c r="J412" i="9" s="1"/>
  <c r="H413" i="9"/>
  <c r="J413" i="9" s="1"/>
  <c r="H414" i="9"/>
  <c r="J414" i="9" s="1"/>
  <c r="H415" i="9"/>
  <c r="J415" i="9" s="1"/>
  <c r="H416" i="9"/>
  <c r="J416" i="9" s="1"/>
  <c r="H417" i="9"/>
  <c r="J417" i="9" s="1"/>
  <c r="H418" i="9"/>
  <c r="J418" i="9" s="1"/>
  <c r="H419" i="9"/>
  <c r="J419" i="9" s="1"/>
  <c r="H420" i="9"/>
  <c r="J420" i="9" s="1"/>
  <c r="H421" i="9"/>
  <c r="J421" i="9" s="1"/>
  <c r="H422" i="9"/>
  <c r="J422" i="9" s="1"/>
  <c r="H190" i="9"/>
  <c r="J190" i="9" s="1"/>
  <c r="H191" i="9"/>
  <c r="J191" i="9" s="1"/>
  <c r="H192" i="9"/>
  <c r="J192" i="9" s="1"/>
  <c r="H193" i="9"/>
  <c r="J193" i="9" s="1"/>
  <c r="H194" i="9"/>
  <c r="J194" i="9" s="1"/>
  <c r="H195" i="9"/>
  <c r="J195" i="9" s="1"/>
  <c r="H196" i="9"/>
  <c r="J196" i="9" s="1"/>
  <c r="H298" i="9"/>
  <c r="J298" i="9" s="1"/>
  <c r="H299" i="9"/>
  <c r="J299" i="9" s="1"/>
  <c r="H300" i="9"/>
  <c r="J300" i="9" s="1"/>
  <c r="H301" i="9"/>
  <c r="J301" i="9" s="1"/>
  <c r="H302" i="9"/>
  <c r="J302" i="9" s="1"/>
  <c r="H303" i="9"/>
  <c r="J303" i="9" s="1"/>
  <c r="H304" i="9"/>
  <c r="J304" i="9" s="1"/>
  <c r="H346" i="9"/>
  <c r="J346" i="9" s="1"/>
  <c r="H347" i="9"/>
  <c r="J347" i="9" s="1"/>
  <c r="H348" i="9"/>
  <c r="J348" i="9" s="1"/>
  <c r="H349" i="9"/>
  <c r="J349" i="9" s="1"/>
  <c r="H366" i="9"/>
  <c r="J366" i="9" s="1"/>
  <c r="H367" i="9"/>
  <c r="J367" i="9" s="1"/>
  <c r="H368" i="9"/>
  <c r="J368" i="9" s="1"/>
  <c r="H369" i="9"/>
  <c r="J369" i="9" s="1"/>
  <c r="H370" i="9"/>
  <c r="J370" i="9" s="1"/>
  <c r="H371" i="9"/>
  <c r="J371" i="9" s="1"/>
  <c r="H372" i="9"/>
  <c r="J372" i="9" s="1"/>
  <c r="H373" i="9"/>
  <c r="J373" i="9" s="1"/>
  <c r="H455" i="9"/>
  <c r="J455" i="9" s="1"/>
  <c r="H456" i="9"/>
  <c r="J456" i="9" s="1"/>
  <c r="H457" i="9"/>
  <c r="J457" i="9" s="1"/>
  <c r="H458" i="9"/>
  <c r="J458" i="9" s="1"/>
  <c r="H459" i="9"/>
  <c r="J459" i="9" s="1"/>
  <c r="H460" i="9"/>
  <c r="J460" i="9" s="1"/>
  <c r="H461" i="9"/>
  <c r="J461" i="9" s="1"/>
  <c r="H462" i="9"/>
  <c r="J462" i="9" s="1"/>
  <c r="H463" i="9"/>
  <c r="J463" i="9" s="1"/>
  <c r="H464" i="9"/>
  <c r="J464" i="9" s="1"/>
  <c r="H465" i="9"/>
  <c r="J465" i="9" s="1"/>
  <c r="H466" i="9"/>
  <c r="J466" i="9" s="1"/>
  <c r="H467" i="9"/>
  <c r="J467" i="9" s="1"/>
  <c r="H468" i="9"/>
  <c r="J468" i="9" s="1"/>
  <c r="H469" i="9"/>
  <c r="J469" i="9" s="1"/>
  <c r="H470" i="9"/>
  <c r="J470" i="9" s="1"/>
  <c r="H471" i="9"/>
  <c r="J471" i="9" s="1"/>
  <c r="H472" i="9"/>
  <c r="J472" i="9" s="1"/>
  <c r="H473" i="9"/>
  <c r="J473" i="9" s="1"/>
  <c r="H474" i="9"/>
  <c r="J474" i="9" s="1"/>
  <c r="H475" i="9"/>
  <c r="J475" i="9" s="1"/>
  <c r="H476" i="9"/>
  <c r="J476" i="9" s="1"/>
  <c r="H477" i="9"/>
  <c r="J477" i="9" s="1"/>
  <c r="H798" i="9"/>
  <c r="J798" i="9" s="1"/>
  <c r="H799" i="9"/>
  <c r="J799" i="9" s="1"/>
  <c r="H800" i="9"/>
  <c r="J800" i="9" s="1"/>
  <c r="H801" i="9"/>
  <c r="J801" i="9" s="1"/>
  <c r="H802" i="9"/>
  <c r="J802" i="9" s="1"/>
  <c r="H803" i="9"/>
  <c r="J803" i="9" s="1"/>
  <c r="H804" i="9"/>
  <c r="J804" i="9" s="1"/>
  <c r="H805" i="9"/>
  <c r="J805" i="9" s="1"/>
  <c r="H806" i="9"/>
  <c r="J806" i="9" s="1"/>
  <c r="H807" i="9"/>
  <c r="J807" i="9" s="1"/>
  <c r="H808" i="9"/>
  <c r="J808" i="9" s="1"/>
  <c r="H809" i="9"/>
  <c r="J809" i="9" s="1"/>
  <c r="H810" i="9"/>
  <c r="J810" i="9" s="1"/>
  <c r="H811" i="9"/>
  <c r="J811" i="9" s="1"/>
  <c r="H812" i="9"/>
  <c r="J812" i="9" s="1"/>
  <c r="H813" i="9"/>
  <c r="J813" i="9" s="1"/>
  <c r="H814" i="9"/>
  <c r="J814" i="9" s="1"/>
  <c r="H815" i="9"/>
  <c r="J815" i="9" s="1"/>
  <c r="H816" i="9"/>
  <c r="J816" i="9" s="1"/>
  <c r="H817" i="9"/>
  <c r="J817" i="9" s="1"/>
  <c r="H818" i="9"/>
  <c r="J818" i="9" s="1"/>
  <c r="H822" i="9"/>
  <c r="J822" i="9" s="1"/>
  <c r="H823" i="9"/>
  <c r="J823" i="9" s="1"/>
  <c r="H824" i="9"/>
  <c r="J824" i="9" s="1"/>
  <c r="J825" i="9"/>
  <c r="H826" i="9"/>
  <c r="J826" i="9" s="1"/>
  <c r="H827" i="9"/>
  <c r="J827" i="9" s="1"/>
  <c r="H828" i="9"/>
  <c r="J828" i="9" s="1"/>
  <c r="H829" i="9"/>
  <c r="J829" i="9" s="1"/>
  <c r="H830" i="9"/>
  <c r="J830" i="9" s="1"/>
  <c r="H831" i="9"/>
  <c r="J831" i="9" s="1"/>
  <c r="H832" i="9"/>
  <c r="J832" i="9" s="1"/>
  <c r="H833" i="9"/>
  <c r="J833" i="9" s="1"/>
  <c r="H834" i="9"/>
  <c r="J834" i="9" s="1"/>
  <c r="H835" i="9"/>
  <c r="J835" i="9" s="1"/>
  <c r="H836" i="9"/>
  <c r="J836" i="9" s="1"/>
  <c r="H837" i="9"/>
  <c r="J837" i="9" s="1"/>
  <c r="H838" i="9"/>
  <c r="J838" i="9" s="1"/>
  <c r="H839" i="9"/>
  <c r="J839" i="9" s="1"/>
  <c r="H252" i="9"/>
  <c r="J252" i="9" s="1"/>
  <c r="H253" i="9"/>
  <c r="J253" i="9" s="1"/>
  <c r="H254" i="9"/>
  <c r="J254" i="9" s="1"/>
  <c r="H255" i="9"/>
  <c r="J255" i="9" s="1"/>
  <c r="H256" i="9"/>
  <c r="J256" i="9" s="1"/>
  <c r="H257" i="9"/>
  <c r="J257" i="9" s="1"/>
  <c r="H258" i="9"/>
  <c r="J258" i="9" s="1"/>
  <c r="H259" i="9"/>
  <c r="J259" i="9" s="1"/>
  <c r="H260" i="9"/>
  <c r="J260" i="9" s="1"/>
  <c r="H262" i="9"/>
  <c r="J262" i="9" s="1"/>
  <c r="H263" i="9"/>
  <c r="J263" i="9" s="1"/>
  <c r="H392" i="9"/>
  <c r="J392" i="9" s="1"/>
  <c r="H393" i="9"/>
  <c r="J393" i="9" s="1"/>
  <c r="H394" i="9"/>
  <c r="J394" i="9" s="1"/>
  <c r="H395" i="9"/>
  <c r="J395" i="9" s="1"/>
  <c r="H396" i="9"/>
  <c r="J396" i="9" s="1"/>
  <c r="H397" i="9"/>
  <c r="J397" i="9" s="1"/>
  <c r="H398" i="9"/>
  <c r="J398" i="9" s="1"/>
  <c r="H399" i="9"/>
  <c r="J399" i="9" s="1"/>
  <c r="H400" i="9"/>
  <c r="J400" i="9" s="1"/>
  <c r="H401" i="9"/>
  <c r="J401" i="9" s="1"/>
  <c r="H402" i="9"/>
  <c r="J402" i="9" s="1"/>
  <c r="H403" i="9"/>
  <c r="J403" i="9" s="1"/>
  <c r="H404" i="9"/>
  <c r="J404" i="9" s="1"/>
  <c r="H405" i="9"/>
  <c r="J405" i="9" s="1"/>
  <c r="H406" i="9"/>
  <c r="J406" i="9" s="1"/>
  <c r="H407" i="9"/>
  <c r="J407" i="9" s="1"/>
  <c r="H408" i="9"/>
  <c r="J408" i="9" s="1"/>
  <c r="H755" i="9"/>
  <c r="J755" i="9" s="1"/>
  <c r="H756" i="9"/>
  <c r="J756" i="9" s="1"/>
  <c r="H757" i="9"/>
  <c r="J757" i="9" s="1"/>
  <c r="H758" i="9"/>
  <c r="J758" i="9" s="1"/>
  <c r="H759" i="9"/>
  <c r="J759" i="9" s="1"/>
  <c r="H760" i="9"/>
  <c r="J760" i="9" s="1"/>
  <c r="H761" i="9"/>
  <c r="J761" i="9" s="1"/>
  <c r="H762" i="9"/>
  <c r="J762" i="9" s="1"/>
  <c r="H763" i="9"/>
  <c r="J763" i="9" s="1"/>
  <c r="H764" i="9"/>
  <c r="J764" i="9" s="1"/>
  <c r="H765" i="9"/>
  <c r="J765" i="9" s="1"/>
  <c r="H766" i="9"/>
  <c r="J766" i="9" s="1"/>
  <c r="H767" i="9"/>
  <c r="J767" i="9" s="1"/>
  <c r="H768" i="9"/>
  <c r="J768" i="9" s="1"/>
  <c r="H769" i="9"/>
  <c r="J769" i="9" s="1"/>
  <c r="H770" i="9"/>
  <c r="J770" i="9" s="1"/>
  <c r="H771" i="9"/>
  <c r="J771" i="9" s="1"/>
  <c r="H772" i="9"/>
  <c r="J772" i="9" s="1"/>
  <c r="H773" i="9"/>
  <c r="J773" i="9" s="1"/>
  <c r="H671" i="9"/>
  <c r="J671" i="9" s="1"/>
  <c r="H672" i="9"/>
  <c r="J672" i="9" s="1"/>
  <c r="H675" i="9"/>
  <c r="J675" i="9" s="1"/>
  <c r="H677" i="9"/>
  <c r="J677" i="9" s="1"/>
  <c r="H678" i="9"/>
  <c r="J678" i="9" s="1"/>
  <c r="H676" i="9"/>
  <c r="J676" i="9" s="1"/>
  <c r="H680" i="9"/>
  <c r="J680" i="9" s="1"/>
  <c r="H681" i="9"/>
  <c r="J681" i="9" s="1"/>
  <c r="H682" i="9"/>
  <c r="J682" i="9" s="1"/>
  <c r="H683" i="9"/>
  <c r="J683" i="9" s="1"/>
  <c r="H684" i="9"/>
  <c r="J684" i="9" s="1"/>
  <c r="H685" i="9"/>
  <c r="J685" i="9" s="1"/>
  <c r="H687" i="9"/>
  <c r="J687" i="9" s="1"/>
  <c r="H688" i="9"/>
  <c r="J688" i="9" s="1"/>
  <c r="H689" i="9"/>
  <c r="J689" i="9" s="1"/>
  <c r="H690" i="9"/>
  <c r="J690" i="9" s="1"/>
  <c r="H691" i="9"/>
  <c r="J691" i="9" s="1"/>
  <c r="H692" i="9"/>
  <c r="J692" i="9" s="1"/>
  <c r="H693" i="9"/>
  <c r="J693" i="9" s="1"/>
  <c r="H694" i="9"/>
  <c r="J694" i="9" s="1"/>
  <c r="H205" i="9"/>
  <c r="J205" i="9" s="1"/>
  <c r="H206" i="9"/>
  <c r="J206" i="9" s="1"/>
  <c r="H207" i="9"/>
  <c r="J207" i="9" s="1"/>
  <c r="H208" i="9"/>
  <c r="J208" i="9" s="1"/>
  <c r="H209" i="9"/>
  <c r="J209" i="9" s="1"/>
  <c r="H210" i="9"/>
  <c r="J210" i="9" s="1"/>
  <c r="H211" i="9"/>
  <c r="J211" i="9" s="1"/>
  <c r="H212" i="9"/>
  <c r="J212" i="9" s="1"/>
  <c r="H213" i="9"/>
  <c r="J213" i="9" s="1"/>
  <c r="H214" i="9"/>
  <c r="J214" i="9" s="1"/>
  <c r="H215" i="9"/>
  <c r="J215" i="9" s="1"/>
  <c r="H216" i="9"/>
  <c r="J216" i="9" s="1"/>
  <c r="H351" i="9"/>
  <c r="J351" i="9" s="1"/>
  <c r="H352" i="9"/>
  <c r="J352" i="9" s="1"/>
  <c r="H353" i="9"/>
  <c r="J353" i="9" s="1"/>
  <c r="H354" i="9"/>
  <c r="J354" i="9" s="1"/>
  <c r="H355" i="9"/>
  <c r="J355" i="9" s="1"/>
  <c r="H356" i="9"/>
  <c r="J356" i="9" s="1"/>
  <c r="H357" i="9"/>
  <c r="J357" i="9" s="1"/>
  <c r="H358" i="9"/>
  <c r="J358" i="9" s="1"/>
  <c r="H359" i="9"/>
  <c r="J359" i="9" s="1"/>
  <c r="H360" i="9"/>
  <c r="J360" i="9" s="1"/>
  <c r="H695" i="9"/>
  <c r="J695" i="9" s="1"/>
  <c r="H696" i="9"/>
  <c r="J696" i="9" s="1"/>
  <c r="H697" i="9"/>
  <c r="J697" i="9" s="1"/>
  <c r="H698" i="9"/>
  <c r="J698" i="9" s="1"/>
  <c r="H699" i="9"/>
  <c r="J699" i="9" s="1"/>
  <c r="H700" i="9"/>
  <c r="J700" i="9" s="1"/>
  <c r="H701" i="9"/>
  <c r="J701" i="9" s="1"/>
  <c r="H702" i="9"/>
  <c r="J702" i="9" s="1"/>
  <c r="H703" i="9"/>
  <c r="J703" i="9" s="1"/>
  <c r="H704" i="9"/>
  <c r="J704" i="9" s="1"/>
  <c r="H705" i="9"/>
  <c r="J705" i="9" s="1"/>
  <c r="H706" i="9"/>
  <c r="J706" i="9" s="1"/>
  <c r="H707" i="9"/>
  <c r="J707" i="9" s="1"/>
  <c r="H708" i="9"/>
  <c r="J708" i="9" s="1"/>
  <c r="H709" i="9"/>
  <c r="J709" i="9" s="1"/>
  <c r="H710" i="9"/>
  <c r="J710" i="9" s="1"/>
  <c r="H711" i="9"/>
  <c r="J711" i="9" s="1"/>
  <c r="H712" i="9"/>
  <c r="J712" i="9" s="1"/>
  <c r="H713" i="9"/>
  <c r="J713" i="9" s="1"/>
  <c r="H714" i="9"/>
  <c r="J714" i="9" s="1"/>
  <c r="H715" i="9"/>
  <c r="J715" i="9" s="1"/>
  <c r="H716" i="9"/>
  <c r="J716" i="9" s="1"/>
  <c r="H717" i="9"/>
  <c r="J717" i="9" s="1"/>
  <c r="H718" i="9"/>
  <c r="J718" i="9" s="1"/>
  <c r="H719" i="9"/>
  <c r="J719" i="9" s="1"/>
  <c r="H720" i="9"/>
  <c r="J720" i="9" s="1"/>
  <c r="H721" i="9"/>
  <c r="J721" i="9" s="1"/>
  <c r="H722" i="9"/>
  <c r="J722" i="9" s="1"/>
  <c r="H723" i="9"/>
  <c r="J723" i="9" s="1"/>
  <c r="H724" i="9"/>
  <c r="J724" i="9" s="1"/>
  <c r="H725" i="9"/>
  <c r="J725" i="9" s="1"/>
  <c r="H305" i="9"/>
  <c r="J305" i="9" s="1"/>
  <c r="H306" i="9"/>
  <c r="J306" i="9" s="1"/>
  <c r="H307" i="9"/>
  <c r="J307" i="9" s="1"/>
  <c r="H308" i="9"/>
  <c r="J308" i="9" s="1"/>
  <c r="H309" i="9"/>
  <c r="J309" i="9" s="1"/>
  <c r="H310" i="9"/>
  <c r="J310" i="9" s="1"/>
  <c r="H311" i="9"/>
  <c r="J311" i="9" s="1"/>
  <c r="H312" i="9"/>
  <c r="J312" i="9" s="1"/>
  <c r="H313" i="9"/>
  <c r="J313" i="9" s="1"/>
  <c r="H314" i="9"/>
  <c r="J314" i="9" s="1"/>
  <c r="H315" i="9"/>
  <c r="J315" i="9" s="1"/>
  <c r="H316" i="9"/>
  <c r="J316" i="9" s="1"/>
  <c r="H317" i="9"/>
  <c r="J317" i="9" s="1"/>
  <c r="H318" i="9"/>
  <c r="J318" i="9" s="1"/>
  <c r="H319" i="9"/>
  <c r="J319" i="9" s="1"/>
  <c r="H320" i="9"/>
  <c r="J320" i="9" s="1"/>
  <c r="H321" i="9"/>
  <c r="J321" i="9" s="1"/>
  <c r="H330" i="9"/>
  <c r="J330" i="9" s="1"/>
  <c r="H331" i="9"/>
  <c r="J331" i="9" s="1"/>
  <c r="H332" i="9"/>
  <c r="J332" i="9" s="1"/>
  <c r="H333" i="9"/>
  <c r="J333" i="9" s="1"/>
  <c r="H334" i="9"/>
  <c r="J334" i="9" s="1"/>
  <c r="H335" i="9"/>
  <c r="J335" i="9" s="1"/>
  <c r="H336" i="9"/>
  <c r="J336" i="9" s="1"/>
  <c r="H337" i="9"/>
  <c r="J337" i="9" s="1"/>
  <c r="H322" i="9"/>
  <c r="J322" i="9" s="1"/>
  <c r="H323" i="9"/>
  <c r="J323" i="9" s="1"/>
  <c r="H324" i="9"/>
  <c r="J324" i="9" s="1"/>
  <c r="H325" i="9"/>
  <c r="J325" i="9" s="1"/>
  <c r="H326" i="9"/>
  <c r="J326" i="9" s="1"/>
  <c r="H327" i="9"/>
  <c r="J327" i="9" s="1"/>
  <c r="H328" i="9"/>
  <c r="J328" i="9" s="1"/>
  <c r="H329" i="9"/>
  <c r="J329" i="9" s="1"/>
  <c r="H147" i="9"/>
  <c r="J147" i="9" s="1"/>
  <c r="H148" i="9"/>
  <c r="J148" i="9" s="1"/>
  <c r="H149" i="9"/>
  <c r="J149" i="9" s="1"/>
  <c r="H150" i="9"/>
  <c r="J150" i="9" s="1"/>
  <c r="H151" i="9"/>
  <c r="J151" i="9" s="1"/>
  <c r="H152" i="9"/>
  <c r="J152" i="9" s="1"/>
  <c r="H153" i="9"/>
  <c r="J153" i="9" s="1"/>
  <c r="H137" i="9"/>
  <c r="J137" i="9" s="1"/>
  <c r="H138" i="9"/>
  <c r="J138" i="9" s="1"/>
  <c r="H139" i="9"/>
  <c r="J139" i="9" s="1"/>
  <c r="H140" i="9"/>
  <c r="J140" i="9" s="1"/>
  <c r="H141" i="9"/>
  <c r="J141" i="9" s="1"/>
  <c r="H142" i="9"/>
  <c r="J142" i="9" s="1"/>
  <c r="H143" i="9"/>
  <c r="J143" i="9" s="1"/>
  <c r="H144" i="9"/>
  <c r="J144" i="9" s="1"/>
  <c r="H145" i="9"/>
  <c r="J145" i="9" s="1"/>
  <c r="H146" i="9"/>
  <c r="J146" i="9" s="1"/>
  <c r="H778" i="9"/>
  <c r="J778" i="9" s="1"/>
  <c r="H779" i="9"/>
  <c r="J779" i="9" s="1"/>
  <c r="H780" i="9"/>
  <c r="J780" i="9" s="1"/>
  <c r="H781" i="9"/>
  <c r="J781" i="9" s="1"/>
  <c r="H217" i="9"/>
  <c r="J217" i="9" s="1"/>
  <c r="H218" i="9"/>
  <c r="J218" i="9" s="1"/>
  <c r="H219" i="9"/>
  <c r="J219" i="9" s="1"/>
  <c r="H220" i="9"/>
  <c r="J220" i="9" s="1"/>
  <c r="H221" i="9"/>
  <c r="J221" i="9" s="1"/>
  <c r="H726" i="9"/>
  <c r="J726" i="9" s="1"/>
  <c r="H727" i="9"/>
  <c r="J727" i="9" s="1"/>
  <c r="H728" i="9"/>
  <c r="J728" i="9" s="1"/>
  <c r="H729" i="9"/>
  <c r="J729" i="9" s="1"/>
  <c r="H730" i="9"/>
  <c r="J730" i="9" s="1"/>
  <c r="H731" i="9"/>
  <c r="J731" i="9" s="1"/>
  <c r="H732" i="9"/>
  <c r="J732" i="9" s="1"/>
  <c r="H733" i="9"/>
  <c r="J733" i="9" s="1"/>
  <c r="H734" i="9"/>
  <c r="J734" i="9" s="1"/>
  <c r="H735" i="9"/>
  <c r="J735" i="9" s="1"/>
  <c r="H736" i="9"/>
  <c r="J736" i="9" s="1"/>
  <c r="H737" i="9"/>
  <c r="J737" i="9" s="1"/>
  <c r="H738" i="9"/>
  <c r="J738" i="9" s="1"/>
  <c r="H739" i="9"/>
  <c r="J739" i="9" s="1"/>
  <c r="H740" i="9"/>
  <c r="J740" i="9" s="1"/>
  <c r="H741" i="9"/>
  <c r="J741" i="9" s="1"/>
  <c r="H742" i="9"/>
  <c r="J742" i="9" s="1"/>
  <c r="H743" i="9"/>
  <c r="J743" i="9" s="1"/>
  <c r="H744" i="9"/>
  <c r="J744" i="9" s="1"/>
  <c r="H745" i="9"/>
  <c r="J745" i="9" s="1"/>
  <c r="H746" i="9"/>
  <c r="J746" i="9" s="1"/>
  <c r="H747" i="9"/>
  <c r="J747" i="9" s="1"/>
  <c r="H748" i="9"/>
  <c r="J748" i="9" s="1"/>
  <c r="H749" i="9"/>
  <c r="J749" i="9" s="1"/>
  <c r="H750" i="9"/>
  <c r="J750" i="9" s="1"/>
  <c r="H751" i="9"/>
  <c r="J751" i="9" s="1"/>
  <c r="H752" i="9"/>
  <c r="J752" i="9" s="1"/>
  <c r="H753" i="9"/>
  <c r="J753" i="9" s="1"/>
  <c r="H754" i="9"/>
  <c r="J754" i="9" s="1"/>
  <c r="H361" i="9"/>
  <c r="J361" i="9" s="1"/>
  <c r="H362" i="9"/>
  <c r="J362" i="9" s="1"/>
  <c r="H363" i="9"/>
  <c r="J363" i="9" s="1"/>
  <c r="H364" i="9"/>
  <c r="J364" i="9" s="1"/>
  <c r="H365" i="9"/>
  <c r="J365" i="9" s="1"/>
  <c r="H446" i="9"/>
  <c r="J446" i="9" s="1"/>
  <c r="H447" i="9"/>
  <c r="J447" i="9" s="1"/>
  <c r="H448" i="9"/>
  <c r="J448" i="9" s="1"/>
  <c r="H449" i="9"/>
  <c r="J449" i="9" s="1"/>
  <c r="H450" i="9"/>
  <c r="J450" i="9" s="1"/>
  <c r="H451" i="9"/>
  <c r="J451" i="9" s="1"/>
  <c r="H452" i="9"/>
  <c r="J452" i="9" s="1"/>
  <c r="H453" i="9"/>
  <c r="J453" i="9" s="1"/>
  <c r="H454" i="9"/>
  <c r="J454" i="9" s="1"/>
  <c r="H171" i="9"/>
  <c r="J171" i="9" s="1"/>
  <c r="H172" i="9"/>
  <c r="J172" i="9" s="1"/>
  <c r="H264" i="9"/>
  <c r="J264" i="9" s="1"/>
  <c r="H265" i="9"/>
  <c r="J265" i="9" s="1"/>
  <c r="H266" i="9"/>
  <c r="J266" i="9" s="1"/>
  <c r="H267" i="9"/>
  <c r="J267" i="9" s="1"/>
  <c r="H268" i="9"/>
  <c r="J268" i="9" s="1"/>
  <c r="H269" i="9"/>
  <c r="J269" i="9" s="1"/>
  <c r="H270" i="9"/>
  <c r="J270" i="9" s="1"/>
  <c r="H271" i="9"/>
  <c r="J271" i="9" s="1"/>
  <c r="H173" i="9"/>
  <c r="J173" i="9" s="1"/>
  <c r="H174" i="9"/>
  <c r="J174" i="9" s="1"/>
  <c r="H175" i="9"/>
  <c r="J175" i="9" s="1"/>
  <c r="H176" i="9"/>
  <c r="J176" i="9" s="1"/>
  <c r="H177" i="9"/>
  <c r="J177" i="9" s="1"/>
  <c r="H178" i="9"/>
  <c r="J178" i="9" s="1"/>
  <c r="H179" i="9"/>
  <c r="J179" i="9" s="1"/>
  <c r="H180" i="9"/>
  <c r="J180" i="9" s="1"/>
  <c r="H181" i="9"/>
  <c r="J181" i="9" s="1"/>
  <c r="H182" i="9"/>
  <c r="J182" i="9" s="1"/>
  <c r="H183" i="9"/>
  <c r="J183" i="9" s="1"/>
  <c r="H184" i="9"/>
  <c r="J184" i="9" s="1"/>
  <c r="H185" i="9"/>
  <c r="J185" i="9" s="1"/>
  <c r="H186" i="9"/>
  <c r="J186" i="9" s="1"/>
  <c r="H187" i="9"/>
  <c r="J187" i="9" s="1"/>
  <c r="H478" i="9"/>
  <c r="J478" i="9" s="1"/>
  <c r="N19" i="9" l="1"/>
  <c r="P19" i="9" s="1"/>
  <c r="J2" i="14"/>
  <c r="J3" i="14"/>
  <c r="J4" i="14"/>
  <c r="J5" i="14"/>
  <c r="N764" i="9"/>
  <c r="P764" i="9" s="1"/>
  <c r="N763" i="9"/>
  <c r="P763" i="9" s="1"/>
  <c r="N762" i="9"/>
  <c r="P762" i="9" s="1"/>
  <c r="N761" i="9"/>
  <c r="P761" i="9" s="1"/>
  <c r="N760" i="9"/>
  <c r="P760" i="9" s="1"/>
  <c r="N759" i="9"/>
  <c r="P759" i="9" s="1"/>
  <c r="N758" i="9"/>
  <c r="P758" i="9" s="1"/>
  <c r="N757" i="9"/>
  <c r="P757" i="9" s="1"/>
  <c r="N756" i="9"/>
  <c r="P756" i="9" s="1"/>
  <c r="N755" i="9"/>
  <c r="P755" i="9" s="1"/>
  <c r="N395" i="9"/>
  <c r="P395" i="9" s="1"/>
  <c r="P4" i="16"/>
  <c r="N441" i="9"/>
  <c r="P441" i="9" s="1"/>
  <c r="N859" i="9"/>
  <c r="P859" i="9" s="1"/>
  <c r="N423" i="9"/>
  <c r="P423" i="9" s="1"/>
  <c r="N484" i="9"/>
  <c r="P484" i="9" s="1"/>
  <c r="Q4" i="9" l="1"/>
</calcChain>
</file>

<file path=xl/sharedStrings.xml><?xml version="1.0" encoding="utf-8"?>
<sst xmlns="http://schemas.openxmlformats.org/spreadsheetml/2006/main" count="18903" uniqueCount="2570">
  <si>
    <t>Validación ESD de mobiliario</t>
  </si>
  <si>
    <t>Porcentaje de cumplimiento:</t>
  </si>
  <si>
    <t>Línea</t>
  </si>
  <si>
    <t>Id de producto</t>
  </si>
  <si>
    <t>Clasificación</t>
  </si>
  <si>
    <t>Etiquetado</t>
  </si>
  <si>
    <t>Marca</t>
  </si>
  <si>
    <t>Rango de aceptabilidad</t>
  </si>
  <si>
    <t>Unidad de aceptabilidad</t>
  </si>
  <si>
    <t>Valor de verificación</t>
  </si>
  <si>
    <t>Unidad verificada</t>
  </si>
  <si>
    <t>Método</t>
  </si>
  <si>
    <t>Fecha de verificación</t>
  </si>
  <si>
    <t>Fecha de próxima verificación</t>
  </si>
  <si>
    <t>Frecuencia de verificación</t>
  </si>
  <si>
    <t>Estatus de verificación</t>
  </si>
  <si>
    <t>Estatus operativo</t>
  </si>
  <si>
    <t>Notas</t>
  </si>
  <si>
    <t xml:space="preserve">Minimo </t>
  </si>
  <si>
    <t>Maximo</t>
  </si>
  <si>
    <t>Aduana BE</t>
  </si>
  <si>
    <t>ADB-01</t>
  </si>
  <si>
    <t>Mesa</t>
  </si>
  <si>
    <t xml:space="preserve">Aprobado </t>
  </si>
  <si>
    <t>N/A</t>
  </si>
  <si>
    <t>OPERATIVO</t>
  </si>
  <si>
    <t>ADB-02</t>
  </si>
  <si>
    <t>ADB-03</t>
  </si>
  <si>
    <t>Rack</t>
  </si>
  <si>
    <t>Valor más alto de repisa TR53 7.3.12.1</t>
  </si>
  <si>
    <t>ADB-04</t>
  </si>
  <si>
    <t>ADB-05</t>
  </si>
  <si>
    <t>ADB-06</t>
  </si>
  <si>
    <t>ADB-07</t>
  </si>
  <si>
    <t>ADB-08</t>
  </si>
  <si>
    <t>ADB-09</t>
  </si>
  <si>
    <t>ADB-10</t>
  </si>
  <si>
    <t>ADB-11</t>
  </si>
  <si>
    <t>ADB-12</t>
  </si>
  <si>
    <t>ADB-13</t>
  </si>
  <si>
    <t>ADB-14</t>
  </si>
  <si>
    <t>ADB-15</t>
  </si>
  <si>
    <t>ADB-16</t>
  </si>
  <si>
    <t>Tapete</t>
  </si>
  <si>
    <t>ADB-17</t>
  </si>
  <si>
    <t>Silla</t>
  </si>
  <si>
    <t>TR53 7.3.10</t>
  </si>
  <si>
    <t>ADB-18</t>
  </si>
  <si>
    <t>ADB-19</t>
  </si>
  <si>
    <t>ADB-20</t>
  </si>
  <si>
    <t>ADB-21</t>
  </si>
  <si>
    <t>ADB-22</t>
  </si>
  <si>
    <t>ADB-23</t>
  </si>
  <si>
    <t>ADB-24</t>
  </si>
  <si>
    <t>ADB-25</t>
  </si>
  <si>
    <t>ADB-26</t>
  </si>
  <si>
    <t>ADB-27</t>
  </si>
  <si>
    <t>ADB-28</t>
  </si>
  <si>
    <t>Aduana TLA</t>
  </si>
  <si>
    <t>ADU-01</t>
  </si>
  <si>
    <t>ADU-02</t>
  </si>
  <si>
    <t>ADU-03</t>
  </si>
  <si>
    <t>ADU-04</t>
  </si>
  <si>
    <t>ADU-05</t>
  </si>
  <si>
    <t>ADU-06</t>
  </si>
  <si>
    <t>ADU-07</t>
  </si>
  <si>
    <t>ADU-08</t>
  </si>
  <si>
    <t>ADU-09</t>
  </si>
  <si>
    <t>ADU-10</t>
  </si>
  <si>
    <t>ADU-11</t>
  </si>
  <si>
    <t>ADU-12</t>
  </si>
  <si>
    <t>ADU-13</t>
  </si>
  <si>
    <t>ADU-14</t>
  </si>
  <si>
    <t>ADU-15</t>
  </si>
  <si>
    <t>ADU-16</t>
  </si>
  <si>
    <t>ADU-17</t>
  </si>
  <si>
    <t>HVAC M3</t>
  </si>
  <si>
    <t>AOI-HVACM3</t>
  </si>
  <si>
    <t>HVAC MY</t>
  </si>
  <si>
    <t>AOI-HVACMY</t>
  </si>
  <si>
    <t>Area de Trabajo BACKEND</t>
  </si>
  <si>
    <t>ATB-01</t>
  </si>
  <si>
    <t>ATB-02</t>
  </si>
  <si>
    <t>ATB-03</t>
  </si>
  <si>
    <t>ATB-04</t>
  </si>
  <si>
    <t>ATB-05</t>
  </si>
  <si>
    <t>ATB-06</t>
  </si>
  <si>
    <t>ATB-07</t>
  </si>
  <si>
    <t>ATB-08</t>
  </si>
  <si>
    <t>Carrito</t>
  </si>
  <si>
    <t>ATB-09</t>
  </si>
  <si>
    <t>ATB-10</t>
  </si>
  <si>
    <t>ATB-11</t>
  </si>
  <si>
    <t>Audio TLA</t>
  </si>
  <si>
    <t>AUT-01</t>
  </si>
  <si>
    <t>AUT-02</t>
  </si>
  <si>
    <t>AUT-03</t>
  </si>
  <si>
    <t>AUT-04</t>
  </si>
  <si>
    <t>AUT-05</t>
  </si>
  <si>
    <t>AUT-06</t>
  </si>
  <si>
    <t>AUT-08</t>
  </si>
  <si>
    <t>AUT-09</t>
  </si>
  <si>
    <t>AUT-10</t>
  </si>
  <si>
    <t>AUT-11</t>
  </si>
  <si>
    <t>AUT-12</t>
  </si>
  <si>
    <t>AUT-13</t>
  </si>
  <si>
    <t>AUT-14</t>
  </si>
  <si>
    <t>AUT-15</t>
  </si>
  <si>
    <t>AUT-16</t>
  </si>
  <si>
    <t>AUT-17</t>
  </si>
  <si>
    <t>AUT-18</t>
  </si>
  <si>
    <t>AUT-19</t>
  </si>
  <si>
    <t>AUT-7</t>
  </si>
  <si>
    <t>Backend</t>
  </si>
  <si>
    <t>BAC-BAS-01</t>
  </si>
  <si>
    <t>Base Magazine</t>
  </si>
  <si>
    <t>SMT</t>
  </si>
  <si>
    <t>BACKEND-18</t>
  </si>
  <si>
    <t>BACKEND-47</t>
  </si>
  <si>
    <t>Base Magazine 1</t>
  </si>
  <si>
    <t>Base Magazine 2</t>
  </si>
  <si>
    <t>GS Y RR SMT</t>
  </si>
  <si>
    <t>Camara de humedad</t>
  </si>
  <si>
    <t>Camara de Humedad</t>
  </si>
  <si>
    <t>SMT 7 GM</t>
  </si>
  <si>
    <t>carr-001-CR5</t>
  </si>
  <si>
    <t>TR53 7.3.13.1</t>
  </si>
  <si>
    <t>Racks</t>
  </si>
  <si>
    <t>CARR-002-CR5</t>
  </si>
  <si>
    <t>CARR-003-CR5</t>
  </si>
  <si>
    <t>CARR-004-CR5</t>
  </si>
  <si>
    <t>Router 2 BE</t>
  </si>
  <si>
    <t>CARRMAG-ROUT2</t>
  </si>
  <si>
    <t>Carro</t>
  </si>
  <si>
    <t>Router 3 BE</t>
  </si>
  <si>
    <t>CARRMAG-ROUT3</t>
  </si>
  <si>
    <t>Router 4 BE</t>
  </si>
  <si>
    <t>CARRMAG-ROUT4</t>
  </si>
  <si>
    <t>WPC 4.0 Opal</t>
  </si>
  <si>
    <t>CARRO1-WPC4O</t>
  </si>
  <si>
    <t>Trailer TLA</t>
  </si>
  <si>
    <t>CARROFG-TRAILER</t>
  </si>
  <si>
    <t>Sidecar A</t>
  </si>
  <si>
    <t>CARROP400PL-SIA</t>
  </si>
  <si>
    <t>CARRTORREOP400-SIA</t>
  </si>
  <si>
    <t>Sidecar B</t>
  </si>
  <si>
    <t>CARRTORREOP400-SIB</t>
  </si>
  <si>
    <t>Rework BE</t>
  </si>
  <si>
    <t>CAU01-REW</t>
  </si>
  <si>
    <t>Cautín</t>
  </si>
  <si>
    <t>TIP TO GP: 1.2 OHM</t>
  </si>
  <si>
    <t>Selectiva 2</t>
  </si>
  <si>
    <t>CAU01-SELEC</t>
  </si>
  <si>
    <t>HAKKO</t>
  </si>
  <si>
    <t>Tip To GP: 1.0 OHM</t>
  </si>
  <si>
    <t>WPC 4.0 Everest</t>
  </si>
  <si>
    <t>CAU01-WPC4</t>
  </si>
  <si>
    <t>Punta a Punto aterrizable 0.9 ohm</t>
  </si>
  <si>
    <t>CAU02-REW</t>
  </si>
  <si>
    <t>Tip to GP 0.8 ohm</t>
  </si>
  <si>
    <t>CAU03-REW</t>
  </si>
  <si>
    <t>Tip to GP: 0.4 ohm</t>
  </si>
  <si>
    <t>CAU04-REW</t>
  </si>
  <si>
    <t>Tip to GP: 0.9 ohm</t>
  </si>
  <si>
    <t>Chargeport NA</t>
  </si>
  <si>
    <t>CHA-01-CPNA</t>
  </si>
  <si>
    <t>CHA-02-CPNA</t>
  </si>
  <si>
    <t>CHA-03-CPNA</t>
  </si>
  <si>
    <t>CHA-04-CPNA</t>
  </si>
  <si>
    <t>CHA-07-CPNA</t>
  </si>
  <si>
    <t>CHA-06-CPNA</t>
  </si>
  <si>
    <t>CHA-05-CPNA</t>
  </si>
  <si>
    <t>Clockspring TLA</t>
  </si>
  <si>
    <t>CLT-01</t>
  </si>
  <si>
    <t>CLT-02</t>
  </si>
  <si>
    <t>CLT-03</t>
  </si>
  <si>
    <t>CLT-04</t>
  </si>
  <si>
    <t>CLT-05</t>
  </si>
  <si>
    <t>CLT-06</t>
  </si>
  <si>
    <t>CLT-07</t>
  </si>
  <si>
    <t>CLT-08</t>
  </si>
  <si>
    <t>CLT-09</t>
  </si>
  <si>
    <t>CLT-10</t>
  </si>
  <si>
    <t>CLT-11</t>
  </si>
  <si>
    <t>CLT-12</t>
  </si>
  <si>
    <t>CLT-13</t>
  </si>
  <si>
    <t>CLT-14</t>
  </si>
  <si>
    <t>CLT-15</t>
  </si>
  <si>
    <t>CLT-16</t>
  </si>
  <si>
    <t>CLT-17</t>
  </si>
  <si>
    <t>CLT-18</t>
  </si>
  <si>
    <t>CLT-19</t>
  </si>
  <si>
    <t>CLT-20</t>
  </si>
  <si>
    <t>Conformal 1</t>
  </si>
  <si>
    <t>CONF1-01</t>
  </si>
  <si>
    <t>CONF1-02</t>
  </si>
  <si>
    <t>CONF1-03</t>
  </si>
  <si>
    <t>CONF1-04</t>
  </si>
  <si>
    <t>CONF1-05</t>
  </si>
  <si>
    <t>CONF1-06</t>
  </si>
  <si>
    <t xml:space="preserve">Conformal 2 </t>
  </si>
  <si>
    <t>CONF2-01</t>
  </si>
  <si>
    <t>CONF2-02</t>
  </si>
  <si>
    <t>CONF2-03</t>
  </si>
  <si>
    <t>CONF2-04</t>
  </si>
  <si>
    <t>CONF2-05</t>
  </si>
  <si>
    <t>Pin Stitch Door ECU BE</t>
  </si>
  <si>
    <t>DEB-01</t>
  </si>
  <si>
    <t>SMT 2</t>
  </si>
  <si>
    <t>DEKF-SMT2</t>
  </si>
  <si>
    <t>Impresora de pasta</t>
  </si>
  <si>
    <t>ASM-DEK</t>
  </si>
  <si>
    <t>SMT 3</t>
  </si>
  <si>
    <t>DEKF-SMT3</t>
  </si>
  <si>
    <t>SMT 4</t>
  </si>
  <si>
    <t>DEKF-SMT4</t>
  </si>
  <si>
    <t>SMT 5</t>
  </si>
  <si>
    <t>DEKF-SMT5</t>
  </si>
  <si>
    <t>SMT 8 GM</t>
  </si>
  <si>
    <t>DEKF-SMT8</t>
  </si>
  <si>
    <t>SMT 9 GM</t>
  </si>
  <si>
    <t>DEKF-SMT9</t>
  </si>
  <si>
    <t>DEKF-STM7</t>
  </si>
  <si>
    <t>DEKR-SMT2</t>
  </si>
  <si>
    <t>DEKR-SMT3</t>
  </si>
  <si>
    <t>DEKR-SMT4</t>
  </si>
  <si>
    <t>Estacion Temporal BE CONF</t>
  </si>
  <si>
    <t>SUP-ET-02</t>
  </si>
  <si>
    <t>NO OPERATIVO</t>
  </si>
  <si>
    <t>DEKR-SMT5</t>
  </si>
  <si>
    <t>DEKR-SMT7</t>
  </si>
  <si>
    <t>DEKR-SMT8</t>
  </si>
  <si>
    <t>DEKR-SMT9</t>
  </si>
  <si>
    <t>Door ECU TLA</t>
  </si>
  <si>
    <t>DOT-01</t>
  </si>
  <si>
    <t>DOT-02</t>
  </si>
  <si>
    <t>DOT-03</t>
  </si>
  <si>
    <t>DOT-04</t>
  </si>
  <si>
    <t>DOT-05</t>
  </si>
  <si>
    <t>DOT-06</t>
  </si>
  <si>
    <t>DOT-07</t>
  </si>
  <si>
    <t>DOT-08</t>
  </si>
  <si>
    <t>DOT-09</t>
  </si>
  <si>
    <t>DOT-10</t>
  </si>
  <si>
    <t>DOT-11</t>
  </si>
  <si>
    <t>DOT-12</t>
  </si>
  <si>
    <t>DOT-13</t>
  </si>
  <si>
    <t>DOT-14</t>
  </si>
  <si>
    <t>DOT-15</t>
  </si>
  <si>
    <t>ENT-HVACM3</t>
  </si>
  <si>
    <t>ENT-HVACMY</t>
  </si>
  <si>
    <t>GM GP12</t>
  </si>
  <si>
    <t>EST-TRAB01</t>
  </si>
  <si>
    <t>IMPRIMIR</t>
  </si>
  <si>
    <t>EST-TRAB02</t>
  </si>
  <si>
    <t>EST-TRAB03</t>
  </si>
  <si>
    <t>EST-TRAB04</t>
  </si>
  <si>
    <t>Garfield Flashing</t>
  </si>
  <si>
    <t>UNL-GARFIELDFLASH</t>
  </si>
  <si>
    <t>Cargador</t>
  </si>
  <si>
    <t>CONV1-GARFIELDFLASH</t>
  </si>
  <si>
    <t>Conveyor</t>
  </si>
  <si>
    <t>OP250-GARFIELDFLASH</t>
  </si>
  <si>
    <t>Flashing</t>
  </si>
  <si>
    <t>REJ-GARFIELDFLASH</t>
  </si>
  <si>
    <t>Reject Conveyor</t>
  </si>
  <si>
    <t>LOAD-GARFIELDFLASH</t>
  </si>
  <si>
    <t>Descargador</t>
  </si>
  <si>
    <t>ETIQ-HVACM3</t>
  </si>
  <si>
    <t>ETIQ-HVACMY</t>
  </si>
  <si>
    <t>Impresora de Etiqueta</t>
  </si>
  <si>
    <t>FA GM</t>
  </si>
  <si>
    <t>FA-GM-20</t>
  </si>
  <si>
    <t>FA-GM-21</t>
  </si>
  <si>
    <t>FA-GM-22</t>
  </si>
  <si>
    <t>FA-GM-23</t>
  </si>
  <si>
    <t>FA-GM-24</t>
  </si>
  <si>
    <t>FA-GM-25</t>
  </si>
  <si>
    <t>FA-GM-26</t>
  </si>
  <si>
    <t>FA-GM-28</t>
  </si>
  <si>
    <t>FA-GM-29</t>
  </si>
  <si>
    <t>FA-GM-30</t>
  </si>
  <si>
    <t>FA-GM-33</t>
  </si>
  <si>
    <t>FA-GM-35</t>
  </si>
  <si>
    <t>FA-GM-36</t>
  </si>
  <si>
    <t>FA-GM-37</t>
  </si>
  <si>
    <t>FA-GM-39</t>
  </si>
  <si>
    <t>FAGM-GS1</t>
  </si>
  <si>
    <t>FAGM-GS2</t>
  </si>
  <si>
    <t>FILMREMOVE-HVACM3</t>
  </si>
  <si>
    <t>FILMREMOVE-HVACMY</t>
  </si>
  <si>
    <t>FVT Backend</t>
  </si>
  <si>
    <t>FVT-01</t>
  </si>
  <si>
    <t>Glovebox TLA</t>
  </si>
  <si>
    <t>GLT-01</t>
  </si>
  <si>
    <t>GLT-02</t>
  </si>
  <si>
    <t>GLT-03</t>
  </si>
  <si>
    <t>GLT-04</t>
  </si>
  <si>
    <t>GLT-05</t>
  </si>
  <si>
    <t>GLT-06</t>
  </si>
  <si>
    <t>GLT-07</t>
  </si>
  <si>
    <t>GLT-08</t>
  </si>
  <si>
    <t>GLT-09</t>
  </si>
  <si>
    <t>GLT-10</t>
  </si>
  <si>
    <t>GLT-11</t>
  </si>
  <si>
    <t>GLT-12</t>
  </si>
  <si>
    <t>GLT-13</t>
  </si>
  <si>
    <t>GLT-14</t>
  </si>
  <si>
    <t>GP-12-FA GM</t>
  </si>
  <si>
    <t>GP12-01-TLA</t>
  </si>
  <si>
    <t>GP12-02-TLA</t>
  </si>
  <si>
    <t>GP12-03-TLA</t>
  </si>
  <si>
    <t>GP12-04-TLA</t>
  </si>
  <si>
    <t>GP12-05-TLA</t>
  </si>
  <si>
    <t>GP12-06-TLA</t>
  </si>
  <si>
    <t>GP12-07-TLA</t>
  </si>
  <si>
    <t>GP12-08-TLA</t>
  </si>
  <si>
    <t>GP12-09-TLA</t>
  </si>
  <si>
    <t>GP12-10-TLA</t>
  </si>
  <si>
    <t>GP-12-SMT GM</t>
  </si>
  <si>
    <t>GP12-01</t>
  </si>
  <si>
    <t>GP12-02</t>
  </si>
  <si>
    <t>GP12-03</t>
  </si>
  <si>
    <t>GP12-04</t>
  </si>
  <si>
    <t>GP12-05</t>
  </si>
  <si>
    <t>GP12-06</t>
  </si>
  <si>
    <t>GP12-07</t>
  </si>
  <si>
    <t>GLT-15</t>
  </si>
  <si>
    <t>GLT-16</t>
  </si>
  <si>
    <t>GLT-17</t>
  </si>
  <si>
    <t>SMT GM</t>
  </si>
  <si>
    <t>GM-01</t>
  </si>
  <si>
    <t>GM-02</t>
  </si>
  <si>
    <t>GM-03</t>
  </si>
  <si>
    <t>GM-04</t>
  </si>
  <si>
    <t>GM-05</t>
  </si>
  <si>
    <t>GM-06</t>
  </si>
  <si>
    <t>GM-07</t>
  </si>
  <si>
    <t>GM-08</t>
  </si>
  <si>
    <t>GM-09</t>
  </si>
  <si>
    <t>GM-10</t>
  </si>
  <si>
    <t>GM-11</t>
  </si>
  <si>
    <t>GM-12</t>
  </si>
  <si>
    <t>GM-13</t>
  </si>
  <si>
    <t>GM-14</t>
  </si>
  <si>
    <t>GM-16</t>
  </si>
  <si>
    <t>GM-17</t>
  </si>
  <si>
    <t>GM-18</t>
  </si>
  <si>
    <t>GM-19</t>
  </si>
  <si>
    <t>GM-20</t>
  </si>
  <si>
    <t>GS Y RR BACKEND</t>
  </si>
  <si>
    <t>HVAC Chevy 2</t>
  </si>
  <si>
    <t>HC2-01</t>
  </si>
  <si>
    <t>HC2-02</t>
  </si>
  <si>
    <t>HC2-03</t>
  </si>
  <si>
    <t>HC2-04</t>
  </si>
  <si>
    <t>HM3-01</t>
  </si>
  <si>
    <t>HM3-02</t>
  </si>
  <si>
    <t>HM3-03</t>
  </si>
  <si>
    <t>HM3-04</t>
  </si>
  <si>
    <t>HM3-05</t>
  </si>
  <si>
    <t>HM3-06</t>
  </si>
  <si>
    <t>HM3-07</t>
  </si>
  <si>
    <t>HM3-08</t>
  </si>
  <si>
    <t>HM3-09</t>
  </si>
  <si>
    <t>HM3-10</t>
  </si>
  <si>
    <t>HM3-11</t>
  </si>
  <si>
    <t>HM3-12</t>
  </si>
  <si>
    <t>HM3-13</t>
  </si>
  <si>
    <t>HM3-14</t>
  </si>
  <si>
    <t>HM3-15</t>
  </si>
  <si>
    <t>HM3-16</t>
  </si>
  <si>
    <t>HM3-17</t>
  </si>
  <si>
    <t>HM3-18</t>
  </si>
  <si>
    <t>HM3-19</t>
  </si>
  <si>
    <t>HM3-20</t>
  </si>
  <si>
    <t>HM3-21</t>
  </si>
  <si>
    <t>HM3-22</t>
  </si>
  <si>
    <t>HMY-01</t>
  </si>
  <si>
    <t>HMY-02</t>
  </si>
  <si>
    <t>HMY-03</t>
  </si>
  <si>
    <t>HMY-04</t>
  </si>
  <si>
    <t>HMY-05</t>
  </si>
  <si>
    <t>HMY-06</t>
  </si>
  <si>
    <t>HMY-07</t>
  </si>
  <si>
    <t>HMY-08</t>
  </si>
  <si>
    <t>HMY-09</t>
  </si>
  <si>
    <t>HMY-10</t>
  </si>
  <si>
    <t>HMY-11</t>
  </si>
  <si>
    <t>HMY-12</t>
  </si>
  <si>
    <t>HMY-13</t>
  </si>
  <si>
    <t>HMY-14</t>
  </si>
  <si>
    <t>HMY-15</t>
  </si>
  <si>
    <t>HMY-16</t>
  </si>
  <si>
    <t>HMY-17</t>
  </si>
  <si>
    <t>HMY-18</t>
  </si>
  <si>
    <t>HMY-19</t>
  </si>
  <si>
    <t>HMY-20</t>
  </si>
  <si>
    <t>HMY-21</t>
  </si>
  <si>
    <t>HMY-22</t>
  </si>
  <si>
    <t>HMY-23</t>
  </si>
  <si>
    <t>HMY-24</t>
  </si>
  <si>
    <t>Microphone Manual TLA</t>
  </si>
  <si>
    <t>IMPRESORA-MICROMAN</t>
  </si>
  <si>
    <t>Incoming</t>
  </si>
  <si>
    <t>INC-SIL-01</t>
  </si>
  <si>
    <t>INC-SIL-02</t>
  </si>
  <si>
    <t>Ingeniería TLA</t>
  </si>
  <si>
    <t>ITL-01</t>
  </si>
  <si>
    <t>ITL-02</t>
  </si>
  <si>
    <t>ITL-03</t>
  </si>
  <si>
    <t>ITL-04</t>
  </si>
  <si>
    <t>LABELING-AUDIO</t>
  </si>
  <si>
    <t>Mantenimiento</t>
  </si>
  <si>
    <t>LAV-01</t>
  </si>
  <si>
    <t>LAV-02</t>
  </si>
  <si>
    <t>Mantemiento TLA</t>
  </si>
  <si>
    <t>MAT-01</t>
  </si>
  <si>
    <t>MAT-02</t>
  </si>
  <si>
    <t>MAT-03</t>
  </si>
  <si>
    <t>MAT-04</t>
  </si>
  <si>
    <t>Escalera</t>
  </si>
  <si>
    <t>MATPRIM-HVACM3</t>
  </si>
  <si>
    <t>MATPRIM-HVACMY</t>
  </si>
  <si>
    <t>PW++ TLA</t>
  </si>
  <si>
    <t>MATPRIM-PWTLA</t>
  </si>
  <si>
    <t>MATTERM-AUDIO</t>
  </si>
  <si>
    <t>MES-01-CR3</t>
  </si>
  <si>
    <t>MES01-INCO</t>
  </si>
  <si>
    <t>MES-02-CR3</t>
  </si>
  <si>
    <t>MES02-INCO</t>
  </si>
  <si>
    <t>MES-03-CR3</t>
  </si>
  <si>
    <t>MES03-INCO</t>
  </si>
  <si>
    <t>MES-04-CR3</t>
  </si>
  <si>
    <t>MES04-INCO</t>
  </si>
  <si>
    <t>mesa-001-CR5</t>
  </si>
  <si>
    <t>Router 21</t>
  </si>
  <si>
    <t>mesa-001-CR6</t>
  </si>
  <si>
    <t>mesa-002-CR5</t>
  </si>
  <si>
    <t>mesa-003-CR5</t>
  </si>
  <si>
    <t>mesa-004-CR5</t>
  </si>
  <si>
    <t>mesa-005-CR5</t>
  </si>
  <si>
    <t>mesa-006-CR5</t>
  </si>
  <si>
    <t>mesa-007-CR5</t>
  </si>
  <si>
    <t>mesa-008-CR5</t>
  </si>
  <si>
    <t>MESA01-REW</t>
  </si>
  <si>
    <t>MESA02-REW</t>
  </si>
  <si>
    <t>MESA03-REW</t>
  </si>
  <si>
    <t>MESA04-REW</t>
  </si>
  <si>
    <t>Microphone Auto TLA</t>
  </si>
  <si>
    <t>MESA1-MICRO</t>
  </si>
  <si>
    <t>MESA1OP140-CPNA</t>
  </si>
  <si>
    <t>PWS Co-Driver</t>
  </si>
  <si>
    <t>MESA1-PWSCD</t>
  </si>
  <si>
    <t>PWS Driver</t>
  </si>
  <si>
    <t>MESA1-PWSDR</t>
  </si>
  <si>
    <t>PWS Rear 1</t>
  </si>
  <si>
    <t>MESA1-PWSR1</t>
  </si>
  <si>
    <t>Volume Knob</t>
  </si>
  <si>
    <t>MESA1-VOLK</t>
  </si>
  <si>
    <t>MESA2OP140-CPNA</t>
  </si>
  <si>
    <t>MESA3OP140-CPNA</t>
  </si>
  <si>
    <t>MESA4OP140-CPNA</t>
  </si>
  <si>
    <t>MESAEOLT1-TRAILER</t>
  </si>
  <si>
    <t>MESAEOLT2-TRAILER</t>
  </si>
  <si>
    <t>MESAOP430-WPC4O</t>
  </si>
  <si>
    <t>MESAOP-GLOVE</t>
  </si>
  <si>
    <t>MESASHIELD-WPC4</t>
  </si>
  <si>
    <t>MESGP12-TRAILER</t>
  </si>
  <si>
    <t>MESOP470-SIA</t>
  </si>
  <si>
    <t>MESOP470-SIB</t>
  </si>
  <si>
    <t>MESPACK-TRAILER</t>
  </si>
  <si>
    <t>MESPACK-WPC4O</t>
  </si>
  <si>
    <t>OP-100 HVAC GMC</t>
  </si>
  <si>
    <t>OP100-RACK01</t>
  </si>
  <si>
    <t>OP100-RACK02</t>
  </si>
  <si>
    <t>OP100-RACK03</t>
  </si>
  <si>
    <t>OP100-RACK04</t>
  </si>
  <si>
    <t>OP100-RACK05</t>
  </si>
  <si>
    <t>OP100-RACK06</t>
  </si>
  <si>
    <t>OP100-RACK07</t>
  </si>
  <si>
    <t>OP100-RACK08</t>
  </si>
  <si>
    <t>OP100-RACK09</t>
  </si>
  <si>
    <t>OP100-RACK10</t>
  </si>
  <si>
    <t>SCCM TLA</t>
  </si>
  <si>
    <t>OP900-SCCM</t>
  </si>
  <si>
    <t>OP900-FAGM</t>
  </si>
  <si>
    <t>Operaciones</t>
  </si>
  <si>
    <t>OPE-01</t>
  </si>
  <si>
    <t>OPE-02</t>
  </si>
  <si>
    <t>OPE-03</t>
  </si>
  <si>
    <t>OPE-04</t>
  </si>
  <si>
    <t>OPE-05</t>
  </si>
  <si>
    <t>OPE-06</t>
  </si>
  <si>
    <t>OPE-07</t>
  </si>
  <si>
    <t>OPE-08</t>
  </si>
  <si>
    <t>OPE-09</t>
  </si>
  <si>
    <t>OPE-10</t>
  </si>
  <si>
    <t>OPE-11</t>
  </si>
  <si>
    <t>OPE-12</t>
  </si>
  <si>
    <t>PACK-HVACM3</t>
  </si>
  <si>
    <t>PACK-HVACMY</t>
  </si>
  <si>
    <t>PACKOUT-GLOVE</t>
  </si>
  <si>
    <t>PACKOUT-PWTLA</t>
  </si>
  <si>
    <t>PACKRACK-HVACM3</t>
  </si>
  <si>
    <t>PACKRACK-HVACMY</t>
  </si>
  <si>
    <t>PACK-SIA</t>
  </si>
  <si>
    <t>piso-CR5</t>
  </si>
  <si>
    <t>Piso</t>
  </si>
  <si>
    <t>PISO-INCO</t>
  </si>
  <si>
    <t>Racks parte trasera</t>
  </si>
  <si>
    <t>PIST-01</t>
  </si>
  <si>
    <t>PIST-02</t>
  </si>
  <si>
    <t>PIST-03</t>
  </si>
  <si>
    <t>PIST-04</t>
  </si>
  <si>
    <t>PIST-05</t>
  </si>
  <si>
    <t>PIST-06</t>
  </si>
  <si>
    <t>PWSDR-Packout</t>
  </si>
  <si>
    <t>PWSDR-EOLT</t>
  </si>
  <si>
    <t>PWSCD-PACKOUT</t>
  </si>
  <si>
    <t>PWSFA-1</t>
  </si>
  <si>
    <t>PWSR1-PACKOUT</t>
  </si>
  <si>
    <t>PWSR1-REDBIN</t>
  </si>
  <si>
    <t>PWS Rear 2</t>
  </si>
  <si>
    <t>PWSR2-PACKOUT</t>
  </si>
  <si>
    <t xml:space="preserve">PWS Rear 2 </t>
  </si>
  <si>
    <t>PWSR2-PCBA</t>
  </si>
  <si>
    <t>PWT-01</t>
  </si>
  <si>
    <t>PWT-02</t>
  </si>
  <si>
    <t>Rack 3 Negro SMT</t>
  </si>
  <si>
    <t>RACK BACKEND</t>
  </si>
  <si>
    <t>rack-001-CR5</t>
  </si>
  <si>
    <t>rack-001-cr6</t>
  </si>
  <si>
    <t>rack-001-SMT</t>
  </si>
  <si>
    <t>rack-001-smt8</t>
  </si>
  <si>
    <t>rack-002-CR5</t>
  </si>
  <si>
    <t>rack-002-cr6</t>
  </si>
  <si>
    <t>rack-002-SMT</t>
  </si>
  <si>
    <t>rack-002-smt8</t>
  </si>
  <si>
    <t>rack-003-CR5</t>
  </si>
  <si>
    <t>rack-003-cr6</t>
  </si>
  <si>
    <t>rack-003-smt8</t>
  </si>
  <si>
    <t>rack-004-CR5</t>
  </si>
  <si>
    <t>rack-004-cr6</t>
  </si>
  <si>
    <t>rack-004-smt8</t>
  </si>
  <si>
    <t>rack-005-CR5</t>
  </si>
  <si>
    <t>rack-005-smt8</t>
  </si>
  <si>
    <t>rack-006-CR5</t>
  </si>
  <si>
    <t>rack-007-CR5</t>
  </si>
  <si>
    <t>RACK-008-CR5</t>
  </si>
  <si>
    <t>rack-009-CR5</t>
  </si>
  <si>
    <t>RACK-01</t>
  </si>
  <si>
    <t>RACK01-CPNA</t>
  </si>
  <si>
    <t>RACK01-INCO</t>
  </si>
  <si>
    <t>RACK-02</t>
  </si>
  <si>
    <t>RACK02-INCO</t>
  </si>
  <si>
    <t>RACK-03</t>
  </si>
  <si>
    <t xml:space="preserve">Rack </t>
  </si>
  <si>
    <t>RACK-04</t>
  </si>
  <si>
    <t>RACK-05</t>
  </si>
  <si>
    <t>RACK-06</t>
  </si>
  <si>
    <t>RACK-07</t>
  </si>
  <si>
    <t>RACK-08</t>
  </si>
  <si>
    <t>RACK-09</t>
  </si>
  <si>
    <t>RACK-10</t>
  </si>
  <si>
    <t>RACK-CODRI-01</t>
  </si>
  <si>
    <t>RACK-CODRI-02</t>
  </si>
  <si>
    <t>Everest Chargeport</t>
  </si>
  <si>
    <t>RACK1-CPEV</t>
  </si>
  <si>
    <t>RACK1-DOORTLA</t>
  </si>
  <si>
    <t>FVT1</t>
  </si>
  <si>
    <t>RACK1-FVT1</t>
  </si>
  <si>
    <t>FVT2</t>
  </si>
  <si>
    <t>RACK1-FVT2</t>
  </si>
  <si>
    <t>ICT 5</t>
  </si>
  <si>
    <t>RACK1-ICT5</t>
  </si>
  <si>
    <t>ICT 7</t>
  </si>
  <si>
    <t>RACK1-ICT7</t>
  </si>
  <si>
    <t>RACK1OP150-CPNA</t>
  </si>
  <si>
    <t>RACK1OP160-CPNA</t>
  </si>
  <si>
    <t>RACK1-PWSCD</t>
  </si>
  <si>
    <t>RACK1-PWSDR</t>
  </si>
  <si>
    <t>RACK1-PWSR1</t>
  </si>
  <si>
    <t>RACK1-PWSR2</t>
  </si>
  <si>
    <t>Selectiva 1</t>
  </si>
  <si>
    <t>RACK1-SEL1</t>
  </si>
  <si>
    <t>RACK1-VOLK</t>
  </si>
  <si>
    <t>RACK1-WPC4O</t>
  </si>
  <si>
    <t>RACK2-CPEV</t>
  </si>
  <si>
    <t>RACK2OP150-CPNA</t>
  </si>
  <si>
    <t>RACK2OP160-CPNA</t>
  </si>
  <si>
    <t>RACK2-PWSCD</t>
  </si>
  <si>
    <t>RACK2-PWSDR</t>
  </si>
  <si>
    <t>RACK2-PWSR1</t>
  </si>
  <si>
    <t>RACK2-PWSR2</t>
  </si>
  <si>
    <t>RACK2-WPC4O</t>
  </si>
  <si>
    <t>RACK3-CPEV</t>
  </si>
  <si>
    <t>RACK3OP150-CPNA</t>
  </si>
  <si>
    <t>RACK3-PWSCD</t>
  </si>
  <si>
    <t>RACK3-PWSDR</t>
  </si>
  <si>
    <t>RACK3-PWSR1</t>
  </si>
  <si>
    <t>RACK3-PWSR2</t>
  </si>
  <si>
    <t>RACK3-WPC4O</t>
  </si>
  <si>
    <t>RACK4-CPEV</t>
  </si>
  <si>
    <t>RACK4-WPC4O</t>
  </si>
  <si>
    <t>RACK5-CPEV</t>
  </si>
  <si>
    <t>RACK5-WPC4O</t>
  </si>
  <si>
    <t>RACK6-WPC4O</t>
  </si>
  <si>
    <t>RACK7-WPC4O</t>
  </si>
  <si>
    <t>RACK-BAS-01</t>
  </si>
  <si>
    <t>RACK-BAS-02</t>
  </si>
  <si>
    <t>RACK-BAS-03</t>
  </si>
  <si>
    <t>RACK-BAS-04</t>
  </si>
  <si>
    <t>RACK-BAS-05</t>
  </si>
  <si>
    <t>RACK-BAS-06</t>
  </si>
  <si>
    <t>RACK-BAS-07</t>
  </si>
  <si>
    <t>RACK-DRI-01</t>
  </si>
  <si>
    <t>RACK-DRI-02</t>
  </si>
  <si>
    <t>ICT GM</t>
  </si>
  <si>
    <t>RACK-ICT-01</t>
  </si>
  <si>
    <t>RACK-ICT-02</t>
  </si>
  <si>
    <t>RACK-REA1-01</t>
  </si>
  <si>
    <t>RACK-REA1-02</t>
  </si>
  <si>
    <t>RACK-REA2-01</t>
  </si>
  <si>
    <t>RACK-REA2-02</t>
  </si>
  <si>
    <t>RACKEMP-PWSCD</t>
  </si>
  <si>
    <t>RACKEMP-PWSR1</t>
  </si>
  <si>
    <t>RACKEMP-PWSR2</t>
  </si>
  <si>
    <t>RACKENTNEG-MICROMAN</t>
  </si>
  <si>
    <t>RACKENTRADAOP400-WPC4O</t>
  </si>
  <si>
    <t>RACKFG-MICRO</t>
  </si>
  <si>
    <t>RACKFG-MICROMAN</t>
  </si>
  <si>
    <t>RACKKANBANFG-MICRO</t>
  </si>
  <si>
    <t>RACKKAN-MICRO</t>
  </si>
  <si>
    <t>RACKMP2-CPEV</t>
  </si>
  <si>
    <t>RACKMP-CPEV</t>
  </si>
  <si>
    <t>RACKOP20-CPEV</t>
  </si>
  <si>
    <t>RACKOP220-CPNA</t>
  </si>
  <si>
    <t>RACKOP400NE2-SIB</t>
  </si>
  <si>
    <t>RACKOP400NE-SIA</t>
  </si>
  <si>
    <t>RACKOP400NE-SIB</t>
  </si>
  <si>
    <t>RACKOP400PL-SIA</t>
  </si>
  <si>
    <t>RACKPACK-WPC4O</t>
  </si>
  <si>
    <t>RACKPCBA-MICRO</t>
  </si>
  <si>
    <t>RACKPLAT-MICROMAN</t>
  </si>
  <si>
    <t>RACKPOSTOP20-CPEV</t>
  </si>
  <si>
    <t>RACKPREOP50-MICRO</t>
  </si>
  <si>
    <t>Retrabajo</t>
  </si>
  <si>
    <t>RACKRETRABAJO1</t>
  </si>
  <si>
    <t>RACKRETRABAJO2</t>
  </si>
  <si>
    <t>RACKRETRABAJO3</t>
  </si>
  <si>
    <t>RACKSALIDAOP400-WPC4O</t>
  </si>
  <si>
    <t>RACKSAL-PWSCD</t>
  </si>
  <si>
    <t>RACKSAL-PWSDR</t>
  </si>
  <si>
    <t>RACKSAL-PWSR1</t>
  </si>
  <si>
    <t>RACKSAL-PWSR2</t>
  </si>
  <si>
    <t>Router 7 Offline</t>
  </si>
  <si>
    <t>RARO07-01</t>
  </si>
  <si>
    <t>RO2-01</t>
  </si>
  <si>
    <t>RO2-02</t>
  </si>
  <si>
    <t>RO2-03</t>
  </si>
  <si>
    <t>RO2-04</t>
  </si>
  <si>
    <t>RO2-05</t>
  </si>
  <si>
    <t>RO2-06</t>
  </si>
  <si>
    <t>RO2-07</t>
  </si>
  <si>
    <t>RO2-08</t>
  </si>
  <si>
    <t>RO2-09</t>
  </si>
  <si>
    <t>RO3-01</t>
  </si>
  <si>
    <t>RO3-02</t>
  </si>
  <si>
    <t>RO3-03</t>
  </si>
  <si>
    <t>RO3-04</t>
  </si>
  <si>
    <t>RO3-05</t>
  </si>
  <si>
    <t>RO3-06</t>
  </si>
  <si>
    <t>RO3-07</t>
  </si>
  <si>
    <t>RO4-01</t>
  </si>
  <si>
    <t>RO4-02</t>
  </si>
  <si>
    <t>RO4-03</t>
  </si>
  <si>
    <t>Router 1 BE</t>
  </si>
  <si>
    <t>ROB-01</t>
  </si>
  <si>
    <t>ROB-02</t>
  </si>
  <si>
    <t>ROB-03</t>
  </si>
  <si>
    <t>ROB-04</t>
  </si>
  <si>
    <t>ROB-05</t>
  </si>
  <si>
    <t>ROB-06</t>
  </si>
  <si>
    <t>ROB-07</t>
  </si>
  <si>
    <t>ROU-01</t>
  </si>
  <si>
    <t>ROU-02</t>
  </si>
  <si>
    <t>ROU-03</t>
  </si>
  <si>
    <t>Router 20</t>
  </si>
  <si>
    <t>ROUTER20-RACK1</t>
  </si>
  <si>
    <t>ROUTER21-RACK1</t>
  </si>
  <si>
    <t>SALIDA-PWTLA</t>
  </si>
  <si>
    <t>SALIDA-ROUT2</t>
  </si>
  <si>
    <t>SALIDA-ROUT3</t>
  </si>
  <si>
    <t>SALIDA-ROUT4</t>
  </si>
  <si>
    <t>SALIDA-SIA</t>
  </si>
  <si>
    <t>SALIDA-SIB</t>
  </si>
  <si>
    <t>SALOP900-SIA</t>
  </si>
  <si>
    <t>SCT-01</t>
  </si>
  <si>
    <t>SCT-02</t>
  </si>
  <si>
    <t>SCT-03</t>
  </si>
  <si>
    <t>SCT-04</t>
  </si>
  <si>
    <t>SCT-05</t>
  </si>
  <si>
    <t>SCT-06</t>
  </si>
  <si>
    <t>SCT-07</t>
  </si>
  <si>
    <t>Rack Conveyor</t>
  </si>
  <si>
    <t>SCT-08</t>
  </si>
  <si>
    <t>SCT-09</t>
  </si>
  <si>
    <t>SCT-10</t>
  </si>
  <si>
    <t>SCT-11</t>
  </si>
  <si>
    <t>SCT-12</t>
  </si>
  <si>
    <t>SCT-13</t>
  </si>
  <si>
    <t>SCT-14</t>
  </si>
  <si>
    <t>Selec1-01</t>
  </si>
  <si>
    <t>Selec1-02</t>
  </si>
  <si>
    <t>Selec1-03</t>
  </si>
  <si>
    <t>Selec1-04</t>
  </si>
  <si>
    <t>Selec1-05</t>
  </si>
  <si>
    <t>Selec1-06</t>
  </si>
  <si>
    <t>Selec1-07</t>
  </si>
  <si>
    <t>Selec1-08</t>
  </si>
  <si>
    <t>Selec1-09</t>
  </si>
  <si>
    <t>Selec1-10</t>
  </si>
  <si>
    <t>Selec1-11</t>
  </si>
  <si>
    <t>Selec1-12</t>
  </si>
  <si>
    <t>Selec1-13</t>
  </si>
  <si>
    <t>Selec1-14</t>
  </si>
  <si>
    <t>Selec1-15</t>
  </si>
  <si>
    <t>Selec1-16</t>
  </si>
  <si>
    <t>Selec1-17</t>
  </si>
  <si>
    <t>Selec1-18</t>
  </si>
  <si>
    <t>Selec1-19</t>
  </si>
  <si>
    <t>Selec1-20</t>
  </si>
  <si>
    <t>Selec1-21</t>
  </si>
  <si>
    <t>Selec1-22</t>
  </si>
  <si>
    <t>Selec1-23</t>
  </si>
  <si>
    <t>Selec1-24</t>
  </si>
  <si>
    <t>Selec1-25</t>
  </si>
  <si>
    <t>Selec1-26</t>
  </si>
  <si>
    <t>Selec1-27</t>
  </si>
  <si>
    <t>Selec1-28</t>
  </si>
  <si>
    <t>Selec1-29</t>
  </si>
  <si>
    <t>Selec1-30</t>
  </si>
  <si>
    <t>Selec1-31</t>
  </si>
  <si>
    <t>Selec1-32</t>
  </si>
  <si>
    <t>Selec1-33</t>
  </si>
  <si>
    <t>Selec1-34</t>
  </si>
  <si>
    <t>Maquinaria</t>
  </si>
  <si>
    <t>Selec1-35</t>
  </si>
  <si>
    <t>Selec1-36</t>
  </si>
  <si>
    <t>SELEC2-01</t>
  </si>
  <si>
    <t>SELEC2-02</t>
  </si>
  <si>
    <t>SELEC2-03</t>
  </si>
  <si>
    <t>SELEC2-04</t>
  </si>
  <si>
    <t>SELEC2-05</t>
  </si>
  <si>
    <t>SELEC2-06</t>
  </si>
  <si>
    <t>SELEC2-07</t>
  </si>
  <si>
    <t>SELEC2-08</t>
  </si>
  <si>
    <t>SELEC2-09</t>
  </si>
  <si>
    <t>SELEC2-10</t>
  </si>
  <si>
    <t>SELEC2-11</t>
  </si>
  <si>
    <t>SELEC2-12</t>
  </si>
  <si>
    <t>SELEC2-13</t>
  </si>
  <si>
    <t>SELEC2-14</t>
  </si>
  <si>
    <t>SIA-01</t>
  </si>
  <si>
    <t>SIA-02</t>
  </si>
  <si>
    <t>SIA-03</t>
  </si>
  <si>
    <t>SIA-04</t>
  </si>
  <si>
    <t>SIA-05</t>
  </si>
  <si>
    <t>SIA-06</t>
  </si>
  <si>
    <t>SIA-07</t>
  </si>
  <si>
    <t>SIA-08</t>
  </si>
  <si>
    <t>SIA-09</t>
  </si>
  <si>
    <t>Gabinete</t>
  </si>
  <si>
    <t>SIA-10</t>
  </si>
  <si>
    <t>SIA-11</t>
  </si>
  <si>
    <t>SIA-12</t>
  </si>
  <si>
    <t>SIA-13</t>
  </si>
  <si>
    <t>SIA-14</t>
  </si>
  <si>
    <t>SIA-15</t>
  </si>
  <si>
    <t>SIA-16</t>
  </si>
  <si>
    <t>SIA-17</t>
  </si>
  <si>
    <t>SIA-18</t>
  </si>
  <si>
    <t>SIA-19</t>
  </si>
  <si>
    <t>SIA-20</t>
  </si>
  <si>
    <t>SIA-21</t>
  </si>
  <si>
    <t>SIA-22</t>
  </si>
  <si>
    <t>SIA-23</t>
  </si>
  <si>
    <t>SIA-24</t>
  </si>
  <si>
    <t>SIB-01</t>
  </si>
  <si>
    <t>SIB-02</t>
  </si>
  <si>
    <t>SIB-03</t>
  </si>
  <si>
    <t>SIB-04</t>
  </si>
  <si>
    <t>SIB-05</t>
  </si>
  <si>
    <t>SIB-06</t>
  </si>
  <si>
    <t>SIB-07</t>
  </si>
  <si>
    <t>SIB-08</t>
  </si>
  <si>
    <t>SIB-09</t>
  </si>
  <si>
    <t>SMT 1</t>
  </si>
  <si>
    <t>ION-SMT1</t>
  </si>
  <si>
    <t>Ionizador</t>
  </si>
  <si>
    <t>LAS-SMT1</t>
  </si>
  <si>
    <t>Laser</t>
  </si>
  <si>
    <t>R-TEC</t>
  </si>
  <si>
    <t>LIMPCB-SMT1</t>
  </si>
  <si>
    <t>Limpiador PCB</t>
  </si>
  <si>
    <t>PTL</t>
  </si>
  <si>
    <t>CONV1-SMT1</t>
  </si>
  <si>
    <t>DEKF-SMT1</t>
  </si>
  <si>
    <t>DIS-SMT1</t>
  </si>
  <si>
    <t>Distaker</t>
  </si>
  <si>
    <t>CAR-SMT1</t>
  </si>
  <si>
    <t>INV-SMT1</t>
  </si>
  <si>
    <t>Inverter</t>
  </si>
  <si>
    <t>Iljin</t>
  </si>
  <si>
    <t>CONV2-SMT1</t>
  </si>
  <si>
    <t>DEKR-SMT1</t>
  </si>
  <si>
    <t>SHUD-SMT1</t>
  </si>
  <si>
    <t>Shuttle Dual</t>
  </si>
  <si>
    <t>CONVD1-SMT1</t>
  </si>
  <si>
    <t>Conveyor Dual</t>
  </si>
  <si>
    <t>SPI-SMT1</t>
  </si>
  <si>
    <t>SPI</t>
  </si>
  <si>
    <t>KOHYOUNG</t>
  </si>
  <si>
    <t>CONVREJ1-SMT1</t>
  </si>
  <si>
    <t>FUERA DE SERVICIO</t>
  </si>
  <si>
    <t>CONVD2-SMT1</t>
  </si>
  <si>
    <t>P&amp;P1-SMT1</t>
  </si>
  <si>
    <t>Pick and Place</t>
  </si>
  <si>
    <t>Panasonic</t>
  </si>
  <si>
    <t>P&amp;P2-SMT1</t>
  </si>
  <si>
    <t>P&amp;P3-SMT1</t>
  </si>
  <si>
    <t>P&amp;P4-SMT1</t>
  </si>
  <si>
    <t>P&amp;P5-SMT1</t>
  </si>
  <si>
    <t>P&amp;P6-SMT1</t>
  </si>
  <si>
    <t>SHU-SMT1</t>
  </si>
  <si>
    <t>Shuttle</t>
  </si>
  <si>
    <t>HORV-SMT1</t>
  </si>
  <si>
    <t>Oven</t>
  </si>
  <si>
    <t>SMT-VAC</t>
  </si>
  <si>
    <t>CONVENF-SMT1</t>
  </si>
  <si>
    <t>Cooling Conveyor</t>
  </si>
  <si>
    <t>SHU2-SMT1</t>
  </si>
  <si>
    <t>BUF-SMT1</t>
  </si>
  <si>
    <t>Buffer</t>
  </si>
  <si>
    <t>CONVD3-SMT1</t>
  </si>
  <si>
    <t>AOI-SMT1</t>
  </si>
  <si>
    <t>AOI</t>
  </si>
  <si>
    <t>CONVREJ2-SMT1</t>
  </si>
  <si>
    <t>DES-SMT1</t>
  </si>
  <si>
    <t>SIB-10</t>
  </si>
  <si>
    <t>SIB-11</t>
  </si>
  <si>
    <t>SIB-12</t>
  </si>
  <si>
    <t>SIB-13</t>
  </si>
  <si>
    <t>SIB-14</t>
  </si>
  <si>
    <t>SIB-15</t>
  </si>
  <si>
    <t>SIB-16</t>
  </si>
  <si>
    <t>SIB-17</t>
  </si>
  <si>
    <t>SIB-18</t>
  </si>
  <si>
    <t>SIB-19</t>
  </si>
  <si>
    <t>SIB-20</t>
  </si>
  <si>
    <t>SIB-21</t>
  </si>
  <si>
    <t>SIB-22</t>
  </si>
  <si>
    <t>SIL01-REW</t>
  </si>
  <si>
    <t>SIL02-REW</t>
  </si>
  <si>
    <t>SIL03-REW</t>
  </si>
  <si>
    <t>SIL04-REW</t>
  </si>
  <si>
    <t>SIL05-REW</t>
  </si>
  <si>
    <t>SIL06-REW</t>
  </si>
  <si>
    <t>TR53 7.3.11</t>
  </si>
  <si>
    <t>SMT-03</t>
  </si>
  <si>
    <t>SMT-04</t>
  </si>
  <si>
    <t>SMT-05</t>
  </si>
  <si>
    <t>SMT-06</t>
  </si>
  <si>
    <t>SMT-07</t>
  </si>
  <si>
    <t>SMT-08</t>
  </si>
  <si>
    <t>SMT-09</t>
  </si>
  <si>
    <t>SMT-10</t>
  </si>
  <si>
    <t>SMT1-01</t>
  </si>
  <si>
    <t>SMT1-02</t>
  </si>
  <si>
    <t>SMT1-03</t>
  </si>
  <si>
    <t>SMT1-04</t>
  </si>
  <si>
    <t>SMT1-05</t>
  </si>
  <si>
    <t>SMT1-06</t>
  </si>
  <si>
    <t>SMT1-07</t>
  </si>
  <si>
    <t>SMT1-08</t>
  </si>
  <si>
    <t>SMT1-09</t>
  </si>
  <si>
    <t>SMT-11</t>
  </si>
  <si>
    <t>SMT1-10</t>
  </si>
  <si>
    <t>SMT1-11</t>
  </si>
  <si>
    <t>SMT-12</t>
  </si>
  <si>
    <t>SMT-13</t>
  </si>
  <si>
    <t>SMT-14</t>
  </si>
  <si>
    <t>SMT-15</t>
  </si>
  <si>
    <t>SMT-17</t>
  </si>
  <si>
    <t>SMT-18</t>
  </si>
  <si>
    <t>SMT-19</t>
  </si>
  <si>
    <t>SMT2-01</t>
  </si>
  <si>
    <t>SMT2-02</t>
  </si>
  <si>
    <t>SMT2-03</t>
  </si>
  <si>
    <t>SMT2-04</t>
  </si>
  <si>
    <t>SMT2-05</t>
  </si>
  <si>
    <t>SMT2-06</t>
  </si>
  <si>
    <t>SMT2-07</t>
  </si>
  <si>
    <t>SMT2-08</t>
  </si>
  <si>
    <t>SMT2-09</t>
  </si>
  <si>
    <t>SMT-21</t>
  </si>
  <si>
    <t>SMT2-10</t>
  </si>
  <si>
    <t>SMT2-11</t>
  </si>
  <si>
    <t>SMT2-12</t>
  </si>
  <si>
    <t>SMT2-13</t>
  </si>
  <si>
    <t>SMT2-14</t>
  </si>
  <si>
    <t>SMT-22</t>
  </si>
  <si>
    <t>SMT-23</t>
  </si>
  <si>
    <t>SMT-24</t>
  </si>
  <si>
    <t>SMT-25</t>
  </si>
  <si>
    <t>SMT-26</t>
  </si>
  <si>
    <t>SMT-27</t>
  </si>
  <si>
    <t>SMT-28</t>
  </si>
  <si>
    <t>SMT-29</t>
  </si>
  <si>
    <t>SMT-30</t>
  </si>
  <si>
    <t>SMT3-01</t>
  </si>
  <si>
    <t>SMT3-02</t>
  </si>
  <si>
    <t>SMT3-03</t>
  </si>
  <si>
    <t>SMT 6</t>
  </si>
  <si>
    <t>ION6-SMT6</t>
  </si>
  <si>
    <t>Fuera de operación</t>
  </si>
  <si>
    <t>CARGPCB-SMT6</t>
  </si>
  <si>
    <t>LAS-SMT6</t>
  </si>
  <si>
    <t>LIMPPCB-SMT6</t>
  </si>
  <si>
    <t>CONVEYOR1-SMT6</t>
  </si>
  <si>
    <t>DEKF-SMT6</t>
  </si>
  <si>
    <t>EKRA</t>
  </si>
  <si>
    <t>CONVEYOR2-SMT6</t>
  </si>
  <si>
    <t>SPI-SMT6</t>
  </si>
  <si>
    <t>CONVREJ1-SMT6</t>
  </si>
  <si>
    <t>Pendiente</t>
  </si>
  <si>
    <t>CONVEYOR3-SMT6</t>
  </si>
  <si>
    <t>P&amp;P1-SMT6</t>
  </si>
  <si>
    <t>P&amp;P2-SMT6</t>
  </si>
  <si>
    <t>CONVEYOR4-SMT6</t>
  </si>
  <si>
    <t>HORV-SMT6</t>
  </si>
  <si>
    <t>HELLER</t>
  </si>
  <si>
    <t>CONVEYOR5-SMT6</t>
  </si>
  <si>
    <t>BUFER-SMT6</t>
  </si>
  <si>
    <t>CONVEYOR6-SMT6</t>
  </si>
  <si>
    <t>AOI-SMT6</t>
  </si>
  <si>
    <t>CONVREJ2-SMT6</t>
  </si>
  <si>
    <t>DES-SMT6</t>
  </si>
  <si>
    <t>SMT3-04</t>
  </si>
  <si>
    <t>SMT3-05</t>
  </si>
  <si>
    <t>SMT3-06</t>
  </si>
  <si>
    <t>SMT3-07</t>
  </si>
  <si>
    <t>SMT3-08</t>
  </si>
  <si>
    <t>SMT3-09</t>
  </si>
  <si>
    <t>SMT-31</t>
  </si>
  <si>
    <t>SMT3-10</t>
  </si>
  <si>
    <t>SMT3-11</t>
  </si>
  <si>
    <t>SMT3-12</t>
  </si>
  <si>
    <t>SMT-32</t>
  </si>
  <si>
    <t>SMT-33</t>
  </si>
  <si>
    <t>SMT-34</t>
  </si>
  <si>
    <t>SMT-35</t>
  </si>
  <si>
    <t>SMT-36</t>
  </si>
  <si>
    <t>SMT-37</t>
  </si>
  <si>
    <t>SMT-39</t>
  </si>
  <si>
    <t>SMT-40</t>
  </si>
  <si>
    <t>SMT4-01</t>
  </si>
  <si>
    <t>SMT4-02</t>
  </si>
  <si>
    <t>SMT4-03</t>
  </si>
  <si>
    <t>SMT4-04</t>
  </si>
  <si>
    <t>SMT4-05</t>
  </si>
  <si>
    <t>SMT4-06</t>
  </si>
  <si>
    <t>SMT4-07</t>
  </si>
  <si>
    <t>SMT4-08</t>
  </si>
  <si>
    <t>SMT4-09</t>
  </si>
  <si>
    <t>SMT-41</t>
  </si>
  <si>
    <t>SMT4-10</t>
  </si>
  <si>
    <t>SMT4-11</t>
  </si>
  <si>
    <t>SMT4-12</t>
  </si>
  <si>
    <t>SMT4-13</t>
  </si>
  <si>
    <t>SMT4-14</t>
  </si>
  <si>
    <t>SMT-42</t>
  </si>
  <si>
    <t>SMT-43</t>
  </si>
  <si>
    <t>SMT-44</t>
  </si>
  <si>
    <t>SMT-45</t>
  </si>
  <si>
    <t>SMT-46</t>
  </si>
  <si>
    <t>SMT-47</t>
  </si>
  <si>
    <t>SMT-48</t>
  </si>
  <si>
    <t>SMT-49</t>
  </si>
  <si>
    <t>SMT5-01</t>
  </si>
  <si>
    <t>SMT5-02</t>
  </si>
  <si>
    <t>SMT5-03</t>
  </si>
  <si>
    <t>SMT5-04</t>
  </si>
  <si>
    <t>SMT5-05</t>
  </si>
  <si>
    <t>SMT5-06</t>
  </si>
  <si>
    <t>SMT5-07</t>
  </si>
  <si>
    <t>SMT5-08</t>
  </si>
  <si>
    <t xml:space="preserve">Mesa </t>
  </si>
  <si>
    <t>SMT5-09</t>
  </si>
  <si>
    <t>SMT5-10</t>
  </si>
  <si>
    <t>SMT5-11</t>
  </si>
  <si>
    <t>SMT6-01</t>
  </si>
  <si>
    <t>SMT6-02</t>
  </si>
  <si>
    <t>SMT6-03</t>
  </si>
  <si>
    <t>SMT6-04</t>
  </si>
  <si>
    <t>SMT6-05</t>
  </si>
  <si>
    <t>SMT6-06</t>
  </si>
  <si>
    <t>SMT6-07</t>
  </si>
  <si>
    <t>SMT7-01</t>
  </si>
  <si>
    <t>SMT7-02</t>
  </si>
  <si>
    <t>SMT7-Carro1</t>
  </si>
  <si>
    <t xml:space="preserve"> Carro</t>
  </si>
  <si>
    <t>SMT8-01</t>
  </si>
  <si>
    <t>SMT-GM-01</t>
  </si>
  <si>
    <t>SMT-GM-02</t>
  </si>
  <si>
    <t>SMT-GM-03</t>
  </si>
  <si>
    <t>SMT-GM-04</t>
  </si>
  <si>
    <t>SMT-GM-05</t>
  </si>
  <si>
    <t>SMT-GM-06</t>
  </si>
  <si>
    <t>SMT-GM-09</t>
  </si>
  <si>
    <t>SMT-GM-10</t>
  </si>
  <si>
    <t>SMT-GM-11</t>
  </si>
  <si>
    <t>SMT-GM-13</t>
  </si>
  <si>
    <t>SMT-GM-14</t>
  </si>
  <si>
    <t>SMT-GM-16</t>
  </si>
  <si>
    <t>SMT-GM-17</t>
  </si>
  <si>
    <t>SMT-GM-18</t>
  </si>
  <si>
    <t>SMT-GM-19</t>
  </si>
  <si>
    <t>SMT-GM-33</t>
  </si>
  <si>
    <t>SMT-GM-34</t>
  </si>
  <si>
    <t>SMT-GM-35</t>
  </si>
  <si>
    <t>SMT-GM-36</t>
  </si>
  <si>
    <t>SMT-GM-38</t>
  </si>
  <si>
    <t>SMT-GM-39</t>
  </si>
  <si>
    <t xml:space="preserve">TLA </t>
  </si>
  <si>
    <t>SM-TLA-01</t>
  </si>
  <si>
    <t>SM-TLA-02</t>
  </si>
  <si>
    <t>SM-TLA-03</t>
  </si>
  <si>
    <t>SM-TLA-04</t>
  </si>
  <si>
    <t>SMT-MES01</t>
  </si>
  <si>
    <t>SOLDERINGMAN-WPC4</t>
  </si>
  <si>
    <t>SUP1-CLOCKS</t>
  </si>
  <si>
    <t>Flashing 1</t>
  </si>
  <si>
    <t>SUP1-FL1</t>
  </si>
  <si>
    <t>Flashing 2</t>
  </si>
  <si>
    <t>SUP1-FL2</t>
  </si>
  <si>
    <t>Flashing 3</t>
  </si>
  <si>
    <t>SUP1-FL3</t>
  </si>
  <si>
    <t>Flashing 4</t>
  </si>
  <si>
    <t>SUP1-FL4</t>
  </si>
  <si>
    <t>Flashing 5</t>
  </si>
  <si>
    <t>SUP1-FL5</t>
  </si>
  <si>
    <t>SUP1-PWTLA</t>
  </si>
  <si>
    <t>SUP2-FL1</t>
  </si>
  <si>
    <t>SUP2-FL2</t>
  </si>
  <si>
    <t>SUP2-FL3</t>
  </si>
  <si>
    <t>SUP2-FL4</t>
  </si>
  <si>
    <t>SUP2-FL5</t>
  </si>
  <si>
    <t>SUP3-FL1</t>
  </si>
  <si>
    <t>SUP3-FL2</t>
  </si>
  <si>
    <t>SUP3-FL3</t>
  </si>
  <si>
    <t>SUP3-FL4</t>
  </si>
  <si>
    <t>SUP3-FL5</t>
  </si>
  <si>
    <t>SUP-TRAB01</t>
  </si>
  <si>
    <t>GM FA</t>
  </si>
  <si>
    <t>SUP-MOV-01</t>
  </si>
  <si>
    <t>TLA-04</t>
  </si>
  <si>
    <t>TLA-06</t>
  </si>
  <si>
    <t>TLA-07</t>
  </si>
  <si>
    <t>TLA-70</t>
  </si>
  <si>
    <t>TLA-71</t>
  </si>
  <si>
    <t>TRT-01</t>
  </si>
  <si>
    <t>TRT-02</t>
  </si>
  <si>
    <t>TRT-03</t>
  </si>
  <si>
    <t>TRT-04</t>
  </si>
  <si>
    <t>TRT-05</t>
  </si>
  <si>
    <t>TRT-06</t>
  </si>
  <si>
    <t>TRT-07</t>
  </si>
  <si>
    <t>TRT-08</t>
  </si>
  <si>
    <t>TRT-09</t>
  </si>
  <si>
    <t>TRT-10</t>
  </si>
  <si>
    <t>TRT-11</t>
  </si>
  <si>
    <t>TRT-12</t>
  </si>
  <si>
    <t>TRT-13</t>
  </si>
  <si>
    <t>TRT-14</t>
  </si>
  <si>
    <t>TRT-15</t>
  </si>
  <si>
    <t>TRT-16</t>
  </si>
  <si>
    <t>TRT-17</t>
  </si>
  <si>
    <t>TRT-18</t>
  </si>
  <si>
    <t>TRT-19</t>
  </si>
  <si>
    <t>TRT-20</t>
  </si>
  <si>
    <t>TRT-21</t>
  </si>
  <si>
    <t>TRT-22</t>
  </si>
  <si>
    <t>TRT-23</t>
  </si>
  <si>
    <t>TRT-24</t>
  </si>
  <si>
    <t>WIP1-HVACM3</t>
  </si>
  <si>
    <t>WIP1-HVACMY</t>
  </si>
  <si>
    <t>WIP1-SIA</t>
  </si>
  <si>
    <t>WIP1-SIB</t>
  </si>
  <si>
    <t>WIP2-HVACM3</t>
  </si>
  <si>
    <t>WIP2-HVACMY</t>
  </si>
  <si>
    <t>WIP2-SIA</t>
  </si>
  <si>
    <t>WIP2-SIB</t>
  </si>
  <si>
    <t>WPC 2.5</t>
  </si>
  <si>
    <t>ION1-WPC2.5</t>
  </si>
  <si>
    <t>WIP3-HVACM3</t>
  </si>
  <si>
    <t>WIP3-HVACMY</t>
  </si>
  <si>
    <t>WIP3-SIA</t>
  </si>
  <si>
    <t>WIP3-SIB</t>
  </si>
  <si>
    <t>WIP410-SIA</t>
  </si>
  <si>
    <t>WIP410-SIB</t>
  </si>
  <si>
    <t>WIP4-HVACM3</t>
  </si>
  <si>
    <t>WIP4-HVACMY</t>
  </si>
  <si>
    <t>WIP4-SIA</t>
  </si>
  <si>
    <t>WIPOP10-SCCM</t>
  </si>
  <si>
    <t>WIPOP170-CPNA</t>
  </si>
  <si>
    <t>WIPOP20-MICROMAN</t>
  </si>
  <si>
    <t>WIPOP20-SCCM</t>
  </si>
  <si>
    <t>WIPOP25-SCCM</t>
  </si>
  <si>
    <t>WIPOP30-SCCM</t>
  </si>
  <si>
    <t>WIPOP50-SCCM</t>
  </si>
  <si>
    <t>WIPOP60-SCCM</t>
  </si>
  <si>
    <t>WIPOP80-SCCM</t>
  </si>
  <si>
    <t>WIPOP850-SCCM</t>
  </si>
  <si>
    <t>WIPOP90-SCCM</t>
  </si>
  <si>
    <t>WPE-01</t>
  </si>
  <si>
    <t>WPE-02</t>
  </si>
  <si>
    <t>WPE-03</t>
  </si>
  <si>
    <t>WPE-04</t>
  </si>
  <si>
    <t>WPE-05</t>
  </si>
  <si>
    <t>WPE-06</t>
  </si>
  <si>
    <t>WPE-07</t>
  </si>
  <si>
    <t>WPE-08</t>
  </si>
  <si>
    <t>WPE-09</t>
  </si>
  <si>
    <t>WPE-10</t>
  </si>
  <si>
    <t>WPE-11</t>
  </si>
  <si>
    <t>WPE-12</t>
  </si>
  <si>
    <t>WPE-13</t>
  </si>
  <si>
    <t>WPE-14</t>
  </si>
  <si>
    <t>WPE-15</t>
  </si>
  <si>
    <t>WPE-16</t>
  </si>
  <si>
    <t>WPE-17</t>
  </si>
  <si>
    <t>WPE-18</t>
  </si>
  <si>
    <t>WPE-19</t>
  </si>
  <si>
    <t>WPE-20</t>
  </si>
  <si>
    <t>WPE-21</t>
  </si>
  <si>
    <t>WPE-22</t>
  </si>
  <si>
    <t>WPE-23</t>
  </si>
  <si>
    <t>WPE-24</t>
  </si>
  <si>
    <t>WPE-25</t>
  </si>
  <si>
    <t>WPE-26</t>
  </si>
  <si>
    <t>WPE-27</t>
  </si>
  <si>
    <t>WPE-28</t>
  </si>
  <si>
    <t>WPE-29</t>
  </si>
  <si>
    <t>WPE-30</t>
  </si>
  <si>
    <t>WPE-31</t>
  </si>
  <si>
    <t>WPE-32</t>
  </si>
  <si>
    <t>WPE-33</t>
  </si>
  <si>
    <t>WPE-34</t>
  </si>
  <si>
    <t>WPE-35</t>
  </si>
  <si>
    <t>WPE-36</t>
  </si>
  <si>
    <t>WPE-37</t>
  </si>
  <si>
    <t>Xray 1</t>
  </si>
  <si>
    <t>XRAY-01</t>
  </si>
  <si>
    <t>XRAY-02</t>
  </si>
  <si>
    <t>Validación ESD de maquinaria</t>
  </si>
  <si>
    <t>EASE Audit ID</t>
  </si>
  <si>
    <t>LIFTER1-AUDIO</t>
  </si>
  <si>
    <t>Lifter</t>
  </si>
  <si>
    <t>CONV1-AUDIO</t>
  </si>
  <si>
    <t>OP20-AUDIO</t>
  </si>
  <si>
    <t>OP30-AUDIO</t>
  </si>
  <si>
    <t>OP40-AUDIO</t>
  </si>
  <si>
    <t>OP50-AUDIO</t>
  </si>
  <si>
    <t>OP60-AUDIO</t>
  </si>
  <si>
    <t>OP70-AUDIO</t>
  </si>
  <si>
    <t>OP80-AUDIO</t>
  </si>
  <si>
    <t>LIFTER2-AUDIO</t>
  </si>
  <si>
    <t>EOLT-AUDIO</t>
  </si>
  <si>
    <t>EOLT</t>
  </si>
  <si>
    <t>AOI-AUDIO</t>
  </si>
  <si>
    <t>LIF1-CPNA</t>
  </si>
  <si>
    <t xml:space="preserve">Lifter </t>
  </si>
  <si>
    <t>OP10-CPNA</t>
  </si>
  <si>
    <t>OP05-CPNA</t>
  </si>
  <si>
    <t>OP20-CPNA</t>
  </si>
  <si>
    <t>OP30-1-CPNA</t>
  </si>
  <si>
    <t>OP30-2-CPNA</t>
  </si>
  <si>
    <t>LIF2-CPNA</t>
  </si>
  <si>
    <t>CONVPUCK-CPNA</t>
  </si>
  <si>
    <t>OP40-CPNA</t>
  </si>
  <si>
    <t>OP50-CPNA</t>
  </si>
  <si>
    <t>OP60-CPNA</t>
  </si>
  <si>
    <t>OP150-CPNA</t>
  </si>
  <si>
    <t>OP160-CPNA</t>
  </si>
  <si>
    <t>OP170-CPNA</t>
  </si>
  <si>
    <t>CONV180-CPNA</t>
  </si>
  <si>
    <t>OP180-CPNA</t>
  </si>
  <si>
    <t>CONV190-CPNA</t>
  </si>
  <si>
    <t>OP190-CPNA</t>
  </si>
  <si>
    <t>OP200-1-CPNA</t>
  </si>
  <si>
    <t>OP200-2-CPNA</t>
  </si>
  <si>
    <t>OP210-CPNA</t>
  </si>
  <si>
    <t>OP220-CPNA</t>
  </si>
  <si>
    <t>ION1-CPNA</t>
  </si>
  <si>
    <t>OP402-CLOCKS</t>
  </si>
  <si>
    <t>OP404-CLOCKS</t>
  </si>
  <si>
    <t>OP406A-CLOCKS</t>
  </si>
  <si>
    <t>OP406B-CLOCKS</t>
  </si>
  <si>
    <t>OP400-CLOCKS</t>
  </si>
  <si>
    <t>OP410A-CLOCKS</t>
  </si>
  <si>
    <t>OP410B-CLOCKS</t>
  </si>
  <si>
    <t>OP420-CLOCKS</t>
  </si>
  <si>
    <t>OP430-CLOCKS</t>
  </si>
  <si>
    <t>OP440-CLOCKS</t>
  </si>
  <si>
    <t>OP800-CLOCKS</t>
  </si>
  <si>
    <t>OP900-CLOCKS</t>
  </si>
  <si>
    <t>CAR-CONF1</t>
  </si>
  <si>
    <t>INV1-CONF1</t>
  </si>
  <si>
    <t>CONV1-CONF1</t>
  </si>
  <si>
    <t>DISP1-CONF1</t>
  </si>
  <si>
    <t>Coating</t>
  </si>
  <si>
    <t>CONV2-CONF1</t>
  </si>
  <si>
    <t>UVOVEN1-CONF1</t>
  </si>
  <si>
    <t>UV Oven</t>
  </si>
  <si>
    <t>CONV3-CONF1</t>
  </si>
  <si>
    <t>INV2-CONF1</t>
  </si>
  <si>
    <t>DISP2-CONF1</t>
  </si>
  <si>
    <t>CONV4-CONF1</t>
  </si>
  <si>
    <t>UVOVEN2-CONF1</t>
  </si>
  <si>
    <t>CONV5-CONF1</t>
  </si>
  <si>
    <t>RTV-CONF1</t>
  </si>
  <si>
    <t>RTV</t>
  </si>
  <si>
    <t>AOI-CONF1</t>
  </si>
  <si>
    <t>CONREJ-CONF1</t>
  </si>
  <si>
    <t>INV3-CONF1</t>
  </si>
  <si>
    <t>DES-CONF1</t>
  </si>
  <si>
    <t>ION1-BACKEND</t>
  </si>
  <si>
    <t>SMC</t>
  </si>
  <si>
    <t>UNL-CONF2</t>
  </si>
  <si>
    <t>CONV1-CONF2</t>
  </si>
  <si>
    <t>DISP1-CONF2</t>
  </si>
  <si>
    <t>CONV-CONF2</t>
  </si>
  <si>
    <t>UVOVEN1-CONF2</t>
  </si>
  <si>
    <t>CONV3-CONF2</t>
  </si>
  <si>
    <t>INV1-CONF2</t>
  </si>
  <si>
    <t>DISP2-CONF2</t>
  </si>
  <si>
    <t>CONV4-CONF2</t>
  </si>
  <si>
    <t>UVOVEN2-CONF2</t>
  </si>
  <si>
    <t>CONV5-CONF2</t>
  </si>
  <si>
    <t>AOI-CONF2</t>
  </si>
  <si>
    <t>CONV6-CONF2</t>
  </si>
  <si>
    <t>LOAD-CONF2</t>
  </si>
  <si>
    <t>DCDC</t>
  </si>
  <si>
    <t>SCREW1-DCDC</t>
  </si>
  <si>
    <t>LUXSHARE</t>
  </si>
  <si>
    <t>RTG</t>
  </si>
  <si>
    <t>GLUE1-DCDC</t>
  </si>
  <si>
    <t>SOLDER-DCDC</t>
  </si>
  <si>
    <t>GLUE2-DCDC</t>
  </si>
  <si>
    <t>SCREW2-DCDC</t>
  </si>
  <si>
    <t>TESTING-DCDC</t>
  </si>
  <si>
    <t>DCDC Limpiador</t>
  </si>
  <si>
    <t>ION1-DCDCCL</t>
  </si>
  <si>
    <t>LIFT1-DOORTLA</t>
  </si>
  <si>
    <t>TOPCOV-DOORTLA</t>
  </si>
  <si>
    <t>PCBALOAD-DOORTLA</t>
  </si>
  <si>
    <t>HEATST-DOORTLA</t>
  </si>
  <si>
    <t>Heat Stake</t>
  </si>
  <si>
    <t>EOLT-DOORTLA</t>
  </si>
  <si>
    <t>AOI-DOORTLA</t>
  </si>
  <si>
    <t>LIFT2-DOORTLA</t>
  </si>
  <si>
    <t>LOAD-DOORTLA</t>
  </si>
  <si>
    <t>ION1-DOORTLA</t>
  </si>
  <si>
    <t>Keyence</t>
  </si>
  <si>
    <t>ION2-DOORTLA</t>
  </si>
  <si>
    <t>Equipos fuera de linea</t>
  </si>
  <si>
    <t>XRAYCONTADOR</t>
  </si>
  <si>
    <t>Xray</t>
  </si>
  <si>
    <t>SELLADORAVACIO</t>
  </si>
  <si>
    <t>HORNOSECADO</t>
  </si>
  <si>
    <t>OP10-CPEV</t>
  </si>
  <si>
    <t>OP20-CPEV</t>
  </si>
  <si>
    <t>LIF1-CPEV</t>
  </si>
  <si>
    <t>CONVPREOP30-CPEV</t>
  </si>
  <si>
    <t>CONVTRANS1-CPEV</t>
  </si>
  <si>
    <t>OP40-CPEV</t>
  </si>
  <si>
    <t>CONVTRANS2-CPEV</t>
  </si>
  <si>
    <t>CONVTRANS3-CPEV</t>
  </si>
  <si>
    <t>OP30-CPEV</t>
  </si>
  <si>
    <t>CONVPOSTO30-CPEV</t>
  </si>
  <si>
    <t>OP50-CPEV</t>
  </si>
  <si>
    <t>OP60-CPEV</t>
  </si>
  <si>
    <t>OP70-CPEV</t>
  </si>
  <si>
    <t>OP80-CPEV</t>
  </si>
  <si>
    <t>LIF2-CPEV</t>
  </si>
  <si>
    <t>OP900-CPEV</t>
  </si>
  <si>
    <t>ION1-CPEV</t>
  </si>
  <si>
    <t>Flying Probe</t>
  </si>
  <si>
    <t>UNL-FLYP</t>
  </si>
  <si>
    <t>CONV1-FLYP</t>
  </si>
  <si>
    <t>FLYP</t>
  </si>
  <si>
    <t>REJ-FLYP</t>
  </si>
  <si>
    <t>LOAD-FLYP</t>
  </si>
  <si>
    <t>FVT</t>
  </si>
  <si>
    <t>ION1-GLOVE</t>
  </si>
  <si>
    <t>LASER-GLOVE</t>
  </si>
  <si>
    <t>OP40-GLOVE</t>
  </si>
  <si>
    <t>OP50A-GLOVE</t>
  </si>
  <si>
    <t>OP50B-GLOVE</t>
  </si>
  <si>
    <t>CA-HUM</t>
  </si>
  <si>
    <t>HVAC Chevy 1</t>
  </si>
  <si>
    <t>ST-500-HVACCHEV1</t>
  </si>
  <si>
    <t>Ohms</t>
  </si>
  <si>
    <t>ST-505-HVACCHEV1</t>
  </si>
  <si>
    <t>ST-510-HVACCHEV1</t>
  </si>
  <si>
    <t>ST-515-HVACCHEV1</t>
  </si>
  <si>
    <t>ST-520-HVACCHEV1</t>
  </si>
  <si>
    <t>ST-525-HVACCHEV1</t>
  </si>
  <si>
    <t>ST-530-HVACCHEV1</t>
  </si>
  <si>
    <t>ST-850-HVACCHEV1</t>
  </si>
  <si>
    <t>ST-900-HVACCHEV1</t>
  </si>
  <si>
    <t>ST-500-HVACCHEV2</t>
  </si>
  <si>
    <t>ST-505-HVACCHEV2</t>
  </si>
  <si>
    <t>ST-510-HVACCHEV2</t>
  </si>
  <si>
    <t>ST-515-HVACCHEV2</t>
  </si>
  <si>
    <t>ST-520-HVACCHEV2</t>
  </si>
  <si>
    <t>ST-525-HVACCHEV2</t>
  </si>
  <si>
    <t>ST-530-HVACCHEV2</t>
  </si>
  <si>
    <t>ST-850-HVACCHEV2</t>
  </si>
  <si>
    <t>ST-900-HVACCHEV2</t>
  </si>
  <si>
    <t>HVAC GMC</t>
  </si>
  <si>
    <t>ST-500-HVACGMC</t>
  </si>
  <si>
    <t>ST-505-HVACGMC</t>
  </si>
  <si>
    <t>ST-510-HVACGMC</t>
  </si>
  <si>
    <t>ST-515-HVACGMC</t>
  </si>
  <si>
    <t>ST-520-HVACGMC</t>
  </si>
  <si>
    <t>ST-525-HVACGMC</t>
  </si>
  <si>
    <t>ST-530-HVACGMC</t>
  </si>
  <si>
    <t>ST-535-HVACGMC</t>
  </si>
  <si>
    <t>ST-540-HVACGMC</t>
  </si>
  <si>
    <t>ST-545-HVACGMC</t>
  </si>
  <si>
    <t>ST-550-HVACGMC</t>
  </si>
  <si>
    <t>ST-560-HVACGMC</t>
  </si>
  <si>
    <t>ST-565-HVACGMC</t>
  </si>
  <si>
    <t>ST-570-HVACGMC</t>
  </si>
  <si>
    <t>ST-900-HVACGMC</t>
  </si>
  <si>
    <t>ION1-HVACGMC</t>
  </si>
  <si>
    <t>ION2-HVACGMC</t>
  </si>
  <si>
    <t>AUTOM-HVACM3</t>
  </si>
  <si>
    <t>FCTA-HVACM3</t>
  </si>
  <si>
    <t>FCTB-HVACM3</t>
  </si>
  <si>
    <t>ION1-HVACM3</t>
  </si>
  <si>
    <t>AUTOM-HVACMY</t>
  </si>
  <si>
    <t>FCTA-HVACMY</t>
  </si>
  <si>
    <t>FCTB-HVACMY</t>
  </si>
  <si>
    <t>ION2-HVACMY</t>
  </si>
  <si>
    <t>ION1-HVACMY</t>
  </si>
  <si>
    <t>ICT 1</t>
  </si>
  <si>
    <t>ICT1-1</t>
  </si>
  <si>
    <t>ICT1</t>
  </si>
  <si>
    <t>ICT</t>
  </si>
  <si>
    <t>KEYSIGHT</t>
  </si>
  <si>
    <t>ICT1-2</t>
  </si>
  <si>
    <t>ICT 2</t>
  </si>
  <si>
    <t>ICT2-01</t>
  </si>
  <si>
    <t>ICT2</t>
  </si>
  <si>
    <t>ICT2-2</t>
  </si>
  <si>
    <t>ICT 20</t>
  </si>
  <si>
    <t>CAR-ICT20</t>
  </si>
  <si>
    <t>Loader</t>
  </si>
  <si>
    <t>INV-ICT20</t>
  </si>
  <si>
    <t>CONV1-ICT20</t>
  </si>
  <si>
    <t>ICT20</t>
  </si>
  <si>
    <t>CONV2-ICT20</t>
  </si>
  <si>
    <t>DES-ICT20</t>
  </si>
  <si>
    <t>ICT 21</t>
  </si>
  <si>
    <t>CAR-ICT21</t>
  </si>
  <si>
    <t>INV-ICT21</t>
  </si>
  <si>
    <t>CONV1-ICT21</t>
  </si>
  <si>
    <t>ICT21</t>
  </si>
  <si>
    <t>CONV2-ICT21</t>
  </si>
  <si>
    <t>DES-ICT21</t>
  </si>
  <si>
    <t>ICT 22</t>
  </si>
  <si>
    <t>CAR-ICT22</t>
  </si>
  <si>
    <t>INV-ICT22</t>
  </si>
  <si>
    <t>CONV1-ICT22</t>
  </si>
  <si>
    <t>ICT22</t>
  </si>
  <si>
    <t>DES-ICT22</t>
  </si>
  <si>
    <t>ICT 3</t>
  </si>
  <si>
    <t>ICT3-01</t>
  </si>
  <si>
    <t>ICT3</t>
  </si>
  <si>
    <t>ICT3-02</t>
  </si>
  <si>
    <t>ICT 4</t>
  </si>
  <si>
    <t>ICT4-01</t>
  </si>
  <si>
    <t>ICT4</t>
  </si>
  <si>
    <t>ICT4-02</t>
  </si>
  <si>
    <t>UNL-ICT5</t>
  </si>
  <si>
    <t>CONV1-ICT5</t>
  </si>
  <si>
    <t>ICT5</t>
  </si>
  <si>
    <t>REJ-ICT5</t>
  </si>
  <si>
    <t>LOAD-ICT5</t>
  </si>
  <si>
    <t>ICT 6</t>
  </si>
  <si>
    <t>UNL-ICT6</t>
  </si>
  <si>
    <t>CONV-ICT6</t>
  </si>
  <si>
    <t>ICT6</t>
  </si>
  <si>
    <t>REJ-ICT6</t>
  </si>
  <si>
    <t>LOAD-ICT6</t>
  </si>
  <si>
    <t>UNL-ICT7</t>
  </si>
  <si>
    <t>CONV1-ICT7</t>
  </si>
  <si>
    <t>ICT7</t>
  </si>
  <si>
    <t>REJ-ICT7</t>
  </si>
  <si>
    <t>LOAD-ICT7</t>
  </si>
  <si>
    <t>ICT 8</t>
  </si>
  <si>
    <t>ICT8-01</t>
  </si>
  <si>
    <t>ICT8</t>
  </si>
  <si>
    <t>ICT8-02</t>
  </si>
  <si>
    <t>ICT SCCM</t>
  </si>
  <si>
    <t>UNL-ICTSCM</t>
  </si>
  <si>
    <t>INV-ICTSCM</t>
  </si>
  <si>
    <t>CONV1-ICTSCM</t>
  </si>
  <si>
    <t>ICTSCM</t>
  </si>
  <si>
    <t>REJ-ICTSCM</t>
  </si>
  <si>
    <t>LOAD-ICTSCM</t>
  </si>
  <si>
    <t>LIFTER1-MICRO</t>
  </si>
  <si>
    <t>OP10-MICRO</t>
  </si>
  <si>
    <t>OP20-MICRO</t>
  </si>
  <si>
    <t>OP30-MICRO</t>
  </si>
  <si>
    <t>LIFTER2-MICRO</t>
  </si>
  <si>
    <t>OP40A-MICRO</t>
  </si>
  <si>
    <t>OP40B-MICRO</t>
  </si>
  <si>
    <t>OP40C-MICRO</t>
  </si>
  <si>
    <t>OP50-MICRO</t>
  </si>
  <si>
    <t>ION1-MICRO</t>
  </si>
  <si>
    <t>OP10-MICROMAN</t>
  </si>
  <si>
    <t>OP20-MICROMAN</t>
  </si>
  <si>
    <t>100-1-HVACGMC</t>
  </si>
  <si>
    <t>100-2-HVACGMC</t>
  </si>
  <si>
    <t>100-3-HVACGMC</t>
  </si>
  <si>
    <t>100-4-HVACGMC</t>
  </si>
  <si>
    <t>100-5-HVACGMC</t>
  </si>
  <si>
    <t>OP-400</t>
  </si>
  <si>
    <t>400-1-HVACCHEV</t>
  </si>
  <si>
    <t>CONV-HVACCHEV</t>
  </si>
  <si>
    <t>400-2-HVACCHEV</t>
  </si>
  <si>
    <t>CAR-PSDECU</t>
  </si>
  <si>
    <t>CONV1-PSDECU</t>
  </si>
  <si>
    <t>PIN-STICH-PSDECU</t>
  </si>
  <si>
    <t>Stitch Pin</t>
  </si>
  <si>
    <t>AOI-PSDECU</t>
  </si>
  <si>
    <t>CONVREJ1-PSDECU</t>
  </si>
  <si>
    <t>INV1-PSDECU</t>
  </si>
  <si>
    <t>CONV2-PSDECU</t>
  </si>
  <si>
    <t>ROUTER-PSDECU</t>
  </si>
  <si>
    <t>Router</t>
  </si>
  <si>
    <t>CONV3-PSDECU</t>
  </si>
  <si>
    <t>BRAZO-PSDECU</t>
  </si>
  <si>
    <t xml:space="preserve">Brazo </t>
  </si>
  <si>
    <t>FLASH1-PSDECU</t>
  </si>
  <si>
    <t>FLASH2-PSDECU</t>
  </si>
  <si>
    <t>INV2-PSDECU</t>
  </si>
  <si>
    <t>Pin Stitch Trailer </t>
  </si>
  <si>
    <t>UNL-PSTRAILER</t>
  </si>
  <si>
    <t>CONV1-PSTRAILER</t>
  </si>
  <si>
    <t>PSTRAILER</t>
  </si>
  <si>
    <t>Pin Stitch</t>
  </si>
  <si>
    <t>AOI-PSTRAILER</t>
  </si>
  <si>
    <t>REJ-PSTRAILER</t>
  </si>
  <si>
    <t>INV-PSTRAILER</t>
  </si>
  <si>
    <t>CONV2-PSTRAILER</t>
  </si>
  <si>
    <t>ROUT-PSTRAILER</t>
  </si>
  <si>
    <t>BRAZO-PSTRAILER</t>
  </si>
  <si>
    <t>HS-PSTRAILER</t>
  </si>
  <si>
    <t>FLASH-PSTRAILER</t>
  </si>
  <si>
    <t>FCT1-PSTRAILER</t>
  </si>
  <si>
    <t>FCT</t>
  </si>
  <si>
    <t>FCT2-PSTRAILER</t>
  </si>
  <si>
    <t>OP10-PWTLA</t>
  </si>
  <si>
    <t>OP20-PWTLA</t>
  </si>
  <si>
    <t>OP800-PWTLA</t>
  </si>
  <si>
    <t>OP850-PWTLA</t>
  </si>
  <si>
    <t>EOLTA-PWTLA</t>
  </si>
  <si>
    <t>EOLTB-PWTLA</t>
  </si>
  <si>
    <t>EOLTC-PWTLA</t>
  </si>
  <si>
    <t>LIFT-PWSCD</t>
  </si>
  <si>
    <t>ST-400-PWSCD</t>
  </si>
  <si>
    <t>ST-410-PWSCD</t>
  </si>
  <si>
    <t>ST-420-PWSCD</t>
  </si>
  <si>
    <t>ION-PWS-CODRIV</t>
  </si>
  <si>
    <t>CONV1-PWSCD</t>
  </si>
  <si>
    <t>ST-850-PWSCD</t>
  </si>
  <si>
    <t>ST-900-PWSCD</t>
  </si>
  <si>
    <t>LIFT-PWSDR</t>
  </si>
  <si>
    <t>ST-400-PWSDR</t>
  </si>
  <si>
    <t>ST-410-1-PWSDR</t>
  </si>
  <si>
    <t>ST-410-2-PWSDR</t>
  </si>
  <si>
    <t>ST-420-PWSDR</t>
  </si>
  <si>
    <t>ION-PWS-DRIV</t>
  </si>
  <si>
    <t>CONV1-PWSDR</t>
  </si>
  <si>
    <t>ST-850-PWSDR</t>
  </si>
  <si>
    <t>ST-900-PWSDR</t>
  </si>
  <si>
    <t>LIFT-PWSR1</t>
  </si>
  <si>
    <t>ST-400-PWSR1</t>
  </si>
  <si>
    <t>ST-410-PWSR1</t>
  </si>
  <si>
    <t>ST-420-PWSR1</t>
  </si>
  <si>
    <t>ION-PWS-REAR1</t>
  </si>
  <si>
    <t>CONV1-PWSR1</t>
  </si>
  <si>
    <t>ST-850-PWSR1</t>
  </si>
  <si>
    <t>ST-900-PWSR1</t>
  </si>
  <si>
    <t>LIFT-PWSR2</t>
  </si>
  <si>
    <t>ST-400-PWSR2</t>
  </si>
  <si>
    <t>ST-410-PWSR2</t>
  </si>
  <si>
    <t>ST-420-PWSR2</t>
  </si>
  <si>
    <t>ION-PWS-REAR2</t>
  </si>
  <si>
    <t>CONV1-PWSR2</t>
  </si>
  <si>
    <t>ST-850-PWSR2</t>
  </si>
  <si>
    <t>ST-900-PWSR2</t>
  </si>
  <si>
    <t>CAR-ROUT1</t>
  </si>
  <si>
    <t>INV-ROUT1</t>
  </si>
  <si>
    <t>CONV-ROUT1</t>
  </si>
  <si>
    <t>ROUT-ROUT1</t>
  </si>
  <si>
    <t>UNL-ROUT2</t>
  </si>
  <si>
    <t>INV-ROUT2</t>
  </si>
  <si>
    <t>CONV1-ROUT2</t>
  </si>
  <si>
    <t>ROUT2</t>
  </si>
  <si>
    <t>Router 7</t>
  </si>
  <si>
    <t>CAR-ROUT20</t>
  </si>
  <si>
    <t>INV-ROUT20</t>
  </si>
  <si>
    <t>CONV-ROUT20</t>
  </si>
  <si>
    <t>ROUTER 20</t>
  </si>
  <si>
    <t>DES-ROUT20</t>
  </si>
  <si>
    <t>CAR-ROUT21</t>
  </si>
  <si>
    <t>INV-ROUT21</t>
  </si>
  <si>
    <t>CONV-ROUT21</t>
  </si>
  <si>
    <t>ROUTER21</t>
  </si>
  <si>
    <t>DES-ROUT21</t>
  </si>
  <si>
    <t>Router 22</t>
  </si>
  <si>
    <t>CAR-ROUT22</t>
  </si>
  <si>
    <t>INV-ROUT22</t>
  </si>
  <si>
    <t>CONV-ROUT22</t>
  </si>
  <si>
    <t>ROUTER 22</t>
  </si>
  <si>
    <t>DES-ROUT22</t>
  </si>
  <si>
    <t>UNL-ROUT3</t>
  </si>
  <si>
    <t>INV-ROUT3</t>
  </si>
  <si>
    <t>CONV1-ROUT3</t>
  </si>
  <si>
    <t>ROUT3</t>
  </si>
  <si>
    <t>UNL-ROUT4</t>
  </si>
  <si>
    <t>Unloader</t>
  </si>
  <si>
    <t>INV-ROUT4</t>
  </si>
  <si>
    <t>CONV1-ROUT4</t>
  </si>
  <si>
    <t>ROUT4</t>
  </si>
  <si>
    <t>SCCM</t>
  </si>
  <si>
    <t>ION1-LAB</t>
  </si>
  <si>
    <t>SCCM FORD</t>
  </si>
  <si>
    <t>ST-01</t>
  </si>
  <si>
    <t>ST-02</t>
  </si>
  <si>
    <t>ST-03</t>
  </si>
  <si>
    <t>ST-04</t>
  </si>
  <si>
    <t>ST-05</t>
  </si>
  <si>
    <t>ST-06</t>
  </si>
  <si>
    <t>ST-07</t>
  </si>
  <si>
    <t>ST-08</t>
  </si>
  <si>
    <t>ST-09</t>
  </si>
  <si>
    <t>ST-10</t>
  </si>
  <si>
    <t>ST-11</t>
  </si>
  <si>
    <t>ST-12</t>
  </si>
  <si>
    <t>ST-13</t>
  </si>
  <si>
    <t>ION-SCCMFORD-01</t>
  </si>
  <si>
    <t>ION-SCCMFORD-02</t>
  </si>
  <si>
    <t>ION-SCCMFORD-03</t>
  </si>
  <si>
    <t>ION-SCCMFORD-04</t>
  </si>
  <si>
    <t>SCCM OPAL Stalk TLA</t>
  </si>
  <si>
    <t>OP22-SCMOP</t>
  </si>
  <si>
    <t>OP24-SCMOP</t>
  </si>
  <si>
    <t>CARMAG-SCCM</t>
  </si>
  <si>
    <t>OP1MAGNET-SCCM</t>
  </si>
  <si>
    <t>OP10-SCCM</t>
  </si>
  <si>
    <t>OP20-SCCM</t>
  </si>
  <si>
    <t>OP25-SCCM</t>
  </si>
  <si>
    <t>OP30-SCCM</t>
  </si>
  <si>
    <t>OP40-SCCM</t>
  </si>
  <si>
    <t>OP50-SCCM</t>
  </si>
  <si>
    <t>OP60-SCCM</t>
  </si>
  <si>
    <t>OP70-SCCM</t>
  </si>
  <si>
    <t>OP80-SCCM</t>
  </si>
  <si>
    <t>OP90-SCCM</t>
  </si>
  <si>
    <t>OP850-SCCM</t>
  </si>
  <si>
    <t>OP865-SCCM</t>
  </si>
  <si>
    <t>OP875-SCCM</t>
  </si>
  <si>
    <t>ION1-SE1</t>
  </si>
  <si>
    <t>UNL-SEL1</t>
  </si>
  <si>
    <t>CONV1-SEL1</t>
  </si>
  <si>
    <t>THT1-SEL1</t>
  </si>
  <si>
    <t>THT</t>
  </si>
  <si>
    <t>THT2-SEL1</t>
  </si>
  <si>
    <t>CONV2-SEL1</t>
  </si>
  <si>
    <t>SEL1</t>
  </si>
  <si>
    <t>Selectiva</t>
  </si>
  <si>
    <t>COOL-SEL1</t>
  </si>
  <si>
    <t>Cooler</t>
  </si>
  <si>
    <t>CONV3-SEL1</t>
  </si>
  <si>
    <t>AOI-SEL1</t>
  </si>
  <si>
    <t>CONV4-SEL1</t>
  </si>
  <si>
    <t>XRAY-SEL1</t>
  </si>
  <si>
    <t>REJ-SEL1</t>
  </si>
  <si>
    <t>LOAD-SEL1</t>
  </si>
  <si>
    <t>CAR-SEL2</t>
  </si>
  <si>
    <t>DIS-SEL2</t>
  </si>
  <si>
    <t>CONV1-SEL2</t>
  </si>
  <si>
    <t>THT1-SEL2</t>
  </si>
  <si>
    <t>THT2-SEL2</t>
  </si>
  <si>
    <t>CONV2-SEL2</t>
  </si>
  <si>
    <t>CONVD-SEL2</t>
  </si>
  <si>
    <t>SELECTIVA</t>
  </si>
  <si>
    <t>COOLER-SEL2</t>
  </si>
  <si>
    <t>Cooler Conveyor</t>
  </si>
  <si>
    <t>CONV3-SEL2</t>
  </si>
  <si>
    <t>AOI-SEL2</t>
  </si>
  <si>
    <t>CONV4-SEL2</t>
  </si>
  <si>
    <t>XRAY-SEL2</t>
  </si>
  <si>
    <t>REJ-SEL2</t>
  </si>
  <si>
    <t>DES-SEL2</t>
  </si>
  <si>
    <t>ION-SE2-001</t>
  </si>
  <si>
    <t>ION-SE2-002</t>
  </si>
  <si>
    <t>Selectiva 20</t>
  </si>
  <si>
    <t>CARG-SELECT20</t>
  </si>
  <si>
    <t>CONV1-SELEC20</t>
  </si>
  <si>
    <t>THT-SELEC20</t>
  </si>
  <si>
    <t>CONV2-SELEC20</t>
  </si>
  <si>
    <t>SELEC20</t>
  </si>
  <si>
    <t>CONVENFRI-SELEC20</t>
  </si>
  <si>
    <t>XRAY-SELEC20</t>
  </si>
  <si>
    <t>XRAY</t>
  </si>
  <si>
    <t>REJECTCONV-SELEC20</t>
  </si>
  <si>
    <t>CONVDESCARG-SELEC20</t>
  </si>
  <si>
    <t>OP400-SIA</t>
  </si>
  <si>
    <t>OP410-SIA</t>
  </si>
  <si>
    <t>OP420-SIA</t>
  </si>
  <si>
    <t>OP430-SIA</t>
  </si>
  <si>
    <t>OP440-SIA</t>
  </si>
  <si>
    <t>OP450-SIA</t>
  </si>
  <si>
    <t>OP460-SIA</t>
  </si>
  <si>
    <t>OP470-SIA</t>
  </si>
  <si>
    <t>OP480-SIA</t>
  </si>
  <si>
    <t>OP800-SIA</t>
  </si>
  <si>
    <t>OP850-SIA</t>
  </si>
  <si>
    <t>OP900-SIA</t>
  </si>
  <si>
    <t>OP400-SIB</t>
  </si>
  <si>
    <t>OP410-SIB</t>
  </si>
  <si>
    <t>OP420-SIB</t>
  </si>
  <si>
    <t>OP430-SIB</t>
  </si>
  <si>
    <t>OP440-SIB</t>
  </si>
  <si>
    <t>OP450-SIB</t>
  </si>
  <si>
    <t>OP460-SIB</t>
  </si>
  <si>
    <t>OP480-SIB</t>
  </si>
  <si>
    <t>OP800-SIB</t>
  </si>
  <si>
    <t>OP850-SIB</t>
  </si>
  <si>
    <t>OP900-SIB</t>
  </si>
  <si>
    <t>DIS-SMT2</t>
  </si>
  <si>
    <t>Conber</t>
  </si>
  <si>
    <t>LAS-SMT2</t>
  </si>
  <si>
    <t>ION-SMT2</t>
  </si>
  <si>
    <t>LIMPCB-SMT2</t>
  </si>
  <si>
    <t>CONV1-SMT2</t>
  </si>
  <si>
    <t>CAR-SMT2</t>
  </si>
  <si>
    <t>INV-SMT2</t>
  </si>
  <si>
    <t>CONV2-SMT2</t>
  </si>
  <si>
    <t>SHUD1-SMT2</t>
  </si>
  <si>
    <t>CONVD1-SMT2</t>
  </si>
  <si>
    <t>SPI-SMT2</t>
  </si>
  <si>
    <t>CONVREJ1-SMT2</t>
  </si>
  <si>
    <t>CONVD2-SMT2</t>
  </si>
  <si>
    <t>P&amp;P1-SMT2</t>
  </si>
  <si>
    <t>P&amp;P2-SMT2</t>
  </si>
  <si>
    <t>P&amp;P3-SMT2</t>
  </si>
  <si>
    <t>P&amp;P4-SMT2</t>
  </si>
  <si>
    <t>P&amp;P5-SMT2</t>
  </si>
  <si>
    <t>P&amp;P6-SMT2</t>
  </si>
  <si>
    <t>SHUD2-SMT2</t>
  </si>
  <si>
    <t>HORV-SMT2</t>
  </si>
  <si>
    <t>SHUD3-SMT2</t>
  </si>
  <si>
    <t>CONVD3-SMT2</t>
  </si>
  <si>
    <t>BUF-SMT2</t>
  </si>
  <si>
    <t>CONVD4-SMT2</t>
  </si>
  <si>
    <t>AOI-SMT2</t>
  </si>
  <si>
    <t>CONVREJ2-SMT2</t>
  </si>
  <si>
    <t>DES-SMT2</t>
  </si>
  <si>
    <t>DIS-SMT3</t>
  </si>
  <si>
    <t>LAS-SMT3</t>
  </si>
  <si>
    <t>ION-SMT3</t>
  </si>
  <si>
    <t>LIMPCB-SMT3</t>
  </si>
  <si>
    <t>CONV1-SMT3</t>
  </si>
  <si>
    <t>CAR-SMT3</t>
  </si>
  <si>
    <t>INV-SMT3</t>
  </si>
  <si>
    <t>CONV2-SMT3</t>
  </si>
  <si>
    <t>SHUD-SMT3</t>
  </si>
  <si>
    <t>CONVD1-SMT3</t>
  </si>
  <si>
    <t>SPI-SMT3</t>
  </si>
  <si>
    <t>CONVREJ1-SMT3</t>
  </si>
  <si>
    <t>CONVD2-SMT3</t>
  </si>
  <si>
    <t>P&amp;P1-SMT3</t>
  </si>
  <si>
    <t>P&amp;P2-SMT3</t>
  </si>
  <si>
    <t>P&amp;P3-SMT3</t>
  </si>
  <si>
    <t>P&amp;P4-SMT3</t>
  </si>
  <si>
    <t>P&amp;P5-SMT3</t>
  </si>
  <si>
    <t>P&amp;P6-SMT3</t>
  </si>
  <si>
    <t>CONVD3-SMT3</t>
  </si>
  <si>
    <t>SHU2-SMT3</t>
  </si>
  <si>
    <t>HORV-SMT3</t>
  </si>
  <si>
    <t>CONVD4-SMT3</t>
  </si>
  <si>
    <t>SHU3-SMT3</t>
  </si>
  <si>
    <t>BUF-SMT3</t>
  </si>
  <si>
    <t>AOI-SMT3</t>
  </si>
  <si>
    <t>CONVREJ2-SMT3</t>
  </si>
  <si>
    <t>DES-SMT3</t>
  </si>
  <si>
    <t>FLASHING-SMT3</t>
  </si>
  <si>
    <t>DataIO</t>
  </si>
  <si>
    <t>DIS-SMT4</t>
  </si>
  <si>
    <t>LAS-SMT4</t>
  </si>
  <si>
    <t>ION-SMT4</t>
  </si>
  <si>
    <t>LIMPCB-SMT4</t>
  </si>
  <si>
    <t>CONV1-SMT4</t>
  </si>
  <si>
    <t>CAR-SMT4</t>
  </si>
  <si>
    <t>INV-SMT4</t>
  </si>
  <si>
    <t>CONV2-SMT4</t>
  </si>
  <si>
    <t>SHUD-SMT4</t>
  </si>
  <si>
    <t>CONVD1-SMT4</t>
  </si>
  <si>
    <t>SPI-SMT4</t>
  </si>
  <si>
    <t>CONVREJ1-SMT4</t>
  </si>
  <si>
    <t>CONVD2-SMT4</t>
  </si>
  <si>
    <t>P&amp;P1-SMT4</t>
  </si>
  <si>
    <t>P&amp;P2-SMT4</t>
  </si>
  <si>
    <t>P&amp;P3-SMT4</t>
  </si>
  <si>
    <t>P&amp;P4-SMT4</t>
  </si>
  <si>
    <t>P&amp;P5-SMT4</t>
  </si>
  <si>
    <t>P&amp;P6-SMT4</t>
  </si>
  <si>
    <t>P&amp;P7-SMT4</t>
  </si>
  <si>
    <t>P&amp;P8-SMT4</t>
  </si>
  <si>
    <t>SHU2-SMT4</t>
  </si>
  <si>
    <t>CONVD3-SMT4</t>
  </si>
  <si>
    <t>SHU3-SMT4</t>
  </si>
  <si>
    <t>CONGF2-SMT4</t>
  </si>
  <si>
    <t>CONGR2-SMT4</t>
  </si>
  <si>
    <t>HORV1-SMT4</t>
  </si>
  <si>
    <t>CONGF1-SMT4</t>
  </si>
  <si>
    <t>CONGR1-SMT4</t>
  </si>
  <si>
    <t>HORV2-SMT4</t>
  </si>
  <si>
    <t>BUF-SMT4</t>
  </si>
  <si>
    <t>CONVD4-SMT4</t>
  </si>
  <si>
    <t>AOI-SMT4</t>
  </si>
  <si>
    <t>CONVREJ2-SMT4</t>
  </si>
  <si>
    <t>DES-SMT4</t>
  </si>
  <si>
    <t>DIS-SMT5</t>
  </si>
  <si>
    <t>LAS-SMT5</t>
  </si>
  <si>
    <t>ION5-SMT5</t>
  </si>
  <si>
    <t>LIMPCB-SMT5</t>
  </si>
  <si>
    <t>CONV1-SMT5</t>
  </si>
  <si>
    <t>CAR-SMT5</t>
  </si>
  <si>
    <t>INV-SMT5</t>
  </si>
  <si>
    <t>CONV2-SMT5</t>
  </si>
  <si>
    <t>SHUD-SMT5</t>
  </si>
  <si>
    <t>CONV3-SMT5</t>
  </si>
  <si>
    <t>SPI-SMT5</t>
  </si>
  <si>
    <t>CONVREJ1-SMT5</t>
  </si>
  <si>
    <t>CONVD2-SMT5</t>
  </si>
  <si>
    <t>P&amp;P1-SMT5</t>
  </si>
  <si>
    <t>P&amp;P2-SMT5</t>
  </si>
  <si>
    <t>P&amp;P3-SMT5</t>
  </si>
  <si>
    <t>P&amp;P4-SMT5</t>
  </si>
  <si>
    <t>P&amp;P5-SMT5</t>
  </si>
  <si>
    <t>P&amp;P6-SMT5</t>
  </si>
  <si>
    <t>P&amp;P7-SMT5</t>
  </si>
  <si>
    <t>P&amp;P8-SMT5</t>
  </si>
  <si>
    <t>P&amp;P9-SMT5</t>
  </si>
  <si>
    <t>P&amp;P10-SMT5</t>
  </si>
  <si>
    <t>SHU2-SMT5</t>
  </si>
  <si>
    <t>CONVD3-SMT5</t>
  </si>
  <si>
    <t>SHU3-SMT5</t>
  </si>
  <si>
    <t>CONGF2-SMT5</t>
  </si>
  <si>
    <t>CONGR2-SMT5</t>
  </si>
  <si>
    <t>HORV1-SMT5</t>
  </si>
  <si>
    <t>CONGF1-SMT5</t>
  </si>
  <si>
    <t>CONGR1-SMT5</t>
  </si>
  <si>
    <t>HORV2-SMT5</t>
  </si>
  <si>
    <t>BUF-SMT5</t>
  </si>
  <si>
    <t>CONVD4-SMT5</t>
  </si>
  <si>
    <t>AOI-SMT5</t>
  </si>
  <si>
    <t>CONVREJ2-SMT5</t>
  </si>
  <si>
    <t>DES-SMT5</t>
  </si>
  <si>
    <t>DIS-SMT7</t>
  </si>
  <si>
    <t>LAS-SMT7</t>
  </si>
  <si>
    <t>LIMPCB-SMT7</t>
  </si>
  <si>
    <t>ION-SMT7</t>
  </si>
  <si>
    <t>CONV1-SMT7</t>
  </si>
  <si>
    <t>CAR-SMT7</t>
  </si>
  <si>
    <t>INV-SMT7</t>
  </si>
  <si>
    <t>CONV2-SMT7</t>
  </si>
  <si>
    <t>SHUD1-SMT7</t>
  </si>
  <si>
    <t>Shuttle Conveyor</t>
  </si>
  <si>
    <t>CONVD1-SMT7</t>
  </si>
  <si>
    <t>SPI-SMT7</t>
  </si>
  <si>
    <t>CONVREJ1-SMT7</t>
  </si>
  <si>
    <t>SHUD2-SMT7</t>
  </si>
  <si>
    <t>P&amp;P1-SMT7</t>
  </si>
  <si>
    <t>P&amp;P2-SMT7</t>
  </si>
  <si>
    <t>P&amp;P3-SMT7</t>
  </si>
  <si>
    <t>P&amp;P4-SMT7</t>
  </si>
  <si>
    <t>P&amp;P5-SMT7</t>
  </si>
  <si>
    <t>P&amp;P6-SMT7</t>
  </si>
  <si>
    <t>SHU1-SMT7</t>
  </si>
  <si>
    <t>CONVD3-SMT7</t>
  </si>
  <si>
    <t>HORV-SMT7</t>
  </si>
  <si>
    <t>CONVD4-SMT7</t>
  </si>
  <si>
    <t>SHU2-SMT7</t>
  </si>
  <si>
    <t>BUF-SMT7</t>
  </si>
  <si>
    <t>AOI-SMT7</t>
  </si>
  <si>
    <t>CONVREJ2-SMT7</t>
  </si>
  <si>
    <t>DES-SMT7</t>
  </si>
  <si>
    <t>DIS-SMT8</t>
  </si>
  <si>
    <t>LAS-SMT8</t>
  </si>
  <si>
    <t>LASCLEAN-SMT8</t>
  </si>
  <si>
    <t xml:space="preserve">Limpiador </t>
  </si>
  <si>
    <t>ION-SMT8</t>
  </si>
  <si>
    <t>CONV1-SMT8</t>
  </si>
  <si>
    <t>SHU1-SMT8</t>
  </si>
  <si>
    <t>DES-SMT8</t>
  </si>
  <si>
    <t>INV-SMT8</t>
  </si>
  <si>
    <t>CONV2-SMT8</t>
  </si>
  <si>
    <t>CONV3-SMT8</t>
  </si>
  <si>
    <t>SPI-SMT8</t>
  </si>
  <si>
    <t>REJECON1-SMT8</t>
  </si>
  <si>
    <t>CONV4-SMT8</t>
  </si>
  <si>
    <t>P&amp;P1-SMT8</t>
  </si>
  <si>
    <t>P&amp;P2-SMT8</t>
  </si>
  <si>
    <t>P&amp;P3-SMT8</t>
  </si>
  <si>
    <t>P&amp;P4-SMT8</t>
  </si>
  <si>
    <t>P&amp;P5-SMT8</t>
  </si>
  <si>
    <t>P&amp;P6-SMT8</t>
  </si>
  <si>
    <t>SHU2-SMT8</t>
  </si>
  <si>
    <t>CONV5-SMT8</t>
  </si>
  <si>
    <t>HOR1-SMT8</t>
  </si>
  <si>
    <t>CONV6-SMT8</t>
  </si>
  <si>
    <t>SHU3-SMT8</t>
  </si>
  <si>
    <t>BUF-SMT8</t>
  </si>
  <si>
    <t>AOI-SMT8</t>
  </si>
  <si>
    <t>REJECTCON2-SMT8</t>
  </si>
  <si>
    <t>SHU4-SMT8</t>
  </si>
  <si>
    <t>CAR-SMT8</t>
  </si>
  <si>
    <t>DIS-SMT9</t>
  </si>
  <si>
    <t>LAS-SMT9</t>
  </si>
  <si>
    <t>Laser marker</t>
  </si>
  <si>
    <t>LASCLEAN-SMT9</t>
  </si>
  <si>
    <t>ION-SMT9</t>
  </si>
  <si>
    <t>CONV1-SMT9</t>
  </si>
  <si>
    <t>SHU1-SMT9</t>
  </si>
  <si>
    <t>DES-SMT9</t>
  </si>
  <si>
    <t>INV-SMT9</t>
  </si>
  <si>
    <t>CONV2-SMT9</t>
  </si>
  <si>
    <t>CONV3-SMT9</t>
  </si>
  <si>
    <t>SPI-SMT9</t>
  </si>
  <si>
    <t>REJECON1-SMT9</t>
  </si>
  <si>
    <t>CONV4-SMT9</t>
  </si>
  <si>
    <t>P&amp;P1-SMT9</t>
  </si>
  <si>
    <t>P&amp;P2-SMT9</t>
  </si>
  <si>
    <t>P&amp;P3-SMT9</t>
  </si>
  <si>
    <t>P&amp;P4-SMT9</t>
  </si>
  <si>
    <t>P&amp;P5-SMT9</t>
  </si>
  <si>
    <t>P&amp;P6-SMT9</t>
  </si>
  <si>
    <t>CONV5-SMT9</t>
  </si>
  <si>
    <t>HOR1-SMT9</t>
  </si>
  <si>
    <t>CONV6-SMT9</t>
  </si>
  <si>
    <t>BUF-SMT9</t>
  </si>
  <si>
    <t>AOI-SMT9</t>
  </si>
  <si>
    <t>REJECTCON2-SMT9</t>
  </si>
  <si>
    <t>SHU2-SMT9</t>
  </si>
  <si>
    <t>CAR-SMT9</t>
  </si>
  <si>
    <t>SMT-GM</t>
  </si>
  <si>
    <t>SMT-GM-07</t>
  </si>
  <si>
    <t>SMT-GM-08</t>
  </si>
  <si>
    <t>SMT-GM-12</t>
  </si>
  <si>
    <t>SMT-GM-15</t>
  </si>
  <si>
    <t>LIFTER1-TRAILER</t>
  </si>
  <si>
    <t>CONV1-TRAILER</t>
  </si>
  <si>
    <t>PREWEIGH-TRAILER</t>
  </si>
  <si>
    <t>Balanza</t>
  </si>
  <si>
    <t>TIM-TRAILER</t>
  </si>
  <si>
    <t>TIMWEIGH-TRAILER</t>
  </si>
  <si>
    <t>RTV1-TRAILER</t>
  </si>
  <si>
    <t>RTV Dispenser</t>
  </si>
  <si>
    <t>RTV2-TRAILER</t>
  </si>
  <si>
    <t>AOIRTV-TRAILER</t>
  </si>
  <si>
    <t>RTVWEIGH-TRAILER</t>
  </si>
  <si>
    <t>PCBA-TRAILER</t>
  </si>
  <si>
    <t>ION1-TRAILERTLA</t>
  </si>
  <si>
    <t>ION2-TRAILERTLA</t>
  </si>
  <si>
    <t>SCREW-TRAILER</t>
  </si>
  <si>
    <t>UNLOAD-TRAILER</t>
  </si>
  <si>
    <t>LIFTER2-TRAILER</t>
  </si>
  <si>
    <t>LEAKTEST-TRAILER</t>
  </si>
  <si>
    <t>AOIFINAL-TRAILER</t>
  </si>
  <si>
    <t>EOLT1-TRAILER</t>
  </si>
  <si>
    <t>EOLT2-TRAILER</t>
  </si>
  <si>
    <t>Vestidor 1</t>
  </si>
  <si>
    <t>BCS-QRO-ESC-ESD001</t>
  </si>
  <si>
    <t>ESD Tester</t>
  </si>
  <si>
    <t>ESDMAN</t>
  </si>
  <si>
    <t>Deviation</t>
  </si>
  <si>
    <t>BCS-QRO-ESC-ESD002</t>
  </si>
  <si>
    <t>Vestidor 2</t>
  </si>
  <si>
    <t>BCS-QRO-ESC-ESD003</t>
  </si>
  <si>
    <t>BCS-QRO-ESC-ESD004</t>
  </si>
  <si>
    <t>ST-500-VOLK</t>
  </si>
  <si>
    <t>ST-510-VOLK</t>
  </si>
  <si>
    <t>ST-520-VOLK</t>
  </si>
  <si>
    <t>ST-530-VOLK</t>
  </si>
  <si>
    <t>OP5-WPC25</t>
  </si>
  <si>
    <t>OP10-WPC25</t>
  </si>
  <si>
    <t>OP20-WPC25</t>
  </si>
  <si>
    <t>OP30-WPC25</t>
  </si>
  <si>
    <t>OP40-WPC25</t>
  </si>
  <si>
    <t>OP50-WPC25</t>
  </si>
  <si>
    <t>OP60-WPC25</t>
  </si>
  <si>
    <t>OP70-WPC25</t>
  </si>
  <si>
    <t>OP80-WPC25</t>
  </si>
  <si>
    <t>OP90-WPC25</t>
  </si>
  <si>
    <t>OP100-WPC25</t>
  </si>
  <si>
    <t>BURNING1-WPC25</t>
  </si>
  <si>
    <t>Burning</t>
  </si>
  <si>
    <t>BURNING2-WPC25</t>
  </si>
  <si>
    <t xml:space="preserve">Burning </t>
  </si>
  <si>
    <t>NFC1-WPC25</t>
  </si>
  <si>
    <t>NFC</t>
  </si>
  <si>
    <t>NFC2-WPC25</t>
  </si>
  <si>
    <t>LIFTER-WPC4</t>
  </si>
  <si>
    <t>OP170-WPC4</t>
  </si>
  <si>
    <t>LIFTER2-WPC4</t>
  </si>
  <si>
    <t>OP50-WPC4</t>
  </si>
  <si>
    <t>CONVOP50-WPC4</t>
  </si>
  <si>
    <t>OP60-WPC4</t>
  </si>
  <si>
    <t>OP70-WPC4</t>
  </si>
  <si>
    <t>OP70POSTWEIGH-WPC4</t>
  </si>
  <si>
    <t>OP80PCBA-WPC4</t>
  </si>
  <si>
    <t>OP80-2-WPC4</t>
  </si>
  <si>
    <t>OP80-3-WPC4</t>
  </si>
  <si>
    <t>OP90-WPC4</t>
  </si>
  <si>
    <t>OP100-WPC4</t>
  </si>
  <si>
    <t>OP110-WPC4</t>
  </si>
  <si>
    <t>OP120-WPC4</t>
  </si>
  <si>
    <t>LIFTER3-WPC4</t>
  </si>
  <si>
    <t>OP130FCT-WPC4</t>
  </si>
  <si>
    <t>OP140-WPC4</t>
  </si>
  <si>
    <t>OP140-3-WPC4</t>
  </si>
  <si>
    <t>LIFTER4-WPC4</t>
  </si>
  <si>
    <t>ION1-WPC4</t>
  </si>
  <si>
    <t>ION2-WPC4</t>
  </si>
  <si>
    <t>ION3-WPC4</t>
  </si>
  <si>
    <t>ION1-WPC4O</t>
  </si>
  <si>
    <t>ION2-WPC4O</t>
  </si>
  <si>
    <t>ION3-WPC4O</t>
  </si>
  <si>
    <t>LIFTEROP850-WPC4O</t>
  </si>
  <si>
    <t>OP850-WPC4O</t>
  </si>
  <si>
    <t>CONVOP850-WPC4O</t>
  </si>
  <si>
    <t>OP400-WPC4O</t>
  </si>
  <si>
    <t>OP405-WPC4O</t>
  </si>
  <si>
    <t>OP407-WPC4O</t>
  </si>
  <si>
    <t>OP410-WPC4O</t>
  </si>
  <si>
    <t>OP420-WPC4O</t>
  </si>
  <si>
    <t>OP430-WPC4O</t>
  </si>
  <si>
    <t>OP440-WPC4O</t>
  </si>
  <si>
    <t>OP450-WPC4O</t>
  </si>
  <si>
    <t>OP460-WPC4O</t>
  </si>
  <si>
    <t>OP470-WPC4O</t>
  </si>
  <si>
    <t>OP800-WPC4O</t>
  </si>
  <si>
    <t>LIFTEROP470-WPC4O</t>
  </si>
  <si>
    <t>CAR-XRAY1</t>
  </si>
  <si>
    <t>CONV-XRAY1</t>
  </si>
  <si>
    <t>XRAY1</t>
  </si>
  <si>
    <t>X3</t>
  </si>
  <si>
    <t>DES-XRAY1</t>
  </si>
  <si>
    <t>Xray 3</t>
  </si>
  <si>
    <t>CAR-XRAY3</t>
  </si>
  <si>
    <t>INV-XRAY3</t>
  </si>
  <si>
    <t>CONV-XRAY3</t>
  </si>
  <si>
    <t>XRAY3</t>
  </si>
  <si>
    <t>Vitrox</t>
  </si>
  <si>
    <t>CONREJ-XRAY3</t>
  </si>
  <si>
    <t>DES-XRAY3</t>
  </si>
  <si>
    <t>Xray 4</t>
  </si>
  <si>
    <t>CAR-XRAY4</t>
  </si>
  <si>
    <t>CONV-XRAY4</t>
  </si>
  <si>
    <t>XRAY4</t>
  </si>
  <si>
    <t>CONREJ-XRAY4</t>
  </si>
  <si>
    <t>DES-XRAY4</t>
  </si>
  <si>
    <t>Xray 5</t>
  </si>
  <si>
    <t>CAR-XRAY5</t>
  </si>
  <si>
    <t>CONV-XRAY5</t>
  </si>
  <si>
    <t>XRAY-XRAY5</t>
  </si>
  <si>
    <t>CONREJ-XRAY5</t>
  </si>
  <si>
    <t>Conveyor Reject</t>
  </si>
  <si>
    <t>DES-XRAY5</t>
  </si>
  <si>
    <t>Magazine ID</t>
  </si>
  <si>
    <t>Medición</t>
  </si>
  <si>
    <t>Unidad</t>
  </si>
  <si>
    <t>Límite</t>
  </si>
  <si>
    <t>Mag 001</t>
  </si>
  <si>
    <t>ohm</t>
  </si>
  <si>
    <t>Mag 002</t>
  </si>
  <si>
    <t>Mag 003</t>
  </si>
  <si>
    <t>Mag 004</t>
  </si>
  <si>
    <t>Mag 005</t>
  </si>
  <si>
    <t>Mag 006</t>
  </si>
  <si>
    <t>Mag 007</t>
  </si>
  <si>
    <t>Mag 008</t>
  </si>
  <si>
    <t>Mag 009</t>
  </si>
  <si>
    <t>Mag 010</t>
  </si>
  <si>
    <t>Mag 011</t>
  </si>
  <si>
    <t>Mag 012</t>
  </si>
  <si>
    <t>Mag 013</t>
  </si>
  <si>
    <t>Mag 014</t>
  </si>
  <si>
    <t>Mag 015</t>
  </si>
  <si>
    <t>Mag 016</t>
  </si>
  <si>
    <t>Mag 017</t>
  </si>
  <si>
    <t>Mag 018</t>
  </si>
  <si>
    <t>Mag 019</t>
  </si>
  <si>
    <t>Mag 020</t>
  </si>
  <si>
    <t>Mag 021</t>
  </si>
  <si>
    <t>Mag 022</t>
  </si>
  <si>
    <t>Mag 023</t>
  </si>
  <si>
    <t>Mag 024</t>
  </si>
  <si>
    <t>Mag 025</t>
  </si>
  <si>
    <t>Mag 026</t>
  </si>
  <si>
    <t>Mag 027</t>
  </si>
  <si>
    <t>Mag 028</t>
  </si>
  <si>
    <t>Mag 029</t>
  </si>
  <si>
    <t>Mag 030</t>
  </si>
  <si>
    <t>Mag 031</t>
  </si>
  <si>
    <t>Mag 032</t>
  </si>
  <si>
    <t>Mag 033</t>
  </si>
  <si>
    <t>Mag 034</t>
  </si>
  <si>
    <t>Mag 035</t>
  </si>
  <si>
    <t>Mag 036</t>
  </si>
  <si>
    <t>Mag 037</t>
  </si>
  <si>
    <t>Mag 038</t>
  </si>
  <si>
    <t>Mag 039</t>
  </si>
  <si>
    <t>Mag 040</t>
  </si>
  <si>
    <t>Mag 041</t>
  </si>
  <si>
    <t>Mag 042</t>
  </si>
  <si>
    <t>Mag 043</t>
  </si>
  <si>
    <t>Mag 044</t>
  </si>
  <si>
    <t>Mag 045</t>
  </si>
  <si>
    <t>Mag 046</t>
  </si>
  <si>
    <t>Mag 047</t>
  </si>
  <si>
    <t>Mag 048</t>
  </si>
  <si>
    <t>Mag 049</t>
  </si>
  <si>
    <t>Mag 050</t>
  </si>
  <si>
    <t>Mag 051</t>
  </si>
  <si>
    <t>Mag 052</t>
  </si>
  <si>
    <t>Mag 053</t>
  </si>
  <si>
    <t>Mag 054</t>
  </si>
  <si>
    <t>Mag 055</t>
  </si>
  <si>
    <t>Mag 056</t>
  </si>
  <si>
    <t>Mag 057</t>
  </si>
  <si>
    <t>Mag 058</t>
  </si>
  <si>
    <t>Mag 059</t>
  </si>
  <si>
    <t>Mag 060</t>
  </si>
  <si>
    <t>Mag 061</t>
  </si>
  <si>
    <t>Mag 062</t>
  </si>
  <si>
    <t>Mag 063</t>
  </si>
  <si>
    <t>Mag 064</t>
  </si>
  <si>
    <t>Mag 065</t>
  </si>
  <si>
    <t>Mag 066</t>
  </si>
  <si>
    <t>Mag 067</t>
  </si>
  <si>
    <t>Mag 068</t>
  </si>
  <si>
    <t>Mag 069</t>
  </si>
  <si>
    <t>Mag 070</t>
  </si>
  <si>
    <t>Mag 071</t>
  </si>
  <si>
    <t>Mag 072</t>
  </si>
  <si>
    <t>Mag 073</t>
  </si>
  <si>
    <t>Mag 074</t>
  </si>
  <si>
    <t>Mag 075</t>
  </si>
  <si>
    <t>Mag 076</t>
  </si>
  <si>
    <t>Mag 077</t>
  </si>
  <si>
    <t>Mag 078</t>
  </si>
  <si>
    <t>Mag 079</t>
  </si>
  <si>
    <t>Mag 080</t>
  </si>
  <si>
    <t>Mag 081</t>
  </si>
  <si>
    <t>Mag 082</t>
  </si>
  <si>
    <t>Mag 083</t>
  </si>
  <si>
    <t>Mag 084</t>
  </si>
  <si>
    <t>Mag 085</t>
  </si>
  <si>
    <t>Mag 086</t>
  </si>
  <si>
    <t>Mag 087</t>
  </si>
  <si>
    <t>Mag 088</t>
  </si>
  <si>
    <t>Mag 089</t>
  </si>
  <si>
    <t>Mag 090</t>
  </si>
  <si>
    <t>Mag 091</t>
  </si>
  <si>
    <t>Mag 092</t>
  </si>
  <si>
    <t>Mag 093</t>
  </si>
  <si>
    <t>Mag 094</t>
  </si>
  <si>
    <t>Mag 095</t>
  </si>
  <si>
    <t>Mag 096</t>
  </si>
  <si>
    <t>Mag 097</t>
  </si>
  <si>
    <t>Mag 098</t>
  </si>
  <si>
    <t>Mag 099</t>
  </si>
  <si>
    <t>Mag 100</t>
  </si>
  <si>
    <t>Mag 101</t>
  </si>
  <si>
    <t>Mag 102</t>
  </si>
  <si>
    <t>Mag 103</t>
  </si>
  <si>
    <t>Mag 104</t>
  </si>
  <si>
    <t>Mag 105</t>
  </si>
  <si>
    <t>Mag 106</t>
  </si>
  <si>
    <t>Mag 107</t>
  </si>
  <si>
    <t>Mag 108</t>
  </si>
  <si>
    <t>Mag 109</t>
  </si>
  <si>
    <t>Mag 110</t>
  </si>
  <si>
    <t>Mag 111</t>
  </si>
  <si>
    <t>Mag 112</t>
  </si>
  <si>
    <t>Mag 113</t>
  </si>
  <si>
    <t>Mag 114</t>
  </si>
  <si>
    <t>Mag 115</t>
  </si>
  <si>
    <t>Mag 116</t>
  </si>
  <si>
    <t>Mag 117</t>
  </si>
  <si>
    <t>Mag 118</t>
  </si>
  <si>
    <t>Mag 119</t>
  </si>
  <si>
    <t>Mag 120</t>
  </si>
  <si>
    <t>Mag 121</t>
  </si>
  <si>
    <t>Mag 122</t>
  </si>
  <si>
    <t>Mag 123</t>
  </si>
  <si>
    <t>Mag 124</t>
  </si>
  <si>
    <t>Mag 125</t>
  </si>
  <si>
    <t>Mag 126</t>
  </si>
  <si>
    <t>Mag 127</t>
  </si>
  <si>
    <t>Mag 128</t>
  </si>
  <si>
    <t>Mag 129</t>
  </si>
  <si>
    <t>Mag 130</t>
  </si>
  <si>
    <t>Mag 131</t>
  </si>
  <si>
    <t>Mag 132</t>
  </si>
  <si>
    <t>Mag 133</t>
  </si>
  <si>
    <t>Mag 134</t>
  </si>
  <si>
    <t>Mag 135</t>
  </si>
  <si>
    <t>Mag 136</t>
  </si>
  <si>
    <t>Mag 137</t>
  </si>
  <si>
    <t>Mag 138</t>
  </si>
  <si>
    <t>Mag 139</t>
  </si>
  <si>
    <t>Mag 140</t>
  </si>
  <si>
    <t>Mag 141</t>
  </si>
  <si>
    <t>Mag 142</t>
  </si>
  <si>
    <t>Mag 143</t>
  </si>
  <si>
    <t>Mag 144</t>
  </si>
  <si>
    <t>Mag 145</t>
  </si>
  <si>
    <t>Mag 146</t>
  </si>
  <si>
    <t>Mag 147</t>
  </si>
  <si>
    <t>Mag 148</t>
  </si>
  <si>
    <t>Mag 149</t>
  </si>
  <si>
    <t>Mag 150</t>
  </si>
  <si>
    <t>Mag 151</t>
  </si>
  <si>
    <t>Mag 152</t>
  </si>
  <si>
    <t>Mag 153</t>
  </si>
  <si>
    <t>Mag 154</t>
  </si>
  <si>
    <t>Mag 155</t>
  </si>
  <si>
    <t>Mag 156</t>
  </si>
  <si>
    <t>Mag 157</t>
  </si>
  <si>
    <t>Mag 158</t>
  </si>
  <si>
    <t>Mag 159</t>
  </si>
  <si>
    <t>Mag 160</t>
  </si>
  <si>
    <t>Mag 161</t>
  </si>
  <si>
    <t>Mag 162</t>
  </si>
  <si>
    <t>Mag 163</t>
  </si>
  <si>
    <t>Mag 164</t>
  </si>
  <si>
    <t>Mag 165</t>
  </si>
  <si>
    <t>Mag 166</t>
  </si>
  <si>
    <t>Mag 167</t>
  </si>
  <si>
    <t>Mag 168</t>
  </si>
  <si>
    <t>Mag 169</t>
  </si>
  <si>
    <t>Mag 170</t>
  </si>
  <si>
    <t>Mag 171</t>
  </si>
  <si>
    <t>Mag 172</t>
  </si>
  <si>
    <t>Mag 173</t>
  </si>
  <si>
    <t>Mag 174</t>
  </si>
  <si>
    <t>Mag 175</t>
  </si>
  <si>
    <t>Mag 176</t>
  </si>
  <si>
    <t>Mag 177</t>
  </si>
  <si>
    <t>Mag 178</t>
  </si>
  <si>
    <t>Mag 179</t>
  </si>
  <si>
    <t>Mag 180</t>
  </si>
  <si>
    <t>Mag 181</t>
  </si>
  <si>
    <t>Mag 182</t>
  </si>
  <si>
    <t>Mag 183</t>
  </si>
  <si>
    <t>Mag 184</t>
  </si>
  <si>
    <t>Mag 185</t>
  </si>
  <si>
    <t>Mag 186</t>
  </si>
  <si>
    <t>Mag 187</t>
  </si>
  <si>
    <t>Mag 188</t>
  </si>
  <si>
    <t>Mag 189</t>
  </si>
  <si>
    <t>Mag 190</t>
  </si>
  <si>
    <t>Mag 191</t>
  </si>
  <si>
    <t>Mag 192</t>
  </si>
  <si>
    <t>Mag 193</t>
  </si>
  <si>
    <t>Mag 194</t>
  </si>
  <si>
    <t>Mag 195</t>
  </si>
  <si>
    <t>Mag 196</t>
  </si>
  <si>
    <t>Mag 197</t>
  </si>
  <si>
    <t>Mag 198</t>
  </si>
  <si>
    <t>Mag 199</t>
  </si>
  <si>
    <t>Mag 200</t>
  </si>
  <si>
    <t>Mag 201</t>
  </si>
  <si>
    <t>Mag 202</t>
  </si>
  <si>
    <t>Mag 203</t>
  </si>
  <si>
    <t>Mag 204</t>
  </si>
  <si>
    <t>Mag 205</t>
  </si>
  <si>
    <t>Mag 206</t>
  </si>
  <si>
    <t>Mag 207</t>
  </si>
  <si>
    <t>Mag 208</t>
  </si>
  <si>
    <t>Mag 209</t>
  </si>
  <si>
    <t>Mag 210</t>
  </si>
  <si>
    <t>Mag 211</t>
  </si>
  <si>
    <t>Mag 212</t>
  </si>
  <si>
    <t>Mag 213</t>
  </si>
  <si>
    <t>Mag 214</t>
  </si>
  <si>
    <t>Mag 215</t>
  </si>
  <si>
    <t>Mag 216</t>
  </si>
  <si>
    <t>Mag 217</t>
  </si>
  <si>
    <t>Mag 218</t>
  </si>
  <si>
    <t>Mag 219</t>
  </si>
  <si>
    <t>Mag 220</t>
  </si>
  <si>
    <t>Mag 221</t>
  </si>
  <si>
    <t>Mag 222</t>
  </si>
  <si>
    <t>Mag 223</t>
  </si>
  <si>
    <t>Mag 224</t>
  </si>
  <si>
    <t>Mag 225</t>
  </si>
  <si>
    <t>Mag 226</t>
  </si>
  <si>
    <t>Mag 227</t>
  </si>
  <si>
    <t>Mag 228</t>
  </si>
  <si>
    <t>Mag 229</t>
  </si>
  <si>
    <t>Mag 230</t>
  </si>
  <si>
    <t>Mag 231</t>
  </si>
  <si>
    <t>Mag 232</t>
  </si>
  <si>
    <t>Mag 233</t>
  </si>
  <si>
    <t>Mag 234</t>
  </si>
  <si>
    <t>Mag 235</t>
  </si>
  <si>
    <t>Mag 236</t>
  </si>
  <si>
    <t>Mag 237</t>
  </si>
  <si>
    <t>Mag 238</t>
  </si>
  <si>
    <t>Mag 239</t>
  </si>
  <si>
    <t>Mag 240</t>
  </si>
  <si>
    <t>Mag 241</t>
  </si>
  <si>
    <t>Mag 242</t>
  </si>
  <si>
    <t>Mag 243</t>
  </si>
  <si>
    <t>Mag 244</t>
  </si>
  <si>
    <t>Mag 245</t>
  </si>
  <si>
    <t>Mag 246</t>
  </si>
  <si>
    <t>Mag 247</t>
  </si>
  <si>
    <t>Mag 248</t>
  </si>
  <si>
    <t>Mag 249</t>
  </si>
  <si>
    <t>Mag 250</t>
  </si>
  <si>
    <t>Mag 251</t>
  </si>
  <si>
    <t>Mag 252</t>
  </si>
  <si>
    <t>Mag 253</t>
  </si>
  <si>
    <t>Mag 254</t>
  </si>
  <si>
    <t>Mag 255</t>
  </si>
  <si>
    <t>Mag 256</t>
  </si>
  <si>
    <t>Mag 257</t>
  </si>
  <si>
    <t>Mag 258</t>
  </si>
  <si>
    <t>Mag 259</t>
  </si>
  <si>
    <t>Mag 260</t>
  </si>
  <si>
    <t>Mag 261</t>
  </si>
  <si>
    <t>Mag 262</t>
  </si>
  <si>
    <t>Mag 263</t>
  </si>
  <si>
    <t>Mag 264</t>
  </si>
  <si>
    <t>Mag 265</t>
  </si>
  <si>
    <t>Mag 266</t>
  </si>
  <si>
    <t>Mag 267</t>
  </si>
  <si>
    <t>Mag 268</t>
  </si>
  <si>
    <t>Mag 269</t>
  </si>
  <si>
    <t>Mag 270</t>
  </si>
  <si>
    <t>Mag 271</t>
  </si>
  <si>
    <t>Mag 272</t>
  </si>
  <si>
    <t>Mag 273</t>
  </si>
  <si>
    <t>Mag 274</t>
  </si>
  <si>
    <t>Mag 275</t>
  </si>
  <si>
    <t>Mag 276</t>
  </si>
  <si>
    <t>Mag 277</t>
  </si>
  <si>
    <t>Mag 278</t>
  </si>
  <si>
    <t>Mag 279</t>
  </si>
  <si>
    <t>Mag 280</t>
  </si>
  <si>
    <t>Mag 281</t>
  </si>
  <si>
    <t>Mag 282</t>
  </si>
  <si>
    <t>Mag 283</t>
  </si>
  <si>
    <t>Mag 284</t>
  </si>
  <si>
    <t>Mag 285</t>
  </si>
  <si>
    <t>Mag 286</t>
  </si>
  <si>
    <t>Mag 287</t>
  </si>
  <si>
    <t>Mag 288</t>
  </si>
  <si>
    <t>Mag 289</t>
  </si>
  <si>
    <t>Mag 290</t>
  </si>
  <si>
    <t>Mag 291</t>
  </si>
  <si>
    <t>Mag 292</t>
  </si>
  <si>
    <t>Mag 293</t>
  </si>
  <si>
    <t>Mag 294</t>
  </si>
  <si>
    <t>Mag 295</t>
  </si>
  <si>
    <t>Mag 296</t>
  </si>
  <si>
    <t>Mag 297</t>
  </si>
  <si>
    <t>Mag 298</t>
  </si>
  <si>
    <t>Mag 299</t>
  </si>
  <si>
    <t>Mag 300</t>
  </si>
  <si>
    <t>Mag 301</t>
  </si>
  <si>
    <t>Mag 302</t>
  </si>
  <si>
    <t>Mag 303</t>
  </si>
  <si>
    <t>Mag 304</t>
  </si>
  <si>
    <t>Mag 305</t>
  </si>
  <si>
    <t>Mag 306</t>
  </si>
  <si>
    <t>Mag 307</t>
  </si>
  <si>
    <t>Mag 308</t>
  </si>
  <si>
    <t>Mag 309</t>
  </si>
  <si>
    <t>Mag 310</t>
  </si>
  <si>
    <t>Mag 311</t>
  </si>
  <si>
    <t>Mag 312</t>
  </si>
  <si>
    <t>Mag 313</t>
  </si>
  <si>
    <t>Mag 314</t>
  </si>
  <si>
    <t>Mag 315</t>
  </si>
  <si>
    <t>Mag 316</t>
  </si>
  <si>
    <t>Mag 317</t>
  </si>
  <si>
    <t>Mag 318</t>
  </si>
  <si>
    <t>Mag 319</t>
  </si>
  <si>
    <t>Mag 320</t>
  </si>
  <si>
    <t>Mag 321</t>
  </si>
  <si>
    <t>Mag 322</t>
  </si>
  <si>
    <t>Mag 323</t>
  </si>
  <si>
    <t>Mag 324</t>
  </si>
  <si>
    <t>Mag 325</t>
  </si>
  <si>
    <t>Mag 326</t>
  </si>
  <si>
    <t>Mag 327</t>
  </si>
  <si>
    <t>Mag 328</t>
  </si>
  <si>
    <t>Mag 329</t>
  </si>
  <si>
    <t>Mag 330</t>
  </si>
  <si>
    <t>Mag 331</t>
  </si>
  <si>
    <t>Mag 332</t>
  </si>
  <si>
    <t>Mag 333</t>
  </si>
  <si>
    <t>Mag 334</t>
  </si>
  <si>
    <t>Mag 335</t>
  </si>
  <si>
    <t>Mag 336</t>
  </si>
  <si>
    <t>Mag 337</t>
  </si>
  <si>
    <t>Mag 338</t>
  </si>
  <si>
    <t>Mag 339</t>
  </si>
  <si>
    <t>Mag 340</t>
  </si>
  <si>
    <t>Mag 341</t>
  </si>
  <si>
    <t>Mag 342</t>
  </si>
  <si>
    <t>Mag 343</t>
  </si>
  <si>
    <t>Mag 344</t>
  </si>
  <si>
    <t>Mag 345</t>
  </si>
  <si>
    <t>Mag 346</t>
  </si>
  <si>
    <t>Mag 347</t>
  </si>
  <si>
    <t>Mag 348</t>
  </si>
  <si>
    <t>Mag 349</t>
  </si>
  <si>
    <t>Mag 350</t>
  </si>
  <si>
    <t>Mag 351</t>
  </si>
  <si>
    <t>Mag 352</t>
  </si>
  <si>
    <t>Mag 353</t>
  </si>
  <si>
    <t>Mag 354</t>
  </si>
  <si>
    <t>Mag 355</t>
  </si>
  <si>
    <t>Mag 356</t>
  </si>
  <si>
    <t>Mag 357</t>
  </si>
  <si>
    <t>Mag 358</t>
  </si>
  <si>
    <t>Mag 359</t>
  </si>
  <si>
    <t>Mag 360</t>
  </si>
  <si>
    <t>Mag 361</t>
  </si>
  <si>
    <t>Mag 362</t>
  </si>
  <si>
    <t>Mag 363</t>
  </si>
  <si>
    <t>Mag 364</t>
  </si>
  <si>
    <t>Mag 365</t>
  </si>
  <si>
    <t>Mag 366</t>
  </si>
  <si>
    <t>Mag 367</t>
  </si>
  <si>
    <t>Mag 368</t>
  </si>
  <si>
    <t>Mag 369</t>
  </si>
  <si>
    <t>Mag 370</t>
  </si>
  <si>
    <t>Mag 371</t>
  </si>
  <si>
    <t>Mag 372</t>
  </si>
  <si>
    <t>Mag 373</t>
  </si>
  <si>
    <t>Mag 374</t>
  </si>
  <si>
    <t>Mag 375</t>
  </si>
  <si>
    <t>Mag 376</t>
  </si>
  <si>
    <t>Mag 377</t>
  </si>
  <si>
    <t>Mag 378</t>
  </si>
  <si>
    <t>Mag 379</t>
  </si>
  <si>
    <t>Mag 380</t>
  </si>
  <si>
    <t>Mag 381</t>
  </si>
  <si>
    <t>Mag 382</t>
  </si>
  <si>
    <t>Mag 383</t>
  </si>
  <si>
    <t>Mag 384</t>
  </si>
  <si>
    <t>Mag 385</t>
  </si>
  <si>
    <t>Mag 386</t>
  </si>
  <si>
    <t>Mag 387</t>
  </si>
  <si>
    <t>Mag 388</t>
  </si>
  <si>
    <t>Mag 389</t>
  </si>
  <si>
    <t>Mag 390</t>
  </si>
  <si>
    <t>Mag 391</t>
  </si>
  <si>
    <t>Mag 392</t>
  </si>
  <si>
    <t>Mag 393</t>
  </si>
  <si>
    <t>Mag 394</t>
  </si>
  <si>
    <t>Mag 395</t>
  </si>
  <si>
    <t>Mag 396</t>
  </si>
  <si>
    <t>Mag 397</t>
  </si>
  <si>
    <t>Mag 398</t>
  </si>
  <si>
    <t>Mag 399</t>
  </si>
  <si>
    <t>Mag 400</t>
  </si>
  <si>
    <t>Mag 401</t>
  </si>
  <si>
    <t>Mag 402</t>
  </si>
  <si>
    <t>Mag 403</t>
  </si>
  <si>
    <t>Mag 404</t>
  </si>
  <si>
    <t>Mag 405</t>
  </si>
  <si>
    <t>Mag 406</t>
  </si>
  <si>
    <t>Mag 407</t>
  </si>
  <si>
    <t>Mag 408</t>
  </si>
  <si>
    <t>Mag 409</t>
  </si>
  <si>
    <t>Mag 410</t>
  </si>
  <si>
    <t>Mag 411</t>
  </si>
  <si>
    <t>Mag 412</t>
  </si>
  <si>
    <t>Mag 413</t>
  </si>
  <si>
    <t>Mag 414</t>
  </si>
  <si>
    <t>Mag 415</t>
  </si>
  <si>
    <t>Mag 416</t>
  </si>
  <si>
    <t>Mag 417</t>
  </si>
  <si>
    <t>Mag 418</t>
  </si>
  <si>
    <t>Mag 419</t>
  </si>
  <si>
    <t>Mag 420</t>
  </si>
  <si>
    <t>Mag 421</t>
  </si>
  <si>
    <t>Mag 422</t>
  </si>
  <si>
    <t>Mag 423</t>
  </si>
  <si>
    <t>Mag 424</t>
  </si>
  <si>
    <t>Mag 425</t>
  </si>
  <si>
    <t>Mag 426</t>
  </si>
  <si>
    <t>Mag 427</t>
  </si>
  <si>
    <t>Mag 428</t>
  </si>
  <si>
    <t>Mag 429</t>
  </si>
  <si>
    <t>Mag 430</t>
  </si>
  <si>
    <t>Mag 431</t>
  </si>
  <si>
    <t>Mag 432</t>
  </si>
  <si>
    <t>Mag 433</t>
  </si>
  <si>
    <t>Mag 434</t>
  </si>
  <si>
    <t>Mag 435</t>
  </si>
  <si>
    <t>Mag 436</t>
  </si>
  <si>
    <t>Mag 437</t>
  </si>
  <si>
    <t>Mag 438</t>
  </si>
  <si>
    <t>Mag 439</t>
  </si>
  <si>
    <t>Mag 440</t>
  </si>
  <si>
    <t>Mag 441</t>
  </si>
  <si>
    <t>Mag 442</t>
  </si>
  <si>
    <t>Mag 443</t>
  </si>
  <si>
    <t>Mag 444</t>
  </si>
  <si>
    <t>Mag 445</t>
  </si>
  <si>
    <t>Mag 446</t>
  </si>
  <si>
    <t>Mag 447</t>
  </si>
  <si>
    <t>Mag 448</t>
  </si>
  <si>
    <t>Mag 449</t>
  </si>
  <si>
    <t>Mag 450</t>
  </si>
  <si>
    <t>Mag 451</t>
  </si>
  <si>
    <t>Mag 452</t>
  </si>
  <si>
    <t>Mag 453</t>
  </si>
  <si>
    <t>Mag 454</t>
  </si>
  <si>
    <t>Mag 455</t>
  </si>
  <si>
    <t>Mag 456</t>
  </si>
  <si>
    <t>Mag 457</t>
  </si>
  <si>
    <t>Mag 458</t>
  </si>
  <si>
    <t>Mag 459</t>
  </si>
  <si>
    <t>Mag 460</t>
  </si>
  <si>
    <t>Mag 461</t>
  </si>
  <si>
    <t>Mag 462</t>
  </si>
  <si>
    <t>Mag 463</t>
  </si>
  <si>
    <t>Mag 464</t>
  </si>
  <si>
    <t>Mag 465</t>
  </si>
  <si>
    <t>Mag 466</t>
  </si>
  <si>
    <t>Mag 467</t>
  </si>
  <si>
    <t>Mag 468</t>
  </si>
  <si>
    <t>Mag 469</t>
  </si>
  <si>
    <t>Mag 470</t>
  </si>
  <si>
    <t>Mag 471</t>
  </si>
  <si>
    <t>Mag 472</t>
  </si>
  <si>
    <t>Mag 473</t>
  </si>
  <si>
    <t>Mag 474</t>
  </si>
  <si>
    <t>Mag 475</t>
  </si>
  <si>
    <t>Mag 476</t>
  </si>
  <si>
    <t>Mag 477</t>
  </si>
  <si>
    <t>Mag 478</t>
  </si>
  <si>
    <t>Mag 479</t>
  </si>
  <si>
    <t>Mag 480</t>
  </si>
  <si>
    <t>Mag 481</t>
  </si>
  <si>
    <t>Mag 482</t>
  </si>
  <si>
    <t>Mag 483</t>
  </si>
  <si>
    <t>Mag 484</t>
  </si>
  <si>
    <t>Mag 485</t>
  </si>
  <si>
    <t>Mag 486</t>
  </si>
  <si>
    <t>Mes</t>
  </si>
  <si>
    <t>Alta en EASE</t>
  </si>
  <si>
    <t>Enero</t>
  </si>
  <si>
    <t>Febrero</t>
  </si>
  <si>
    <t>Marzo</t>
  </si>
  <si>
    <t>Abril</t>
  </si>
  <si>
    <t>Mayo</t>
  </si>
  <si>
    <t>Junio</t>
  </si>
  <si>
    <t>Julio</t>
  </si>
  <si>
    <t>Agosto</t>
  </si>
  <si>
    <t>Septiembre</t>
  </si>
  <si>
    <t>Octubre</t>
  </si>
  <si>
    <t>Noviembre</t>
  </si>
  <si>
    <t>Diciembre</t>
  </si>
  <si>
    <t>Audio Amplifier</t>
  </si>
  <si>
    <t>Clockspring</t>
  </si>
  <si>
    <t>Conformal 2</t>
  </si>
  <si>
    <t>ESD Floor CR1</t>
  </si>
  <si>
    <t>ESD Floor CR2</t>
  </si>
  <si>
    <t>ESD Floor CR3</t>
  </si>
  <si>
    <t>ESD Floor CR4</t>
  </si>
  <si>
    <t>ESD Floor CR5</t>
  </si>
  <si>
    <t>ESD Floor CR6</t>
  </si>
  <si>
    <t>ESD Floor Incoming</t>
  </si>
  <si>
    <t>DATA IO</t>
  </si>
  <si>
    <t>DCDC TLA</t>
  </si>
  <si>
    <t>Door ECU Pin Stitch</t>
  </si>
  <si>
    <t>Chargeport Everest</t>
  </si>
  <si>
    <t>FVT 1</t>
  </si>
  <si>
    <t>FVT 2</t>
  </si>
  <si>
    <t>Glovebox</t>
  </si>
  <si>
    <t>HVAC GM</t>
  </si>
  <si>
    <t>HVAC GM OP100 1</t>
  </si>
  <si>
    <t>HVAC GM OP100 2</t>
  </si>
  <si>
    <t>HVAC GM OP100 3</t>
  </si>
  <si>
    <t>HVAC GM OP100 4</t>
  </si>
  <si>
    <t>HVAC GM OP100 5</t>
  </si>
  <si>
    <t>HVAC GM OP400</t>
  </si>
  <si>
    <t>ICT 9</t>
  </si>
  <si>
    <t>Microphone Auto</t>
  </si>
  <si>
    <t>Microphone Manual</t>
  </si>
  <si>
    <t>PW++</t>
  </si>
  <si>
    <t>Router 1</t>
  </si>
  <si>
    <t>Router 2</t>
  </si>
  <si>
    <t>Router 3</t>
  </si>
  <si>
    <t>Router 4</t>
  </si>
  <si>
    <t>SCCM Opal Stalk</t>
  </si>
  <si>
    <t>SMT 7</t>
  </si>
  <si>
    <t>SMT 8</t>
  </si>
  <si>
    <t>SMT 9</t>
  </si>
  <si>
    <t>Trailer Pin Stitch</t>
  </si>
  <si>
    <t>WPC 4.0</t>
  </si>
  <si>
    <t>Xray 2</t>
  </si>
  <si>
    <t>Xray Contador</t>
  </si>
  <si>
    <t>ID de ionizador</t>
  </si>
  <si>
    <t>ION-CONF1-001</t>
  </si>
  <si>
    <t>ION-ET-01</t>
  </si>
  <si>
    <t>Pie Izquierdo</t>
  </si>
  <si>
    <t>Pie Derecho</t>
  </si>
  <si>
    <t>MEGGER Izquierdo</t>
  </si>
  <si>
    <t>MEGGER Derecho</t>
  </si>
  <si>
    <t>Diferencia Izq</t>
  </si>
  <si>
    <t>Diferencia Der</t>
  </si>
  <si>
    <t>Variación Izquierda %</t>
  </si>
  <si>
    <t>Variación derecha %</t>
  </si>
  <si>
    <t>Variación AVG %</t>
  </si>
  <si>
    <t>Checador 1</t>
  </si>
  <si>
    <t>Checador 2</t>
  </si>
  <si>
    <t>Checador 3</t>
  </si>
  <si>
    <t>Checador 4</t>
  </si>
  <si>
    <t>HVAC-CH1-02</t>
  </si>
  <si>
    <t>HVAC-CH1-01</t>
  </si>
  <si>
    <t>HVAC-CH2-01</t>
  </si>
  <si>
    <t>HVAC-CH2-02</t>
  </si>
  <si>
    <t>HM3-23</t>
  </si>
  <si>
    <t>RARO07-02</t>
  </si>
  <si>
    <t>SELEC2-15</t>
  </si>
  <si>
    <t>MES-05-CR3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</si>
</sst>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0.000"/>
  </numFmts>
  <fonts count="7" x14ac:knownFonts="1">
    <font>
      <sz val="11"/>
      <color theme="1"/>
      <name val="Calibri"/>
      <family val="2"/>
      <scheme val="minor"/>
    </font>
    <font>
      <sz val="8"/>
      <name val="Calibri"/>
      <family val="2"/>
      <scheme val="minor"/>
    </font>
    <font>
      <sz val="48"/>
      <color theme="1"/>
      <name val="Calibri"/>
      <family val="2"/>
      <scheme val="minor"/>
    </font>
    <font>
      <b/>
      <sz val="14"/>
      <color theme="1"/>
      <name val="Calibri"/>
      <family val="2"/>
      <scheme val="minor"/>
    </font>
    <font>
      <sz val="11"/>
      <name val="Calibri"/>
      <family val="2"/>
      <scheme val="minor"/>
    </font>
    <font>
      <b/>
      <sz val="11"/>
      <color theme="1"/>
      <name val="Calibri"/>
      <family val="2"/>
      <scheme val="minor"/>
    </font>
    <font>
      <sz val="11"/>
      <color theme="1"/>
      <name val="Calibri"/>
      <family val="2"/>
      <scheme val="minor"/>
    </font>
  </fonts>
  <fills count="11">
    <fill>
      <patternFill patternType="none"/>
    </fill>
    <fill>
      <patternFill patternType="gray125"/>
    </fill>
    <fill>
      <patternFill patternType="solid">
        <fgColor theme="4" tint="0.39997558519241921"/>
        <bgColor indexed="64"/>
      </patternFill>
    </fill>
    <fill>
      <patternFill patternType="solid">
        <fgColor theme="8" tint="0.79998168889431442"/>
        <bgColor indexed="64"/>
      </patternFill>
    </fill>
    <fill>
      <patternFill patternType="solid">
        <fgColor theme="0"/>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bgColor indexed="64"/>
      </patternFill>
    </fill>
    <fill>
      <patternFill patternType="solid">
        <fgColor rgb="FF00B050"/>
        <bgColor indexed="64"/>
      </patternFill>
    </fill>
    <fill>
      <patternFill patternType="solid">
        <fgColor rgb="FF00B0F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
      <left/>
      <right/>
      <top style="thin">
        <color indexed="64"/>
      </top>
      <bottom style="thin">
        <color indexed="64"/>
      </bottom>
      <diagonal/>
    </border>
  </borders>
  <cellStyleXfs count="2">
    <xf numFmtId="0" fontId="0" fillId="0" borderId="0"/>
    <xf numFmtId="9" fontId="6" fillId="0" borderId="0" applyFont="0" applyFill="0" applyBorder="0" applyAlignment="0" applyProtection="0"/>
  </cellStyleXfs>
  <cellXfs count="93">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3" borderId="1" xfId="0" applyFill="1" applyBorder="1" applyAlignment="1">
      <alignment horizontal="center" vertical="center"/>
    </xf>
    <xf numFmtId="2" fontId="0" fillId="3" borderId="1" xfId="0" applyNumberFormat="1" applyFill="1" applyBorder="1" applyAlignment="1">
      <alignment horizontal="center" vertical="center"/>
    </xf>
    <xf numFmtId="2" fontId="0" fillId="0" borderId="1" xfId="0" applyNumberFormat="1" applyBorder="1" applyAlignment="1">
      <alignment horizontal="center" vertical="center"/>
    </xf>
    <xf numFmtId="11" fontId="0" fillId="0" borderId="1" xfId="0" applyNumberFormat="1" applyBorder="1" applyAlignment="1">
      <alignment horizontal="center" vertical="center"/>
    </xf>
    <xf numFmtId="164" fontId="0" fillId="0" borderId="1" xfId="0" applyNumberFormat="1" applyBorder="1" applyAlignment="1">
      <alignment horizontal="center" vertical="center"/>
    </xf>
    <xf numFmtId="11" fontId="0" fillId="3" borderId="1" xfId="0" applyNumberFormat="1" applyFill="1" applyBorder="1" applyAlignment="1">
      <alignment horizontal="center" vertical="center"/>
    </xf>
    <xf numFmtId="164" fontId="0" fillId="0" borderId="0" xfId="0" applyNumberFormat="1" applyAlignment="1">
      <alignment horizontal="center" vertical="center"/>
    </xf>
    <xf numFmtId="11" fontId="0" fillId="4" borderId="1" xfId="0" applyNumberFormat="1" applyFill="1" applyBorder="1" applyAlignment="1">
      <alignment horizontal="center" vertical="center"/>
    </xf>
    <xf numFmtId="2" fontId="0" fillId="0" borderId="0" xfId="0" applyNumberFormat="1" applyAlignment="1">
      <alignment horizontal="center" vertical="center"/>
    </xf>
    <xf numFmtId="0" fontId="4" fillId="0" borderId="1" xfId="0" applyFont="1" applyBorder="1" applyAlignment="1">
      <alignment horizontal="center" vertical="center"/>
    </xf>
    <xf numFmtId="11" fontId="0" fillId="5" borderId="1" xfId="0" applyNumberFormat="1" applyFill="1" applyBorder="1" applyAlignment="1">
      <alignment horizontal="center" vertical="center"/>
    </xf>
    <xf numFmtId="11" fontId="0" fillId="0" borderId="1" xfId="0" applyNumberFormat="1" applyBorder="1" applyAlignment="1">
      <alignment horizontal="center" vertical="center" wrapText="1"/>
    </xf>
    <xf numFmtId="0" fontId="0" fillId="0" borderId="1" xfId="0" applyBorder="1"/>
    <xf numFmtId="11" fontId="0" fillId="0" borderId="0" xfId="0" applyNumberFormat="1"/>
    <xf numFmtId="0" fontId="0" fillId="6" borderId="1" xfId="0" applyFill="1" applyBorder="1"/>
    <xf numFmtId="11" fontId="0" fillId="0" borderId="1" xfId="0" applyNumberFormat="1" applyBorder="1"/>
    <xf numFmtId="0" fontId="0" fillId="0" borderId="1" xfId="0" applyBorder="1" applyAlignment="1">
      <alignment horizontal="center" vertical="center" wrapText="1"/>
    </xf>
    <xf numFmtId="2" fontId="3" fillId="2" borderId="6" xfId="0" applyNumberFormat="1" applyFont="1" applyFill="1" applyBorder="1" applyAlignment="1">
      <alignment horizontal="center" vertical="center"/>
    </xf>
    <xf numFmtId="0" fontId="0" fillId="4" borderId="1" xfId="0" applyFill="1" applyBorder="1" applyAlignment="1">
      <alignment horizontal="center" vertical="center"/>
    </xf>
    <xf numFmtId="0" fontId="0" fillId="0" borderId="0" xfId="0" applyAlignment="1">
      <alignment horizontal="left" vertical="center"/>
    </xf>
    <xf numFmtId="0" fontId="0" fillId="3" borderId="1" xfId="0" applyFill="1" applyBorder="1" applyAlignment="1">
      <alignment horizontal="left" vertical="center"/>
    </xf>
    <xf numFmtId="0" fontId="0" fillId="3" borderId="1" xfId="0" applyFill="1" applyBorder="1" applyAlignment="1">
      <alignment horizontal="left" vertical="center" wrapText="1"/>
    </xf>
    <xf numFmtId="0" fontId="5" fillId="7" borderId="1" xfId="0" applyFont="1" applyFill="1" applyBorder="1"/>
    <xf numFmtId="0" fontId="0" fillId="8" borderId="1" xfId="0" applyFill="1" applyBorder="1"/>
    <xf numFmtId="0" fontId="5" fillId="7" borderId="0" xfId="0" applyFont="1" applyFill="1"/>
    <xf numFmtId="0" fontId="0" fillId="4" borderId="1" xfId="0" applyFill="1" applyBorder="1"/>
    <xf numFmtId="0" fontId="0" fillId="9" borderId="1" xfId="0" applyFill="1" applyBorder="1"/>
    <xf numFmtId="0" fontId="0" fillId="3" borderId="12" xfId="0" applyFill="1" applyBorder="1" applyAlignment="1">
      <alignment horizontal="left" vertical="center"/>
    </xf>
    <xf numFmtId="0" fontId="0" fillId="0" borderId="13" xfId="0" applyBorder="1" applyAlignment="1">
      <alignment horizontal="center" vertical="center"/>
    </xf>
    <xf numFmtId="0" fontId="0" fillId="3" borderId="14" xfId="0" applyFill="1" applyBorder="1" applyAlignment="1">
      <alignment horizontal="left" vertical="center"/>
    </xf>
    <xf numFmtId="0" fontId="0" fillId="0" borderId="15" xfId="0" applyBorder="1" applyAlignment="1">
      <alignment horizontal="center" vertical="center"/>
    </xf>
    <xf numFmtId="0" fontId="5" fillId="7" borderId="12" xfId="0" applyFont="1" applyFill="1" applyBorder="1"/>
    <xf numFmtId="0" fontId="5" fillId="7" borderId="13" xfId="0" applyFont="1" applyFill="1" applyBorder="1"/>
    <xf numFmtId="0" fontId="0" fillId="4" borderId="12" xfId="0" applyFill="1" applyBorder="1"/>
    <xf numFmtId="0" fontId="0" fillId="4" borderId="13" xfId="0" applyFill="1" applyBorder="1"/>
    <xf numFmtId="0" fontId="0" fillId="10" borderId="1" xfId="0" applyFill="1" applyBorder="1"/>
    <xf numFmtId="0" fontId="0" fillId="10" borderId="12" xfId="0" applyFill="1" applyBorder="1"/>
    <xf numFmtId="0" fontId="0" fillId="4" borderId="14" xfId="0" applyFill="1" applyBorder="1"/>
    <xf numFmtId="0" fontId="0" fillId="4" borderId="23" xfId="0" applyFill="1" applyBorder="1"/>
    <xf numFmtId="0" fontId="0" fillId="9" borderId="18" xfId="0" applyFill="1" applyBorder="1"/>
    <xf numFmtId="0" fontId="0" fillId="9" borderId="19" xfId="0" applyFill="1" applyBorder="1"/>
    <xf numFmtId="165" fontId="0" fillId="0" borderId="1" xfId="0" applyNumberFormat="1" applyBorder="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center" vertical="center"/>
    </xf>
    <xf numFmtId="9" fontId="0" fillId="3" borderId="1" xfId="1" applyFont="1" applyFill="1" applyBorder="1" applyAlignment="1">
      <alignment horizontal="center" vertical="center"/>
    </xf>
    <xf numFmtId="0" fontId="0" fillId="3" borderId="1" xfId="0" applyFill="1" applyBorder="1"/>
    <xf numFmtId="0" fontId="0" fillId="3" borderId="24" xfId="0" applyFill="1" applyBorder="1"/>
    <xf numFmtId="2" fontId="0" fillId="0" borderId="1" xfId="1" applyNumberFormat="1" applyFont="1" applyBorder="1"/>
    <xf numFmtId="2" fontId="0" fillId="0" borderId="1" xfId="0" applyNumberFormat="1" applyBorder="1"/>
    <xf numFmtId="10" fontId="2" fillId="0" borderId="0" xfId="1" applyNumberFormat="1" applyFont="1" applyBorder="1" applyAlignment="1">
      <alignment horizontal="center" vertical="center"/>
    </xf>
    <xf numFmtId="14" fontId="0" fillId="0" borderId="1" xfId="0" applyNumberFormat="1" applyBorder="1" applyAlignment="1">
      <alignment horizontal="center" vertical="center"/>
    </xf>
    <xf numFmtId="0" fontId="3" fillId="2" borderId="1" xfId="0" applyFont="1" applyFill="1" applyBorder="1" applyAlignment="1">
      <alignment horizontal="center" vertical="center"/>
    </xf>
    <xf numFmtId="0" fontId="3" fillId="2" borderId="6" xfId="0" applyFont="1" applyFill="1" applyBorder="1" applyAlignment="1">
      <alignment horizontal="center" vertical="center"/>
    </xf>
    <xf numFmtId="0" fontId="2" fillId="0" borderId="0" xfId="0" applyFont="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3" fillId="2" borderId="6"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 xfId="0" applyFont="1" applyFill="1" applyBorder="1" applyAlignment="1">
      <alignment horizontal="center" vertical="center"/>
    </xf>
    <xf numFmtId="0" fontId="3" fillId="2" borderId="6" xfId="0" applyFont="1" applyFill="1" applyBorder="1" applyAlignment="1">
      <alignment horizontal="center" vertical="center"/>
    </xf>
    <xf numFmtId="164" fontId="3" fillId="2" borderId="1" xfId="0" applyNumberFormat="1" applyFont="1" applyFill="1" applyBorder="1" applyAlignment="1">
      <alignment horizontal="center" vertical="center"/>
    </xf>
    <xf numFmtId="164" fontId="3" fillId="2" borderId="6" xfId="0" applyNumberFormat="1" applyFont="1" applyFill="1" applyBorder="1" applyAlignment="1">
      <alignment horizontal="center" vertical="center"/>
    </xf>
    <xf numFmtId="164" fontId="3" fillId="2" borderId="6" xfId="0" applyNumberFormat="1" applyFont="1" applyFill="1" applyBorder="1" applyAlignment="1">
      <alignment horizontal="center" vertical="center" wrapText="1"/>
    </xf>
    <xf numFmtId="164" fontId="3" fillId="2" borderId="5"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0" borderId="25" xfId="0" applyFont="1" applyBorder="1" applyAlignment="1">
      <alignment horizontal="center" vertical="center"/>
    </xf>
    <xf numFmtId="0" fontId="3" fillId="2" borderId="1" xfId="0" applyFont="1" applyFill="1" applyBorder="1" applyAlignment="1">
      <alignment horizontal="left" vertical="center"/>
    </xf>
    <xf numFmtId="0" fontId="3" fillId="2" borderId="6" xfId="0" applyFont="1" applyFill="1" applyBorder="1" applyAlignment="1">
      <alignment horizontal="left" vertical="center"/>
    </xf>
    <xf numFmtId="2" fontId="3" fillId="2" borderId="1" xfId="0" applyNumberFormat="1" applyFont="1" applyFill="1" applyBorder="1" applyAlignment="1">
      <alignment horizontal="center" vertical="center"/>
    </xf>
    <xf numFmtId="2" fontId="3" fillId="2" borderId="6" xfId="0" applyNumberFormat="1" applyFont="1" applyFill="1" applyBorder="1" applyAlignment="1">
      <alignment horizontal="center" vertical="center" wrapText="1"/>
    </xf>
    <xf numFmtId="2" fontId="3" fillId="2" borderId="5" xfId="0" applyNumberFormat="1" applyFont="1" applyFill="1" applyBorder="1" applyAlignment="1">
      <alignment horizontal="center" vertical="center" wrapText="1"/>
    </xf>
    <xf numFmtId="2" fontId="3" fillId="2" borderId="6" xfId="0" applyNumberFormat="1" applyFont="1" applyFill="1" applyBorder="1" applyAlignment="1">
      <alignment horizontal="center" vertical="center"/>
    </xf>
    <xf numFmtId="2" fontId="3" fillId="2" borderId="5" xfId="0" applyNumberFormat="1" applyFont="1" applyFill="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5" fillId="7" borderId="1" xfId="0" applyFont="1" applyFill="1" applyBorder="1" applyAlignment="1">
      <alignment horizontal="center"/>
    </xf>
    <xf numFmtId="0" fontId="5" fillId="7" borderId="6" xfId="0" applyFont="1" applyFill="1" applyBorder="1" applyAlignment="1">
      <alignment horizontal="center" wrapText="1"/>
    </xf>
    <xf numFmtId="0" fontId="5" fillId="7" borderId="7" xfId="0" applyFont="1" applyFill="1" applyBorder="1" applyAlignment="1">
      <alignment horizontal="center" wrapText="1"/>
    </xf>
    <xf numFmtId="0" fontId="5" fillId="7" borderId="20" xfId="0" applyFont="1" applyFill="1" applyBorder="1" applyAlignment="1">
      <alignment horizontal="center"/>
    </xf>
    <xf numFmtId="0" fontId="5" fillId="7" borderId="21" xfId="0" applyFont="1" applyFill="1" applyBorder="1" applyAlignment="1">
      <alignment horizontal="center"/>
    </xf>
    <xf numFmtId="0" fontId="5" fillId="7" borderId="22" xfId="0" applyFont="1" applyFill="1" applyBorder="1" applyAlignment="1">
      <alignment horizontal="center"/>
    </xf>
    <xf numFmtId="0" fontId="5" fillId="7" borderId="16" xfId="0" applyFont="1" applyFill="1" applyBorder="1" applyAlignment="1">
      <alignment horizontal="center" wrapText="1"/>
    </xf>
    <xf numFmtId="0" fontId="5" fillId="7" borderId="17" xfId="0" applyFont="1" applyFill="1" applyBorder="1" applyAlignment="1">
      <alignment horizontal="center" wrapText="1"/>
    </xf>
    <xf numFmtId="0" fontId="5" fillId="7" borderId="8" xfId="0" applyFont="1" applyFill="1" applyBorder="1" applyAlignment="1">
      <alignment horizontal="center" vertical="center"/>
    </xf>
    <xf numFmtId="0" fontId="5" fillId="7" borderId="10" xfId="0" applyFont="1" applyFill="1" applyBorder="1" applyAlignment="1">
      <alignment horizontal="center" vertical="center"/>
    </xf>
    <xf numFmtId="0" fontId="5" fillId="7" borderId="9" xfId="0" applyFont="1" applyFill="1" applyBorder="1" applyAlignment="1">
      <alignment horizontal="center" vertical="center"/>
    </xf>
    <xf numFmtId="0" fontId="5" fillId="7" borderId="11" xfId="0" applyFont="1" applyFill="1" applyBorder="1" applyAlignment="1">
      <alignment horizontal="center" vertical="center"/>
    </xf>
  </cellXfs>
  <cellStyles count="2">
    <cellStyle name="Normal" xfId="0" builtinId="0"/>
    <cellStyle name="Percent" xfId="1" builtinId="5"/>
  </cellStyles>
  <dxfs count="63">
    <dxf>
      <font>
        <color rgb="FF9C0006"/>
      </font>
      <fill>
        <patternFill>
          <bgColor rgb="FFFFC7CE"/>
        </patternFill>
      </fill>
    </dxf>
    <dxf>
      <font>
        <strike/>
        <color theme="1" tint="0.499984740745262"/>
      </font>
      <fill>
        <patternFill>
          <bgColor theme="0" tint="-0.14996795556505021"/>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color theme="0"/>
      </font>
      <fill>
        <patternFill>
          <bgColor theme="0" tint="-0.499984740745262"/>
        </patternFill>
      </fill>
    </dxf>
    <dxf>
      <font>
        <color rgb="FF006100"/>
      </font>
      <fill>
        <patternFill>
          <bgColor rgb="FFC6EFCE"/>
        </patternFill>
      </fill>
    </dxf>
    <dxf>
      <font>
        <color auto="1"/>
      </font>
      <fill>
        <patternFill>
          <bgColor rgb="FF92D050"/>
        </patternFill>
      </fill>
    </dxf>
    <dxf>
      <font>
        <color theme="0"/>
      </font>
      <fill>
        <patternFill>
          <bgColor rgb="FFC00000"/>
        </patternFill>
      </fill>
      <border>
        <left style="thin">
          <color auto="1"/>
        </left>
        <right style="thin">
          <color auto="1"/>
        </right>
        <top style="thin">
          <color auto="1"/>
        </top>
        <bottom style="thin">
          <color auto="1"/>
        </bottom>
      </border>
    </dxf>
    <dxf>
      <font>
        <strike val="0"/>
        <color theme="1"/>
      </font>
      <fill>
        <patternFill>
          <bgColor rgb="FF92D050"/>
        </patternFill>
      </fill>
      <border>
        <left style="thin">
          <color auto="1"/>
        </left>
        <right style="thin">
          <color auto="1"/>
        </right>
        <top style="thin">
          <color auto="1"/>
        </top>
        <bottom style="thin">
          <color auto="1"/>
        </bottom>
        <vertical/>
        <horizontal/>
      </border>
    </dxf>
    <dxf>
      <font>
        <color theme="1"/>
      </font>
      <fill>
        <patternFill>
          <bgColor theme="7"/>
        </patternFill>
      </fill>
      <border>
        <left style="thin">
          <color auto="1"/>
        </left>
        <right style="thin">
          <color auto="1"/>
        </right>
        <top style="thin">
          <color auto="1"/>
        </top>
        <bottom style="thin">
          <color auto="1"/>
        </bottom>
      </border>
    </dxf>
    <dxf>
      <font>
        <strike/>
        <color theme="1" tint="0.499984740745262"/>
      </font>
      <fill>
        <patternFill>
          <bgColor theme="0" tint="-0.14996795556505021"/>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color theme="1" tint="0.499984740745262"/>
      </font>
      <fill>
        <patternFill>
          <bgColor theme="0" tint="-0.14996795556505021"/>
        </patternFill>
      </fill>
      <border>
        <left style="thin">
          <color auto="1"/>
        </left>
        <right style="thin">
          <color auto="1"/>
        </right>
        <top style="thin">
          <color auto="1"/>
        </top>
        <bottom style="thin">
          <color auto="1"/>
        </bottom>
        <vertical/>
        <horizontal/>
      </border>
    </dxf>
    <dxf>
      <font>
        <strike/>
        <color theme="1" tint="0.499984740745262"/>
      </font>
      <fill>
        <patternFill>
          <bgColor theme="0" tint="-0.14996795556505021"/>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0006"/>
      </font>
      <fill>
        <patternFill>
          <bgColor rgb="FFFFC7CE"/>
        </patternFill>
      </fill>
    </dxf>
    <dxf>
      <font>
        <color theme="0"/>
      </font>
      <fill>
        <patternFill>
          <bgColor theme="0" tint="-0.499984740745262"/>
        </patternFill>
      </fill>
    </dxf>
    <dxf>
      <font>
        <color rgb="FF006100"/>
      </font>
      <fill>
        <patternFill>
          <bgColor rgb="FFC6EFCE"/>
        </patternFill>
      </fill>
    </dxf>
    <dxf>
      <font>
        <color auto="1"/>
      </font>
      <fill>
        <patternFill>
          <bgColor rgb="FF92D050"/>
        </patternFill>
      </fill>
    </dxf>
    <dxf>
      <font>
        <color theme="0"/>
      </font>
      <fill>
        <patternFill>
          <bgColor rgb="FFC00000"/>
        </patternFill>
      </fill>
      <border>
        <left style="thin">
          <color auto="1"/>
        </left>
        <right style="thin">
          <color auto="1"/>
        </right>
        <top style="thin">
          <color auto="1"/>
        </top>
        <bottom style="thin">
          <color auto="1"/>
        </bottom>
      </border>
    </dxf>
    <dxf>
      <font>
        <strike val="0"/>
        <color theme="1"/>
      </font>
      <fill>
        <patternFill>
          <bgColor rgb="FF92D050"/>
        </patternFill>
      </fill>
      <border>
        <left style="thin">
          <color auto="1"/>
        </left>
        <right style="thin">
          <color auto="1"/>
        </right>
        <top style="thin">
          <color auto="1"/>
        </top>
        <bottom style="thin">
          <color auto="1"/>
        </bottom>
        <vertical/>
        <horizontal/>
      </border>
    </dxf>
    <dxf>
      <font>
        <color theme="1"/>
      </font>
      <fill>
        <patternFill>
          <bgColor theme="7"/>
        </patternFill>
      </fill>
      <border>
        <left style="thin">
          <color auto="1"/>
        </left>
        <right style="thin">
          <color auto="1"/>
        </right>
        <top style="thin">
          <color auto="1"/>
        </top>
        <bottom style="thin">
          <color auto="1"/>
        </bottom>
      </border>
    </dxf>
    <dxf>
      <font>
        <color theme="0"/>
      </font>
      <fill>
        <patternFill>
          <bgColor theme="0" tint="-0.499984740745262"/>
        </patternFill>
      </fill>
    </dxf>
    <dxf>
      <font>
        <color rgb="FF006100"/>
      </font>
      <fill>
        <patternFill>
          <bgColor rgb="FFC6EFCE"/>
        </patternFill>
      </fill>
    </dxf>
    <dxf>
      <font>
        <color auto="1"/>
      </font>
      <fill>
        <patternFill>
          <bgColor rgb="FF92D050"/>
        </patternFill>
      </fill>
    </dxf>
    <dxf>
      <font>
        <color theme="0"/>
      </font>
      <fill>
        <patternFill>
          <bgColor rgb="FFC00000"/>
        </patternFill>
      </fill>
      <border>
        <left style="thin">
          <color auto="1"/>
        </left>
        <right style="thin">
          <color auto="1"/>
        </right>
        <top style="thin">
          <color auto="1"/>
        </top>
        <bottom style="thin">
          <color auto="1"/>
        </bottom>
      </border>
    </dxf>
    <dxf>
      <font>
        <strike val="0"/>
        <color theme="1"/>
      </font>
      <fill>
        <patternFill>
          <bgColor rgb="FF92D050"/>
        </patternFill>
      </fill>
      <border>
        <left style="thin">
          <color auto="1"/>
        </left>
        <right style="thin">
          <color auto="1"/>
        </right>
        <top style="thin">
          <color auto="1"/>
        </top>
        <bottom style="thin">
          <color auto="1"/>
        </bottom>
        <vertical/>
        <horizontal/>
      </border>
    </dxf>
    <dxf>
      <font>
        <color theme="1"/>
      </font>
      <fill>
        <patternFill>
          <bgColor theme="7"/>
        </patternFill>
      </fill>
      <border>
        <left style="thin">
          <color auto="1"/>
        </left>
        <right style="thin">
          <color auto="1"/>
        </right>
        <top style="thin">
          <color auto="1"/>
        </top>
        <bottom style="thin">
          <color auto="1"/>
        </bottom>
      </border>
    </dxf>
    <dxf>
      <font>
        <color theme="0"/>
      </font>
      <fill>
        <patternFill>
          <bgColor rgb="FFFF0000"/>
        </patternFill>
      </fill>
    </dxf>
    <dxf>
      <font>
        <color rgb="FF9C0006"/>
      </font>
      <fill>
        <patternFill>
          <bgColor rgb="FFFFC7CE"/>
        </patternFill>
      </fill>
    </dxf>
    <dxf>
      <font>
        <color rgb="FF9C0006"/>
      </font>
      <fill>
        <patternFill>
          <bgColor rgb="FFFFC7CE"/>
        </patternFill>
      </fill>
    </dxf>
    <dxf>
      <font>
        <strike/>
        <color theme="1" tint="0.499984740745262"/>
      </font>
      <fill>
        <patternFill>
          <bgColor theme="0" tint="-0.14996795556505021"/>
        </patternFill>
      </fill>
      <border>
        <left style="thin">
          <color auto="1"/>
        </left>
        <right style="thin">
          <color auto="1"/>
        </right>
        <top style="thin">
          <color auto="1"/>
        </top>
        <bottom style="thin">
          <color auto="1"/>
        </bottom>
        <vertical/>
        <horizontal/>
      </border>
    </dxf>
    <dxf>
      <font>
        <strike/>
        <color theme="1" tint="0.499984740745262"/>
      </font>
      <fill>
        <patternFill>
          <bgColor theme="0" tint="-0.14996795556505021"/>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color theme="0"/>
      </font>
      <fill>
        <patternFill>
          <bgColor theme="0" tint="-0.499984740745262"/>
        </patternFill>
      </fill>
    </dxf>
    <dxf>
      <font>
        <color rgb="FF006100"/>
      </font>
      <fill>
        <patternFill>
          <bgColor rgb="FFC6EFCE"/>
        </patternFill>
      </fill>
    </dxf>
    <dxf>
      <font>
        <color auto="1"/>
      </font>
      <fill>
        <patternFill>
          <bgColor rgb="FF92D050"/>
        </patternFill>
      </fill>
    </dxf>
    <dxf>
      <font>
        <color theme="0"/>
      </font>
      <fill>
        <patternFill>
          <bgColor rgb="FFC00000"/>
        </patternFill>
      </fill>
      <border>
        <left style="thin">
          <color auto="1"/>
        </left>
        <right style="thin">
          <color auto="1"/>
        </right>
        <top style="thin">
          <color auto="1"/>
        </top>
        <bottom style="thin">
          <color auto="1"/>
        </bottom>
      </border>
    </dxf>
    <dxf>
      <font>
        <strike val="0"/>
        <color theme="1"/>
      </font>
      <fill>
        <patternFill>
          <bgColor rgb="FF92D050"/>
        </patternFill>
      </fill>
      <border>
        <left style="thin">
          <color auto="1"/>
        </left>
        <right style="thin">
          <color auto="1"/>
        </right>
        <top style="thin">
          <color auto="1"/>
        </top>
        <bottom style="thin">
          <color auto="1"/>
        </bottom>
        <vertical/>
        <horizontal/>
      </border>
    </dxf>
    <dxf>
      <font>
        <color theme="1"/>
      </font>
      <fill>
        <patternFill>
          <bgColor theme="7"/>
        </patternFill>
      </fill>
      <border>
        <left style="thin">
          <color auto="1"/>
        </left>
        <right style="thin">
          <color auto="1"/>
        </right>
        <top style="thin">
          <color auto="1"/>
        </top>
        <bottom style="thin">
          <color auto="1"/>
        </bottom>
      </border>
    </dxf>
    <dxf>
      <font>
        <color theme="0"/>
      </font>
      <fill>
        <patternFill>
          <bgColor theme="0" tint="-0.499984740745262"/>
        </patternFill>
      </fill>
    </dxf>
    <dxf>
      <font>
        <color rgb="FF006100"/>
      </font>
      <fill>
        <patternFill>
          <bgColor rgb="FFC6EFCE"/>
        </patternFill>
      </fill>
    </dxf>
    <dxf>
      <font>
        <color auto="1"/>
      </font>
      <fill>
        <patternFill>
          <bgColor rgb="FF92D050"/>
        </patternFill>
      </fill>
    </dxf>
    <dxf>
      <font>
        <color theme="0"/>
      </font>
      <fill>
        <patternFill>
          <bgColor rgb="FFC00000"/>
        </patternFill>
      </fill>
      <border>
        <left style="thin">
          <color auto="1"/>
        </left>
        <right style="thin">
          <color auto="1"/>
        </right>
        <top style="thin">
          <color auto="1"/>
        </top>
        <bottom style="thin">
          <color auto="1"/>
        </bottom>
      </border>
    </dxf>
    <dxf>
      <font>
        <strike val="0"/>
        <color theme="1"/>
      </font>
      <fill>
        <patternFill>
          <bgColor rgb="FF92D050"/>
        </patternFill>
      </fill>
      <border>
        <left style="thin">
          <color auto="1"/>
        </left>
        <right style="thin">
          <color auto="1"/>
        </right>
        <top style="thin">
          <color auto="1"/>
        </top>
        <bottom style="thin">
          <color auto="1"/>
        </bottom>
        <vertical/>
        <horizontal/>
      </border>
    </dxf>
    <dxf>
      <font>
        <color theme="1"/>
      </font>
      <fill>
        <patternFill>
          <bgColor theme="7"/>
        </patternFill>
      </fill>
      <border>
        <left style="thin">
          <color auto="1"/>
        </left>
        <right style="thin">
          <color auto="1"/>
        </right>
        <top style="thin">
          <color auto="1"/>
        </top>
        <bottom style="thin">
          <color auto="1"/>
        </bottom>
      </border>
    </dxf>
    <dxf>
      <font>
        <color theme="0"/>
      </font>
      <fill>
        <patternFill>
          <bgColor rgb="FFFF0000"/>
        </patternFill>
      </fill>
    </dxf>
    <dxf>
      <font>
        <color rgb="FF9C0006"/>
      </font>
      <fill>
        <patternFill>
          <bgColor rgb="FFFFC7CE"/>
        </patternFill>
      </fill>
    </dxf>
    <dxf>
      <font>
        <color rgb="FF9C0006"/>
      </font>
      <fill>
        <patternFill>
          <bgColor rgb="FFFFC7CE"/>
        </patternFill>
      </fill>
    </dxf>
    <dxf>
      <font>
        <strike/>
        <color theme="1" tint="0.499984740745262"/>
      </font>
      <fill>
        <patternFill>
          <bgColor theme="0" tint="-0.14996795556505021"/>
        </patternFill>
      </fill>
      <border>
        <left style="thin">
          <color auto="1"/>
        </left>
        <right style="thin">
          <color auto="1"/>
        </right>
        <top style="thin">
          <color auto="1"/>
        </top>
        <bottom style="thin">
          <color auto="1"/>
        </bottom>
        <vertical/>
        <horizontal/>
      </border>
    </dxf>
    <dxf>
      <font>
        <strike/>
        <color theme="1" tint="0.499984740745262"/>
      </font>
      <fill>
        <patternFill>
          <bgColor theme="0" tint="-0.14996795556505021"/>
        </patternFill>
      </fill>
      <border>
        <left style="thin">
          <color auto="1"/>
        </left>
        <right style="thin">
          <color auto="1"/>
        </right>
        <top style="thin">
          <color auto="1"/>
        </top>
        <bottom style="thin">
          <color auto="1"/>
        </bottom>
        <vertical/>
        <horizontal/>
      </border>
    </dxf>
    <dxf>
      <font>
        <color theme="0"/>
      </font>
      <fill>
        <patternFill>
          <bgColor theme="0" tint="-0.499984740745262"/>
        </patternFill>
      </fill>
    </dxf>
    <dxf>
      <font>
        <color rgb="FF006100"/>
      </font>
      <fill>
        <patternFill>
          <bgColor rgb="FFC6EFCE"/>
        </patternFill>
      </fill>
    </dxf>
    <dxf>
      <font>
        <color auto="1"/>
      </font>
      <fill>
        <patternFill>
          <bgColor rgb="FF92D050"/>
        </patternFill>
      </fill>
    </dxf>
    <dxf>
      <font>
        <color theme="0"/>
      </font>
      <fill>
        <patternFill>
          <bgColor rgb="FFC00000"/>
        </patternFill>
      </fill>
      <border>
        <left style="thin">
          <color auto="1"/>
        </left>
        <right style="thin">
          <color auto="1"/>
        </right>
        <top style="thin">
          <color auto="1"/>
        </top>
        <bottom style="thin">
          <color auto="1"/>
        </bottom>
      </border>
    </dxf>
    <dxf>
      <font>
        <strike val="0"/>
        <color theme="1"/>
      </font>
      <fill>
        <patternFill>
          <bgColor rgb="FF92D050"/>
        </patternFill>
      </fill>
      <border>
        <left style="thin">
          <color auto="1"/>
        </left>
        <right style="thin">
          <color auto="1"/>
        </right>
        <top style="thin">
          <color auto="1"/>
        </top>
        <bottom style="thin">
          <color auto="1"/>
        </bottom>
        <vertical/>
        <horizontal/>
      </border>
    </dxf>
    <dxf>
      <font>
        <color theme="1"/>
      </font>
      <fill>
        <patternFill>
          <bgColor theme="7"/>
        </patternFill>
      </fill>
      <border>
        <left style="thin">
          <color auto="1"/>
        </left>
        <right style="thin">
          <color auto="1"/>
        </right>
        <top style="thin">
          <color auto="1"/>
        </top>
        <bottom style="thin">
          <color auto="1"/>
        </bottom>
      </border>
    </dxf>
    <dxf>
      <font>
        <strike/>
        <color theme="1" tint="0.499984740745262"/>
      </font>
      <fill>
        <patternFill>
          <bgColor theme="0" tint="-0.14996795556505021"/>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color theme="1" tint="0.499984740745262"/>
      </font>
      <fill>
        <patternFill>
          <bgColor theme="0" tint="-0.14996795556505021"/>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0</xdr:row>
      <xdr:rowOff>31749</xdr:rowOff>
    </xdr:from>
    <xdr:to>
      <xdr:col>1</xdr:col>
      <xdr:colOff>1830917</xdr:colOff>
      <xdr:row>2</xdr:row>
      <xdr:rowOff>306654</xdr:rowOff>
    </xdr:to>
    <xdr:pic>
      <xdr:nvPicPr>
        <xdr:cNvPr id="2" name="Imagen 3">
          <a:extLst>
            <a:ext uri="{FF2B5EF4-FFF2-40B4-BE49-F238E27FC236}">
              <a16:creationId xmlns:a16="http://schemas.microsoft.com/office/drawing/2014/main" id="{FB492585-A8C7-4E9F-94B3-6FD1C67E9A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31749"/>
          <a:ext cx="3393017" cy="6559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0</xdr:row>
      <xdr:rowOff>31749</xdr:rowOff>
    </xdr:from>
    <xdr:to>
      <xdr:col>1</xdr:col>
      <xdr:colOff>1830917</xdr:colOff>
      <xdr:row>2</xdr:row>
      <xdr:rowOff>306654</xdr:rowOff>
    </xdr:to>
    <xdr:pic>
      <xdr:nvPicPr>
        <xdr:cNvPr id="2" name="Imagen 3">
          <a:extLst>
            <a:ext uri="{FF2B5EF4-FFF2-40B4-BE49-F238E27FC236}">
              <a16:creationId xmlns:a16="http://schemas.microsoft.com/office/drawing/2014/main" id="{F5B83384-EEAA-477A-8D74-F6F66E2446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31749"/>
          <a:ext cx="3393017" cy="6559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592F6-FCFD-46BB-9030-486A67CA675D}">
  <dimension ref="A1:XFD1006"/>
  <sheetViews>
    <sheetView tabSelected="1" zoomScale="80" zoomScaleNormal="80" workbookViewId="0">
      <selection activeCell="C1001" sqref="C1001"/>
    </sheetView>
  </sheetViews>
  <sheetFormatPr defaultColWidth="9.140625" defaultRowHeight="15" x14ac:dyDescent="0.25"/>
  <cols>
    <col min="1" max="1" width="25.7109375" style="22" bestFit="1" customWidth="1"/>
    <col min="2" max="2" width="31.28515625" style="1" bestFit="1" customWidth="1"/>
    <col min="3" max="3" width="20.85546875" style="1" bestFit="1" customWidth="1"/>
    <col min="4" max="4" width="18.7109375" style="1" customWidth="1"/>
    <col min="5" max="5" width="13.42578125" style="1" customWidth="1"/>
    <col min="6" max="8" width="27.140625" style="11" customWidth="1"/>
    <col min="9" max="9" width="29.7109375" style="11" bestFit="1" customWidth="1"/>
    <col min="10" max="10" width="26.140625" style="1" bestFit="1" customWidth="1"/>
    <col min="11" max="11" width="15.5703125" style="1" bestFit="1" customWidth="1"/>
    <col min="12" max="12" width="30.28515625" style="9" bestFit="1" customWidth="1"/>
    <col min="13" max="13" width="40.42578125" style="9" bestFit="1" customWidth="1"/>
    <col min="14" max="14" width="36" style="9" bestFit="1" customWidth="1"/>
    <col min="15" max="15" width="31.85546875" style="1" bestFit="1" customWidth="1"/>
    <col min="16" max="16" width="43" style="1" bestFit="1" customWidth="1"/>
    <col min="17" max="17" width="35.5703125" style="1" bestFit="1" customWidth="1"/>
    <col min="18" max="16384" width="9.140625" style="1"/>
  </cols>
  <sheetData>
    <row r="1" spans="1:17" ht="15" customHeight="1" x14ac:dyDescent="0.25">
      <c r="A1" s="56" t="s">
        <v>0</v>
      </c>
      <c r="B1" s="56"/>
      <c r="C1" s="56"/>
      <c r="D1" s="56"/>
      <c r="E1" s="56"/>
      <c r="F1" s="56"/>
      <c r="G1" s="56"/>
      <c r="H1" s="56"/>
      <c r="I1" s="56"/>
      <c r="J1" s="56"/>
      <c r="K1" s="56"/>
      <c r="L1" s="56"/>
      <c r="M1" s="56"/>
      <c r="N1" s="56"/>
      <c r="O1" s="56"/>
      <c r="P1" s="56"/>
      <c r="Q1" s="57"/>
    </row>
    <row r="2" spans="1:17" ht="15" customHeight="1" x14ac:dyDescent="0.25">
      <c r="A2" s="56"/>
      <c r="B2" s="56"/>
      <c r="C2" s="56"/>
      <c r="D2" s="56"/>
      <c r="E2" s="56"/>
      <c r="F2" s="56"/>
      <c r="G2" s="56"/>
      <c r="H2" s="56"/>
      <c r="I2" s="56"/>
      <c r="J2" s="56"/>
      <c r="K2" s="56"/>
      <c r="L2" s="56"/>
      <c r="M2" s="56"/>
      <c r="N2" s="56"/>
      <c r="O2" s="56"/>
      <c r="P2" s="56"/>
      <c r="Q2" s="57"/>
    </row>
    <row r="3" spans="1:17" ht="27.75" customHeight="1" x14ac:dyDescent="0.25">
      <c r="A3" s="58"/>
      <c r="B3" s="58"/>
      <c r="C3" s="58"/>
      <c r="D3" s="58"/>
      <c r="E3" s="58"/>
      <c r="F3" s="58"/>
      <c r="G3" s="58"/>
      <c r="H3" s="58"/>
      <c r="I3" s="58"/>
      <c r="J3" s="58"/>
      <c r="K3" s="58"/>
      <c r="L3" s="58"/>
      <c r="M3" s="58"/>
      <c r="N3" s="58"/>
      <c r="O3" s="58"/>
      <c r="P3" s="58"/>
      <c r="Q3" s="59"/>
    </row>
    <row r="4" spans="1:17" ht="61.5" hidden="1" customHeight="1" x14ac:dyDescent="0.25">
      <c r="A4" s="45"/>
      <c r="B4" s="45"/>
      <c r="C4" s="45"/>
      <c r="D4" s="45"/>
      <c r="E4" s="45"/>
      <c r="F4" s="45"/>
      <c r="G4" s="45"/>
      <c r="H4" s="46"/>
      <c r="I4" s="46"/>
      <c r="J4" s="45"/>
      <c r="K4" s="45"/>
      <c r="L4" s="69" t="s">
        <v>1</v>
      </c>
      <c r="M4" s="69"/>
      <c r="N4" s="69"/>
      <c r="O4" s="69"/>
      <c r="P4" s="52">
        <f ca="1">((COUNTIF(O224:O1400,"VIGENTE")))/(COUNTIF(P224:P1400,"OPERATIVO"))</f>
        <v>0.87067669172932327</v>
      </c>
      <c r="Q4" s="45"/>
    </row>
    <row r="5" spans="1:17" ht="37.5" customHeight="1" x14ac:dyDescent="0.25">
      <c r="A5" s="70" t="s">
        <v>2</v>
      </c>
      <c r="B5" s="62" t="s">
        <v>3</v>
      </c>
      <c r="C5" s="62" t="s">
        <v>4</v>
      </c>
      <c r="D5" s="62" t="s">
        <v>5</v>
      </c>
      <c r="E5" s="62" t="s">
        <v>6</v>
      </c>
      <c r="F5" s="72" t="s">
        <v>7</v>
      </c>
      <c r="G5" s="72"/>
      <c r="H5" s="73" t="s">
        <v>8</v>
      </c>
      <c r="I5" s="75" t="s">
        <v>9</v>
      </c>
      <c r="J5" s="62" t="s">
        <v>10</v>
      </c>
      <c r="K5" s="62" t="s">
        <v>11</v>
      </c>
      <c r="L5" s="64" t="s">
        <v>12</v>
      </c>
      <c r="M5" s="64" t="s">
        <v>13</v>
      </c>
      <c r="N5" s="66" t="s">
        <v>14</v>
      </c>
      <c r="O5" s="68" t="s">
        <v>15</v>
      </c>
      <c r="P5" s="60" t="s">
        <v>16</v>
      </c>
      <c r="Q5" s="62" t="s">
        <v>17</v>
      </c>
    </row>
    <row r="6" spans="1:17" ht="18.75" x14ac:dyDescent="0.25">
      <c r="A6" s="71"/>
      <c r="B6" s="63"/>
      <c r="C6" s="63"/>
      <c r="D6" s="63"/>
      <c r="E6" s="63"/>
      <c r="F6" s="20" t="s">
        <v>18</v>
      </c>
      <c r="G6" s="20" t="s">
        <v>19</v>
      </c>
      <c r="H6" s="74"/>
      <c r="I6" s="76"/>
      <c r="J6" s="63"/>
      <c r="K6" s="63"/>
      <c r="L6" s="65"/>
      <c r="M6" s="65"/>
      <c r="N6" s="67"/>
      <c r="O6" s="60"/>
      <c r="P6" s="61"/>
      <c r="Q6" s="63"/>
    </row>
    <row r="7" spans="1:17" x14ac:dyDescent="0.25">
      <c r="A7" s="23" t="s">
        <v>20</v>
      </c>
      <c r="B7" s="2" t="s">
        <v>21</v>
      </c>
      <c r="C7" s="3" t="s">
        <v>22</v>
      </c>
      <c r="D7" s="3" t="s">
        <v>23</v>
      </c>
      <c r="E7" s="2" t="s">
        <v>24</v>
      </c>
      <c r="F7" s="4">
        <v>0</v>
      </c>
      <c r="G7" s="8">
        <f t="shared" ref="G7:G70" si="0">IF(C7="Ionizador", 10, IF(C7="Mesa", 1000000000, IF(C7="Rack", 1000000000, IF(C7="Piso", 1000000000, IF(C7="Tapete", 1000000000, IF(C7="Carrito", 1000000000, IF(C7="Cautín", 10, 1)))))))</f>
        <v>1000000000</v>
      </c>
      <c r="H7" s="4" t="str">
        <f t="shared" ref="H7:H70" si="1">IF(C7="Ionizador", "Segundos", "Ohms")</f>
        <v>Ohms</v>
      </c>
      <c r="I7" s="14">
        <v>439000000</v>
      </c>
      <c r="J7" s="6" t="str">
        <f t="shared" ref="J7:J70" si="2">H7</f>
        <v>Ohms</v>
      </c>
      <c r="K7" s="2" t="str">
        <f t="shared" ref="K7:K70" si="3">IF(C7="Ionizador", "Plato de carga", IF(C7="Cautín", "PTG", IF(C7="ESD Tester", "PTP Deviation", "RTG")))</f>
        <v>RTG</v>
      </c>
      <c r="L7" s="7">
        <v>45842</v>
      </c>
      <c r="M7" s="7">
        <f t="shared" ref="M7:M70" si="4">IF(N7="Trimestral", L7+90, IF(N7="Semestral", L7+180, IF(N7="Mensual", L7+30, L7+365)))</f>
        <v>46207</v>
      </c>
      <c r="N7" s="7" t="str">
        <f t="shared" ref="N7:N38" si="5">IF(C7="Ionizador", "Trimestral", IF(C7="Rack", "Anual", IF(C7="Mesa", "Anual", IF(C7="Tapete", "Semestral", IF(C7="Cautín", "Semestral", IF(C7="Silla", "Semestral", "Anual"))))))</f>
        <v>Anual</v>
      </c>
      <c r="O7" s="2" t="str">
        <f t="shared" ref="O7:O38" ca="1" si="6">IF(M7&lt;TODAY(),"VENCIDO",IF(M7=TODAY(),"VIGENTE",IF(M7&gt;TODAY(),"VIGENTE")))</f>
        <v>VIGENTE</v>
      </c>
      <c r="P7" s="6" t="s">
        <v>25</v>
      </c>
      <c r="Q7" s="2"/>
    </row>
    <row r="8" spans="1:17" x14ac:dyDescent="0.25">
      <c r="A8" s="23" t="s">
        <v>20</v>
      </c>
      <c r="B8" s="2" t="s">
        <v>26</v>
      </c>
      <c r="C8" s="3" t="s">
        <v>22</v>
      </c>
      <c r="D8" s="3" t="s">
        <v>23</v>
      </c>
      <c r="E8" s="2" t="s">
        <v>24</v>
      </c>
      <c r="F8" s="4">
        <v>0</v>
      </c>
      <c r="G8" s="8">
        <f t="shared" si="0"/>
        <v>1000000000</v>
      </c>
      <c r="H8" s="4" t="str">
        <f t="shared" si="1"/>
        <v>Ohms</v>
      </c>
      <c r="I8" s="14">
        <v>266000000</v>
      </c>
      <c r="J8" s="6" t="str">
        <f t="shared" si="2"/>
        <v>Ohms</v>
      </c>
      <c r="K8" s="2" t="str">
        <f t="shared" si="3"/>
        <v>RTG</v>
      </c>
      <c r="L8" s="7">
        <v>45842</v>
      </c>
      <c r="M8" s="7">
        <f t="shared" si="4"/>
        <v>46207</v>
      </c>
      <c r="N8" s="7" t="str">
        <f t="shared" si="5"/>
        <v>Anual</v>
      </c>
      <c r="O8" s="2" t="str">
        <f t="shared" ca="1" si="6"/>
        <v>VIGENTE</v>
      </c>
      <c r="P8" s="6" t="s">
        <v>25</v>
      </c>
      <c r="Q8" s="2"/>
    </row>
    <row r="9" spans="1:17" x14ac:dyDescent="0.25">
      <c r="A9" s="23" t="s">
        <v>20</v>
      </c>
      <c r="B9" s="2" t="s">
        <v>27</v>
      </c>
      <c r="C9" s="3" t="s">
        <v>28</v>
      </c>
      <c r="D9" s="3" t="s">
        <v>23</v>
      </c>
      <c r="E9" s="2" t="s">
        <v>24</v>
      </c>
      <c r="F9" s="4">
        <v>0</v>
      </c>
      <c r="G9" s="8">
        <f t="shared" si="0"/>
        <v>1000000000</v>
      </c>
      <c r="H9" s="4" t="str">
        <f t="shared" si="1"/>
        <v>Ohms</v>
      </c>
      <c r="I9" s="14">
        <v>329000000</v>
      </c>
      <c r="J9" s="6" t="str">
        <f t="shared" si="2"/>
        <v>Ohms</v>
      </c>
      <c r="K9" s="2" t="str">
        <f t="shared" si="3"/>
        <v>RTG</v>
      </c>
      <c r="L9" s="7">
        <v>45842</v>
      </c>
      <c r="M9" s="7">
        <f t="shared" si="4"/>
        <v>46207</v>
      </c>
      <c r="N9" s="7" t="str">
        <f t="shared" si="5"/>
        <v>Anual</v>
      </c>
      <c r="O9" s="2" t="str">
        <f t="shared" ca="1" si="6"/>
        <v>VIGENTE</v>
      </c>
      <c r="P9" s="6" t="s">
        <v>25</v>
      </c>
      <c r="Q9" s="2" t="s">
        <v>29</v>
      </c>
    </row>
    <row r="10" spans="1:17" x14ac:dyDescent="0.25">
      <c r="A10" s="23" t="s">
        <v>20</v>
      </c>
      <c r="B10" s="2" t="s">
        <v>30</v>
      </c>
      <c r="C10" s="3" t="s">
        <v>28</v>
      </c>
      <c r="D10" s="3" t="s">
        <v>23</v>
      </c>
      <c r="E10" s="2" t="s">
        <v>24</v>
      </c>
      <c r="F10" s="4">
        <v>0</v>
      </c>
      <c r="G10" s="8">
        <f t="shared" si="0"/>
        <v>1000000000</v>
      </c>
      <c r="H10" s="4" t="str">
        <f t="shared" si="1"/>
        <v>Ohms</v>
      </c>
      <c r="I10" s="14">
        <v>254000000</v>
      </c>
      <c r="J10" s="6" t="str">
        <f t="shared" si="2"/>
        <v>Ohms</v>
      </c>
      <c r="K10" s="2" t="str">
        <f t="shared" si="3"/>
        <v>RTG</v>
      </c>
      <c r="L10" s="7">
        <v>45842</v>
      </c>
      <c r="M10" s="7">
        <f t="shared" si="4"/>
        <v>46207</v>
      </c>
      <c r="N10" s="7" t="str">
        <f t="shared" si="5"/>
        <v>Anual</v>
      </c>
      <c r="O10" s="2" t="str">
        <f t="shared" ca="1" si="6"/>
        <v>VIGENTE</v>
      </c>
      <c r="P10" s="6" t="s">
        <v>25</v>
      </c>
      <c r="Q10" s="2" t="s">
        <v>29</v>
      </c>
    </row>
    <row r="11" spans="1:17" x14ac:dyDescent="0.25">
      <c r="A11" s="23" t="s">
        <v>20</v>
      </c>
      <c r="B11" s="2" t="s">
        <v>31</v>
      </c>
      <c r="C11" s="3" t="s">
        <v>28</v>
      </c>
      <c r="D11" s="3" t="s">
        <v>23</v>
      </c>
      <c r="E11" s="2" t="s">
        <v>24</v>
      </c>
      <c r="F11" s="4">
        <v>0</v>
      </c>
      <c r="G11" s="8">
        <f t="shared" si="0"/>
        <v>1000000000</v>
      </c>
      <c r="H11" s="4" t="str">
        <f t="shared" si="1"/>
        <v>Ohms</v>
      </c>
      <c r="I11" s="14">
        <v>1330000</v>
      </c>
      <c r="J11" s="6" t="str">
        <f t="shared" si="2"/>
        <v>Ohms</v>
      </c>
      <c r="K11" s="2" t="str">
        <f t="shared" si="3"/>
        <v>RTG</v>
      </c>
      <c r="L11" s="7">
        <v>45842</v>
      </c>
      <c r="M11" s="7">
        <f t="shared" si="4"/>
        <v>46207</v>
      </c>
      <c r="N11" s="7" t="str">
        <f t="shared" si="5"/>
        <v>Anual</v>
      </c>
      <c r="O11" s="2" t="str">
        <f t="shared" ca="1" si="6"/>
        <v>VIGENTE</v>
      </c>
      <c r="P11" s="6" t="s">
        <v>25</v>
      </c>
      <c r="Q11" s="2" t="s">
        <v>29</v>
      </c>
    </row>
    <row r="12" spans="1:17" x14ac:dyDescent="0.25">
      <c r="A12" s="23" t="s">
        <v>20</v>
      </c>
      <c r="B12" s="2" t="s">
        <v>32</v>
      </c>
      <c r="C12" s="3" t="s">
        <v>28</v>
      </c>
      <c r="D12" s="3" t="s">
        <v>23</v>
      </c>
      <c r="E12" s="2" t="s">
        <v>24</v>
      </c>
      <c r="F12" s="4">
        <v>0</v>
      </c>
      <c r="G12" s="8">
        <f t="shared" si="0"/>
        <v>1000000000</v>
      </c>
      <c r="H12" s="4" t="str">
        <f t="shared" si="1"/>
        <v>Ohms</v>
      </c>
      <c r="I12" s="14">
        <v>4150000</v>
      </c>
      <c r="J12" s="6" t="str">
        <f t="shared" si="2"/>
        <v>Ohms</v>
      </c>
      <c r="K12" s="2" t="str">
        <f t="shared" si="3"/>
        <v>RTG</v>
      </c>
      <c r="L12" s="7">
        <v>45842</v>
      </c>
      <c r="M12" s="7">
        <f t="shared" si="4"/>
        <v>46207</v>
      </c>
      <c r="N12" s="7" t="str">
        <f t="shared" si="5"/>
        <v>Anual</v>
      </c>
      <c r="O12" s="2" t="str">
        <f t="shared" ca="1" si="6"/>
        <v>VIGENTE</v>
      </c>
      <c r="P12" s="6" t="s">
        <v>25</v>
      </c>
      <c r="Q12" s="2" t="s">
        <v>29</v>
      </c>
    </row>
    <row r="13" spans="1:17" x14ac:dyDescent="0.25">
      <c r="A13" s="23" t="s">
        <v>20</v>
      </c>
      <c r="B13" s="2" t="s">
        <v>33</v>
      </c>
      <c r="C13" s="3" t="s">
        <v>28</v>
      </c>
      <c r="D13" s="3" t="s">
        <v>23</v>
      </c>
      <c r="E13" s="2" t="s">
        <v>24</v>
      </c>
      <c r="F13" s="4">
        <v>0</v>
      </c>
      <c r="G13" s="8">
        <f t="shared" si="0"/>
        <v>1000000000</v>
      </c>
      <c r="H13" s="4" t="str">
        <f t="shared" si="1"/>
        <v>Ohms</v>
      </c>
      <c r="I13" s="14">
        <v>355000000</v>
      </c>
      <c r="J13" s="6" t="str">
        <f t="shared" si="2"/>
        <v>Ohms</v>
      </c>
      <c r="K13" s="2" t="str">
        <f t="shared" si="3"/>
        <v>RTG</v>
      </c>
      <c r="L13" s="7">
        <v>45842</v>
      </c>
      <c r="M13" s="7">
        <f t="shared" si="4"/>
        <v>46207</v>
      </c>
      <c r="N13" s="7" t="str">
        <f t="shared" si="5"/>
        <v>Anual</v>
      </c>
      <c r="O13" s="2" t="str">
        <f t="shared" ca="1" si="6"/>
        <v>VIGENTE</v>
      </c>
      <c r="P13" s="6" t="s">
        <v>25</v>
      </c>
      <c r="Q13" s="2" t="s">
        <v>29</v>
      </c>
    </row>
    <row r="14" spans="1:17" x14ac:dyDescent="0.25">
      <c r="A14" s="23" t="s">
        <v>20</v>
      </c>
      <c r="B14" s="2" t="s">
        <v>34</v>
      </c>
      <c r="C14" s="3" t="s">
        <v>28</v>
      </c>
      <c r="D14" s="3" t="s">
        <v>23</v>
      </c>
      <c r="E14" s="2" t="s">
        <v>24</v>
      </c>
      <c r="F14" s="4">
        <v>0</v>
      </c>
      <c r="G14" s="8">
        <f t="shared" si="0"/>
        <v>1000000000</v>
      </c>
      <c r="H14" s="4" t="str">
        <f t="shared" si="1"/>
        <v>Ohms</v>
      </c>
      <c r="I14" s="14">
        <v>240000000</v>
      </c>
      <c r="J14" s="6" t="str">
        <f t="shared" si="2"/>
        <v>Ohms</v>
      </c>
      <c r="K14" s="2" t="str">
        <f t="shared" si="3"/>
        <v>RTG</v>
      </c>
      <c r="L14" s="7">
        <v>45842</v>
      </c>
      <c r="M14" s="7">
        <f t="shared" si="4"/>
        <v>46207</v>
      </c>
      <c r="N14" s="7" t="str">
        <f t="shared" si="5"/>
        <v>Anual</v>
      </c>
      <c r="O14" s="2" t="str">
        <f t="shared" ca="1" si="6"/>
        <v>VIGENTE</v>
      </c>
      <c r="P14" s="6" t="s">
        <v>25</v>
      </c>
      <c r="Q14" s="2" t="s">
        <v>29</v>
      </c>
    </row>
    <row r="15" spans="1:17" x14ac:dyDescent="0.25">
      <c r="A15" s="23" t="s">
        <v>20</v>
      </c>
      <c r="B15" s="2" t="s">
        <v>35</v>
      </c>
      <c r="C15" s="3" t="s">
        <v>28</v>
      </c>
      <c r="D15" s="3" t="s">
        <v>23</v>
      </c>
      <c r="E15" s="2" t="s">
        <v>24</v>
      </c>
      <c r="F15" s="4">
        <v>0</v>
      </c>
      <c r="G15" s="8">
        <f t="shared" si="0"/>
        <v>1000000000</v>
      </c>
      <c r="H15" s="4" t="str">
        <f t="shared" si="1"/>
        <v>Ohms</v>
      </c>
      <c r="I15" s="14">
        <v>472000000</v>
      </c>
      <c r="J15" s="6" t="str">
        <f t="shared" si="2"/>
        <v>Ohms</v>
      </c>
      <c r="K15" s="2" t="str">
        <f t="shared" si="3"/>
        <v>RTG</v>
      </c>
      <c r="L15" s="7">
        <v>45842</v>
      </c>
      <c r="M15" s="7">
        <f t="shared" si="4"/>
        <v>46207</v>
      </c>
      <c r="N15" s="7" t="str">
        <f t="shared" si="5"/>
        <v>Anual</v>
      </c>
      <c r="O15" s="2" t="str">
        <f t="shared" ca="1" si="6"/>
        <v>VIGENTE</v>
      </c>
      <c r="P15" s="6" t="s">
        <v>25</v>
      </c>
      <c r="Q15" s="2" t="s">
        <v>29</v>
      </c>
    </row>
    <row r="16" spans="1:17" x14ac:dyDescent="0.25">
      <c r="A16" s="23" t="s">
        <v>20</v>
      </c>
      <c r="B16" s="2" t="s">
        <v>36</v>
      </c>
      <c r="C16" s="3" t="s">
        <v>28</v>
      </c>
      <c r="D16" s="3" t="s">
        <v>23</v>
      </c>
      <c r="E16" s="2" t="s">
        <v>24</v>
      </c>
      <c r="F16" s="4">
        <v>0</v>
      </c>
      <c r="G16" s="8">
        <f t="shared" si="0"/>
        <v>1000000000</v>
      </c>
      <c r="H16" s="4" t="str">
        <f t="shared" si="1"/>
        <v>Ohms</v>
      </c>
      <c r="I16" s="14">
        <v>3200000</v>
      </c>
      <c r="J16" s="6" t="str">
        <f t="shared" si="2"/>
        <v>Ohms</v>
      </c>
      <c r="K16" s="2" t="str">
        <f t="shared" si="3"/>
        <v>RTG</v>
      </c>
      <c r="L16" s="7">
        <v>45842</v>
      </c>
      <c r="M16" s="7">
        <f t="shared" si="4"/>
        <v>46207</v>
      </c>
      <c r="N16" s="7" t="str">
        <f t="shared" si="5"/>
        <v>Anual</v>
      </c>
      <c r="O16" s="2" t="str">
        <f t="shared" ca="1" si="6"/>
        <v>VIGENTE</v>
      </c>
      <c r="P16" s="6" t="s">
        <v>25</v>
      </c>
      <c r="Q16" s="2" t="s">
        <v>29</v>
      </c>
    </row>
    <row r="17" spans="1:17" x14ac:dyDescent="0.25">
      <c r="A17" s="23" t="s">
        <v>20</v>
      </c>
      <c r="B17" s="2" t="s">
        <v>37</v>
      </c>
      <c r="C17" s="3" t="s">
        <v>28</v>
      </c>
      <c r="D17" s="3" t="s">
        <v>23</v>
      </c>
      <c r="E17" s="2" t="s">
        <v>24</v>
      </c>
      <c r="F17" s="4">
        <v>0</v>
      </c>
      <c r="G17" s="8">
        <f t="shared" si="0"/>
        <v>1000000000</v>
      </c>
      <c r="H17" s="4" t="str">
        <f t="shared" si="1"/>
        <v>Ohms</v>
      </c>
      <c r="I17" s="14">
        <v>258000000</v>
      </c>
      <c r="J17" s="6" t="str">
        <f t="shared" si="2"/>
        <v>Ohms</v>
      </c>
      <c r="K17" s="2" t="str">
        <f t="shared" si="3"/>
        <v>RTG</v>
      </c>
      <c r="L17" s="7">
        <v>45842</v>
      </c>
      <c r="M17" s="7">
        <f t="shared" si="4"/>
        <v>46207</v>
      </c>
      <c r="N17" s="7" t="str">
        <f t="shared" si="5"/>
        <v>Anual</v>
      </c>
      <c r="O17" s="2" t="str">
        <f t="shared" ca="1" si="6"/>
        <v>VIGENTE</v>
      </c>
      <c r="P17" s="6" t="s">
        <v>25</v>
      </c>
      <c r="Q17" s="2" t="s">
        <v>29</v>
      </c>
    </row>
    <row r="18" spans="1:17" x14ac:dyDescent="0.25">
      <c r="A18" s="23" t="s">
        <v>20</v>
      </c>
      <c r="B18" s="2" t="s">
        <v>38</v>
      </c>
      <c r="C18" s="3" t="s">
        <v>28</v>
      </c>
      <c r="D18" s="3" t="s">
        <v>23</v>
      </c>
      <c r="E18" s="2" t="s">
        <v>24</v>
      </c>
      <c r="F18" s="4">
        <v>0</v>
      </c>
      <c r="G18" s="8">
        <f t="shared" si="0"/>
        <v>1000000000</v>
      </c>
      <c r="H18" s="4" t="str">
        <f t="shared" si="1"/>
        <v>Ohms</v>
      </c>
      <c r="I18" s="14">
        <v>122000000</v>
      </c>
      <c r="J18" s="6" t="str">
        <f t="shared" si="2"/>
        <v>Ohms</v>
      </c>
      <c r="K18" s="2" t="str">
        <f t="shared" si="3"/>
        <v>RTG</v>
      </c>
      <c r="L18" s="7">
        <v>45842</v>
      </c>
      <c r="M18" s="7">
        <f t="shared" si="4"/>
        <v>46207</v>
      </c>
      <c r="N18" s="7" t="str">
        <f t="shared" si="5"/>
        <v>Anual</v>
      </c>
      <c r="O18" s="2" t="str">
        <f t="shared" ca="1" si="6"/>
        <v>VIGENTE</v>
      </c>
      <c r="P18" s="6" t="s">
        <v>25</v>
      </c>
      <c r="Q18" s="2" t="s">
        <v>29</v>
      </c>
    </row>
    <row r="19" spans="1:17" x14ac:dyDescent="0.25">
      <c r="A19" s="23" t="s">
        <v>20</v>
      </c>
      <c r="B19" s="2" t="s">
        <v>39</v>
      </c>
      <c r="C19" s="3" t="s">
        <v>28</v>
      </c>
      <c r="D19" s="3" t="s">
        <v>23</v>
      </c>
      <c r="E19" s="2" t="s">
        <v>24</v>
      </c>
      <c r="F19" s="4">
        <v>0</v>
      </c>
      <c r="G19" s="8">
        <f t="shared" si="0"/>
        <v>1000000000</v>
      </c>
      <c r="H19" s="4" t="str">
        <f t="shared" si="1"/>
        <v>Ohms</v>
      </c>
      <c r="I19" s="14">
        <v>3030000</v>
      </c>
      <c r="J19" s="6" t="str">
        <f t="shared" si="2"/>
        <v>Ohms</v>
      </c>
      <c r="K19" s="2" t="str">
        <f t="shared" si="3"/>
        <v>RTG</v>
      </c>
      <c r="L19" s="7">
        <v>45842</v>
      </c>
      <c r="M19" s="7">
        <f t="shared" si="4"/>
        <v>46207</v>
      </c>
      <c r="N19" s="7" t="str">
        <f t="shared" si="5"/>
        <v>Anual</v>
      </c>
      <c r="O19" s="2" t="str">
        <f t="shared" ca="1" si="6"/>
        <v>VIGENTE</v>
      </c>
      <c r="P19" s="6" t="s">
        <v>25</v>
      </c>
      <c r="Q19" s="2" t="s">
        <v>29</v>
      </c>
    </row>
    <row r="20" spans="1:17" x14ac:dyDescent="0.25">
      <c r="A20" s="23" t="s">
        <v>20</v>
      </c>
      <c r="B20" s="2" t="s">
        <v>40</v>
      </c>
      <c r="C20" s="3" t="s">
        <v>28</v>
      </c>
      <c r="D20" s="3" t="s">
        <v>23</v>
      </c>
      <c r="E20" s="2" t="s">
        <v>24</v>
      </c>
      <c r="F20" s="4">
        <v>0</v>
      </c>
      <c r="G20" s="8">
        <f t="shared" si="0"/>
        <v>1000000000</v>
      </c>
      <c r="H20" s="4" t="str">
        <f t="shared" si="1"/>
        <v>Ohms</v>
      </c>
      <c r="I20" s="14">
        <v>484000000</v>
      </c>
      <c r="J20" s="6" t="str">
        <f t="shared" si="2"/>
        <v>Ohms</v>
      </c>
      <c r="K20" s="2" t="str">
        <f t="shared" si="3"/>
        <v>RTG</v>
      </c>
      <c r="L20" s="7">
        <v>45842</v>
      </c>
      <c r="M20" s="7">
        <f t="shared" si="4"/>
        <v>46207</v>
      </c>
      <c r="N20" s="7" t="str">
        <f t="shared" si="5"/>
        <v>Anual</v>
      </c>
      <c r="O20" s="2" t="str">
        <f t="shared" ca="1" si="6"/>
        <v>VIGENTE</v>
      </c>
      <c r="P20" s="6" t="s">
        <v>25</v>
      </c>
      <c r="Q20" s="2" t="s">
        <v>29</v>
      </c>
    </row>
    <row r="21" spans="1:17" x14ac:dyDescent="0.25">
      <c r="A21" s="23" t="s">
        <v>20</v>
      </c>
      <c r="B21" s="2" t="s">
        <v>41</v>
      </c>
      <c r="C21" s="3" t="s">
        <v>28</v>
      </c>
      <c r="D21" s="3" t="s">
        <v>23</v>
      </c>
      <c r="E21" s="2" t="s">
        <v>24</v>
      </c>
      <c r="F21" s="4">
        <v>0</v>
      </c>
      <c r="G21" s="8">
        <f t="shared" si="0"/>
        <v>1000000000</v>
      </c>
      <c r="H21" s="4" t="str">
        <f t="shared" si="1"/>
        <v>Ohms</v>
      </c>
      <c r="I21" s="14">
        <v>281000000</v>
      </c>
      <c r="J21" s="6" t="str">
        <f t="shared" si="2"/>
        <v>Ohms</v>
      </c>
      <c r="K21" s="2" t="str">
        <f t="shared" si="3"/>
        <v>RTG</v>
      </c>
      <c r="L21" s="7">
        <v>45842</v>
      </c>
      <c r="M21" s="7">
        <f t="shared" si="4"/>
        <v>46207</v>
      </c>
      <c r="N21" s="7" t="str">
        <f t="shared" si="5"/>
        <v>Anual</v>
      </c>
      <c r="O21" s="2" t="str">
        <f t="shared" ca="1" si="6"/>
        <v>VIGENTE</v>
      </c>
      <c r="P21" s="6" t="s">
        <v>25</v>
      </c>
      <c r="Q21" s="2" t="s">
        <v>29</v>
      </c>
    </row>
    <row r="22" spans="1:17" x14ac:dyDescent="0.25">
      <c r="A22" s="23" t="s">
        <v>20</v>
      </c>
      <c r="B22" s="2" t="s">
        <v>42</v>
      </c>
      <c r="C22" s="3" t="s">
        <v>43</v>
      </c>
      <c r="D22" s="3" t="s">
        <v>23</v>
      </c>
      <c r="E22" s="2" t="s">
        <v>24</v>
      </c>
      <c r="F22" s="4">
        <v>0</v>
      </c>
      <c r="G22" s="8">
        <f t="shared" si="0"/>
        <v>1000000000</v>
      </c>
      <c r="H22" s="4" t="str">
        <f t="shared" si="1"/>
        <v>Ohms</v>
      </c>
      <c r="I22" s="14">
        <v>2930000</v>
      </c>
      <c r="J22" s="6" t="str">
        <f t="shared" si="2"/>
        <v>Ohms</v>
      </c>
      <c r="K22" s="2" t="str">
        <f t="shared" si="3"/>
        <v>RTG</v>
      </c>
      <c r="L22" s="7">
        <v>45842</v>
      </c>
      <c r="M22" s="7">
        <f t="shared" si="4"/>
        <v>46022</v>
      </c>
      <c r="N22" s="7" t="str">
        <f t="shared" si="5"/>
        <v>Semestral</v>
      </c>
      <c r="O22" s="2" t="str">
        <f t="shared" ca="1" si="6"/>
        <v>VENCIDO</v>
      </c>
      <c r="P22" s="6" t="s">
        <v>25</v>
      </c>
      <c r="Q22" s="2"/>
    </row>
    <row r="23" spans="1:17" x14ac:dyDescent="0.25">
      <c r="A23" s="23" t="s">
        <v>20</v>
      </c>
      <c r="B23" s="2" t="s">
        <v>44</v>
      </c>
      <c r="C23" s="3" t="s">
        <v>45</v>
      </c>
      <c r="D23" s="3" t="s">
        <v>23</v>
      </c>
      <c r="E23" s="2" t="s">
        <v>24</v>
      </c>
      <c r="F23" s="4">
        <v>0</v>
      </c>
      <c r="G23" s="8">
        <f t="shared" si="0"/>
        <v>1</v>
      </c>
      <c r="H23" s="4" t="str">
        <f t="shared" si="1"/>
        <v>Ohms</v>
      </c>
      <c r="I23" s="14">
        <v>360000000</v>
      </c>
      <c r="J23" s="6" t="str">
        <f t="shared" si="2"/>
        <v>Ohms</v>
      </c>
      <c r="K23" s="2" t="str">
        <f t="shared" si="3"/>
        <v>RTG</v>
      </c>
      <c r="L23" s="7">
        <v>45842</v>
      </c>
      <c r="M23" s="7">
        <f t="shared" si="4"/>
        <v>46022</v>
      </c>
      <c r="N23" s="7" t="str">
        <f t="shared" si="5"/>
        <v>Semestral</v>
      </c>
      <c r="O23" s="2" t="str">
        <f t="shared" ca="1" si="6"/>
        <v>VENCIDO</v>
      </c>
      <c r="P23" s="6" t="s">
        <v>25</v>
      </c>
      <c r="Q23" s="2" t="s">
        <v>46</v>
      </c>
    </row>
    <row r="24" spans="1:17" x14ac:dyDescent="0.25">
      <c r="A24" s="23" t="s">
        <v>20</v>
      </c>
      <c r="B24" s="2" t="s">
        <v>47</v>
      </c>
      <c r="C24" s="3" t="s">
        <v>28</v>
      </c>
      <c r="D24" s="3" t="s">
        <v>23</v>
      </c>
      <c r="E24" s="2" t="s">
        <v>24</v>
      </c>
      <c r="F24" s="4">
        <v>0</v>
      </c>
      <c r="G24" s="8">
        <f t="shared" si="0"/>
        <v>1000000000</v>
      </c>
      <c r="H24" s="4" t="str">
        <f t="shared" si="1"/>
        <v>Ohms</v>
      </c>
      <c r="I24" s="6">
        <v>718000</v>
      </c>
      <c r="J24" s="6" t="str">
        <f t="shared" si="2"/>
        <v>Ohms</v>
      </c>
      <c r="K24" s="2" t="str">
        <f t="shared" si="3"/>
        <v>RTG</v>
      </c>
      <c r="L24" s="7">
        <v>45839</v>
      </c>
      <c r="M24" s="7">
        <f t="shared" si="4"/>
        <v>46204</v>
      </c>
      <c r="N24" s="7" t="str">
        <f t="shared" si="5"/>
        <v>Anual</v>
      </c>
      <c r="O24" s="2" t="str">
        <f t="shared" ca="1" si="6"/>
        <v>VIGENTE</v>
      </c>
      <c r="P24" s="6" t="s">
        <v>25</v>
      </c>
      <c r="Q24" s="2" t="s">
        <v>29</v>
      </c>
    </row>
    <row r="25" spans="1:17" x14ac:dyDescent="0.25">
      <c r="A25" s="23" t="s">
        <v>20</v>
      </c>
      <c r="B25" s="2" t="s">
        <v>48</v>
      </c>
      <c r="C25" s="3" t="s">
        <v>28</v>
      </c>
      <c r="D25" s="3" t="s">
        <v>23</v>
      </c>
      <c r="E25" s="2" t="s">
        <v>24</v>
      </c>
      <c r="F25" s="4">
        <v>0</v>
      </c>
      <c r="G25" s="8">
        <f t="shared" si="0"/>
        <v>1000000000</v>
      </c>
      <c r="H25" s="4" t="str">
        <f t="shared" si="1"/>
        <v>Ohms</v>
      </c>
      <c r="I25" s="6">
        <v>1260000</v>
      </c>
      <c r="J25" s="6" t="str">
        <f t="shared" si="2"/>
        <v>Ohms</v>
      </c>
      <c r="K25" s="2" t="str">
        <f t="shared" si="3"/>
        <v>RTG</v>
      </c>
      <c r="L25" s="7">
        <v>45839</v>
      </c>
      <c r="M25" s="7">
        <f t="shared" si="4"/>
        <v>46204</v>
      </c>
      <c r="N25" s="7" t="str">
        <f t="shared" si="5"/>
        <v>Anual</v>
      </c>
      <c r="O25" s="2" t="str">
        <f t="shared" ca="1" si="6"/>
        <v>VIGENTE</v>
      </c>
      <c r="P25" s="6" t="s">
        <v>25</v>
      </c>
      <c r="Q25" s="2" t="s">
        <v>29</v>
      </c>
    </row>
    <row r="26" spans="1:17" x14ac:dyDescent="0.25">
      <c r="A26" s="23" t="s">
        <v>20</v>
      </c>
      <c r="B26" s="2" t="s">
        <v>49</v>
      </c>
      <c r="C26" s="3" t="s">
        <v>28</v>
      </c>
      <c r="D26" s="3" t="s">
        <v>23</v>
      </c>
      <c r="E26" s="2" t="s">
        <v>24</v>
      </c>
      <c r="F26" s="4">
        <v>0</v>
      </c>
      <c r="G26" s="8">
        <f t="shared" si="0"/>
        <v>1000000000</v>
      </c>
      <c r="H26" s="4" t="str">
        <f t="shared" si="1"/>
        <v>Ohms</v>
      </c>
      <c r="I26" s="6">
        <v>18000000</v>
      </c>
      <c r="J26" s="6" t="str">
        <f t="shared" si="2"/>
        <v>Ohms</v>
      </c>
      <c r="K26" s="2" t="str">
        <f t="shared" si="3"/>
        <v>RTG</v>
      </c>
      <c r="L26" s="7">
        <v>45887</v>
      </c>
      <c r="M26" s="7">
        <f t="shared" si="4"/>
        <v>46252</v>
      </c>
      <c r="N26" s="7" t="str">
        <f t="shared" si="5"/>
        <v>Anual</v>
      </c>
      <c r="O26" s="2" t="str">
        <f t="shared" ca="1" si="6"/>
        <v>VIGENTE</v>
      </c>
      <c r="P26" s="6" t="s">
        <v>25</v>
      </c>
      <c r="Q26" s="2"/>
    </row>
    <row r="27" spans="1:17" x14ac:dyDescent="0.25">
      <c r="A27" s="23" t="s">
        <v>20</v>
      </c>
      <c r="B27" s="2" t="s">
        <v>50</v>
      </c>
      <c r="C27" s="3" t="s">
        <v>28</v>
      </c>
      <c r="D27" s="3" t="s">
        <v>23</v>
      </c>
      <c r="E27" s="2" t="s">
        <v>24</v>
      </c>
      <c r="F27" s="4">
        <v>0</v>
      </c>
      <c r="G27" s="8">
        <f t="shared" si="0"/>
        <v>1000000000</v>
      </c>
      <c r="H27" s="4" t="str">
        <f t="shared" si="1"/>
        <v>Ohms</v>
      </c>
      <c r="I27" s="6">
        <v>15200000</v>
      </c>
      <c r="J27" s="6" t="str">
        <f t="shared" si="2"/>
        <v>Ohms</v>
      </c>
      <c r="K27" s="2" t="str">
        <f t="shared" si="3"/>
        <v>RTG</v>
      </c>
      <c r="L27" s="7">
        <v>45888</v>
      </c>
      <c r="M27" s="7">
        <f t="shared" si="4"/>
        <v>46253</v>
      </c>
      <c r="N27" s="7" t="str">
        <f t="shared" si="5"/>
        <v>Anual</v>
      </c>
      <c r="O27" s="2" t="str">
        <f t="shared" ca="1" si="6"/>
        <v>VIGENTE</v>
      </c>
      <c r="P27" s="6" t="s">
        <v>25</v>
      </c>
      <c r="Q27" s="2"/>
    </row>
    <row r="28" spans="1:17" x14ac:dyDescent="0.25">
      <c r="A28" s="23" t="s">
        <v>20</v>
      </c>
      <c r="B28" s="2" t="s">
        <v>51</v>
      </c>
      <c r="C28" s="3" t="s">
        <v>28</v>
      </c>
      <c r="D28" s="3" t="s">
        <v>23</v>
      </c>
      <c r="E28" s="2" t="s">
        <v>24</v>
      </c>
      <c r="F28" s="4">
        <v>0</v>
      </c>
      <c r="G28" s="8">
        <f t="shared" si="0"/>
        <v>1000000000</v>
      </c>
      <c r="H28" s="4" t="str">
        <f t="shared" si="1"/>
        <v>Ohms</v>
      </c>
      <c r="I28" s="6">
        <v>9030000</v>
      </c>
      <c r="J28" s="6" t="str">
        <f t="shared" si="2"/>
        <v>Ohms</v>
      </c>
      <c r="K28" s="2" t="str">
        <f t="shared" si="3"/>
        <v>RTG</v>
      </c>
      <c r="L28" s="7">
        <v>45888</v>
      </c>
      <c r="M28" s="7">
        <f t="shared" si="4"/>
        <v>46253</v>
      </c>
      <c r="N28" s="7" t="str">
        <f t="shared" si="5"/>
        <v>Anual</v>
      </c>
      <c r="O28" s="2" t="str">
        <f t="shared" ca="1" si="6"/>
        <v>VIGENTE</v>
      </c>
      <c r="P28" s="6" t="s">
        <v>25</v>
      </c>
      <c r="Q28" s="2"/>
    </row>
    <row r="29" spans="1:17" x14ac:dyDescent="0.25">
      <c r="A29" s="23" t="s">
        <v>20</v>
      </c>
      <c r="B29" s="2" t="s">
        <v>52</v>
      </c>
      <c r="C29" s="3" t="s">
        <v>28</v>
      </c>
      <c r="D29" s="3" t="s">
        <v>23</v>
      </c>
      <c r="E29" s="2" t="s">
        <v>24</v>
      </c>
      <c r="F29" s="4">
        <v>0</v>
      </c>
      <c r="G29" s="8">
        <f t="shared" si="0"/>
        <v>1000000000</v>
      </c>
      <c r="H29" s="4" t="str">
        <f t="shared" si="1"/>
        <v>Ohms</v>
      </c>
      <c r="I29" s="6">
        <v>20000000</v>
      </c>
      <c r="J29" s="6" t="str">
        <f t="shared" si="2"/>
        <v>Ohms</v>
      </c>
      <c r="K29" s="2" t="str">
        <f t="shared" si="3"/>
        <v>RTG</v>
      </c>
      <c r="L29" s="7">
        <v>45888</v>
      </c>
      <c r="M29" s="7">
        <f t="shared" si="4"/>
        <v>46253</v>
      </c>
      <c r="N29" s="7" t="str">
        <f t="shared" si="5"/>
        <v>Anual</v>
      </c>
      <c r="O29" s="2" t="str">
        <f t="shared" ca="1" si="6"/>
        <v>VIGENTE</v>
      </c>
      <c r="P29" s="6" t="s">
        <v>25</v>
      </c>
      <c r="Q29" s="2"/>
    </row>
    <row r="30" spans="1:17" x14ac:dyDescent="0.25">
      <c r="A30" s="23" t="s">
        <v>20</v>
      </c>
      <c r="B30" s="2" t="s">
        <v>53</v>
      </c>
      <c r="C30" s="3" t="s">
        <v>28</v>
      </c>
      <c r="D30" s="3" t="s">
        <v>23</v>
      </c>
      <c r="E30" s="2" t="s">
        <v>24</v>
      </c>
      <c r="F30" s="4">
        <v>0</v>
      </c>
      <c r="G30" s="8">
        <f t="shared" si="0"/>
        <v>1000000000</v>
      </c>
      <c r="H30" s="4" t="str">
        <f t="shared" si="1"/>
        <v>Ohms</v>
      </c>
      <c r="I30" s="6">
        <v>1770000</v>
      </c>
      <c r="J30" s="6" t="str">
        <f t="shared" si="2"/>
        <v>Ohms</v>
      </c>
      <c r="K30" s="2" t="str">
        <f t="shared" si="3"/>
        <v>RTG</v>
      </c>
      <c r="L30" s="7">
        <v>45888</v>
      </c>
      <c r="M30" s="7">
        <f t="shared" si="4"/>
        <v>46253</v>
      </c>
      <c r="N30" s="7" t="str">
        <f t="shared" si="5"/>
        <v>Anual</v>
      </c>
      <c r="O30" s="2" t="str">
        <f t="shared" ca="1" si="6"/>
        <v>VIGENTE</v>
      </c>
      <c r="P30" s="6" t="s">
        <v>25</v>
      </c>
      <c r="Q30" s="2"/>
    </row>
    <row r="31" spans="1:17" x14ac:dyDescent="0.25">
      <c r="A31" s="23" t="s">
        <v>20</v>
      </c>
      <c r="B31" s="2" t="s">
        <v>54</v>
      </c>
      <c r="C31" s="3" t="s">
        <v>28</v>
      </c>
      <c r="D31" s="3" t="s">
        <v>23</v>
      </c>
      <c r="E31" s="2" t="s">
        <v>24</v>
      </c>
      <c r="F31" s="4">
        <v>0</v>
      </c>
      <c r="G31" s="8">
        <f t="shared" si="0"/>
        <v>1000000000</v>
      </c>
      <c r="H31" s="4" t="str">
        <f t="shared" si="1"/>
        <v>Ohms</v>
      </c>
      <c r="I31" s="6">
        <v>3250000</v>
      </c>
      <c r="J31" s="6" t="str">
        <f t="shared" si="2"/>
        <v>Ohms</v>
      </c>
      <c r="K31" s="2" t="str">
        <f t="shared" si="3"/>
        <v>RTG</v>
      </c>
      <c r="L31" s="7">
        <v>45888</v>
      </c>
      <c r="M31" s="7">
        <f t="shared" si="4"/>
        <v>46253</v>
      </c>
      <c r="N31" s="7" t="str">
        <f t="shared" si="5"/>
        <v>Anual</v>
      </c>
      <c r="O31" s="2" t="str">
        <f t="shared" ca="1" si="6"/>
        <v>VIGENTE</v>
      </c>
      <c r="P31" s="6" t="s">
        <v>25</v>
      </c>
      <c r="Q31" s="2"/>
    </row>
    <row r="32" spans="1:17" x14ac:dyDescent="0.25">
      <c r="A32" s="23" t="s">
        <v>20</v>
      </c>
      <c r="B32" s="2" t="s">
        <v>55</v>
      </c>
      <c r="C32" s="3" t="s">
        <v>28</v>
      </c>
      <c r="D32" s="3" t="s">
        <v>23</v>
      </c>
      <c r="E32" s="2" t="s">
        <v>24</v>
      </c>
      <c r="F32" s="4">
        <v>0</v>
      </c>
      <c r="G32" s="8">
        <f t="shared" si="0"/>
        <v>1000000000</v>
      </c>
      <c r="H32" s="4" t="str">
        <f t="shared" si="1"/>
        <v>Ohms</v>
      </c>
      <c r="I32" s="6">
        <v>4230000</v>
      </c>
      <c r="J32" s="6" t="str">
        <f t="shared" si="2"/>
        <v>Ohms</v>
      </c>
      <c r="K32" s="2" t="str">
        <f t="shared" si="3"/>
        <v>RTG</v>
      </c>
      <c r="L32" s="7">
        <v>45888</v>
      </c>
      <c r="M32" s="7">
        <f t="shared" si="4"/>
        <v>46253</v>
      </c>
      <c r="N32" s="7" t="str">
        <f t="shared" si="5"/>
        <v>Anual</v>
      </c>
      <c r="O32" s="2" t="str">
        <f t="shared" ca="1" si="6"/>
        <v>VIGENTE</v>
      </c>
      <c r="P32" s="6" t="s">
        <v>25</v>
      </c>
      <c r="Q32" s="2"/>
    </row>
    <row r="33" spans="1:17" x14ac:dyDescent="0.25">
      <c r="A33" s="23" t="s">
        <v>20</v>
      </c>
      <c r="B33" s="2" t="s">
        <v>56</v>
      </c>
      <c r="C33" s="3" t="s">
        <v>28</v>
      </c>
      <c r="D33" s="3" t="s">
        <v>23</v>
      </c>
      <c r="E33" s="2" t="s">
        <v>24</v>
      </c>
      <c r="F33" s="4">
        <v>0</v>
      </c>
      <c r="G33" s="8">
        <f t="shared" si="0"/>
        <v>1000000000</v>
      </c>
      <c r="H33" s="4" t="str">
        <f t="shared" si="1"/>
        <v>Ohms</v>
      </c>
      <c r="I33" s="6">
        <v>1050000</v>
      </c>
      <c r="J33" s="6" t="str">
        <f t="shared" si="2"/>
        <v>Ohms</v>
      </c>
      <c r="K33" s="2" t="str">
        <f t="shared" si="3"/>
        <v>RTG</v>
      </c>
      <c r="L33" s="7">
        <v>45993</v>
      </c>
      <c r="M33" s="7">
        <f t="shared" si="4"/>
        <v>46358</v>
      </c>
      <c r="N33" s="7" t="str">
        <f t="shared" si="5"/>
        <v>Anual</v>
      </c>
      <c r="O33" s="2" t="str">
        <f t="shared" ca="1" si="6"/>
        <v>VIGENTE</v>
      </c>
      <c r="P33" s="6" t="s">
        <v>25</v>
      </c>
      <c r="Q33" s="2"/>
    </row>
    <row r="34" spans="1:17" x14ac:dyDescent="0.25">
      <c r="A34" s="23" t="s">
        <v>20</v>
      </c>
      <c r="B34" s="2" t="s">
        <v>57</v>
      </c>
      <c r="C34" s="3" t="s">
        <v>28</v>
      </c>
      <c r="D34" s="3" t="s">
        <v>23</v>
      </c>
      <c r="E34" s="2" t="s">
        <v>24</v>
      </c>
      <c r="F34" s="4">
        <v>0</v>
      </c>
      <c r="G34" s="8">
        <f t="shared" si="0"/>
        <v>1000000000</v>
      </c>
      <c r="H34" s="4" t="str">
        <f t="shared" si="1"/>
        <v>Ohms</v>
      </c>
      <c r="I34" s="6">
        <v>699000</v>
      </c>
      <c r="J34" s="6" t="str">
        <f t="shared" si="2"/>
        <v>Ohms</v>
      </c>
      <c r="K34" s="2" t="str">
        <f t="shared" si="3"/>
        <v>RTG</v>
      </c>
      <c r="L34" s="7">
        <v>45993</v>
      </c>
      <c r="M34" s="7">
        <f t="shared" si="4"/>
        <v>46358</v>
      </c>
      <c r="N34" s="7" t="str">
        <f t="shared" si="5"/>
        <v>Anual</v>
      </c>
      <c r="O34" s="2" t="str">
        <f t="shared" ca="1" si="6"/>
        <v>VIGENTE</v>
      </c>
      <c r="P34" s="6" t="s">
        <v>25</v>
      </c>
      <c r="Q34" s="2"/>
    </row>
    <row r="35" spans="1:17" x14ac:dyDescent="0.25">
      <c r="A35" s="23" t="s">
        <v>58</v>
      </c>
      <c r="B35" s="2" t="s">
        <v>59</v>
      </c>
      <c r="C35" s="3" t="s">
        <v>28</v>
      </c>
      <c r="D35" s="3" t="s">
        <v>23</v>
      </c>
      <c r="E35" s="2" t="s">
        <v>24</v>
      </c>
      <c r="F35" s="4">
        <v>0</v>
      </c>
      <c r="G35" s="8">
        <f t="shared" si="0"/>
        <v>1000000000</v>
      </c>
      <c r="H35" s="4" t="str">
        <f t="shared" si="1"/>
        <v>Ohms</v>
      </c>
      <c r="I35" s="6">
        <v>658000000</v>
      </c>
      <c r="J35" s="6" t="str">
        <f t="shared" si="2"/>
        <v>Ohms</v>
      </c>
      <c r="K35" s="2" t="str">
        <f t="shared" si="3"/>
        <v>RTG</v>
      </c>
      <c r="L35" s="7">
        <v>45736</v>
      </c>
      <c r="M35" s="7">
        <f t="shared" si="4"/>
        <v>46101</v>
      </c>
      <c r="N35" s="7" t="str">
        <f t="shared" si="5"/>
        <v>Anual</v>
      </c>
      <c r="O35" s="2" t="str">
        <f t="shared" ca="1" si="6"/>
        <v>VENCIDO</v>
      </c>
      <c r="P35" s="6" t="s">
        <v>25</v>
      </c>
      <c r="Q35" s="2" t="s">
        <v>29</v>
      </c>
    </row>
    <row r="36" spans="1:17" x14ac:dyDescent="0.25">
      <c r="A36" s="23" t="s">
        <v>58</v>
      </c>
      <c r="B36" s="2" t="s">
        <v>60</v>
      </c>
      <c r="C36" s="3" t="s">
        <v>28</v>
      </c>
      <c r="D36" s="3" t="s">
        <v>23</v>
      </c>
      <c r="E36" s="2" t="s">
        <v>24</v>
      </c>
      <c r="F36" s="4">
        <v>0</v>
      </c>
      <c r="G36" s="8">
        <f t="shared" si="0"/>
        <v>1000000000</v>
      </c>
      <c r="H36" s="4" t="str">
        <f t="shared" si="1"/>
        <v>Ohms</v>
      </c>
      <c r="I36" s="6">
        <v>131000000</v>
      </c>
      <c r="J36" s="6" t="str">
        <f t="shared" si="2"/>
        <v>Ohms</v>
      </c>
      <c r="K36" s="2" t="str">
        <f t="shared" si="3"/>
        <v>RTG</v>
      </c>
      <c r="L36" s="7">
        <v>45736</v>
      </c>
      <c r="M36" s="7">
        <f t="shared" si="4"/>
        <v>46101</v>
      </c>
      <c r="N36" s="7" t="str">
        <f t="shared" si="5"/>
        <v>Anual</v>
      </c>
      <c r="O36" s="2" t="str">
        <f t="shared" ca="1" si="6"/>
        <v>VENCIDO</v>
      </c>
      <c r="P36" s="6" t="s">
        <v>25</v>
      </c>
      <c r="Q36" s="2" t="s">
        <v>29</v>
      </c>
    </row>
    <row r="37" spans="1:17" x14ac:dyDescent="0.25">
      <c r="A37" s="23" t="s">
        <v>58</v>
      </c>
      <c r="B37" s="2" t="s">
        <v>61</v>
      </c>
      <c r="C37" s="3" t="s">
        <v>28</v>
      </c>
      <c r="D37" s="3" t="s">
        <v>23</v>
      </c>
      <c r="E37" s="2" t="s">
        <v>24</v>
      </c>
      <c r="F37" s="4">
        <v>0</v>
      </c>
      <c r="G37" s="8">
        <f t="shared" si="0"/>
        <v>1000000000</v>
      </c>
      <c r="H37" s="4" t="str">
        <f t="shared" si="1"/>
        <v>Ohms</v>
      </c>
      <c r="I37" s="6">
        <v>139000000</v>
      </c>
      <c r="J37" s="6" t="str">
        <f t="shared" si="2"/>
        <v>Ohms</v>
      </c>
      <c r="K37" s="2" t="str">
        <f t="shared" si="3"/>
        <v>RTG</v>
      </c>
      <c r="L37" s="7">
        <v>45736</v>
      </c>
      <c r="M37" s="7">
        <f t="shared" si="4"/>
        <v>46101</v>
      </c>
      <c r="N37" s="7" t="str">
        <f t="shared" si="5"/>
        <v>Anual</v>
      </c>
      <c r="O37" s="2" t="str">
        <f t="shared" ca="1" si="6"/>
        <v>VENCIDO</v>
      </c>
      <c r="P37" s="6" t="s">
        <v>25</v>
      </c>
      <c r="Q37" s="2" t="s">
        <v>29</v>
      </c>
    </row>
    <row r="38" spans="1:17" x14ac:dyDescent="0.25">
      <c r="A38" s="23" t="s">
        <v>58</v>
      </c>
      <c r="B38" s="2" t="s">
        <v>62</v>
      </c>
      <c r="C38" s="3" t="s">
        <v>28</v>
      </c>
      <c r="D38" s="3" t="s">
        <v>23</v>
      </c>
      <c r="E38" s="2" t="s">
        <v>24</v>
      </c>
      <c r="F38" s="4">
        <v>0</v>
      </c>
      <c r="G38" s="8">
        <f t="shared" si="0"/>
        <v>1000000000</v>
      </c>
      <c r="H38" s="4" t="str">
        <f t="shared" si="1"/>
        <v>Ohms</v>
      </c>
      <c r="I38" s="6">
        <v>376000000</v>
      </c>
      <c r="J38" s="6" t="str">
        <f t="shared" si="2"/>
        <v>Ohms</v>
      </c>
      <c r="K38" s="2" t="str">
        <f t="shared" si="3"/>
        <v>RTG</v>
      </c>
      <c r="L38" s="7">
        <v>45736</v>
      </c>
      <c r="M38" s="7">
        <f t="shared" si="4"/>
        <v>46101</v>
      </c>
      <c r="N38" s="7" t="str">
        <f t="shared" si="5"/>
        <v>Anual</v>
      </c>
      <c r="O38" s="2" t="str">
        <f t="shared" ca="1" si="6"/>
        <v>VENCIDO</v>
      </c>
      <c r="P38" s="6" t="s">
        <v>25</v>
      </c>
      <c r="Q38" s="2" t="s">
        <v>29</v>
      </c>
    </row>
    <row r="39" spans="1:17" x14ac:dyDescent="0.25">
      <c r="A39" s="23" t="s">
        <v>58</v>
      </c>
      <c r="B39" s="2" t="s">
        <v>63</v>
      </c>
      <c r="C39" s="3" t="s">
        <v>28</v>
      </c>
      <c r="D39" s="3" t="s">
        <v>23</v>
      </c>
      <c r="E39" s="2" t="s">
        <v>24</v>
      </c>
      <c r="F39" s="4">
        <v>0</v>
      </c>
      <c r="G39" s="8">
        <f t="shared" si="0"/>
        <v>1000000000</v>
      </c>
      <c r="H39" s="4" t="str">
        <f t="shared" si="1"/>
        <v>Ohms</v>
      </c>
      <c r="I39" s="6">
        <v>246000000</v>
      </c>
      <c r="J39" s="6" t="str">
        <f t="shared" si="2"/>
        <v>Ohms</v>
      </c>
      <c r="K39" s="2" t="str">
        <f t="shared" si="3"/>
        <v>RTG</v>
      </c>
      <c r="L39" s="7">
        <v>45736</v>
      </c>
      <c r="M39" s="7">
        <f t="shared" si="4"/>
        <v>46101</v>
      </c>
      <c r="N39" s="7" t="str">
        <f t="shared" ref="N39:N70" si="7">IF(C39="Ionizador", "Trimestral", IF(C39="Rack", "Anual", IF(C39="Mesa", "Anual", IF(C39="Tapete", "Semestral", IF(C39="Cautín", "Semestral", IF(C39="Silla", "Semestral", "Anual"))))))</f>
        <v>Anual</v>
      </c>
      <c r="O39" s="2" t="str">
        <f t="shared" ref="O39:O70" ca="1" si="8">IF(M39&lt;TODAY(),"VENCIDO",IF(M39=TODAY(),"VIGENTE",IF(M39&gt;TODAY(),"VIGENTE")))</f>
        <v>VENCIDO</v>
      </c>
      <c r="P39" s="6" t="s">
        <v>25</v>
      </c>
      <c r="Q39" s="2" t="s">
        <v>29</v>
      </c>
    </row>
    <row r="40" spans="1:17" x14ac:dyDescent="0.25">
      <c r="A40" s="23" t="s">
        <v>58</v>
      </c>
      <c r="B40" s="2" t="s">
        <v>64</v>
      </c>
      <c r="C40" s="3" t="s">
        <v>28</v>
      </c>
      <c r="D40" s="3" t="s">
        <v>23</v>
      </c>
      <c r="E40" s="2" t="s">
        <v>24</v>
      </c>
      <c r="F40" s="4">
        <v>0</v>
      </c>
      <c r="G40" s="8">
        <f t="shared" si="0"/>
        <v>1000000000</v>
      </c>
      <c r="H40" s="4" t="str">
        <f t="shared" si="1"/>
        <v>Ohms</v>
      </c>
      <c r="I40" s="6">
        <v>935000000</v>
      </c>
      <c r="J40" s="6" t="str">
        <f t="shared" si="2"/>
        <v>Ohms</v>
      </c>
      <c r="K40" s="2" t="str">
        <f t="shared" si="3"/>
        <v>RTG</v>
      </c>
      <c r="L40" s="7">
        <v>45736</v>
      </c>
      <c r="M40" s="7">
        <f t="shared" si="4"/>
        <v>46101</v>
      </c>
      <c r="N40" s="7" t="str">
        <f t="shared" si="7"/>
        <v>Anual</v>
      </c>
      <c r="O40" s="2" t="str">
        <f t="shared" ca="1" si="8"/>
        <v>VENCIDO</v>
      </c>
      <c r="P40" s="6" t="s">
        <v>25</v>
      </c>
      <c r="Q40" s="2" t="s">
        <v>29</v>
      </c>
    </row>
    <row r="41" spans="1:17" x14ac:dyDescent="0.25">
      <c r="A41" s="23" t="s">
        <v>58</v>
      </c>
      <c r="B41" s="2" t="s">
        <v>65</v>
      </c>
      <c r="C41" s="3" t="s">
        <v>28</v>
      </c>
      <c r="D41" s="3" t="s">
        <v>23</v>
      </c>
      <c r="E41" s="2" t="s">
        <v>24</v>
      </c>
      <c r="F41" s="4">
        <v>0</v>
      </c>
      <c r="G41" s="8">
        <f t="shared" si="0"/>
        <v>1000000000</v>
      </c>
      <c r="H41" s="4" t="str">
        <f t="shared" si="1"/>
        <v>Ohms</v>
      </c>
      <c r="I41" s="6">
        <v>599000000</v>
      </c>
      <c r="J41" s="6" t="str">
        <f t="shared" si="2"/>
        <v>Ohms</v>
      </c>
      <c r="K41" s="2" t="str">
        <f t="shared" si="3"/>
        <v>RTG</v>
      </c>
      <c r="L41" s="7">
        <v>45736</v>
      </c>
      <c r="M41" s="7">
        <f t="shared" si="4"/>
        <v>46101</v>
      </c>
      <c r="N41" s="7" t="str">
        <f t="shared" si="7"/>
        <v>Anual</v>
      </c>
      <c r="O41" s="2" t="str">
        <f t="shared" ca="1" si="8"/>
        <v>VENCIDO</v>
      </c>
      <c r="P41" s="6" t="s">
        <v>25</v>
      </c>
      <c r="Q41" s="2" t="s">
        <v>29</v>
      </c>
    </row>
    <row r="42" spans="1:17" x14ac:dyDescent="0.25">
      <c r="A42" s="23" t="s">
        <v>58</v>
      </c>
      <c r="B42" s="2" t="s">
        <v>66</v>
      </c>
      <c r="C42" s="3" t="s">
        <v>28</v>
      </c>
      <c r="D42" s="3" t="s">
        <v>23</v>
      </c>
      <c r="E42" s="2" t="s">
        <v>24</v>
      </c>
      <c r="F42" s="4">
        <v>0</v>
      </c>
      <c r="G42" s="8">
        <f t="shared" si="0"/>
        <v>1000000000</v>
      </c>
      <c r="H42" s="4" t="str">
        <f t="shared" si="1"/>
        <v>Ohms</v>
      </c>
      <c r="I42" s="6">
        <v>473000000</v>
      </c>
      <c r="J42" s="6" t="str">
        <f t="shared" si="2"/>
        <v>Ohms</v>
      </c>
      <c r="K42" s="2" t="str">
        <f t="shared" si="3"/>
        <v>RTG</v>
      </c>
      <c r="L42" s="7">
        <v>45736</v>
      </c>
      <c r="M42" s="7">
        <f t="shared" si="4"/>
        <v>46101</v>
      </c>
      <c r="N42" s="7" t="str">
        <f t="shared" si="7"/>
        <v>Anual</v>
      </c>
      <c r="O42" s="2" t="str">
        <f t="shared" ca="1" si="8"/>
        <v>VENCIDO</v>
      </c>
      <c r="P42" s="6" t="s">
        <v>25</v>
      </c>
      <c r="Q42" s="2" t="s">
        <v>29</v>
      </c>
    </row>
    <row r="43" spans="1:17" x14ac:dyDescent="0.25">
      <c r="A43" s="23" t="s">
        <v>58</v>
      </c>
      <c r="B43" s="2" t="s">
        <v>67</v>
      </c>
      <c r="C43" s="3" t="s">
        <v>28</v>
      </c>
      <c r="D43" s="3" t="s">
        <v>23</v>
      </c>
      <c r="E43" s="2" t="s">
        <v>24</v>
      </c>
      <c r="F43" s="4">
        <v>0</v>
      </c>
      <c r="G43" s="8">
        <f t="shared" si="0"/>
        <v>1000000000</v>
      </c>
      <c r="H43" s="4" t="str">
        <f t="shared" si="1"/>
        <v>Ohms</v>
      </c>
      <c r="I43" s="6">
        <v>743000000</v>
      </c>
      <c r="J43" s="6" t="str">
        <f t="shared" si="2"/>
        <v>Ohms</v>
      </c>
      <c r="K43" s="2" t="str">
        <f t="shared" si="3"/>
        <v>RTG</v>
      </c>
      <c r="L43" s="7">
        <v>45736</v>
      </c>
      <c r="M43" s="7">
        <f t="shared" si="4"/>
        <v>46101</v>
      </c>
      <c r="N43" s="7" t="str">
        <f t="shared" si="7"/>
        <v>Anual</v>
      </c>
      <c r="O43" s="2" t="str">
        <f t="shared" ca="1" si="8"/>
        <v>VENCIDO</v>
      </c>
      <c r="P43" s="6" t="s">
        <v>25</v>
      </c>
      <c r="Q43" s="2" t="s">
        <v>29</v>
      </c>
    </row>
    <row r="44" spans="1:17" x14ac:dyDescent="0.25">
      <c r="A44" s="23" t="s">
        <v>58</v>
      </c>
      <c r="B44" s="2" t="s">
        <v>68</v>
      </c>
      <c r="C44" s="3" t="s">
        <v>28</v>
      </c>
      <c r="D44" s="3" t="s">
        <v>23</v>
      </c>
      <c r="E44" s="2" t="s">
        <v>24</v>
      </c>
      <c r="F44" s="4">
        <v>0</v>
      </c>
      <c r="G44" s="8">
        <f t="shared" si="0"/>
        <v>1000000000</v>
      </c>
      <c r="H44" s="4" t="str">
        <f t="shared" si="1"/>
        <v>Ohms</v>
      </c>
      <c r="I44" s="6">
        <v>868000000</v>
      </c>
      <c r="J44" s="6" t="str">
        <f t="shared" si="2"/>
        <v>Ohms</v>
      </c>
      <c r="K44" s="2" t="str">
        <f t="shared" si="3"/>
        <v>RTG</v>
      </c>
      <c r="L44" s="7">
        <v>45736</v>
      </c>
      <c r="M44" s="7">
        <f t="shared" si="4"/>
        <v>46101</v>
      </c>
      <c r="N44" s="7" t="str">
        <f t="shared" si="7"/>
        <v>Anual</v>
      </c>
      <c r="O44" s="2" t="str">
        <f t="shared" ca="1" si="8"/>
        <v>VENCIDO</v>
      </c>
      <c r="P44" s="6" t="s">
        <v>25</v>
      </c>
      <c r="Q44" s="2" t="s">
        <v>29</v>
      </c>
    </row>
    <row r="45" spans="1:17" x14ac:dyDescent="0.25">
      <c r="A45" s="23" t="s">
        <v>58</v>
      </c>
      <c r="B45" s="2" t="s">
        <v>69</v>
      </c>
      <c r="C45" s="3" t="s">
        <v>22</v>
      </c>
      <c r="D45" s="3" t="s">
        <v>23</v>
      </c>
      <c r="E45" s="2" t="s">
        <v>24</v>
      </c>
      <c r="F45" s="4">
        <v>0</v>
      </c>
      <c r="G45" s="8">
        <f t="shared" si="0"/>
        <v>1000000000</v>
      </c>
      <c r="H45" s="4" t="str">
        <f t="shared" si="1"/>
        <v>Ohms</v>
      </c>
      <c r="I45" s="6">
        <v>445000000</v>
      </c>
      <c r="J45" s="6" t="str">
        <f t="shared" si="2"/>
        <v>Ohms</v>
      </c>
      <c r="K45" s="2" t="str">
        <f t="shared" si="3"/>
        <v>RTG</v>
      </c>
      <c r="L45" s="7">
        <v>45736</v>
      </c>
      <c r="M45" s="7">
        <f t="shared" si="4"/>
        <v>46101</v>
      </c>
      <c r="N45" s="7" t="str">
        <f t="shared" si="7"/>
        <v>Anual</v>
      </c>
      <c r="O45" s="2" t="str">
        <f t="shared" ca="1" si="8"/>
        <v>VENCIDO</v>
      </c>
      <c r="P45" s="6" t="s">
        <v>25</v>
      </c>
      <c r="Q45" s="2"/>
    </row>
    <row r="46" spans="1:17" x14ac:dyDescent="0.25">
      <c r="A46" s="23" t="s">
        <v>58</v>
      </c>
      <c r="B46" s="2" t="s">
        <v>70</v>
      </c>
      <c r="C46" s="3" t="s">
        <v>22</v>
      </c>
      <c r="D46" s="3" t="s">
        <v>23</v>
      </c>
      <c r="E46" s="2" t="s">
        <v>24</v>
      </c>
      <c r="F46" s="4">
        <v>0</v>
      </c>
      <c r="G46" s="8">
        <f t="shared" si="0"/>
        <v>1000000000</v>
      </c>
      <c r="H46" s="4" t="str">
        <f t="shared" si="1"/>
        <v>Ohms</v>
      </c>
      <c r="I46" s="6">
        <v>862000000</v>
      </c>
      <c r="J46" s="6" t="str">
        <f t="shared" si="2"/>
        <v>Ohms</v>
      </c>
      <c r="K46" s="2" t="str">
        <f t="shared" si="3"/>
        <v>RTG</v>
      </c>
      <c r="L46" s="7">
        <v>45736</v>
      </c>
      <c r="M46" s="7">
        <f t="shared" si="4"/>
        <v>46101</v>
      </c>
      <c r="N46" s="7" t="str">
        <f t="shared" si="7"/>
        <v>Anual</v>
      </c>
      <c r="O46" s="2" t="str">
        <f t="shared" ca="1" si="8"/>
        <v>VENCIDO</v>
      </c>
      <c r="P46" s="6" t="s">
        <v>25</v>
      </c>
      <c r="Q46" s="2"/>
    </row>
    <row r="47" spans="1:17" x14ac:dyDescent="0.25">
      <c r="A47" s="23" t="s">
        <v>58</v>
      </c>
      <c r="B47" s="2" t="s">
        <v>71</v>
      </c>
      <c r="C47" s="3" t="s">
        <v>22</v>
      </c>
      <c r="D47" s="3" t="s">
        <v>23</v>
      </c>
      <c r="E47" s="2" t="s">
        <v>24</v>
      </c>
      <c r="F47" s="4">
        <v>0</v>
      </c>
      <c r="G47" s="8">
        <f t="shared" si="0"/>
        <v>1000000000</v>
      </c>
      <c r="H47" s="4" t="str">
        <f t="shared" si="1"/>
        <v>Ohms</v>
      </c>
      <c r="I47" s="6">
        <v>219000000</v>
      </c>
      <c r="J47" s="6" t="str">
        <f t="shared" si="2"/>
        <v>Ohms</v>
      </c>
      <c r="K47" s="2" t="str">
        <f t="shared" si="3"/>
        <v>RTG</v>
      </c>
      <c r="L47" s="7">
        <v>45736</v>
      </c>
      <c r="M47" s="7">
        <f t="shared" si="4"/>
        <v>46101</v>
      </c>
      <c r="N47" s="7" t="str">
        <f t="shared" si="7"/>
        <v>Anual</v>
      </c>
      <c r="O47" s="2" t="str">
        <f t="shared" ca="1" si="8"/>
        <v>VENCIDO</v>
      </c>
      <c r="P47" s="6" t="s">
        <v>25</v>
      </c>
      <c r="Q47" s="2"/>
    </row>
    <row r="48" spans="1:17" x14ac:dyDescent="0.25">
      <c r="A48" s="23" t="s">
        <v>58</v>
      </c>
      <c r="B48" s="2" t="s">
        <v>72</v>
      </c>
      <c r="C48" s="3" t="s">
        <v>43</v>
      </c>
      <c r="D48" s="3" t="s">
        <v>23</v>
      </c>
      <c r="E48" s="2" t="s">
        <v>24</v>
      </c>
      <c r="F48" s="4">
        <v>0</v>
      </c>
      <c r="G48" s="8">
        <f t="shared" si="0"/>
        <v>1000000000</v>
      </c>
      <c r="H48" s="4" t="str">
        <f t="shared" si="1"/>
        <v>Ohms</v>
      </c>
      <c r="I48" s="6">
        <v>967000</v>
      </c>
      <c r="J48" s="6" t="str">
        <f t="shared" si="2"/>
        <v>Ohms</v>
      </c>
      <c r="K48" s="2" t="str">
        <f t="shared" si="3"/>
        <v>RTG</v>
      </c>
      <c r="L48" s="7">
        <v>45736</v>
      </c>
      <c r="M48" s="7">
        <f t="shared" si="4"/>
        <v>45916</v>
      </c>
      <c r="N48" s="7" t="str">
        <f t="shared" si="7"/>
        <v>Semestral</v>
      </c>
      <c r="O48" s="2" t="str">
        <f t="shared" ca="1" si="8"/>
        <v>VENCIDO</v>
      </c>
      <c r="P48" s="6" t="s">
        <v>25</v>
      </c>
      <c r="Q48" s="2"/>
    </row>
    <row r="49" spans="1:17" x14ac:dyDescent="0.25">
      <c r="A49" s="23" t="s">
        <v>58</v>
      </c>
      <c r="B49" s="2" t="s">
        <v>73</v>
      </c>
      <c r="C49" s="3" t="s">
        <v>43</v>
      </c>
      <c r="D49" s="3" t="s">
        <v>23</v>
      </c>
      <c r="E49" s="2" t="s">
        <v>24</v>
      </c>
      <c r="F49" s="4">
        <v>0</v>
      </c>
      <c r="G49" s="8">
        <f t="shared" si="0"/>
        <v>1000000000</v>
      </c>
      <c r="H49" s="4" t="str">
        <f t="shared" si="1"/>
        <v>Ohms</v>
      </c>
      <c r="I49" s="6">
        <v>143000</v>
      </c>
      <c r="J49" s="6" t="str">
        <f t="shared" si="2"/>
        <v>Ohms</v>
      </c>
      <c r="K49" s="2" t="str">
        <f t="shared" si="3"/>
        <v>RTG</v>
      </c>
      <c r="L49" s="7">
        <v>45736</v>
      </c>
      <c r="M49" s="7">
        <f t="shared" si="4"/>
        <v>45916</v>
      </c>
      <c r="N49" s="7" t="str">
        <f t="shared" si="7"/>
        <v>Semestral</v>
      </c>
      <c r="O49" s="2" t="str">
        <f t="shared" ca="1" si="8"/>
        <v>VENCIDO</v>
      </c>
      <c r="P49" s="6" t="s">
        <v>25</v>
      </c>
      <c r="Q49" s="2"/>
    </row>
    <row r="50" spans="1:17" x14ac:dyDescent="0.25">
      <c r="A50" s="23" t="s">
        <v>58</v>
      </c>
      <c r="B50" s="2" t="s">
        <v>74</v>
      </c>
      <c r="C50" s="3" t="s">
        <v>43</v>
      </c>
      <c r="D50" s="3" t="s">
        <v>23</v>
      </c>
      <c r="E50" s="2" t="s">
        <v>24</v>
      </c>
      <c r="F50" s="4">
        <v>0</v>
      </c>
      <c r="G50" s="8">
        <f t="shared" si="0"/>
        <v>1000000000</v>
      </c>
      <c r="H50" s="4" t="str">
        <f t="shared" si="1"/>
        <v>Ohms</v>
      </c>
      <c r="I50" s="6">
        <v>15900000</v>
      </c>
      <c r="J50" s="6" t="str">
        <f t="shared" si="2"/>
        <v>Ohms</v>
      </c>
      <c r="K50" s="2" t="str">
        <f t="shared" si="3"/>
        <v>RTG</v>
      </c>
      <c r="L50" s="7">
        <v>45736</v>
      </c>
      <c r="M50" s="7">
        <f t="shared" si="4"/>
        <v>45916</v>
      </c>
      <c r="N50" s="7" t="str">
        <f t="shared" si="7"/>
        <v>Semestral</v>
      </c>
      <c r="O50" s="2" t="str">
        <f t="shared" ca="1" si="8"/>
        <v>VENCIDO</v>
      </c>
      <c r="P50" s="6" t="s">
        <v>25</v>
      </c>
      <c r="Q50" s="2"/>
    </row>
    <row r="51" spans="1:17" x14ac:dyDescent="0.25">
      <c r="A51" s="23" t="s">
        <v>58</v>
      </c>
      <c r="B51" s="2" t="s">
        <v>75</v>
      </c>
      <c r="C51" s="3" t="s">
        <v>28</v>
      </c>
      <c r="D51" s="3" t="s">
        <v>23</v>
      </c>
      <c r="E51" s="2" t="s">
        <v>24</v>
      </c>
      <c r="F51" s="4">
        <v>0</v>
      </c>
      <c r="G51" s="8">
        <f t="shared" si="0"/>
        <v>1000000000</v>
      </c>
      <c r="H51" s="4" t="str">
        <f t="shared" si="1"/>
        <v>Ohms</v>
      </c>
      <c r="I51" s="6">
        <v>23600</v>
      </c>
      <c r="J51" s="6" t="str">
        <f t="shared" si="2"/>
        <v>Ohms</v>
      </c>
      <c r="K51" s="2" t="str">
        <f t="shared" si="3"/>
        <v>RTG</v>
      </c>
      <c r="L51" s="7">
        <v>45833</v>
      </c>
      <c r="M51" s="7">
        <f t="shared" si="4"/>
        <v>46198</v>
      </c>
      <c r="N51" s="7" t="str">
        <f t="shared" si="7"/>
        <v>Anual</v>
      </c>
      <c r="O51" s="2" t="str">
        <f t="shared" ca="1" si="8"/>
        <v>VIGENTE</v>
      </c>
      <c r="P51" s="6" t="s">
        <v>25</v>
      </c>
      <c r="Q51" s="2" t="s">
        <v>29</v>
      </c>
    </row>
    <row r="52" spans="1:17" x14ac:dyDescent="0.25">
      <c r="A52" s="24" t="s">
        <v>80</v>
      </c>
      <c r="B52" s="2" t="s">
        <v>81</v>
      </c>
      <c r="C52" s="3" t="s">
        <v>22</v>
      </c>
      <c r="D52" s="3" t="s">
        <v>23</v>
      </c>
      <c r="E52" s="2" t="s">
        <v>24</v>
      </c>
      <c r="F52" s="4">
        <v>0</v>
      </c>
      <c r="G52" s="8">
        <f t="shared" si="0"/>
        <v>1000000000</v>
      </c>
      <c r="H52" s="4" t="str">
        <f t="shared" si="1"/>
        <v>Ohms</v>
      </c>
      <c r="I52" s="14">
        <v>423000000</v>
      </c>
      <c r="J52" s="6" t="str">
        <f t="shared" si="2"/>
        <v>Ohms</v>
      </c>
      <c r="K52" s="2" t="str">
        <f t="shared" si="3"/>
        <v>RTG</v>
      </c>
      <c r="L52" s="7">
        <v>45838</v>
      </c>
      <c r="M52" s="7">
        <f t="shared" si="4"/>
        <v>46203</v>
      </c>
      <c r="N52" s="7" t="str">
        <f t="shared" si="7"/>
        <v>Anual</v>
      </c>
      <c r="O52" s="2" t="str">
        <f t="shared" ca="1" si="8"/>
        <v>VIGENTE</v>
      </c>
      <c r="P52" s="6" t="s">
        <v>25</v>
      </c>
      <c r="Q52" s="2"/>
    </row>
    <row r="53" spans="1:17" x14ac:dyDescent="0.25">
      <c r="A53" s="24" t="s">
        <v>80</v>
      </c>
      <c r="B53" s="2" t="s">
        <v>82</v>
      </c>
      <c r="C53" s="3" t="s">
        <v>22</v>
      </c>
      <c r="D53" s="3" t="s">
        <v>23</v>
      </c>
      <c r="E53" s="2" t="s">
        <v>24</v>
      </c>
      <c r="F53" s="4">
        <v>0</v>
      </c>
      <c r="G53" s="8">
        <f t="shared" si="0"/>
        <v>1000000000</v>
      </c>
      <c r="H53" s="4" t="str">
        <f t="shared" si="1"/>
        <v>Ohms</v>
      </c>
      <c r="I53" s="14">
        <v>1400000</v>
      </c>
      <c r="J53" s="6" t="str">
        <f t="shared" si="2"/>
        <v>Ohms</v>
      </c>
      <c r="K53" s="2" t="str">
        <f t="shared" si="3"/>
        <v>RTG</v>
      </c>
      <c r="L53" s="7">
        <v>45838</v>
      </c>
      <c r="M53" s="7">
        <f t="shared" si="4"/>
        <v>46203</v>
      </c>
      <c r="N53" s="7" t="str">
        <f t="shared" si="7"/>
        <v>Anual</v>
      </c>
      <c r="O53" s="2" t="str">
        <f t="shared" ca="1" si="8"/>
        <v>VIGENTE</v>
      </c>
      <c r="P53" s="6" t="s">
        <v>25</v>
      </c>
      <c r="Q53" s="2"/>
    </row>
    <row r="54" spans="1:17" x14ac:dyDescent="0.25">
      <c r="A54" s="24" t="s">
        <v>80</v>
      </c>
      <c r="B54" s="2" t="s">
        <v>83</v>
      </c>
      <c r="C54" s="3" t="s">
        <v>22</v>
      </c>
      <c r="D54" s="3" t="s">
        <v>23</v>
      </c>
      <c r="E54" s="2" t="s">
        <v>24</v>
      </c>
      <c r="F54" s="4">
        <v>0</v>
      </c>
      <c r="G54" s="8">
        <f t="shared" si="0"/>
        <v>1000000000</v>
      </c>
      <c r="H54" s="4" t="str">
        <f t="shared" si="1"/>
        <v>Ohms</v>
      </c>
      <c r="I54" s="14">
        <v>374000000</v>
      </c>
      <c r="J54" s="6" t="str">
        <f t="shared" si="2"/>
        <v>Ohms</v>
      </c>
      <c r="K54" s="2" t="str">
        <f t="shared" si="3"/>
        <v>RTG</v>
      </c>
      <c r="L54" s="7">
        <v>45838</v>
      </c>
      <c r="M54" s="7">
        <f t="shared" si="4"/>
        <v>46203</v>
      </c>
      <c r="N54" s="7" t="str">
        <f t="shared" si="7"/>
        <v>Anual</v>
      </c>
      <c r="O54" s="2" t="str">
        <f t="shared" ca="1" si="8"/>
        <v>VIGENTE</v>
      </c>
      <c r="P54" s="6" t="s">
        <v>25</v>
      </c>
      <c r="Q54" s="2"/>
    </row>
    <row r="55" spans="1:17" x14ac:dyDescent="0.25">
      <c r="A55" s="24" t="s">
        <v>80</v>
      </c>
      <c r="B55" s="2" t="s">
        <v>84</v>
      </c>
      <c r="C55" s="3" t="s">
        <v>28</v>
      </c>
      <c r="D55" s="3" t="s">
        <v>23</v>
      </c>
      <c r="E55" s="2" t="s">
        <v>24</v>
      </c>
      <c r="F55" s="4">
        <v>0</v>
      </c>
      <c r="G55" s="8">
        <f t="shared" si="0"/>
        <v>1000000000</v>
      </c>
      <c r="H55" s="4" t="str">
        <f t="shared" si="1"/>
        <v>Ohms</v>
      </c>
      <c r="I55" s="14">
        <v>2010000</v>
      </c>
      <c r="J55" s="6" t="str">
        <f t="shared" si="2"/>
        <v>Ohms</v>
      </c>
      <c r="K55" s="2" t="str">
        <f t="shared" si="3"/>
        <v>RTG</v>
      </c>
      <c r="L55" s="7">
        <v>45838</v>
      </c>
      <c r="M55" s="7">
        <f t="shared" si="4"/>
        <v>46203</v>
      </c>
      <c r="N55" s="7" t="str">
        <f t="shared" si="7"/>
        <v>Anual</v>
      </c>
      <c r="O55" s="2" t="str">
        <f t="shared" ca="1" si="8"/>
        <v>VIGENTE</v>
      </c>
      <c r="P55" s="6" t="s">
        <v>25</v>
      </c>
      <c r="Q55" s="2"/>
    </row>
    <row r="56" spans="1:17" x14ac:dyDescent="0.25">
      <c r="A56" s="24" t="s">
        <v>80</v>
      </c>
      <c r="B56" s="2" t="s">
        <v>85</v>
      </c>
      <c r="C56" s="3" t="s">
        <v>22</v>
      </c>
      <c r="D56" s="3" t="s">
        <v>23</v>
      </c>
      <c r="E56" s="2" t="s">
        <v>24</v>
      </c>
      <c r="F56" s="4">
        <v>0</v>
      </c>
      <c r="G56" s="8">
        <f t="shared" si="0"/>
        <v>1000000000</v>
      </c>
      <c r="H56" s="4" t="str">
        <f t="shared" si="1"/>
        <v>Ohms</v>
      </c>
      <c r="I56" s="14">
        <v>382000000</v>
      </c>
      <c r="J56" s="6" t="str">
        <f t="shared" si="2"/>
        <v>Ohms</v>
      </c>
      <c r="K56" s="2" t="str">
        <f t="shared" si="3"/>
        <v>RTG</v>
      </c>
      <c r="L56" s="7">
        <v>45838</v>
      </c>
      <c r="M56" s="7">
        <f t="shared" si="4"/>
        <v>46203</v>
      </c>
      <c r="N56" s="7" t="str">
        <f t="shared" si="7"/>
        <v>Anual</v>
      </c>
      <c r="O56" s="2" t="str">
        <f t="shared" ca="1" si="8"/>
        <v>VIGENTE</v>
      </c>
      <c r="P56" s="6" t="s">
        <v>25</v>
      </c>
      <c r="Q56" s="2"/>
    </row>
    <row r="57" spans="1:17" x14ac:dyDescent="0.25">
      <c r="A57" s="24" t="s">
        <v>80</v>
      </c>
      <c r="B57" s="2" t="s">
        <v>86</v>
      </c>
      <c r="C57" s="3" t="s">
        <v>22</v>
      </c>
      <c r="D57" s="3" t="s">
        <v>23</v>
      </c>
      <c r="E57" s="2" t="s">
        <v>24</v>
      </c>
      <c r="F57" s="4">
        <v>0</v>
      </c>
      <c r="G57" s="8">
        <f t="shared" si="0"/>
        <v>1000000000</v>
      </c>
      <c r="H57" s="4" t="str">
        <f t="shared" si="1"/>
        <v>Ohms</v>
      </c>
      <c r="I57" s="14">
        <v>29400000</v>
      </c>
      <c r="J57" s="6" t="str">
        <f t="shared" si="2"/>
        <v>Ohms</v>
      </c>
      <c r="K57" s="2" t="str">
        <f t="shared" si="3"/>
        <v>RTG</v>
      </c>
      <c r="L57" s="7">
        <v>45901</v>
      </c>
      <c r="M57" s="7">
        <f t="shared" si="4"/>
        <v>46266</v>
      </c>
      <c r="N57" s="7" t="str">
        <f t="shared" si="7"/>
        <v>Anual</v>
      </c>
      <c r="O57" s="2" t="str">
        <f t="shared" ca="1" si="8"/>
        <v>VIGENTE</v>
      </c>
      <c r="P57" s="6" t="s">
        <v>25</v>
      </c>
      <c r="Q57" s="2"/>
    </row>
    <row r="58" spans="1:17" x14ac:dyDescent="0.25">
      <c r="A58" s="24" t="s">
        <v>80</v>
      </c>
      <c r="B58" s="2" t="s">
        <v>87</v>
      </c>
      <c r="C58" s="3" t="s">
        <v>22</v>
      </c>
      <c r="D58" s="3" t="s">
        <v>23</v>
      </c>
      <c r="E58" s="2" t="s">
        <v>24</v>
      </c>
      <c r="F58" s="4">
        <v>0</v>
      </c>
      <c r="G58" s="8">
        <f t="shared" si="0"/>
        <v>1000000000</v>
      </c>
      <c r="H58" s="4" t="str">
        <f t="shared" si="1"/>
        <v>Ohms</v>
      </c>
      <c r="I58" s="14">
        <v>55500000</v>
      </c>
      <c r="J58" s="6" t="str">
        <f t="shared" si="2"/>
        <v>Ohms</v>
      </c>
      <c r="K58" s="2" t="str">
        <f t="shared" si="3"/>
        <v>RTG</v>
      </c>
      <c r="L58" s="7">
        <v>45901</v>
      </c>
      <c r="M58" s="7">
        <f t="shared" si="4"/>
        <v>46266</v>
      </c>
      <c r="N58" s="7" t="str">
        <f t="shared" si="7"/>
        <v>Anual</v>
      </c>
      <c r="O58" s="2" t="str">
        <f t="shared" ca="1" si="8"/>
        <v>VIGENTE</v>
      </c>
      <c r="P58" s="6" t="s">
        <v>25</v>
      </c>
      <c r="Q58" s="2"/>
    </row>
    <row r="59" spans="1:17" x14ac:dyDescent="0.25">
      <c r="A59" s="24" t="s">
        <v>80</v>
      </c>
      <c r="B59" s="2" t="s">
        <v>88</v>
      </c>
      <c r="C59" s="3" t="s">
        <v>89</v>
      </c>
      <c r="D59" s="3" t="s">
        <v>23</v>
      </c>
      <c r="E59" s="2" t="s">
        <v>24</v>
      </c>
      <c r="F59" s="4">
        <v>0</v>
      </c>
      <c r="G59" s="8">
        <f t="shared" si="0"/>
        <v>1000000000</v>
      </c>
      <c r="H59" s="4" t="str">
        <f t="shared" si="1"/>
        <v>Ohms</v>
      </c>
      <c r="I59" s="14">
        <v>11600000</v>
      </c>
      <c r="J59" s="6" t="str">
        <f t="shared" si="2"/>
        <v>Ohms</v>
      </c>
      <c r="K59" s="2" t="str">
        <f t="shared" si="3"/>
        <v>RTG</v>
      </c>
      <c r="L59" s="7">
        <v>45901</v>
      </c>
      <c r="M59" s="7">
        <f t="shared" si="4"/>
        <v>46266</v>
      </c>
      <c r="N59" s="7" t="str">
        <f t="shared" si="7"/>
        <v>Anual</v>
      </c>
      <c r="O59" s="2" t="str">
        <f t="shared" ca="1" si="8"/>
        <v>VIGENTE</v>
      </c>
      <c r="P59" s="6" t="s">
        <v>25</v>
      </c>
      <c r="Q59" s="2"/>
    </row>
    <row r="60" spans="1:17" x14ac:dyDescent="0.25">
      <c r="A60" s="24" t="s">
        <v>80</v>
      </c>
      <c r="B60" s="2" t="s">
        <v>90</v>
      </c>
      <c r="C60" s="3" t="s">
        <v>89</v>
      </c>
      <c r="D60" s="3" t="s">
        <v>23</v>
      </c>
      <c r="E60" s="2" t="s">
        <v>24</v>
      </c>
      <c r="F60" s="4">
        <v>0</v>
      </c>
      <c r="G60" s="8">
        <f t="shared" si="0"/>
        <v>1000000000</v>
      </c>
      <c r="H60" s="4" t="str">
        <f t="shared" si="1"/>
        <v>Ohms</v>
      </c>
      <c r="I60" s="14">
        <v>5010000</v>
      </c>
      <c r="J60" s="6" t="str">
        <f t="shared" si="2"/>
        <v>Ohms</v>
      </c>
      <c r="K60" s="2" t="str">
        <f t="shared" si="3"/>
        <v>RTG</v>
      </c>
      <c r="L60" s="7">
        <v>45901</v>
      </c>
      <c r="M60" s="7">
        <f t="shared" si="4"/>
        <v>46266</v>
      </c>
      <c r="N60" s="7" t="str">
        <f t="shared" si="7"/>
        <v>Anual</v>
      </c>
      <c r="O60" s="2" t="str">
        <f t="shared" ca="1" si="8"/>
        <v>VIGENTE</v>
      </c>
      <c r="P60" s="6" t="s">
        <v>25</v>
      </c>
      <c r="Q60" s="2"/>
    </row>
    <row r="61" spans="1:17" x14ac:dyDescent="0.25">
      <c r="A61" s="24" t="s">
        <v>80</v>
      </c>
      <c r="B61" s="2" t="s">
        <v>91</v>
      </c>
      <c r="C61" s="3" t="s">
        <v>89</v>
      </c>
      <c r="D61" s="3" t="s">
        <v>23</v>
      </c>
      <c r="E61" s="2" t="s">
        <v>24</v>
      </c>
      <c r="F61" s="4">
        <v>0</v>
      </c>
      <c r="G61" s="8">
        <f t="shared" si="0"/>
        <v>1000000000</v>
      </c>
      <c r="H61" s="4" t="str">
        <f t="shared" si="1"/>
        <v>Ohms</v>
      </c>
      <c r="I61" s="14">
        <v>24000000</v>
      </c>
      <c r="J61" s="6" t="str">
        <f t="shared" si="2"/>
        <v>Ohms</v>
      </c>
      <c r="K61" s="2" t="str">
        <f t="shared" si="3"/>
        <v>RTG</v>
      </c>
      <c r="L61" s="7">
        <v>45901</v>
      </c>
      <c r="M61" s="7">
        <f t="shared" si="4"/>
        <v>46266</v>
      </c>
      <c r="N61" s="7" t="str">
        <f t="shared" si="7"/>
        <v>Anual</v>
      </c>
      <c r="O61" s="2" t="str">
        <f t="shared" ca="1" si="8"/>
        <v>VIGENTE</v>
      </c>
      <c r="P61" s="6" t="s">
        <v>25</v>
      </c>
      <c r="Q61" s="2"/>
    </row>
    <row r="62" spans="1:17" x14ac:dyDescent="0.25">
      <c r="A62" s="24" t="s">
        <v>80</v>
      </c>
      <c r="B62" s="2" t="s">
        <v>92</v>
      </c>
      <c r="C62" s="3" t="s">
        <v>28</v>
      </c>
      <c r="D62" s="3" t="s">
        <v>23</v>
      </c>
      <c r="E62" s="2" t="s">
        <v>24</v>
      </c>
      <c r="F62" s="4">
        <v>0</v>
      </c>
      <c r="G62" s="8">
        <f t="shared" si="0"/>
        <v>1000000000</v>
      </c>
      <c r="H62" s="4" t="str">
        <f t="shared" si="1"/>
        <v>Ohms</v>
      </c>
      <c r="I62" s="14">
        <v>54000000</v>
      </c>
      <c r="J62" s="6" t="str">
        <f t="shared" si="2"/>
        <v>Ohms</v>
      </c>
      <c r="K62" s="2" t="str">
        <f t="shared" si="3"/>
        <v>RTG</v>
      </c>
      <c r="L62" s="7">
        <v>45941</v>
      </c>
      <c r="M62" s="7">
        <f t="shared" si="4"/>
        <v>46306</v>
      </c>
      <c r="N62" s="7" t="str">
        <f t="shared" si="7"/>
        <v>Anual</v>
      </c>
      <c r="O62" s="2" t="str">
        <f t="shared" ca="1" si="8"/>
        <v>VIGENTE</v>
      </c>
      <c r="P62" s="6" t="s">
        <v>25</v>
      </c>
      <c r="Q62" s="2"/>
    </row>
    <row r="63" spans="1:17" x14ac:dyDescent="0.25">
      <c r="A63" s="23" t="s">
        <v>93</v>
      </c>
      <c r="B63" s="2" t="s">
        <v>94</v>
      </c>
      <c r="C63" s="3" t="s">
        <v>22</v>
      </c>
      <c r="D63" s="3" t="s">
        <v>23</v>
      </c>
      <c r="E63" s="2" t="s">
        <v>24</v>
      </c>
      <c r="F63" s="4">
        <v>0</v>
      </c>
      <c r="G63" s="8">
        <f t="shared" si="0"/>
        <v>1000000000</v>
      </c>
      <c r="H63" s="4" t="str">
        <f t="shared" si="1"/>
        <v>Ohms</v>
      </c>
      <c r="I63" s="14">
        <v>3170000</v>
      </c>
      <c r="J63" s="6" t="str">
        <f t="shared" si="2"/>
        <v>Ohms</v>
      </c>
      <c r="K63" s="2" t="str">
        <f t="shared" si="3"/>
        <v>RTG</v>
      </c>
      <c r="L63" s="7">
        <v>45843</v>
      </c>
      <c r="M63" s="7">
        <f t="shared" si="4"/>
        <v>46208</v>
      </c>
      <c r="N63" s="7" t="str">
        <f t="shared" si="7"/>
        <v>Anual</v>
      </c>
      <c r="O63" s="2" t="str">
        <f t="shared" ca="1" si="8"/>
        <v>VIGENTE</v>
      </c>
      <c r="P63" s="6" t="s">
        <v>25</v>
      </c>
      <c r="Q63" s="2"/>
    </row>
    <row r="64" spans="1:17" x14ac:dyDescent="0.25">
      <c r="A64" s="23" t="s">
        <v>93</v>
      </c>
      <c r="B64" s="2" t="s">
        <v>95</v>
      </c>
      <c r="C64" s="3" t="s">
        <v>22</v>
      </c>
      <c r="D64" s="3" t="s">
        <v>23</v>
      </c>
      <c r="E64" s="2" t="s">
        <v>24</v>
      </c>
      <c r="F64" s="4">
        <v>0</v>
      </c>
      <c r="G64" s="8">
        <f t="shared" si="0"/>
        <v>1000000000</v>
      </c>
      <c r="H64" s="4" t="str">
        <f t="shared" si="1"/>
        <v>Ohms</v>
      </c>
      <c r="I64" s="14">
        <v>479000000</v>
      </c>
      <c r="J64" s="6" t="str">
        <f t="shared" si="2"/>
        <v>Ohms</v>
      </c>
      <c r="K64" s="2" t="str">
        <f t="shared" si="3"/>
        <v>RTG</v>
      </c>
      <c r="L64" s="7">
        <v>45843</v>
      </c>
      <c r="M64" s="7">
        <f t="shared" si="4"/>
        <v>46208</v>
      </c>
      <c r="N64" s="7" t="str">
        <f t="shared" si="7"/>
        <v>Anual</v>
      </c>
      <c r="O64" s="2" t="str">
        <f t="shared" ca="1" si="8"/>
        <v>VIGENTE</v>
      </c>
      <c r="P64" s="6" t="s">
        <v>25</v>
      </c>
      <c r="Q64" s="2"/>
    </row>
    <row r="65" spans="1:17" x14ac:dyDescent="0.25">
      <c r="A65" s="23" t="s">
        <v>93</v>
      </c>
      <c r="B65" s="2" t="s">
        <v>96</v>
      </c>
      <c r="C65" s="3" t="s">
        <v>22</v>
      </c>
      <c r="D65" s="3" t="s">
        <v>23</v>
      </c>
      <c r="E65" s="2" t="s">
        <v>24</v>
      </c>
      <c r="F65" s="4">
        <v>0</v>
      </c>
      <c r="G65" s="8">
        <f t="shared" si="0"/>
        <v>1000000000</v>
      </c>
      <c r="H65" s="4" t="str">
        <f t="shared" si="1"/>
        <v>Ohms</v>
      </c>
      <c r="I65" s="14">
        <v>299000000</v>
      </c>
      <c r="J65" s="6" t="str">
        <f t="shared" si="2"/>
        <v>Ohms</v>
      </c>
      <c r="K65" s="2" t="str">
        <f t="shared" si="3"/>
        <v>RTG</v>
      </c>
      <c r="L65" s="7">
        <v>45843</v>
      </c>
      <c r="M65" s="7">
        <f t="shared" si="4"/>
        <v>46208</v>
      </c>
      <c r="N65" s="7" t="str">
        <f t="shared" si="7"/>
        <v>Anual</v>
      </c>
      <c r="O65" s="2" t="str">
        <f t="shared" ca="1" si="8"/>
        <v>VIGENTE</v>
      </c>
      <c r="P65" s="6" t="s">
        <v>25</v>
      </c>
      <c r="Q65" s="2"/>
    </row>
    <row r="66" spans="1:17" x14ac:dyDescent="0.25">
      <c r="A66" s="23" t="s">
        <v>93</v>
      </c>
      <c r="B66" s="2" t="s">
        <v>97</v>
      </c>
      <c r="C66" s="3" t="s">
        <v>22</v>
      </c>
      <c r="D66" s="3" t="s">
        <v>23</v>
      </c>
      <c r="E66" s="2" t="s">
        <v>24</v>
      </c>
      <c r="F66" s="4">
        <v>0</v>
      </c>
      <c r="G66" s="8">
        <f t="shared" si="0"/>
        <v>1000000000</v>
      </c>
      <c r="H66" s="4" t="str">
        <f t="shared" si="1"/>
        <v>Ohms</v>
      </c>
      <c r="I66" s="14">
        <v>1930000</v>
      </c>
      <c r="J66" s="6" t="str">
        <f t="shared" si="2"/>
        <v>Ohms</v>
      </c>
      <c r="K66" s="2" t="str">
        <f t="shared" si="3"/>
        <v>RTG</v>
      </c>
      <c r="L66" s="7">
        <v>45843</v>
      </c>
      <c r="M66" s="7">
        <f t="shared" si="4"/>
        <v>46208</v>
      </c>
      <c r="N66" s="7" t="str">
        <f t="shared" si="7"/>
        <v>Anual</v>
      </c>
      <c r="O66" s="2" t="str">
        <f t="shared" ca="1" si="8"/>
        <v>VIGENTE</v>
      </c>
      <c r="P66" s="6" t="s">
        <v>25</v>
      </c>
      <c r="Q66" s="2"/>
    </row>
    <row r="67" spans="1:17" x14ac:dyDescent="0.25">
      <c r="A67" s="23" t="s">
        <v>93</v>
      </c>
      <c r="B67" s="2" t="s">
        <v>98</v>
      </c>
      <c r="C67" s="3" t="s">
        <v>22</v>
      </c>
      <c r="D67" s="3" t="s">
        <v>23</v>
      </c>
      <c r="E67" s="2" t="s">
        <v>24</v>
      </c>
      <c r="F67" s="4">
        <v>0</v>
      </c>
      <c r="G67" s="8">
        <f t="shared" si="0"/>
        <v>1000000000</v>
      </c>
      <c r="H67" s="4" t="str">
        <f t="shared" si="1"/>
        <v>Ohms</v>
      </c>
      <c r="I67" s="14">
        <v>3840000</v>
      </c>
      <c r="J67" s="6" t="str">
        <f t="shared" si="2"/>
        <v>Ohms</v>
      </c>
      <c r="K67" s="2" t="str">
        <f t="shared" si="3"/>
        <v>RTG</v>
      </c>
      <c r="L67" s="7">
        <v>45843</v>
      </c>
      <c r="M67" s="7">
        <f t="shared" si="4"/>
        <v>46208</v>
      </c>
      <c r="N67" s="7" t="str">
        <f t="shared" si="7"/>
        <v>Anual</v>
      </c>
      <c r="O67" s="2" t="str">
        <f t="shared" ca="1" si="8"/>
        <v>VIGENTE</v>
      </c>
      <c r="P67" s="6" t="s">
        <v>25</v>
      </c>
      <c r="Q67" s="2"/>
    </row>
    <row r="68" spans="1:17" x14ac:dyDescent="0.25">
      <c r="A68" s="23" t="s">
        <v>93</v>
      </c>
      <c r="B68" s="2" t="s">
        <v>99</v>
      </c>
      <c r="C68" s="3" t="s">
        <v>28</v>
      </c>
      <c r="D68" s="3" t="s">
        <v>23</v>
      </c>
      <c r="E68" s="2" t="s">
        <v>24</v>
      </c>
      <c r="F68" s="4">
        <v>0</v>
      </c>
      <c r="G68" s="8">
        <f t="shared" si="0"/>
        <v>1000000000</v>
      </c>
      <c r="H68" s="4" t="str">
        <f t="shared" si="1"/>
        <v>Ohms</v>
      </c>
      <c r="I68" s="14">
        <v>411000000</v>
      </c>
      <c r="J68" s="6" t="str">
        <f t="shared" si="2"/>
        <v>Ohms</v>
      </c>
      <c r="K68" s="2" t="str">
        <f t="shared" si="3"/>
        <v>RTG</v>
      </c>
      <c r="L68" s="7">
        <v>45843</v>
      </c>
      <c r="M68" s="7">
        <f t="shared" si="4"/>
        <v>46208</v>
      </c>
      <c r="N68" s="7" t="str">
        <f t="shared" si="7"/>
        <v>Anual</v>
      </c>
      <c r="O68" s="2" t="str">
        <f t="shared" ca="1" si="8"/>
        <v>VIGENTE</v>
      </c>
      <c r="P68" s="6" t="s">
        <v>25</v>
      </c>
      <c r="Q68" s="2" t="s">
        <v>29</v>
      </c>
    </row>
    <row r="69" spans="1:17" x14ac:dyDescent="0.25">
      <c r="A69" s="23" t="s">
        <v>93</v>
      </c>
      <c r="B69" s="2" t="s">
        <v>100</v>
      </c>
      <c r="C69" s="3" t="s">
        <v>28</v>
      </c>
      <c r="D69" s="3" t="s">
        <v>23</v>
      </c>
      <c r="E69" s="2" t="s">
        <v>24</v>
      </c>
      <c r="F69" s="4">
        <v>0</v>
      </c>
      <c r="G69" s="8">
        <f t="shared" si="0"/>
        <v>1000000000</v>
      </c>
      <c r="H69" s="4" t="str">
        <f t="shared" si="1"/>
        <v>Ohms</v>
      </c>
      <c r="I69" s="14">
        <v>2470000</v>
      </c>
      <c r="J69" s="6" t="str">
        <f t="shared" si="2"/>
        <v>Ohms</v>
      </c>
      <c r="K69" s="2" t="str">
        <f t="shared" si="3"/>
        <v>RTG</v>
      </c>
      <c r="L69" s="7">
        <v>45843</v>
      </c>
      <c r="M69" s="7">
        <f t="shared" si="4"/>
        <v>46208</v>
      </c>
      <c r="N69" s="7" t="str">
        <f t="shared" si="7"/>
        <v>Anual</v>
      </c>
      <c r="O69" s="2" t="str">
        <f t="shared" ca="1" si="8"/>
        <v>VIGENTE</v>
      </c>
      <c r="P69" s="6" t="s">
        <v>25</v>
      </c>
      <c r="Q69" s="2" t="s">
        <v>29</v>
      </c>
    </row>
    <row r="70" spans="1:17" x14ac:dyDescent="0.25">
      <c r="A70" s="23" t="s">
        <v>93</v>
      </c>
      <c r="B70" s="2" t="s">
        <v>101</v>
      </c>
      <c r="C70" s="3" t="s">
        <v>28</v>
      </c>
      <c r="D70" s="3" t="s">
        <v>23</v>
      </c>
      <c r="E70" s="2" t="s">
        <v>24</v>
      </c>
      <c r="F70" s="4">
        <v>0</v>
      </c>
      <c r="G70" s="8">
        <f t="shared" si="0"/>
        <v>1000000000</v>
      </c>
      <c r="H70" s="4" t="str">
        <f t="shared" si="1"/>
        <v>Ohms</v>
      </c>
      <c r="I70" s="14">
        <v>122000000</v>
      </c>
      <c r="J70" s="6" t="str">
        <f t="shared" si="2"/>
        <v>Ohms</v>
      </c>
      <c r="K70" s="2" t="str">
        <f t="shared" si="3"/>
        <v>RTG</v>
      </c>
      <c r="L70" s="7">
        <v>45843</v>
      </c>
      <c r="M70" s="7">
        <f t="shared" si="4"/>
        <v>46208</v>
      </c>
      <c r="N70" s="7" t="str">
        <f t="shared" si="7"/>
        <v>Anual</v>
      </c>
      <c r="O70" s="2" t="str">
        <f t="shared" ca="1" si="8"/>
        <v>VIGENTE</v>
      </c>
      <c r="P70" s="6" t="s">
        <v>25</v>
      </c>
      <c r="Q70" s="2" t="s">
        <v>29</v>
      </c>
    </row>
    <row r="71" spans="1:17" x14ac:dyDescent="0.25">
      <c r="A71" s="23" t="s">
        <v>93</v>
      </c>
      <c r="B71" s="2" t="s">
        <v>102</v>
      </c>
      <c r="C71" s="3" t="s">
        <v>28</v>
      </c>
      <c r="D71" s="3" t="s">
        <v>23</v>
      </c>
      <c r="E71" s="2" t="s">
        <v>24</v>
      </c>
      <c r="F71" s="4">
        <v>0</v>
      </c>
      <c r="G71" s="8">
        <f t="shared" ref="G71:G134" si="9">IF(C71="Ionizador", 10, IF(C71="Mesa", 1000000000, IF(C71="Rack", 1000000000, IF(C71="Piso", 1000000000, IF(C71="Tapete", 1000000000, IF(C71="Carrito", 1000000000, IF(C71="Cautín", 10, 1)))))))</f>
        <v>1000000000</v>
      </c>
      <c r="H71" s="4" t="str">
        <f t="shared" ref="H71:H134" si="10">IF(C71="Ionizador", "Segundos", "Ohms")</f>
        <v>Ohms</v>
      </c>
      <c r="I71" s="14">
        <v>294000000</v>
      </c>
      <c r="J71" s="6" t="str">
        <f t="shared" ref="J71:J134" si="11">H71</f>
        <v>Ohms</v>
      </c>
      <c r="K71" s="2" t="str">
        <f t="shared" ref="K71:K134" si="12">IF(C71="Ionizador", "Plato de carga", IF(C71="Cautín", "PTG", IF(C71="ESD Tester", "PTP Deviation", "RTG")))</f>
        <v>RTG</v>
      </c>
      <c r="L71" s="7">
        <v>45843</v>
      </c>
      <c r="M71" s="7">
        <f t="shared" ref="M71:M134" si="13">IF(N71="Trimestral", L71+90, IF(N71="Semestral", L71+180, IF(N71="Mensual", L71+30, L71+365)))</f>
        <v>46208</v>
      </c>
      <c r="N71" s="7" t="str">
        <f t="shared" ref="N71:N89" si="14">IF(C71="Ionizador", "Trimestral", IF(C71="Rack", "Anual", IF(C71="Mesa", "Anual", IF(C71="Tapete", "Semestral", IF(C71="Cautín", "Semestral", IF(C71="Silla", "Semestral", "Anual"))))))</f>
        <v>Anual</v>
      </c>
      <c r="O71" s="2" t="str">
        <f t="shared" ref="O71:O102" ca="1" si="15">IF(M71&lt;TODAY(),"VENCIDO",IF(M71=TODAY(),"VIGENTE",IF(M71&gt;TODAY(),"VIGENTE")))</f>
        <v>VIGENTE</v>
      </c>
      <c r="P71" s="6" t="s">
        <v>25</v>
      </c>
      <c r="Q71" s="2" t="s">
        <v>29</v>
      </c>
    </row>
    <row r="72" spans="1:17" x14ac:dyDescent="0.25">
      <c r="A72" s="23" t="s">
        <v>93</v>
      </c>
      <c r="B72" s="2" t="s">
        <v>103</v>
      </c>
      <c r="C72" s="3" t="s">
        <v>28</v>
      </c>
      <c r="D72" s="3" t="s">
        <v>23</v>
      </c>
      <c r="E72" s="2" t="s">
        <v>24</v>
      </c>
      <c r="F72" s="4">
        <v>0</v>
      </c>
      <c r="G72" s="8">
        <f t="shared" si="9"/>
        <v>1000000000</v>
      </c>
      <c r="H72" s="4" t="str">
        <f t="shared" si="10"/>
        <v>Ohms</v>
      </c>
      <c r="I72" s="14">
        <v>304000000</v>
      </c>
      <c r="J72" s="6" t="str">
        <f t="shared" si="11"/>
        <v>Ohms</v>
      </c>
      <c r="K72" s="2" t="str">
        <f t="shared" si="12"/>
        <v>RTG</v>
      </c>
      <c r="L72" s="7">
        <v>45843</v>
      </c>
      <c r="M72" s="7">
        <f t="shared" si="13"/>
        <v>46208</v>
      </c>
      <c r="N72" s="7" t="str">
        <f t="shared" si="14"/>
        <v>Anual</v>
      </c>
      <c r="O72" s="2" t="str">
        <f t="shared" ca="1" si="15"/>
        <v>VIGENTE</v>
      </c>
      <c r="P72" s="6" t="s">
        <v>25</v>
      </c>
      <c r="Q72" s="2" t="s">
        <v>29</v>
      </c>
    </row>
    <row r="73" spans="1:17" x14ac:dyDescent="0.25">
      <c r="A73" s="23" t="s">
        <v>93</v>
      </c>
      <c r="B73" s="2" t="s">
        <v>104</v>
      </c>
      <c r="C73" s="3" t="s">
        <v>28</v>
      </c>
      <c r="D73" s="3" t="s">
        <v>23</v>
      </c>
      <c r="E73" s="2" t="s">
        <v>24</v>
      </c>
      <c r="F73" s="4">
        <v>0</v>
      </c>
      <c r="G73" s="8">
        <f t="shared" si="9"/>
        <v>1000000000</v>
      </c>
      <c r="H73" s="4" t="str">
        <f t="shared" si="10"/>
        <v>Ohms</v>
      </c>
      <c r="I73" s="14">
        <v>481000000</v>
      </c>
      <c r="J73" s="6" t="str">
        <f t="shared" si="11"/>
        <v>Ohms</v>
      </c>
      <c r="K73" s="2" t="str">
        <f t="shared" si="12"/>
        <v>RTG</v>
      </c>
      <c r="L73" s="7">
        <v>45843</v>
      </c>
      <c r="M73" s="7">
        <f t="shared" si="13"/>
        <v>46208</v>
      </c>
      <c r="N73" s="7" t="str">
        <f t="shared" si="14"/>
        <v>Anual</v>
      </c>
      <c r="O73" s="2" t="str">
        <f t="shared" ca="1" si="15"/>
        <v>VIGENTE</v>
      </c>
      <c r="P73" s="6" t="s">
        <v>25</v>
      </c>
      <c r="Q73" s="2" t="s">
        <v>29</v>
      </c>
    </row>
    <row r="74" spans="1:17" x14ac:dyDescent="0.25">
      <c r="A74" s="23" t="s">
        <v>93</v>
      </c>
      <c r="B74" s="2" t="s">
        <v>105</v>
      </c>
      <c r="C74" s="3" t="s">
        <v>28</v>
      </c>
      <c r="D74" s="3" t="s">
        <v>23</v>
      </c>
      <c r="E74" s="2" t="s">
        <v>24</v>
      </c>
      <c r="F74" s="4">
        <v>0</v>
      </c>
      <c r="G74" s="8">
        <f t="shared" si="9"/>
        <v>1000000000</v>
      </c>
      <c r="H74" s="4" t="str">
        <f t="shared" si="10"/>
        <v>Ohms</v>
      </c>
      <c r="I74" s="14">
        <v>268000000</v>
      </c>
      <c r="J74" s="6" t="str">
        <f t="shared" si="11"/>
        <v>Ohms</v>
      </c>
      <c r="K74" s="2" t="str">
        <f t="shared" si="12"/>
        <v>RTG</v>
      </c>
      <c r="L74" s="7">
        <v>45843</v>
      </c>
      <c r="M74" s="7">
        <f t="shared" si="13"/>
        <v>46208</v>
      </c>
      <c r="N74" s="7" t="str">
        <f t="shared" si="14"/>
        <v>Anual</v>
      </c>
      <c r="O74" s="2" t="str">
        <f t="shared" ca="1" si="15"/>
        <v>VIGENTE</v>
      </c>
      <c r="P74" s="6" t="s">
        <v>25</v>
      </c>
      <c r="Q74" s="2" t="s">
        <v>29</v>
      </c>
    </row>
    <row r="75" spans="1:17" x14ac:dyDescent="0.25">
      <c r="A75" s="23" t="s">
        <v>93</v>
      </c>
      <c r="B75" s="2" t="s">
        <v>106</v>
      </c>
      <c r="C75" s="3" t="s">
        <v>43</v>
      </c>
      <c r="D75" s="3" t="s">
        <v>23</v>
      </c>
      <c r="E75" s="2" t="s">
        <v>24</v>
      </c>
      <c r="F75" s="4">
        <v>0</v>
      </c>
      <c r="G75" s="8">
        <f t="shared" si="9"/>
        <v>1000000000</v>
      </c>
      <c r="H75" s="4" t="str">
        <f t="shared" si="10"/>
        <v>Ohms</v>
      </c>
      <c r="I75" s="14">
        <v>202000000</v>
      </c>
      <c r="J75" s="6" t="str">
        <f t="shared" si="11"/>
        <v>Ohms</v>
      </c>
      <c r="K75" s="2" t="str">
        <f t="shared" si="12"/>
        <v>RTG</v>
      </c>
      <c r="L75" s="7">
        <v>45843</v>
      </c>
      <c r="M75" s="7">
        <f t="shared" si="13"/>
        <v>46023</v>
      </c>
      <c r="N75" s="7" t="str">
        <f t="shared" si="14"/>
        <v>Semestral</v>
      </c>
      <c r="O75" s="2" t="str">
        <f t="shared" ca="1" si="15"/>
        <v>VENCIDO</v>
      </c>
      <c r="P75" s="6" t="s">
        <v>25</v>
      </c>
      <c r="Q75" s="2"/>
    </row>
    <row r="76" spans="1:17" x14ac:dyDescent="0.25">
      <c r="A76" s="23" t="s">
        <v>93</v>
      </c>
      <c r="B76" s="2" t="s">
        <v>107</v>
      </c>
      <c r="C76" s="3" t="s">
        <v>43</v>
      </c>
      <c r="D76" s="3" t="s">
        <v>23</v>
      </c>
      <c r="E76" s="2" t="s">
        <v>24</v>
      </c>
      <c r="F76" s="4">
        <v>0</v>
      </c>
      <c r="G76" s="8">
        <f t="shared" si="9"/>
        <v>1000000000</v>
      </c>
      <c r="H76" s="4" t="str">
        <f t="shared" si="10"/>
        <v>Ohms</v>
      </c>
      <c r="I76" s="14">
        <v>1970000</v>
      </c>
      <c r="J76" s="6" t="str">
        <f t="shared" si="11"/>
        <v>Ohms</v>
      </c>
      <c r="K76" s="2" t="str">
        <f t="shared" si="12"/>
        <v>RTG</v>
      </c>
      <c r="L76" s="7">
        <v>45843</v>
      </c>
      <c r="M76" s="7">
        <f t="shared" si="13"/>
        <v>46023</v>
      </c>
      <c r="N76" s="7" t="str">
        <f t="shared" si="14"/>
        <v>Semestral</v>
      </c>
      <c r="O76" s="2" t="str">
        <f t="shared" ca="1" si="15"/>
        <v>VENCIDO</v>
      </c>
      <c r="P76" s="6" t="s">
        <v>25</v>
      </c>
      <c r="Q76" s="2"/>
    </row>
    <row r="77" spans="1:17" x14ac:dyDescent="0.25">
      <c r="A77" s="23" t="s">
        <v>93</v>
      </c>
      <c r="B77" s="2" t="s">
        <v>108</v>
      </c>
      <c r="C77" s="3" t="s">
        <v>43</v>
      </c>
      <c r="D77" s="3" t="s">
        <v>23</v>
      </c>
      <c r="E77" s="2" t="s">
        <v>24</v>
      </c>
      <c r="F77" s="4">
        <v>0</v>
      </c>
      <c r="G77" s="8">
        <f t="shared" si="9"/>
        <v>1000000000</v>
      </c>
      <c r="H77" s="4" t="str">
        <f t="shared" si="10"/>
        <v>Ohms</v>
      </c>
      <c r="I77" s="14">
        <v>423000000</v>
      </c>
      <c r="J77" s="6" t="str">
        <f t="shared" si="11"/>
        <v>Ohms</v>
      </c>
      <c r="K77" s="2" t="str">
        <f t="shared" si="12"/>
        <v>RTG</v>
      </c>
      <c r="L77" s="7">
        <v>45843</v>
      </c>
      <c r="M77" s="7">
        <f t="shared" si="13"/>
        <v>46023</v>
      </c>
      <c r="N77" s="7" t="str">
        <f t="shared" si="14"/>
        <v>Semestral</v>
      </c>
      <c r="O77" s="2" t="str">
        <f t="shared" ca="1" si="15"/>
        <v>VENCIDO</v>
      </c>
      <c r="P77" s="6" t="s">
        <v>25</v>
      </c>
      <c r="Q77" s="2"/>
    </row>
    <row r="78" spans="1:17" x14ac:dyDescent="0.25">
      <c r="A78" s="23" t="s">
        <v>93</v>
      </c>
      <c r="B78" s="2" t="s">
        <v>109</v>
      </c>
      <c r="C78" s="3" t="s">
        <v>43</v>
      </c>
      <c r="D78" s="3" t="s">
        <v>23</v>
      </c>
      <c r="E78" s="2" t="s">
        <v>24</v>
      </c>
      <c r="F78" s="4">
        <v>0</v>
      </c>
      <c r="G78" s="8">
        <f t="shared" si="9"/>
        <v>1000000000</v>
      </c>
      <c r="H78" s="4" t="str">
        <f t="shared" si="10"/>
        <v>Ohms</v>
      </c>
      <c r="I78" s="14">
        <v>3100000</v>
      </c>
      <c r="J78" s="6" t="str">
        <f t="shared" si="11"/>
        <v>Ohms</v>
      </c>
      <c r="K78" s="2" t="str">
        <f t="shared" si="12"/>
        <v>RTG</v>
      </c>
      <c r="L78" s="7">
        <v>45843</v>
      </c>
      <c r="M78" s="7">
        <f t="shared" si="13"/>
        <v>46023</v>
      </c>
      <c r="N78" s="7" t="str">
        <f t="shared" si="14"/>
        <v>Semestral</v>
      </c>
      <c r="O78" s="2" t="str">
        <f t="shared" ca="1" si="15"/>
        <v>VENCIDO</v>
      </c>
      <c r="P78" s="6" t="s">
        <v>25</v>
      </c>
      <c r="Q78" s="2"/>
    </row>
    <row r="79" spans="1:17" x14ac:dyDescent="0.25">
      <c r="A79" s="23" t="s">
        <v>93</v>
      </c>
      <c r="B79" s="2" t="s">
        <v>110</v>
      </c>
      <c r="C79" s="3" t="s">
        <v>43</v>
      </c>
      <c r="D79" s="3" t="s">
        <v>23</v>
      </c>
      <c r="E79" s="2" t="s">
        <v>24</v>
      </c>
      <c r="F79" s="4">
        <v>0</v>
      </c>
      <c r="G79" s="8">
        <f t="shared" si="9"/>
        <v>1000000000</v>
      </c>
      <c r="H79" s="4" t="str">
        <f t="shared" si="10"/>
        <v>Ohms</v>
      </c>
      <c r="I79" s="14">
        <v>405000000</v>
      </c>
      <c r="J79" s="6" t="str">
        <f t="shared" si="11"/>
        <v>Ohms</v>
      </c>
      <c r="K79" s="2" t="str">
        <f t="shared" si="12"/>
        <v>RTG</v>
      </c>
      <c r="L79" s="7">
        <v>45843</v>
      </c>
      <c r="M79" s="7">
        <f t="shared" si="13"/>
        <v>46023</v>
      </c>
      <c r="N79" s="7" t="str">
        <f t="shared" si="14"/>
        <v>Semestral</v>
      </c>
      <c r="O79" s="2" t="str">
        <f t="shared" ca="1" si="15"/>
        <v>VENCIDO</v>
      </c>
      <c r="P79" s="6" t="s">
        <v>25</v>
      </c>
      <c r="Q79" s="2"/>
    </row>
    <row r="80" spans="1:17" x14ac:dyDescent="0.25">
      <c r="A80" s="23" t="s">
        <v>93</v>
      </c>
      <c r="B80" s="2" t="s">
        <v>111</v>
      </c>
      <c r="C80" s="3" t="s">
        <v>43</v>
      </c>
      <c r="D80" s="3" t="s">
        <v>23</v>
      </c>
      <c r="E80" s="2" t="s">
        <v>24</v>
      </c>
      <c r="F80" s="4">
        <v>0</v>
      </c>
      <c r="G80" s="8">
        <f t="shared" si="9"/>
        <v>1000000000</v>
      </c>
      <c r="H80" s="4" t="str">
        <f t="shared" si="10"/>
        <v>Ohms</v>
      </c>
      <c r="I80" s="14">
        <v>150000000</v>
      </c>
      <c r="J80" s="6" t="str">
        <f t="shared" si="11"/>
        <v>Ohms</v>
      </c>
      <c r="K80" s="2" t="str">
        <f t="shared" si="12"/>
        <v>RTG</v>
      </c>
      <c r="L80" s="7">
        <v>45843</v>
      </c>
      <c r="M80" s="7">
        <f t="shared" si="13"/>
        <v>46023</v>
      </c>
      <c r="N80" s="7" t="str">
        <f t="shared" si="14"/>
        <v>Semestral</v>
      </c>
      <c r="O80" s="2" t="str">
        <f t="shared" ca="1" si="15"/>
        <v>VENCIDO</v>
      </c>
      <c r="P80" s="6" t="s">
        <v>25</v>
      </c>
      <c r="Q80" s="2"/>
    </row>
    <row r="81" spans="1:17" x14ac:dyDescent="0.25">
      <c r="A81" s="23" t="s">
        <v>93</v>
      </c>
      <c r="B81" s="2" t="s">
        <v>112</v>
      </c>
      <c r="C81" s="3" t="s">
        <v>28</v>
      </c>
      <c r="D81" s="3" t="s">
        <v>23</v>
      </c>
      <c r="E81" s="2" t="s">
        <v>24</v>
      </c>
      <c r="F81" s="4">
        <v>0</v>
      </c>
      <c r="G81" s="8">
        <f t="shared" si="9"/>
        <v>1000000000</v>
      </c>
      <c r="H81" s="4" t="str">
        <f t="shared" si="10"/>
        <v>Ohms</v>
      </c>
      <c r="I81" s="14">
        <v>321000000</v>
      </c>
      <c r="J81" s="6" t="str">
        <f t="shared" si="11"/>
        <v>Ohms</v>
      </c>
      <c r="K81" s="2" t="str">
        <f t="shared" si="12"/>
        <v>RTG</v>
      </c>
      <c r="L81" s="7">
        <v>45843</v>
      </c>
      <c r="M81" s="7">
        <f t="shared" si="13"/>
        <v>46208</v>
      </c>
      <c r="N81" s="7" t="str">
        <f t="shared" si="14"/>
        <v>Anual</v>
      </c>
      <c r="O81" s="2" t="str">
        <f t="shared" ca="1" si="15"/>
        <v>VIGENTE</v>
      </c>
      <c r="P81" s="6" t="s">
        <v>25</v>
      </c>
      <c r="Q81" s="2" t="s">
        <v>29</v>
      </c>
    </row>
    <row r="82" spans="1:17" x14ac:dyDescent="0.25">
      <c r="A82" s="23" t="s">
        <v>93</v>
      </c>
      <c r="B82" s="2" t="s">
        <v>412</v>
      </c>
      <c r="C82" s="3" t="s">
        <v>270</v>
      </c>
      <c r="D82" s="3" t="s">
        <v>23</v>
      </c>
      <c r="E82" s="2" t="s">
        <v>24</v>
      </c>
      <c r="F82" s="4">
        <v>0</v>
      </c>
      <c r="G82" s="8">
        <f t="shared" si="9"/>
        <v>1</v>
      </c>
      <c r="H82" s="4" t="str">
        <f t="shared" si="10"/>
        <v>Ohms</v>
      </c>
      <c r="I82" s="6">
        <v>7.0999999999999994E-2</v>
      </c>
      <c r="J82" s="6" t="str">
        <f t="shared" si="11"/>
        <v>Ohms</v>
      </c>
      <c r="K82" s="2" t="str">
        <f t="shared" si="12"/>
        <v>RTG</v>
      </c>
      <c r="L82" s="7">
        <v>45708</v>
      </c>
      <c r="M82" s="7">
        <f t="shared" si="13"/>
        <v>46073</v>
      </c>
      <c r="N82" s="7" t="str">
        <f t="shared" si="14"/>
        <v>Anual</v>
      </c>
      <c r="O82" s="2" t="str">
        <f t="shared" ca="1" si="15"/>
        <v>VENCIDO</v>
      </c>
      <c r="P82" s="6" t="s">
        <v>25</v>
      </c>
      <c r="Q82" s="2"/>
    </row>
    <row r="83" spans="1:17" x14ac:dyDescent="0.25">
      <c r="A83" s="23" t="s">
        <v>93</v>
      </c>
      <c r="B83" s="2" t="s">
        <v>426</v>
      </c>
      <c r="C83" s="3" t="s">
        <v>22</v>
      </c>
      <c r="D83" s="3" t="s">
        <v>23</v>
      </c>
      <c r="E83" s="2" t="s">
        <v>24</v>
      </c>
      <c r="F83" s="4">
        <v>0</v>
      </c>
      <c r="G83" s="8">
        <f t="shared" si="9"/>
        <v>1000000000</v>
      </c>
      <c r="H83" s="4" t="str">
        <f t="shared" si="10"/>
        <v>Ohms</v>
      </c>
      <c r="I83" s="6">
        <v>649000000</v>
      </c>
      <c r="J83" s="6" t="str">
        <f t="shared" si="11"/>
        <v>Ohms</v>
      </c>
      <c r="K83" s="2" t="str">
        <f t="shared" si="12"/>
        <v>RTG</v>
      </c>
      <c r="L83" s="7">
        <v>45708</v>
      </c>
      <c r="M83" s="7">
        <f t="shared" si="13"/>
        <v>46073</v>
      </c>
      <c r="N83" s="7" t="str">
        <f t="shared" si="14"/>
        <v>Anual</v>
      </c>
      <c r="O83" s="2" t="str">
        <f t="shared" ca="1" si="15"/>
        <v>VENCIDO</v>
      </c>
      <c r="P83" s="6" t="s">
        <v>25</v>
      </c>
      <c r="Q83" s="2"/>
    </row>
    <row r="84" spans="1:17" x14ac:dyDescent="0.25">
      <c r="A84" s="23" t="s">
        <v>113</v>
      </c>
      <c r="B84" s="2" t="s">
        <v>114</v>
      </c>
      <c r="C84" s="3" t="s">
        <v>115</v>
      </c>
      <c r="D84" s="3" t="s">
        <v>23</v>
      </c>
      <c r="E84" s="2" t="s">
        <v>24</v>
      </c>
      <c r="F84" s="4">
        <v>0</v>
      </c>
      <c r="G84" s="8">
        <f t="shared" si="9"/>
        <v>1</v>
      </c>
      <c r="H84" s="4" t="str">
        <f t="shared" si="10"/>
        <v>Ohms</v>
      </c>
      <c r="I84" s="14">
        <v>202000000</v>
      </c>
      <c r="J84" s="6" t="str">
        <f t="shared" si="11"/>
        <v>Ohms</v>
      </c>
      <c r="K84" s="2" t="str">
        <f t="shared" si="12"/>
        <v>RTG</v>
      </c>
      <c r="L84" s="7">
        <v>45843</v>
      </c>
      <c r="M84" s="7">
        <f t="shared" si="13"/>
        <v>46208</v>
      </c>
      <c r="N84" s="7" t="str">
        <f t="shared" si="14"/>
        <v>Anual</v>
      </c>
      <c r="O84" s="2" t="str">
        <f t="shared" ca="1" si="15"/>
        <v>VIGENTE</v>
      </c>
      <c r="P84" s="6" t="s">
        <v>25</v>
      </c>
      <c r="Q84" s="2"/>
    </row>
    <row r="85" spans="1:17" x14ac:dyDescent="0.25">
      <c r="A85" s="23" t="s">
        <v>164</v>
      </c>
      <c r="B85" s="2" t="s">
        <v>165</v>
      </c>
      <c r="C85" s="3" t="s">
        <v>22</v>
      </c>
      <c r="D85" s="3" t="s">
        <v>23</v>
      </c>
      <c r="E85" s="2" t="s">
        <v>24</v>
      </c>
      <c r="F85" s="4">
        <v>0</v>
      </c>
      <c r="G85" s="8">
        <f t="shared" si="9"/>
        <v>1000000000</v>
      </c>
      <c r="H85" s="4" t="str">
        <f t="shared" si="10"/>
        <v>Ohms</v>
      </c>
      <c r="I85" s="14">
        <v>360000000</v>
      </c>
      <c r="J85" s="6" t="str">
        <f t="shared" si="11"/>
        <v>Ohms</v>
      </c>
      <c r="K85" s="2" t="str">
        <f t="shared" si="12"/>
        <v>RTG</v>
      </c>
      <c r="L85" s="7">
        <v>45720</v>
      </c>
      <c r="M85" s="7">
        <f t="shared" si="13"/>
        <v>46085</v>
      </c>
      <c r="N85" s="7" t="str">
        <f t="shared" si="14"/>
        <v>Anual</v>
      </c>
      <c r="O85" s="2" t="str">
        <f t="shared" ca="1" si="15"/>
        <v>VENCIDO</v>
      </c>
      <c r="P85" s="6" t="s">
        <v>25</v>
      </c>
      <c r="Q85" s="2"/>
    </row>
    <row r="86" spans="1:17" x14ac:dyDescent="0.25">
      <c r="A86" s="23" t="s">
        <v>164</v>
      </c>
      <c r="B86" s="2" t="s">
        <v>166</v>
      </c>
      <c r="C86" s="3" t="s">
        <v>22</v>
      </c>
      <c r="D86" s="3" t="s">
        <v>23</v>
      </c>
      <c r="E86" s="2" t="s">
        <v>24</v>
      </c>
      <c r="F86" s="4">
        <v>0</v>
      </c>
      <c r="G86" s="8">
        <f t="shared" si="9"/>
        <v>1000000000</v>
      </c>
      <c r="H86" s="4" t="str">
        <f t="shared" si="10"/>
        <v>Ohms</v>
      </c>
      <c r="I86" s="14">
        <v>4200000</v>
      </c>
      <c r="J86" s="6" t="str">
        <f t="shared" si="11"/>
        <v>Ohms</v>
      </c>
      <c r="K86" s="2" t="str">
        <f t="shared" si="12"/>
        <v>RTG</v>
      </c>
      <c r="L86" s="7">
        <v>45720</v>
      </c>
      <c r="M86" s="7">
        <f t="shared" si="13"/>
        <v>46085</v>
      </c>
      <c r="N86" s="7" t="str">
        <f t="shared" si="14"/>
        <v>Anual</v>
      </c>
      <c r="O86" s="2" t="str">
        <f t="shared" ca="1" si="15"/>
        <v>VENCIDO</v>
      </c>
      <c r="P86" s="6" t="s">
        <v>25</v>
      </c>
      <c r="Q86" s="2"/>
    </row>
    <row r="87" spans="1:17" x14ac:dyDescent="0.25">
      <c r="A87" s="23" t="s">
        <v>164</v>
      </c>
      <c r="B87" s="2" t="s">
        <v>167</v>
      </c>
      <c r="C87" s="3" t="s">
        <v>22</v>
      </c>
      <c r="D87" s="3" t="s">
        <v>23</v>
      </c>
      <c r="E87" s="2" t="s">
        <v>24</v>
      </c>
      <c r="F87" s="4">
        <v>0</v>
      </c>
      <c r="G87" s="8">
        <f t="shared" si="9"/>
        <v>1000000000</v>
      </c>
      <c r="H87" s="4" t="str">
        <f t="shared" si="10"/>
        <v>Ohms</v>
      </c>
      <c r="I87" s="14">
        <v>158000000</v>
      </c>
      <c r="J87" s="6" t="str">
        <f t="shared" si="11"/>
        <v>Ohms</v>
      </c>
      <c r="K87" s="2" t="str">
        <f t="shared" si="12"/>
        <v>RTG</v>
      </c>
      <c r="L87" s="7">
        <v>45720</v>
      </c>
      <c r="M87" s="7">
        <f t="shared" si="13"/>
        <v>46085</v>
      </c>
      <c r="N87" s="7" t="str">
        <f t="shared" si="14"/>
        <v>Anual</v>
      </c>
      <c r="O87" s="2" t="str">
        <f t="shared" ca="1" si="15"/>
        <v>VENCIDO</v>
      </c>
      <c r="P87" s="6" t="s">
        <v>25</v>
      </c>
      <c r="Q87" s="2"/>
    </row>
    <row r="88" spans="1:17" x14ac:dyDescent="0.25">
      <c r="A88" s="23" t="s">
        <v>164</v>
      </c>
      <c r="B88" s="2" t="s">
        <v>168</v>
      </c>
      <c r="C88" s="3" t="s">
        <v>28</v>
      </c>
      <c r="D88" s="3" t="s">
        <v>23</v>
      </c>
      <c r="E88" s="2" t="s">
        <v>24</v>
      </c>
      <c r="F88" s="4">
        <v>1</v>
      </c>
      <c r="G88" s="8">
        <f t="shared" si="9"/>
        <v>1000000000</v>
      </c>
      <c r="H88" s="4" t="str">
        <f t="shared" si="10"/>
        <v>Ohms</v>
      </c>
      <c r="I88" s="14">
        <v>112000</v>
      </c>
      <c r="J88" s="6" t="str">
        <f t="shared" si="11"/>
        <v>Ohms</v>
      </c>
      <c r="K88" s="2" t="str">
        <f t="shared" si="12"/>
        <v>RTG</v>
      </c>
      <c r="L88" s="7">
        <v>45897</v>
      </c>
      <c r="M88" s="7">
        <f t="shared" si="13"/>
        <v>46262</v>
      </c>
      <c r="N88" s="7" t="str">
        <f t="shared" si="14"/>
        <v>Anual</v>
      </c>
      <c r="O88" s="2" t="str">
        <f t="shared" ca="1" si="15"/>
        <v>VIGENTE</v>
      </c>
      <c r="P88" s="6" t="s">
        <v>25</v>
      </c>
      <c r="Q88" s="2"/>
    </row>
    <row r="89" spans="1:17" x14ac:dyDescent="0.25">
      <c r="A89" s="23" t="s">
        <v>164</v>
      </c>
      <c r="B89" s="2" t="s">
        <v>169</v>
      </c>
      <c r="C89" s="3" t="s">
        <v>28</v>
      </c>
      <c r="D89" s="3" t="s">
        <v>23</v>
      </c>
      <c r="E89" s="2" t="s">
        <v>24</v>
      </c>
      <c r="F89" s="4">
        <v>0</v>
      </c>
      <c r="G89" s="8">
        <f t="shared" si="9"/>
        <v>1000000000</v>
      </c>
      <c r="H89" s="4" t="str">
        <f t="shared" si="10"/>
        <v>Ohms</v>
      </c>
      <c r="I89" s="14">
        <v>5120</v>
      </c>
      <c r="J89" s="6" t="str">
        <f t="shared" si="11"/>
        <v>Ohms</v>
      </c>
      <c r="K89" s="2" t="str">
        <f t="shared" si="12"/>
        <v>RTG</v>
      </c>
      <c r="L89" s="7">
        <v>45980</v>
      </c>
      <c r="M89" s="7">
        <f t="shared" si="13"/>
        <v>46345</v>
      </c>
      <c r="N89" s="7" t="str">
        <f t="shared" si="14"/>
        <v>Anual</v>
      </c>
      <c r="O89" s="2" t="str">
        <f t="shared" ca="1" si="15"/>
        <v>VIGENTE</v>
      </c>
      <c r="P89" s="6" t="s">
        <v>25</v>
      </c>
      <c r="Q89" s="2"/>
    </row>
    <row r="90" spans="1:17" x14ac:dyDescent="0.25">
      <c r="A90" s="23" t="s">
        <v>164</v>
      </c>
      <c r="B90" s="2" t="s">
        <v>170</v>
      </c>
      <c r="C90" s="3" t="s">
        <v>28</v>
      </c>
      <c r="D90" s="3" t="s">
        <v>23</v>
      </c>
      <c r="E90" s="2" t="s">
        <v>24</v>
      </c>
      <c r="F90" s="4">
        <v>0</v>
      </c>
      <c r="G90" s="8">
        <f t="shared" si="9"/>
        <v>1000000000</v>
      </c>
      <c r="H90" s="4" t="str">
        <f t="shared" si="10"/>
        <v>Ohms</v>
      </c>
      <c r="I90" s="14">
        <v>56800000</v>
      </c>
      <c r="J90" s="6" t="str">
        <f t="shared" si="11"/>
        <v>Ohms</v>
      </c>
      <c r="K90" s="2" t="str">
        <f t="shared" si="12"/>
        <v>RTG</v>
      </c>
      <c r="L90" s="7">
        <v>46107</v>
      </c>
      <c r="M90" s="7">
        <f t="shared" si="13"/>
        <v>46287</v>
      </c>
      <c r="N90" s="7" t="str">
        <f>IF(C90="Ionizador", "Trimestral", IF(C90="Rack", "Semestral", IF(C90="Mesa", "Semestral", IF(C90="Tapete", "Semestral", IF(C90="Cautín", "Semestral", IF(C90="Silla", "Semestral", "Anual"))))))</f>
        <v>Semestral</v>
      </c>
      <c r="O90" s="2" t="str">
        <f t="shared" ca="1" si="15"/>
        <v>VIGENTE</v>
      </c>
      <c r="P90" s="6"/>
      <c r="Q90" s="2"/>
    </row>
    <row r="91" spans="1:17" x14ac:dyDescent="0.25">
      <c r="A91" s="23" t="s">
        <v>164</v>
      </c>
      <c r="B91" s="2" t="s">
        <v>171</v>
      </c>
      <c r="C91" s="3" t="s">
        <v>28</v>
      </c>
      <c r="D91" s="3" t="s">
        <v>23</v>
      </c>
      <c r="E91" s="2" t="s">
        <v>24</v>
      </c>
      <c r="F91" s="4">
        <v>0</v>
      </c>
      <c r="G91" s="8">
        <f t="shared" si="9"/>
        <v>1000000000</v>
      </c>
      <c r="H91" s="4" t="str">
        <f t="shared" si="10"/>
        <v>Ohms</v>
      </c>
      <c r="I91" s="14">
        <v>64800000</v>
      </c>
      <c r="J91" s="6" t="str">
        <f t="shared" si="11"/>
        <v>Ohms</v>
      </c>
      <c r="K91" s="2" t="str">
        <f t="shared" si="12"/>
        <v>RTG</v>
      </c>
      <c r="L91" s="7">
        <v>46107</v>
      </c>
      <c r="M91" s="7">
        <f t="shared" si="13"/>
        <v>46287</v>
      </c>
      <c r="N91" s="7" t="str">
        <f>IF(C91="Ionizador", "Trimestral", IF(C91="Rack", "Semestral", IF(C91="Mesa", "Semestral", IF(C91="Tapete", "Semestral", IF(C91="Cautín", "Semestral", IF(C91="Silla", "Semestral", "Anual"))))))</f>
        <v>Semestral</v>
      </c>
      <c r="O91" s="2" t="str">
        <f t="shared" ca="1" si="15"/>
        <v>VIGENTE</v>
      </c>
      <c r="P91" s="6"/>
      <c r="Q91" s="2"/>
    </row>
    <row r="92" spans="1:17" x14ac:dyDescent="0.25">
      <c r="A92" s="23" t="s">
        <v>164</v>
      </c>
      <c r="B92" s="2" t="s">
        <v>451</v>
      </c>
      <c r="C92" s="3" t="s">
        <v>22</v>
      </c>
      <c r="D92" s="3" t="s">
        <v>23</v>
      </c>
      <c r="E92" s="2" t="s">
        <v>24</v>
      </c>
      <c r="F92" s="4">
        <v>0</v>
      </c>
      <c r="G92" s="8">
        <f t="shared" si="9"/>
        <v>1000000000</v>
      </c>
      <c r="H92" s="4" t="str">
        <f t="shared" si="10"/>
        <v>Ohms</v>
      </c>
      <c r="I92" s="6">
        <v>121000</v>
      </c>
      <c r="J92" s="6" t="str">
        <f t="shared" si="11"/>
        <v>Ohms</v>
      </c>
      <c r="K92" s="2" t="str">
        <f t="shared" si="12"/>
        <v>RTG</v>
      </c>
      <c r="L92" s="7">
        <v>45720</v>
      </c>
      <c r="M92" s="7">
        <f t="shared" si="13"/>
        <v>46085</v>
      </c>
      <c r="N92" s="7" t="str">
        <f t="shared" ref="N92:N123" si="16">IF(C92="Ionizador", "Trimestral", IF(C92="Rack", "Anual", IF(C92="Mesa", "Anual", IF(C92="Tapete", "Semestral", IF(C92="Cautín", "Semestral", IF(C92="Silla", "Semestral", "Anual"))))))</f>
        <v>Anual</v>
      </c>
      <c r="O92" s="2" t="str">
        <f t="shared" ca="1" si="15"/>
        <v>VENCIDO</v>
      </c>
      <c r="P92" s="6" t="s">
        <v>25</v>
      </c>
      <c r="Q92" s="2"/>
    </row>
    <row r="93" spans="1:17" x14ac:dyDescent="0.25">
      <c r="A93" s="23" t="s">
        <v>164</v>
      </c>
      <c r="B93" s="2" t="s">
        <v>460</v>
      </c>
      <c r="C93" s="3" t="s">
        <v>22</v>
      </c>
      <c r="D93" s="3" t="s">
        <v>23</v>
      </c>
      <c r="E93" s="2" t="s">
        <v>24</v>
      </c>
      <c r="F93" s="4">
        <v>0</v>
      </c>
      <c r="G93" s="8">
        <f t="shared" si="9"/>
        <v>1000000000</v>
      </c>
      <c r="H93" s="4" t="str">
        <f t="shared" si="10"/>
        <v>Ohms</v>
      </c>
      <c r="I93" s="6">
        <v>211000</v>
      </c>
      <c r="J93" s="6" t="str">
        <f t="shared" si="11"/>
        <v>Ohms</v>
      </c>
      <c r="K93" s="2" t="str">
        <f t="shared" si="12"/>
        <v>RTG</v>
      </c>
      <c r="L93" s="7">
        <v>45720</v>
      </c>
      <c r="M93" s="7">
        <f t="shared" si="13"/>
        <v>46085</v>
      </c>
      <c r="N93" s="7" t="str">
        <f t="shared" si="16"/>
        <v>Anual</v>
      </c>
      <c r="O93" s="2" t="str">
        <f t="shared" ca="1" si="15"/>
        <v>VENCIDO</v>
      </c>
      <c r="P93" s="6" t="s">
        <v>25</v>
      </c>
      <c r="Q93" s="2"/>
    </row>
    <row r="94" spans="1:17" x14ac:dyDescent="0.25">
      <c r="A94" s="23" t="s">
        <v>164</v>
      </c>
      <c r="B94" s="2" t="s">
        <v>461</v>
      </c>
      <c r="C94" s="3" t="s">
        <v>22</v>
      </c>
      <c r="D94" s="3" t="s">
        <v>23</v>
      </c>
      <c r="E94" s="2" t="s">
        <v>24</v>
      </c>
      <c r="F94" s="4">
        <v>0</v>
      </c>
      <c r="G94" s="8">
        <f t="shared" si="9"/>
        <v>1000000000</v>
      </c>
      <c r="H94" s="4" t="str">
        <f t="shared" si="10"/>
        <v>Ohms</v>
      </c>
      <c r="I94" s="6">
        <v>37000000</v>
      </c>
      <c r="J94" s="6" t="str">
        <f t="shared" si="11"/>
        <v>Ohms</v>
      </c>
      <c r="K94" s="2" t="str">
        <f t="shared" si="12"/>
        <v>RTG</v>
      </c>
      <c r="L94" s="7">
        <v>45720</v>
      </c>
      <c r="M94" s="7">
        <f t="shared" si="13"/>
        <v>46085</v>
      </c>
      <c r="N94" s="7" t="str">
        <f t="shared" si="16"/>
        <v>Anual</v>
      </c>
      <c r="O94" s="2" t="str">
        <f t="shared" ca="1" si="15"/>
        <v>VENCIDO</v>
      </c>
      <c r="P94" s="6" t="s">
        <v>25</v>
      </c>
      <c r="Q94" s="2"/>
    </row>
    <row r="95" spans="1:17" x14ac:dyDescent="0.25">
      <c r="A95" s="23" t="s">
        <v>164</v>
      </c>
      <c r="B95" s="2" t="s">
        <v>462</v>
      </c>
      <c r="C95" s="3" t="s">
        <v>22</v>
      </c>
      <c r="D95" s="3" t="s">
        <v>23</v>
      </c>
      <c r="E95" s="2" t="s">
        <v>24</v>
      </c>
      <c r="F95" s="4">
        <v>0</v>
      </c>
      <c r="G95" s="8">
        <f t="shared" si="9"/>
        <v>1000000000</v>
      </c>
      <c r="H95" s="4" t="str">
        <f t="shared" si="10"/>
        <v>Ohms</v>
      </c>
      <c r="I95" s="6">
        <v>575000000</v>
      </c>
      <c r="J95" s="6" t="str">
        <f t="shared" si="11"/>
        <v>Ohms</v>
      </c>
      <c r="K95" s="2" t="str">
        <f t="shared" si="12"/>
        <v>RTG</v>
      </c>
      <c r="L95" s="7">
        <v>45720</v>
      </c>
      <c r="M95" s="7">
        <f t="shared" si="13"/>
        <v>46085</v>
      </c>
      <c r="N95" s="7" t="str">
        <f t="shared" si="16"/>
        <v>Anual</v>
      </c>
      <c r="O95" s="2" t="str">
        <f t="shared" ca="1" si="15"/>
        <v>VENCIDO</v>
      </c>
      <c r="P95" s="6" t="s">
        <v>25</v>
      </c>
      <c r="Q95" s="2"/>
    </row>
    <row r="96" spans="1:17" x14ac:dyDescent="0.25">
      <c r="A96" s="23" t="s">
        <v>164</v>
      </c>
      <c r="B96" s="2" t="s">
        <v>552</v>
      </c>
      <c r="C96" s="3" t="s">
        <v>28</v>
      </c>
      <c r="D96" s="3" t="s">
        <v>23</v>
      </c>
      <c r="E96" s="2" t="s">
        <v>24</v>
      </c>
      <c r="F96" s="4">
        <v>0</v>
      </c>
      <c r="G96" s="8">
        <f t="shared" si="9"/>
        <v>1000000000</v>
      </c>
      <c r="H96" s="4" t="str">
        <f t="shared" si="10"/>
        <v>Ohms</v>
      </c>
      <c r="I96" s="6">
        <v>283400000</v>
      </c>
      <c r="J96" s="6" t="str">
        <f t="shared" si="11"/>
        <v>Ohms</v>
      </c>
      <c r="K96" s="2" t="str">
        <f t="shared" si="12"/>
        <v>RTG</v>
      </c>
      <c r="L96" s="7">
        <v>45720</v>
      </c>
      <c r="M96" s="7">
        <f t="shared" si="13"/>
        <v>46085</v>
      </c>
      <c r="N96" s="7" t="str">
        <f t="shared" si="16"/>
        <v>Anual</v>
      </c>
      <c r="O96" s="2" t="str">
        <f t="shared" ca="1" si="15"/>
        <v>VENCIDO</v>
      </c>
      <c r="P96" s="6" t="s">
        <v>25</v>
      </c>
      <c r="Q96" s="2" t="s">
        <v>29</v>
      </c>
    </row>
    <row r="97" spans="1:17" x14ac:dyDescent="0.25">
      <c r="A97" s="23" t="s">
        <v>164</v>
      </c>
      <c r="B97" s="2" t="s">
        <v>578</v>
      </c>
      <c r="C97" s="3" t="s">
        <v>28</v>
      </c>
      <c r="D97" s="3" t="s">
        <v>23</v>
      </c>
      <c r="E97" s="2" t="s">
        <v>24</v>
      </c>
      <c r="F97" s="4">
        <v>0</v>
      </c>
      <c r="G97" s="8">
        <f t="shared" si="9"/>
        <v>1000000000</v>
      </c>
      <c r="H97" s="4" t="str">
        <f t="shared" si="10"/>
        <v>Ohms</v>
      </c>
      <c r="I97" s="14">
        <v>158000000</v>
      </c>
      <c r="J97" s="6" t="str">
        <f t="shared" si="11"/>
        <v>Ohms</v>
      </c>
      <c r="K97" s="2" t="str">
        <f t="shared" si="12"/>
        <v>RTG</v>
      </c>
      <c r="L97" s="7">
        <v>45720</v>
      </c>
      <c r="M97" s="7">
        <f t="shared" si="13"/>
        <v>46085</v>
      </c>
      <c r="N97" s="7" t="str">
        <f t="shared" si="16"/>
        <v>Anual</v>
      </c>
      <c r="O97" s="2" t="str">
        <f t="shared" ca="1" si="15"/>
        <v>VENCIDO</v>
      </c>
      <c r="P97" s="6" t="s">
        <v>25</v>
      </c>
      <c r="Q97" s="2" t="s">
        <v>29</v>
      </c>
    </row>
    <row r="98" spans="1:17" x14ac:dyDescent="0.25">
      <c r="A98" s="23" t="s">
        <v>164</v>
      </c>
      <c r="B98" s="2" t="s">
        <v>579</v>
      </c>
      <c r="C98" s="3" t="s">
        <v>28</v>
      </c>
      <c r="D98" s="3" t="s">
        <v>23</v>
      </c>
      <c r="E98" s="2" t="s">
        <v>24</v>
      </c>
      <c r="F98" s="4">
        <v>0</v>
      </c>
      <c r="G98" s="8">
        <f t="shared" si="9"/>
        <v>1000000000</v>
      </c>
      <c r="H98" s="4" t="str">
        <f t="shared" si="10"/>
        <v>Ohms</v>
      </c>
      <c r="I98" s="6">
        <v>460000000</v>
      </c>
      <c r="J98" s="6" t="str">
        <f t="shared" si="11"/>
        <v>Ohms</v>
      </c>
      <c r="K98" s="2" t="str">
        <f t="shared" si="12"/>
        <v>RTG</v>
      </c>
      <c r="L98" s="7">
        <v>45720</v>
      </c>
      <c r="M98" s="7">
        <f t="shared" si="13"/>
        <v>46085</v>
      </c>
      <c r="N98" s="7" t="str">
        <f t="shared" si="16"/>
        <v>Anual</v>
      </c>
      <c r="O98" s="2" t="str">
        <f t="shared" ca="1" si="15"/>
        <v>VENCIDO</v>
      </c>
      <c r="P98" s="6" t="s">
        <v>25</v>
      </c>
      <c r="Q98" s="2" t="s">
        <v>29</v>
      </c>
    </row>
    <row r="99" spans="1:17" x14ac:dyDescent="0.25">
      <c r="A99" s="23" t="s">
        <v>164</v>
      </c>
      <c r="B99" s="2" t="s">
        <v>589</v>
      </c>
      <c r="C99" s="3" t="s">
        <v>28</v>
      </c>
      <c r="D99" s="3" t="s">
        <v>23</v>
      </c>
      <c r="E99" s="2" t="s">
        <v>24</v>
      </c>
      <c r="F99" s="4">
        <v>0</v>
      </c>
      <c r="G99" s="8">
        <f t="shared" si="9"/>
        <v>1000000000</v>
      </c>
      <c r="H99" s="4" t="str">
        <f t="shared" si="10"/>
        <v>Ohms</v>
      </c>
      <c r="I99" s="6">
        <v>522000000</v>
      </c>
      <c r="J99" s="6" t="str">
        <f t="shared" si="11"/>
        <v>Ohms</v>
      </c>
      <c r="K99" s="2" t="str">
        <f t="shared" si="12"/>
        <v>RTG</v>
      </c>
      <c r="L99" s="7">
        <v>45720</v>
      </c>
      <c r="M99" s="7">
        <f t="shared" si="13"/>
        <v>46085</v>
      </c>
      <c r="N99" s="7" t="str">
        <f t="shared" si="16"/>
        <v>Anual</v>
      </c>
      <c r="O99" s="2" t="str">
        <f t="shared" ca="1" si="15"/>
        <v>VENCIDO</v>
      </c>
      <c r="P99" s="6" t="s">
        <v>25</v>
      </c>
      <c r="Q99" s="2" t="s">
        <v>29</v>
      </c>
    </row>
    <row r="100" spans="1:17" x14ac:dyDescent="0.25">
      <c r="A100" s="23" t="s">
        <v>164</v>
      </c>
      <c r="B100" s="2" t="s">
        <v>590</v>
      </c>
      <c r="C100" s="3" t="s">
        <v>28</v>
      </c>
      <c r="D100" s="3" t="s">
        <v>23</v>
      </c>
      <c r="E100" s="2" t="s">
        <v>24</v>
      </c>
      <c r="F100" s="4">
        <v>0</v>
      </c>
      <c r="G100" s="8">
        <f t="shared" si="9"/>
        <v>1000000000</v>
      </c>
      <c r="H100" s="4" t="str">
        <f t="shared" si="10"/>
        <v>Ohms</v>
      </c>
      <c r="I100" s="6">
        <v>1000000</v>
      </c>
      <c r="J100" s="6" t="str">
        <f t="shared" si="11"/>
        <v>Ohms</v>
      </c>
      <c r="K100" s="2" t="str">
        <f t="shared" si="12"/>
        <v>RTG</v>
      </c>
      <c r="L100" s="7">
        <v>45720</v>
      </c>
      <c r="M100" s="7">
        <f t="shared" si="13"/>
        <v>46085</v>
      </c>
      <c r="N100" s="7" t="str">
        <f t="shared" si="16"/>
        <v>Anual</v>
      </c>
      <c r="O100" s="2" t="str">
        <f t="shared" ca="1" si="15"/>
        <v>VENCIDO</v>
      </c>
      <c r="P100" s="6" t="s">
        <v>25</v>
      </c>
      <c r="Q100" s="2" t="s">
        <v>29</v>
      </c>
    </row>
    <row r="101" spans="1:17" x14ac:dyDescent="0.25">
      <c r="A101" s="23" t="s">
        <v>164</v>
      </c>
      <c r="B101" s="2" t="s">
        <v>596</v>
      </c>
      <c r="C101" s="3" t="s">
        <v>28</v>
      </c>
      <c r="D101" s="3" t="s">
        <v>23</v>
      </c>
      <c r="E101" s="2" t="s">
        <v>24</v>
      </c>
      <c r="F101" s="4">
        <v>0</v>
      </c>
      <c r="G101" s="8">
        <f t="shared" si="9"/>
        <v>1000000000</v>
      </c>
      <c r="H101" s="4" t="str">
        <f t="shared" si="10"/>
        <v>Ohms</v>
      </c>
      <c r="I101" s="14">
        <v>4160000</v>
      </c>
      <c r="J101" s="6" t="str">
        <f t="shared" si="11"/>
        <v>Ohms</v>
      </c>
      <c r="K101" s="2" t="str">
        <f t="shared" si="12"/>
        <v>RTG</v>
      </c>
      <c r="L101" s="7">
        <v>45720</v>
      </c>
      <c r="M101" s="7">
        <f t="shared" si="13"/>
        <v>46085</v>
      </c>
      <c r="N101" s="7" t="str">
        <f t="shared" si="16"/>
        <v>Anual</v>
      </c>
      <c r="O101" s="2" t="str">
        <f t="shared" ca="1" si="15"/>
        <v>VENCIDO</v>
      </c>
      <c r="P101" s="6" t="s">
        <v>25</v>
      </c>
      <c r="Q101" s="2" t="s">
        <v>29</v>
      </c>
    </row>
    <row r="102" spans="1:17" x14ac:dyDescent="0.25">
      <c r="A102" s="23" t="s">
        <v>164</v>
      </c>
      <c r="B102" s="2" t="s">
        <v>597</v>
      </c>
      <c r="C102" s="3" t="s">
        <v>28</v>
      </c>
      <c r="D102" s="3" t="s">
        <v>23</v>
      </c>
      <c r="E102" s="2" t="s">
        <v>24</v>
      </c>
      <c r="F102" s="4">
        <v>0</v>
      </c>
      <c r="G102" s="8">
        <f t="shared" si="9"/>
        <v>1000000000</v>
      </c>
      <c r="H102" s="4" t="str">
        <f t="shared" si="10"/>
        <v>Ohms</v>
      </c>
      <c r="I102" s="6">
        <v>547000000</v>
      </c>
      <c r="J102" s="6" t="str">
        <f t="shared" si="11"/>
        <v>Ohms</v>
      </c>
      <c r="K102" s="2" t="str">
        <f t="shared" si="12"/>
        <v>RTG</v>
      </c>
      <c r="L102" s="7">
        <v>46057</v>
      </c>
      <c r="M102" s="7">
        <f t="shared" si="13"/>
        <v>46422</v>
      </c>
      <c r="N102" s="7" t="str">
        <f t="shared" si="16"/>
        <v>Anual</v>
      </c>
      <c r="O102" s="2" t="str">
        <f t="shared" ca="1" si="15"/>
        <v>VIGENTE</v>
      </c>
      <c r="P102" s="6" t="s">
        <v>25</v>
      </c>
      <c r="Q102" s="2" t="s">
        <v>29</v>
      </c>
    </row>
    <row r="103" spans="1:17" x14ac:dyDescent="0.25">
      <c r="A103" s="23" t="s">
        <v>164</v>
      </c>
      <c r="B103" s="2" t="s">
        <v>603</v>
      </c>
      <c r="C103" s="3" t="s">
        <v>28</v>
      </c>
      <c r="D103" s="3" t="s">
        <v>23</v>
      </c>
      <c r="E103" s="2" t="s">
        <v>24</v>
      </c>
      <c r="F103" s="4">
        <v>0</v>
      </c>
      <c r="G103" s="8">
        <f t="shared" si="9"/>
        <v>1000000000</v>
      </c>
      <c r="H103" s="4" t="str">
        <f t="shared" si="10"/>
        <v>Ohms</v>
      </c>
      <c r="I103" s="14">
        <v>2930000</v>
      </c>
      <c r="J103" s="6" t="str">
        <f t="shared" si="11"/>
        <v>Ohms</v>
      </c>
      <c r="K103" s="2" t="str">
        <f t="shared" si="12"/>
        <v>RTG</v>
      </c>
      <c r="L103" s="7">
        <v>45720</v>
      </c>
      <c r="M103" s="7">
        <f t="shared" si="13"/>
        <v>46085</v>
      </c>
      <c r="N103" s="7" t="str">
        <f t="shared" si="16"/>
        <v>Anual</v>
      </c>
      <c r="O103" s="2" t="str">
        <f t="shared" ref="O103:O134" ca="1" si="17">IF(M103&lt;TODAY(),"VENCIDO",IF(M103=TODAY(),"VIGENTE",IF(M103&gt;TODAY(),"VIGENTE")))</f>
        <v>VENCIDO</v>
      </c>
      <c r="P103" s="6" t="s">
        <v>25</v>
      </c>
      <c r="Q103" s="2" t="s">
        <v>29</v>
      </c>
    </row>
    <row r="104" spans="1:17" x14ac:dyDescent="0.25">
      <c r="A104" s="23" t="s">
        <v>164</v>
      </c>
      <c r="B104" s="2" t="s">
        <v>637</v>
      </c>
      <c r="C104" s="3" t="s">
        <v>28</v>
      </c>
      <c r="D104" s="3" t="s">
        <v>23</v>
      </c>
      <c r="E104" s="2" t="s">
        <v>24</v>
      </c>
      <c r="F104" s="4">
        <v>0</v>
      </c>
      <c r="G104" s="8">
        <f t="shared" si="9"/>
        <v>1000000000</v>
      </c>
      <c r="H104" s="4" t="str">
        <f t="shared" si="10"/>
        <v>Ohms</v>
      </c>
      <c r="I104" s="6">
        <v>6890000</v>
      </c>
      <c r="J104" s="6" t="str">
        <f t="shared" si="11"/>
        <v>Ohms</v>
      </c>
      <c r="K104" s="2" t="str">
        <f t="shared" si="12"/>
        <v>RTG</v>
      </c>
      <c r="L104" s="7">
        <v>45720</v>
      </c>
      <c r="M104" s="7">
        <f t="shared" si="13"/>
        <v>46085</v>
      </c>
      <c r="N104" s="7" t="str">
        <f t="shared" si="16"/>
        <v>Anual</v>
      </c>
      <c r="O104" s="2" t="str">
        <f t="shared" ca="1" si="17"/>
        <v>VENCIDO</v>
      </c>
      <c r="P104" s="6" t="s">
        <v>25</v>
      </c>
      <c r="Q104" s="2" t="s">
        <v>29</v>
      </c>
    </row>
    <row r="105" spans="1:17" x14ac:dyDescent="0.25">
      <c r="A105" s="23" t="s">
        <v>164</v>
      </c>
      <c r="B105" s="2" t="s">
        <v>1116</v>
      </c>
      <c r="C105" s="3" t="s">
        <v>28</v>
      </c>
      <c r="D105" s="3" t="s">
        <v>23</v>
      </c>
      <c r="E105" s="2" t="s">
        <v>24</v>
      </c>
      <c r="F105" s="4">
        <v>0</v>
      </c>
      <c r="G105" s="8">
        <f t="shared" si="9"/>
        <v>1000000000</v>
      </c>
      <c r="H105" s="4" t="str">
        <f t="shared" si="10"/>
        <v>Ohms</v>
      </c>
      <c r="I105" s="6">
        <v>81600</v>
      </c>
      <c r="J105" s="6" t="str">
        <f t="shared" si="11"/>
        <v>Ohms</v>
      </c>
      <c r="K105" s="2" t="str">
        <f t="shared" si="12"/>
        <v>RTG</v>
      </c>
      <c r="L105" s="7">
        <v>45720</v>
      </c>
      <c r="M105" s="7">
        <f t="shared" si="13"/>
        <v>46085</v>
      </c>
      <c r="N105" s="7" t="str">
        <f t="shared" si="16"/>
        <v>Anual</v>
      </c>
      <c r="O105" s="2" t="str">
        <f t="shared" ca="1" si="17"/>
        <v>VENCIDO</v>
      </c>
      <c r="P105" s="6" t="s">
        <v>25</v>
      </c>
      <c r="Q105" s="2" t="s">
        <v>29</v>
      </c>
    </row>
    <row r="106" spans="1:17" x14ac:dyDescent="0.25">
      <c r="A106" s="23" t="s">
        <v>172</v>
      </c>
      <c r="B106" s="2" t="s">
        <v>173</v>
      </c>
      <c r="C106" s="3" t="s">
        <v>89</v>
      </c>
      <c r="D106" s="3" t="s">
        <v>23</v>
      </c>
      <c r="E106" s="2" t="s">
        <v>24</v>
      </c>
      <c r="F106" s="4">
        <v>0</v>
      </c>
      <c r="G106" s="8">
        <f t="shared" si="9"/>
        <v>1000000000</v>
      </c>
      <c r="H106" s="4" t="str">
        <f t="shared" si="10"/>
        <v>Ohms</v>
      </c>
      <c r="I106" s="14">
        <v>95700000</v>
      </c>
      <c r="J106" s="6" t="str">
        <f t="shared" si="11"/>
        <v>Ohms</v>
      </c>
      <c r="K106" s="2" t="str">
        <f t="shared" si="12"/>
        <v>RTG</v>
      </c>
      <c r="L106" s="7">
        <v>45843</v>
      </c>
      <c r="M106" s="7">
        <f t="shared" si="13"/>
        <v>46208</v>
      </c>
      <c r="N106" s="7" t="str">
        <f t="shared" si="16"/>
        <v>Anual</v>
      </c>
      <c r="O106" s="2" t="str">
        <f t="shared" ca="1" si="17"/>
        <v>VIGENTE</v>
      </c>
      <c r="P106" s="6" t="s">
        <v>25</v>
      </c>
      <c r="Q106" s="2" t="s">
        <v>126</v>
      </c>
    </row>
    <row r="107" spans="1:17" x14ac:dyDescent="0.25">
      <c r="A107" s="23" t="s">
        <v>172</v>
      </c>
      <c r="B107" s="2" t="s">
        <v>174</v>
      </c>
      <c r="C107" s="3" t="s">
        <v>89</v>
      </c>
      <c r="D107" s="3" t="s">
        <v>23</v>
      </c>
      <c r="E107" s="2" t="s">
        <v>24</v>
      </c>
      <c r="F107" s="4">
        <v>0</v>
      </c>
      <c r="G107" s="8">
        <f t="shared" si="9"/>
        <v>1000000000</v>
      </c>
      <c r="H107" s="4" t="str">
        <f t="shared" si="10"/>
        <v>Ohms</v>
      </c>
      <c r="I107" s="14">
        <v>236000000</v>
      </c>
      <c r="J107" s="6" t="str">
        <f t="shared" si="11"/>
        <v>Ohms</v>
      </c>
      <c r="K107" s="2" t="str">
        <f t="shared" si="12"/>
        <v>RTG</v>
      </c>
      <c r="L107" s="7">
        <v>45843</v>
      </c>
      <c r="M107" s="7">
        <f t="shared" si="13"/>
        <v>46208</v>
      </c>
      <c r="N107" s="7" t="str">
        <f t="shared" si="16"/>
        <v>Anual</v>
      </c>
      <c r="O107" s="2" t="str">
        <f t="shared" ca="1" si="17"/>
        <v>VIGENTE</v>
      </c>
      <c r="P107" s="6" t="s">
        <v>25</v>
      </c>
      <c r="Q107" s="2" t="s">
        <v>126</v>
      </c>
    </row>
    <row r="108" spans="1:17" x14ac:dyDescent="0.25">
      <c r="A108" s="23" t="s">
        <v>172</v>
      </c>
      <c r="B108" s="2" t="s">
        <v>175</v>
      </c>
      <c r="C108" s="3" t="s">
        <v>89</v>
      </c>
      <c r="D108" s="3" t="s">
        <v>23</v>
      </c>
      <c r="E108" s="2" t="s">
        <v>24</v>
      </c>
      <c r="F108" s="4">
        <v>0</v>
      </c>
      <c r="G108" s="8">
        <f t="shared" si="9"/>
        <v>1000000000</v>
      </c>
      <c r="H108" s="4" t="str">
        <f t="shared" si="10"/>
        <v>Ohms</v>
      </c>
      <c r="I108" s="14">
        <v>377000000</v>
      </c>
      <c r="J108" s="6" t="str">
        <f t="shared" si="11"/>
        <v>Ohms</v>
      </c>
      <c r="K108" s="2" t="str">
        <f t="shared" si="12"/>
        <v>RTG</v>
      </c>
      <c r="L108" s="7">
        <v>45843</v>
      </c>
      <c r="M108" s="7">
        <f t="shared" si="13"/>
        <v>46208</v>
      </c>
      <c r="N108" s="7" t="str">
        <f t="shared" si="16"/>
        <v>Anual</v>
      </c>
      <c r="O108" s="2" t="str">
        <f t="shared" ca="1" si="17"/>
        <v>VIGENTE</v>
      </c>
      <c r="P108" s="6" t="s">
        <v>25</v>
      </c>
      <c r="Q108" s="2" t="s">
        <v>126</v>
      </c>
    </row>
    <row r="109" spans="1:17" x14ac:dyDescent="0.25">
      <c r="A109" s="23" t="s">
        <v>172</v>
      </c>
      <c r="B109" s="2" t="s">
        <v>176</v>
      </c>
      <c r="C109" s="3" t="s">
        <v>89</v>
      </c>
      <c r="D109" s="3" t="s">
        <v>23</v>
      </c>
      <c r="E109" s="2" t="s">
        <v>24</v>
      </c>
      <c r="F109" s="4">
        <v>0</v>
      </c>
      <c r="G109" s="8">
        <f t="shared" si="9"/>
        <v>1000000000</v>
      </c>
      <c r="H109" s="4" t="str">
        <f t="shared" si="10"/>
        <v>Ohms</v>
      </c>
      <c r="I109" s="14">
        <v>294000000</v>
      </c>
      <c r="J109" s="6" t="str">
        <f t="shared" si="11"/>
        <v>Ohms</v>
      </c>
      <c r="K109" s="2" t="str">
        <f t="shared" si="12"/>
        <v>RTG</v>
      </c>
      <c r="L109" s="7">
        <v>45843</v>
      </c>
      <c r="M109" s="7">
        <f t="shared" si="13"/>
        <v>46208</v>
      </c>
      <c r="N109" s="7" t="str">
        <f t="shared" si="16"/>
        <v>Anual</v>
      </c>
      <c r="O109" s="2" t="str">
        <f t="shared" ca="1" si="17"/>
        <v>VIGENTE</v>
      </c>
      <c r="P109" s="6" t="s">
        <v>25</v>
      </c>
      <c r="Q109" s="2" t="s">
        <v>126</v>
      </c>
    </row>
    <row r="110" spans="1:17" x14ac:dyDescent="0.25">
      <c r="A110" s="23" t="s">
        <v>172</v>
      </c>
      <c r="B110" s="2" t="s">
        <v>177</v>
      </c>
      <c r="C110" s="3" t="s">
        <v>89</v>
      </c>
      <c r="D110" s="3" t="s">
        <v>23</v>
      </c>
      <c r="E110" s="2" t="s">
        <v>24</v>
      </c>
      <c r="F110" s="4">
        <v>0</v>
      </c>
      <c r="G110" s="8">
        <f t="shared" si="9"/>
        <v>1000000000</v>
      </c>
      <c r="H110" s="4" t="str">
        <f t="shared" si="10"/>
        <v>Ohms</v>
      </c>
      <c r="I110" s="14">
        <v>132000000</v>
      </c>
      <c r="J110" s="6" t="str">
        <f t="shared" si="11"/>
        <v>Ohms</v>
      </c>
      <c r="K110" s="2" t="str">
        <f t="shared" si="12"/>
        <v>RTG</v>
      </c>
      <c r="L110" s="7">
        <v>45843</v>
      </c>
      <c r="M110" s="7">
        <f t="shared" si="13"/>
        <v>46208</v>
      </c>
      <c r="N110" s="7" t="str">
        <f t="shared" si="16"/>
        <v>Anual</v>
      </c>
      <c r="O110" s="2" t="str">
        <f t="shared" ca="1" si="17"/>
        <v>VIGENTE</v>
      </c>
      <c r="P110" s="6" t="s">
        <v>25</v>
      </c>
      <c r="Q110" s="2" t="s">
        <v>126</v>
      </c>
    </row>
    <row r="111" spans="1:17" x14ac:dyDescent="0.25">
      <c r="A111" s="23" t="s">
        <v>172</v>
      </c>
      <c r="B111" s="2" t="s">
        <v>178</v>
      </c>
      <c r="C111" s="3" t="s">
        <v>89</v>
      </c>
      <c r="D111" s="3" t="s">
        <v>23</v>
      </c>
      <c r="E111" s="2" t="s">
        <v>24</v>
      </c>
      <c r="F111" s="4">
        <v>0</v>
      </c>
      <c r="G111" s="8">
        <f t="shared" si="9"/>
        <v>1000000000</v>
      </c>
      <c r="H111" s="4" t="str">
        <f t="shared" si="10"/>
        <v>Ohms</v>
      </c>
      <c r="I111" s="14">
        <v>462000000</v>
      </c>
      <c r="J111" s="6" t="str">
        <f t="shared" si="11"/>
        <v>Ohms</v>
      </c>
      <c r="K111" s="2" t="str">
        <f t="shared" si="12"/>
        <v>RTG</v>
      </c>
      <c r="L111" s="7">
        <v>45843</v>
      </c>
      <c r="M111" s="7">
        <f t="shared" si="13"/>
        <v>46208</v>
      </c>
      <c r="N111" s="7" t="str">
        <f t="shared" si="16"/>
        <v>Anual</v>
      </c>
      <c r="O111" s="2" t="str">
        <f t="shared" ca="1" si="17"/>
        <v>VIGENTE</v>
      </c>
      <c r="P111" s="6" t="s">
        <v>25</v>
      </c>
      <c r="Q111" s="2" t="s">
        <v>126</v>
      </c>
    </row>
    <row r="112" spans="1:17" x14ac:dyDescent="0.25">
      <c r="A112" s="23" t="s">
        <v>172</v>
      </c>
      <c r="B112" s="2" t="s">
        <v>179</v>
      </c>
      <c r="C112" s="3" t="s">
        <v>89</v>
      </c>
      <c r="D112" s="3" t="s">
        <v>23</v>
      </c>
      <c r="E112" s="2" t="s">
        <v>24</v>
      </c>
      <c r="F112" s="4">
        <v>0</v>
      </c>
      <c r="G112" s="8">
        <f t="shared" si="9"/>
        <v>1000000000</v>
      </c>
      <c r="H112" s="4" t="str">
        <f t="shared" si="10"/>
        <v>Ohms</v>
      </c>
      <c r="I112" s="14">
        <v>3890000</v>
      </c>
      <c r="J112" s="6" t="str">
        <f t="shared" si="11"/>
        <v>Ohms</v>
      </c>
      <c r="K112" s="2" t="str">
        <f t="shared" si="12"/>
        <v>RTG</v>
      </c>
      <c r="L112" s="7">
        <v>45843</v>
      </c>
      <c r="M112" s="7">
        <f t="shared" si="13"/>
        <v>46208</v>
      </c>
      <c r="N112" s="7" t="str">
        <f t="shared" si="16"/>
        <v>Anual</v>
      </c>
      <c r="O112" s="2" t="str">
        <f t="shared" ca="1" si="17"/>
        <v>VIGENTE</v>
      </c>
      <c r="P112" s="6" t="s">
        <v>25</v>
      </c>
      <c r="Q112" s="2" t="s">
        <v>126</v>
      </c>
    </row>
    <row r="113" spans="1:17" x14ac:dyDescent="0.25">
      <c r="A113" s="23" t="s">
        <v>172</v>
      </c>
      <c r="B113" s="2" t="s">
        <v>180</v>
      </c>
      <c r="C113" s="3" t="s">
        <v>89</v>
      </c>
      <c r="D113" s="3" t="s">
        <v>23</v>
      </c>
      <c r="E113" s="2" t="s">
        <v>24</v>
      </c>
      <c r="F113" s="4">
        <v>0</v>
      </c>
      <c r="G113" s="8">
        <f t="shared" si="9"/>
        <v>1000000000</v>
      </c>
      <c r="H113" s="4" t="str">
        <f t="shared" si="10"/>
        <v>Ohms</v>
      </c>
      <c r="I113" s="14">
        <v>158000000</v>
      </c>
      <c r="J113" s="6" t="str">
        <f t="shared" si="11"/>
        <v>Ohms</v>
      </c>
      <c r="K113" s="2" t="str">
        <f t="shared" si="12"/>
        <v>RTG</v>
      </c>
      <c r="L113" s="7">
        <v>45843</v>
      </c>
      <c r="M113" s="7">
        <f t="shared" si="13"/>
        <v>46208</v>
      </c>
      <c r="N113" s="7" t="str">
        <f t="shared" si="16"/>
        <v>Anual</v>
      </c>
      <c r="O113" s="2" t="str">
        <f t="shared" ca="1" si="17"/>
        <v>VIGENTE</v>
      </c>
      <c r="P113" s="6" t="s">
        <v>25</v>
      </c>
      <c r="Q113" s="2" t="s">
        <v>126</v>
      </c>
    </row>
    <row r="114" spans="1:17" x14ac:dyDescent="0.25">
      <c r="A114" s="23" t="s">
        <v>172</v>
      </c>
      <c r="B114" s="2" t="s">
        <v>181</v>
      </c>
      <c r="C114" s="3" t="s">
        <v>89</v>
      </c>
      <c r="D114" s="3" t="s">
        <v>23</v>
      </c>
      <c r="E114" s="2" t="s">
        <v>24</v>
      </c>
      <c r="F114" s="4">
        <v>0</v>
      </c>
      <c r="G114" s="8">
        <f t="shared" si="9"/>
        <v>1000000000</v>
      </c>
      <c r="H114" s="4" t="str">
        <f t="shared" si="10"/>
        <v>Ohms</v>
      </c>
      <c r="I114" s="14">
        <v>122000000</v>
      </c>
      <c r="J114" s="6" t="str">
        <f t="shared" si="11"/>
        <v>Ohms</v>
      </c>
      <c r="K114" s="2" t="str">
        <f t="shared" si="12"/>
        <v>RTG</v>
      </c>
      <c r="L114" s="7">
        <v>45843</v>
      </c>
      <c r="M114" s="7">
        <f t="shared" si="13"/>
        <v>46208</v>
      </c>
      <c r="N114" s="7" t="str">
        <f t="shared" si="16"/>
        <v>Anual</v>
      </c>
      <c r="O114" s="2" t="str">
        <f t="shared" ca="1" si="17"/>
        <v>VIGENTE</v>
      </c>
      <c r="P114" s="6" t="s">
        <v>25</v>
      </c>
      <c r="Q114" s="2" t="s">
        <v>126</v>
      </c>
    </row>
    <row r="115" spans="1:17" x14ac:dyDescent="0.25">
      <c r="A115" s="23" t="s">
        <v>172</v>
      </c>
      <c r="B115" s="2" t="s">
        <v>182</v>
      </c>
      <c r="C115" s="3" t="s">
        <v>89</v>
      </c>
      <c r="D115" s="3" t="s">
        <v>23</v>
      </c>
      <c r="E115" s="2" t="s">
        <v>24</v>
      </c>
      <c r="F115" s="4">
        <v>0</v>
      </c>
      <c r="G115" s="8">
        <f t="shared" si="9"/>
        <v>1000000000</v>
      </c>
      <c r="H115" s="4" t="str">
        <f t="shared" si="10"/>
        <v>Ohms</v>
      </c>
      <c r="I115" s="14">
        <v>252000000</v>
      </c>
      <c r="J115" s="6" t="str">
        <f t="shared" si="11"/>
        <v>Ohms</v>
      </c>
      <c r="K115" s="2" t="str">
        <f t="shared" si="12"/>
        <v>RTG</v>
      </c>
      <c r="L115" s="7">
        <v>45843</v>
      </c>
      <c r="M115" s="7">
        <f t="shared" si="13"/>
        <v>46208</v>
      </c>
      <c r="N115" s="7" t="str">
        <f t="shared" si="16"/>
        <v>Anual</v>
      </c>
      <c r="O115" s="2" t="str">
        <f t="shared" ca="1" si="17"/>
        <v>VIGENTE</v>
      </c>
      <c r="P115" s="6" t="s">
        <v>25</v>
      </c>
      <c r="Q115" s="2" t="s">
        <v>126</v>
      </c>
    </row>
    <row r="116" spans="1:17" x14ac:dyDescent="0.25">
      <c r="A116" s="23" t="s">
        <v>172</v>
      </c>
      <c r="B116" s="2" t="s">
        <v>183</v>
      </c>
      <c r="C116" s="3" t="s">
        <v>89</v>
      </c>
      <c r="D116" s="3" t="s">
        <v>23</v>
      </c>
      <c r="E116" s="2" t="s">
        <v>24</v>
      </c>
      <c r="F116" s="4">
        <v>0</v>
      </c>
      <c r="G116" s="8">
        <f t="shared" si="9"/>
        <v>1000000000</v>
      </c>
      <c r="H116" s="4" t="str">
        <f t="shared" si="10"/>
        <v>Ohms</v>
      </c>
      <c r="I116" s="14">
        <v>349000000</v>
      </c>
      <c r="J116" s="6" t="str">
        <f t="shared" si="11"/>
        <v>Ohms</v>
      </c>
      <c r="K116" s="2" t="str">
        <f t="shared" si="12"/>
        <v>RTG</v>
      </c>
      <c r="L116" s="7">
        <v>45843</v>
      </c>
      <c r="M116" s="7">
        <f t="shared" si="13"/>
        <v>46208</v>
      </c>
      <c r="N116" s="7" t="str">
        <f t="shared" si="16"/>
        <v>Anual</v>
      </c>
      <c r="O116" s="2" t="str">
        <f t="shared" ca="1" si="17"/>
        <v>VIGENTE</v>
      </c>
      <c r="P116" s="6" t="s">
        <v>25</v>
      </c>
      <c r="Q116" s="2" t="s">
        <v>126</v>
      </c>
    </row>
    <row r="117" spans="1:17" x14ac:dyDescent="0.25">
      <c r="A117" s="23" t="s">
        <v>172</v>
      </c>
      <c r="B117" s="2" t="s">
        <v>184</v>
      </c>
      <c r="C117" s="3" t="s">
        <v>89</v>
      </c>
      <c r="D117" s="3" t="s">
        <v>23</v>
      </c>
      <c r="E117" s="2" t="s">
        <v>24</v>
      </c>
      <c r="F117" s="4">
        <v>0</v>
      </c>
      <c r="G117" s="8">
        <f t="shared" si="9"/>
        <v>1000000000</v>
      </c>
      <c r="H117" s="4" t="str">
        <f t="shared" si="10"/>
        <v>Ohms</v>
      </c>
      <c r="I117" s="14">
        <v>3560000</v>
      </c>
      <c r="J117" s="6" t="str">
        <f t="shared" si="11"/>
        <v>Ohms</v>
      </c>
      <c r="K117" s="2" t="str">
        <f t="shared" si="12"/>
        <v>RTG</v>
      </c>
      <c r="L117" s="7">
        <v>45843</v>
      </c>
      <c r="M117" s="7">
        <f t="shared" si="13"/>
        <v>46208</v>
      </c>
      <c r="N117" s="7" t="str">
        <f t="shared" si="16"/>
        <v>Anual</v>
      </c>
      <c r="O117" s="2" t="str">
        <f t="shared" ca="1" si="17"/>
        <v>VIGENTE</v>
      </c>
      <c r="P117" s="6" t="s">
        <v>25</v>
      </c>
      <c r="Q117" s="2" t="s">
        <v>126</v>
      </c>
    </row>
    <row r="118" spans="1:17" x14ac:dyDescent="0.25">
      <c r="A118" s="23" t="s">
        <v>172</v>
      </c>
      <c r="B118" s="2" t="s">
        <v>185</v>
      </c>
      <c r="C118" s="3" t="s">
        <v>22</v>
      </c>
      <c r="D118" s="3" t="s">
        <v>23</v>
      </c>
      <c r="E118" s="2" t="s">
        <v>24</v>
      </c>
      <c r="F118" s="4">
        <v>0</v>
      </c>
      <c r="G118" s="8">
        <f t="shared" si="9"/>
        <v>1000000000</v>
      </c>
      <c r="H118" s="4" t="str">
        <f t="shared" si="10"/>
        <v>Ohms</v>
      </c>
      <c r="I118" s="14">
        <v>4280000</v>
      </c>
      <c r="J118" s="6" t="str">
        <f t="shared" si="11"/>
        <v>Ohms</v>
      </c>
      <c r="K118" s="2" t="str">
        <f t="shared" si="12"/>
        <v>RTG</v>
      </c>
      <c r="L118" s="7">
        <v>45843</v>
      </c>
      <c r="M118" s="7">
        <f t="shared" si="13"/>
        <v>46208</v>
      </c>
      <c r="N118" s="7" t="str">
        <f t="shared" si="16"/>
        <v>Anual</v>
      </c>
      <c r="O118" s="2" t="str">
        <f t="shared" ca="1" si="17"/>
        <v>VIGENTE</v>
      </c>
      <c r="P118" s="6" t="s">
        <v>25</v>
      </c>
      <c r="Q118" s="2"/>
    </row>
    <row r="119" spans="1:17" x14ac:dyDescent="0.25">
      <c r="A119" s="23" t="s">
        <v>172</v>
      </c>
      <c r="B119" s="2" t="s">
        <v>186</v>
      </c>
      <c r="C119" s="3" t="s">
        <v>22</v>
      </c>
      <c r="D119" s="3" t="s">
        <v>23</v>
      </c>
      <c r="E119" s="2" t="s">
        <v>24</v>
      </c>
      <c r="F119" s="4">
        <v>0</v>
      </c>
      <c r="G119" s="8">
        <f t="shared" si="9"/>
        <v>1000000000</v>
      </c>
      <c r="H119" s="4" t="str">
        <f t="shared" si="10"/>
        <v>Ohms</v>
      </c>
      <c r="I119" s="14">
        <v>283000000</v>
      </c>
      <c r="J119" s="6" t="str">
        <f t="shared" si="11"/>
        <v>Ohms</v>
      </c>
      <c r="K119" s="2" t="str">
        <f t="shared" si="12"/>
        <v>RTG</v>
      </c>
      <c r="L119" s="7">
        <v>45843</v>
      </c>
      <c r="M119" s="7">
        <f t="shared" si="13"/>
        <v>46208</v>
      </c>
      <c r="N119" s="7" t="str">
        <f t="shared" si="16"/>
        <v>Anual</v>
      </c>
      <c r="O119" s="2" t="str">
        <f t="shared" ca="1" si="17"/>
        <v>VIGENTE</v>
      </c>
      <c r="P119" s="6" t="s">
        <v>25</v>
      </c>
      <c r="Q119" s="2"/>
    </row>
    <row r="120" spans="1:17" x14ac:dyDescent="0.25">
      <c r="A120" s="23" t="s">
        <v>172</v>
      </c>
      <c r="B120" s="2" t="s">
        <v>187</v>
      </c>
      <c r="C120" s="3" t="s">
        <v>28</v>
      </c>
      <c r="D120" s="3" t="s">
        <v>23</v>
      </c>
      <c r="E120" s="2" t="s">
        <v>24</v>
      </c>
      <c r="F120" s="4">
        <v>0</v>
      </c>
      <c r="G120" s="8">
        <f t="shared" si="9"/>
        <v>1000000000</v>
      </c>
      <c r="H120" s="4" t="str">
        <f t="shared" si="10"/>
        <v>Ohms</v>
      </c>
      <c r="I120" s="14">
        <v>260000000</v>
      </c>
      <c r="J120" s="6" t="str">
        <f t="shared" si="11"/>
        <v>Ohms</v>
      </c>
      <c r="K120" s="2" t="str">
        <f t="shared" si="12"/>
        <v>RTG</v>
      </c>
      <c r="L120" s="7">
        <v>45843</v>
      </c>
      <c r="M120" s="7">
        <f t="shared" si="13"/>
        <v>46208</v>
      </c>
      <c r="N120" s="7" t="str">
        <f t="shared" si="16"/>
        <v>Anual</v>
      </c>
      <c r="O120" s="2" t="str">
        <f t="shared" ca="1" si="17"/>
        <v>VIGENTE</v>
      </c>
      <c r="P120" s="6" t="s">
        <v>25</v>
      </c>
      <c r="Q120" s="2" t="s">
        <v>29</v>
      </c>
    </row>
    <row r="121" spans="1:17" x14ac:dyDescent="0.25">
      <c r="A121" s="23" t="s">
        <v>172</v>
      </c>
      <c r="B121" s="2" t="s">
        <v>188</v>
      </c>
      <c r="C121" s="3" t="s">
        <v>28</v>
      </c>
      <c r="D121" s="3" t="s">
        <v>23</v>
      </c>
      <c r="E121" s="2" t="s">
        <v>24</v>
      </c>
      <c r="F121" s="4">
        <v>0</v>
      </c>
      <c r="G121" s="8">
        <f t="shared" si="9"/>
        <v>1000000000</v>
      </c>
      <c r="H121" s="4" t="str">
        <f t="shared" si="10"/>
        <v>Ohms</v>
      </c>
      <c r="I121" s="14">
        <v>3170000</v>
      </c>
      <c r="J121" s="6" t="str">
        <f t="shared" si="11"/>
        <v>Ohms</v>
      </c>
      <c r="K121" s="2" t="str">
        <f t="shared" si="12"/>
        <v>RTG</v>
      </c>
      <c r="L121" s="7">
        <v>45843</v>
      </c>
      <c r="M121" s="7">
        <f t="shared" si="13"/>
        <v>46208</v>
      </c>
      <c r="N121" s="7" t="str">
        <f t="shared" si="16"/>
        <v>Anual</v>
      </c>
      <c r="O121" s="2" t="str">
        <f t="shared" ca="1" si="17"/>
        <v>VIGENTE</v>
      </c>
      <c r="P121" s="6" t="s">
        <v>25</v>
      </c>
      <c r="Q121" s="2" t="s">
        <v>29</v>
      </c>
    </row>
    <row r="122" spans="1:17" x14ac:dyDescent="0.25">
      <c r="A122" s="23" t="s">
        <v>172</v>
      </c>
      <c r="B122" s="2" t="s">
        <v>189</v>
      </c>
      <c r="C122" s="3" t="s">
        <v>28</v>
      </c>
      <c r="D122" s="3" t="s">
        <v>23</v>
      </c>
      <c r="E122" s="2" t="s">
        <v>24</v>
      </c>
      <c r="F122" s="4">
        <v>0</v>
      </c>
      <c r="G122" s="8">
        <f t="shared" si="9"/>
        <v>1000000000</v>
      </c>
      <c r="H122" s="4" t="str">
        <f t="shared" si="10"/>
        <v>Ohms</v>
      </c>
      <c r="I122" s="14">
        <v>479000000</v>
      </c>
      <c r="J122" s="6" t="str">
        <f t="shared" si="11"/>
        <v>Ohms</v>
      </c>
      <c r="K122" s="2" t="str">
        <f t="shared" si="12"/>
        <v>RTG</v>
      </c>
      <c r="L122" s="7">
        <v>45843</v>
      </c>
      <c r="M122" s="7">
        <f t="shared" si="13"/>
        <v>46208</v>
      </c>
      <c r="N122" s="7" t="str">
        <f t="shared" si="16"/>
        <v>Anual</v>
      </c>
      <c r="O122" s="2" t="str">
        <f t="shared" ca="1" si="17"/>
        <v>VIGENTE</v>
      </c>
      <c r="P122" s="6" t="s">
        <v>25</v>
      </c>
      <c r="Q122" s="2" t="s">
        <v>29</v>
      </c>
    </row>
    <row r="123" spans="1:17" x14ac:dyDescent="0.25">
      <c r="A123" s="23" t="s">
        <v>172</v>
      </c>
      <c r="B123" s="2" t="s">
        <v>190</v>
      </c>
      <c r="C123" s="3" t="s">
        <v>28</v>
      </c>
      <c r="D123" s="3" t="s">
        <v>23</v>
      </c>
      <c r="E123" s="2" t="s">
        <v>24</v>
      </c>
      <c r="F123" s="4">
        <v>0</v>
      </c>
      <c r="G123" s="8">
        <f t="shared" si="9"/>
        <v>1000000000</v>
      </c>
      <c r="H123" s="4" t="str">
        <f t="shared" si="10"/>
        <v>Ohms</v>
      </c>
      <c r="I123" s="14">
        <v>299000000</v>
      </c>
      <c r="J123" s="6" t="str">
        <f t="shared" si="11"/>
        <v>Ohms</v>
      </c>
      <c r="K123" s="2" t="str">
        <f t="shared" si="12"/>
        <v>RTG</v>
      </c>
      <c r="L123" s="7">
        <v>45843</v>
      </c>
      <c r="M123" s="7">
        <f t="shared" si="13"/>
        <v>46208</v>
      </c>
      <c r="N123" s="7" t="str">
        <f t="shared" si="16"/>
        <v>Anual</v>
      </c>
      <c r="O123" s="2" t="str">
        <f t="shared" ca="1" si="17"/>
        <v>VIGENTE</v>
      </c>
      <c r="P123" s="6" t="s">
        <v>25</v>
      </c>
      <c r="Q123" s="2" t="s">
        <v>29</v>
      </c>
    </row>
    <row r="124" spans="1:17" x14ac:dyDescent="0.25">
      <c r="A124" s="23" t="s">
        <v>172</v>
      </c>
      <c r="B124" s="2" t="s">
        <v>191</v>
      </c>
      <c r="C124" s="3" t="s">
        <v>28</v>
      </c>
      <c r="D124" s="3" t="s">
        <v>23</v>
      </c>
      <c r="E124" s="2" t="s">
        <v>24</v>
      </c>
      <c r="F124" s="4">
        <v>0</v>
      </c>
      <c r="G124" s="8">
        <f t="shared" si="9"/>
        <v>1000000000</v>
      </c>
      <c r="H124" s="4" t="str">
        <f t="shared" si="10"/>
        <v>Ohms</v>
      </c>
      <c r="I124" s="14">
        <v>1930000</v>
      </c>
      <c r="J124" s="6" t="str">
        <f t="shared" si="11"/>
        <v>Ohms</v>
      </c>
      <c r="K124" s="2" t="str">
        <f t="shared" si="12"/>
        <v>RTG</v>
      </c>
      <c r="L124" s="7">
        <v>45843</v>
      </c>
      <c r="M124" s="7">
        <f t="shared" si="13"/>
        <v>46208</v>
      </c>
      <c r="N124" s="7" t="str">
        <f t="shared" ref="N124:N153" si="18">IF(C124="Ionizador", "Trimestral", IF(C124="Rack", "Anual", IF(C124="Mesa", "Anual", IF(C124="Tapete", "Semestral", IF(C124="Cautín", "Semestral", IF(C124="Silla", "Semestral", "Anual"))))))</f>
        <v>Anual</v>
      </c>
      <c r="O124" s="2" t="str">
        <f t="shared" ca="1" si="17"/>
        <v>VIGENTE</v>
      </c>
      <c r="P124" s="6" t="s">
        <v>25</v>
      </c>
      <c r="Q124" s="2" t="s">
        <v>29</v>
      </c>
    </row>
    <row r="125" spans="1:17" x14ac:dyDescent="0.25">
      <c r="A125" s="23" t="s">
        <v>172</v>
      </c>
      <c r="B125" s="2" t="s">
        <v>192</v>
      </c>
      <c r="C125" s="3" t="s">
        <v>28</v>
      </c>
      <c r="D125" s="3" t="s">
        <v>23</v>
      </c>
      <c r="E125" s="2" t="s">
        <v>24</v>
      </c>
      <c r="F125" s="4">
        <v>0</v>
      </c>
      <c r="G125" s="8">
        <f t="shared" si="9"/>
        <v>1000000000</v>
      </c>
      <c r="H125" s="4" t="str">
        <f t="shared" si="10"/>
        <v>Ohms</v>
      </c>
      <c r="I125" s="14">
        <v>3840000</v>
      </c>
      <c r="J125" s="6" t="str">
        <f t="shared" si="11"/>
        <v>Ohms</v>
      </c>
      <c r="K125" s="2" t="str">
        <f t="shared" si="12"/>
        <v>RTG</v>
      </c>
      <c r="L125" s="7">
        <v>45843</v>
      </c>
      <c r="M125" s="7">
        <f t="shared" si="13"/>
        <v>46208</v>
      </c>
      <c r="N125" s="7" t="str">
        <f t="shared" si="18"/>
        <v>Anual</v>
      </c>
      <c r="O125" s="2" t="str">
        <f t="shared" ca="1" si="17"/>
        <v>VIGENTE</v>
      </c>
      <c r="P125" s="6" t="s">
        <v>25</v>
      </c>
      <c r="Q125" s="2"/>
    </row>
    <row r="126" spans="1:17" x14ac:dyDescent="0.25">
      <c r="A126" s="23" t="s">
        <v>172</v>
      </c>
      <c r="B126" s="2" t="s">
        <v>1042</v>
      </c>
      <c r="C126" s="3" t="s">
        <v>22</v>
      </c>
      <c r="D126" s="3" t="s">
        <v>23</v>
      </c>
      <c r="E126" s="2" t="s">
        <v>24</v>
      </c>
      <c r="F126" s="4">
        <v>0</v>
      </c>
      <c r="G126" s="8">
        <f t="shared" si="9"/>
        <v>1000000000</v>
      </c>
      <c r="H126" s="4" t="str">
        <f t="shared" si="10"/>
        <v>Ohms</v>
      </c>
      <c r="I126" s="6">
        <v>53600000</v>
      </c>
      <c r="J126" s="6" t="str">
        <f t="shared" si="11"/>
        <v>Ohms</v>
      </c>
      <c r="K126" s="2" t="str">
        <f t="shared" si="12"/>
        <v>RTG</v>
      </c>
      <c r="L126" s="7">
        <v>46071</v>
      </c>
      <c r="M126" s="7">
        <f t="shared" si="13"/>
        <v>46436</v>
      </c>
      <c r="N126" s="7" t="str">
        <f t="shared" si="18"/>
        <v>Anual</v>
      </c>
      <c r="O126" s="2" t="str">
        <f t="shared" ca="1" si="17"/>
        <v>VIGENTE</v>
      </c>
      <c r="P126" s="6" t="s">
        <v>25</v>
      </c>
      <c r="Q126" s="2"/>
    </row>
    <row r="127" spans="1:17" x14ac:dyDescent="0.25">
      <c r="A127" s="23" t="s">
        <v>193</v>
      </c>
      <c r="B127" s="2" t="s">
        <v>194</v>
      </c>
      <c r="C127" s="3" t="s">
        <v>28</v>
      </c>
      <c r="D127" s="3" t="s">
        <v>23</v>
      </c>
      <c r="E127" s="2" t="s">
        <v>24</v>
      </c>
      <c r="F127" s="4">
        <v>0</v>
      </c>
      <c r="G127" s="8">
        <f t="shared" si="9"/>
        <v>1000000000</v>
      </c>
      <c r="H127" s="4" t="str">
        <f t="shared" si="10"/>
        <v>Ohms</v>
      </c>
      <c r="I127" s="6">
        <v>383000000</v>
      </c>
      <c r="J127" s="6" t="str">
        <f t="shared" si="11"/>
        <v>Ohms</v>
      </c>
      <c r="K127" s="2" t="str">
        <f t="shared" si="12"/>
        <v>RTG</v>
      </c>
      <c r="L127" s="7">
        <v>45755</v>
      </c>
      <c r="M127" s="7">
        <f t="shared" si="13"/>
        <v>46120</v>
      </c>
      <c r="N127" s="7" t="str">
        <f t="shared" si="18"/>
        <v>Anual</v>
      </c>
      <c r="O127" s="2" t="str">
        <f t="shared" ca="1" si="17"/>
        <v>VIGENTE</v>
      </c>
      <c r="P127" s="6" t="s">
        <v>25</v>
      </c>
      <c r="Q127" s="2" t="s">
        <v>29</v>
      </c>
    </row>
    <row r="128" spans="1:17" x14ac:dyDescent="0.25">
      <c r="A128" s="23" t="s">
        <v>193</v>
      </c>
      <c r="B128" s="2" t="s">
        <v>195</v>
      </c>
      <c r="C128" s="3" t="s">
        <v>28</v>
      </c>
      <c r="D128" s="3" t="s">
        <v>23</v>
      </c>
      <c r="E128" s="2" t="s">
        <v>24</v>
      </c>
      <c r="F128" s="4">
        <v>0</v>
      </c>
      <c r="G128" s="8">
        <f t="shared" si="9"/>
        <v>1000000000</v>
      </c>
      <c r="H128" s="4" t="str">
        <f t="shared" si="10"/>
        <v>Ohms</v>
      </c>
      <c r="I128" s="6">
        <v>268000000</v>
      </c>
      <c r="J128" s="6" t="str">
        <f t="shared" si="11"/>
        <v>Ohms</v>
      </c>
      <c r="K128" s="2" t="str">
        <f t="shared" si="12"/>
        <v>RTG</v>
      </c>
      <c r="L128" s="7">
        <v>45755</v>
      </c>
      <c r="M128" s="7">
        <f t="shared" si="13"/>
        <v>46120</v>
      </c>
      <c r="N128" s="7" t="str">
        <f t="shared" si="18"/>
        <v>Anual</v>
      </c>
      <c r="O128" s="2" t="str">
        <f t="shared" ca="1" si="17"/>
        <v>VIGENTE</v>
      </c>
      <c r="P128" s="6" t="s">
        <v>25</v>
      </c>
      <c r="Q128" s="2" t="s">
        <v>29</v>
      </c>
    </row>
    <row r="129" spans="1:17" x14ac:dyDescent="0.25">
      <c r="A129" s="23" t="s">
        <v>193</v>
      </c>
      <c r="B129" s="2" t="s">
        <v>196</v>
      </c>
      <c r="C129" s="3" t="s">
        <v>28</v>
      </c>
      <c r="D129" s="3" t="s">
        <v>23</v>
      </c>
      <c r="E129" s="2" t="s">
        <v>24</v>
      </c>
      <c r="F129" s="4">
        <v>0</v>
      </c>
      <c r="G129" s="8">
        <f t="shared" si="9"/>
        <v>1000000000</v>
      </c>
      <c r="H129" s="4" t="str">
        <f t="shared" si="10"/>
        <v>Ohms</v>
      </c>
      <c r="I129" s="6">
        <v>1210000</v>
      </c>
      <c r="J129" s="6" t="str">
        <f t="shared" si="11"/>
        <v>Ohms</v>
      </c>
      <c r="K129" s="2" t="str">
        <f t="shared" si="12"/>
        <v>RTG</v>
      </c>
      <c r="L129" s="7">
        <v>45755</v>
      </c>
      <c r="M129" s="7">
        <f t="shared" si="13"/>
        <v>46120</v>
      </c>
      <c r="N129" s="7" t="str">
        <f t="shared" si="18"/>
        <v>Anual</v>
      </c>
      <c r="O129" s="2" t="str">
        <f t="shared" ca="1" si="17"/>
        <v>VIGENTE</v>
      </c>
      <c r="P129" s="6" t="s">
        <v>25</v>
      </c>
      <c r="Q129" s="2" t="s">
        <v>29</v>
      </c>
    </row>
    <row r="130" spans="1:17" x14ac:dyDescent="0.25">
      <c r="A130" s="23" t="s">
        <v>193</v>
      </c>
      <c r="B130" s="2" t="s">
        <v>197</v>
      </c>
      <c r="C130" s="3" t="s">
        <v>28</v>
      </c>
      <c r="D130" s="3" t="s">
        <v>23</v>
      </c>
      <c r="E130" s="2" t="s">
        <v>24</v>
      </c>
      <c r="F130" s="4">
        <v>0</v>
      </c>
      <c r="G130" s="8">
        <f t="shared" si="9"/>
        <v>1000000000</v>
      </c>
      <c r="H130" s="4" t="str">
        <f t="shared" si="10"/>
        <v>Ohms</v>
      </c>
      <c r="I130" s="6">
        <v>46200000</v>
      </c>
      <c r="J130" s="6" t="str">
        <f t="shared" si="11"/>
        <v>Ohms</v>
      </c>
      <c r="K130" s="2" t="str">
        <f t="shared" si="12"/>
        <v>RTG</v>
      </c>
      <c r="L130" s="7">
        <v>45941</v>
      </c>
      <c r="M130" s="7">
        <f t="shared" si="13"/>
        <v>46306</v>
      </c>
      <c r="N130" s="7" t="str">
        <f t="shared" si="18"/>
        <v>Anual</v>
      </c>
      <c r="O130" s="2" t="str">
        <f t="shared" ca="1" si="17"/>
        <v>VIGENTE</v>
      </c>
      <c r="P130" s="6" t="s">
        <v>25</v>
      </c>
      <c r="Q130" s="2"/>
    </row>
    <row r="131" spans="1:17" x14ac:dyDescent="0.25">
      <c r="A131" s="23" t="s">
        <v>193</v>
      </c>
      <c r="B131" s="2" t="s">
        <v>198</v>
      </c>
      <c r="C131" s="3" t="s">
        <v>28</v>
      </c>
      <c r="D131" s="3" t="s">
        <v>23</v>
      </c>
      <c r="E131" s="2" t="s">
        <v>24</v>
      </c>
      <c r="F131" s="4">
        <v>0</v>
      </c>
      <c r="G131" s="8">
        <f t="shared" si="9"/>
        <v>1000000000</v>
      </c>
      <c r="H131" s="4" t="str">
        <f t="shared" si="10"/>
        <v>Ohms</v>
      </c>
      <c r="I131" s="6">
        <v>7470000</v>
      </c>
      <c r="J131" s="6" t="str">
        <f t="shared" si="11"/>
        <v>Ohms</v>
      </c>
      <c r="K131" s="2" t="str">
        <f t="shared" si="12"/>
        <v>RTG</v>
      </c>
      <c r="L131" s="7">
        <v>45941</v>
      </c>
      <c r="M131" s="7">
        <f t="shared" si="13"/>
        <v>46306</v>
      </c>
      <c r="N131" s="7" t="str">
        <f t="shared" si="18"/>
        <v>Anual</v>
      </c>
      <c r="O131" s="2" t="str">
        <f t="shared" ca="1" si="17"/>
        <v>VIGENTE</v>
      </c>
      <c r="P131" s="6" t="s">
        <v>25</v>
      </c>
      <c r="Q131" s="2"/>
    </row>
    <row r="132" spans="1:17" x14ac:dyDescent="0.25">
      <c r="A132" s="23" t="s">
        <v>193</v>
      </c>
      <c r="B132" s="2" t="s">
        <v>199</v>
      </c>
      <c r="C132" s="3" t="s">
        <v>22</v>
      </c>
      <c r="D132" s="3" t="s">
        <v>23</v>
      </c>
      <c r="E132" s="2" t="s">
        <v>24</v>
      </c>
      <c r="F132" s="4">
        <v>0</v>
      </c>
      <c r="G132" s="8">
        <f t="shared" si="9"/>
        <v>1000000000</v>
      </c>
      <c r="H132" s="4" t="str">
        <f t="shared" si="10"/>
        <v>Ohms</v>
      </c>
      <c r="I132" s="6">
        <v>13200000</v>
      </c>
      <c r="J132" s="6" t="str">
        <f t="shared" si="11"/>
        <v>Ohms</v>
      </c>
      <c r="K132" s="2" t="str">
        <f t="shared" si="12"/>
        <v>RTG</v>
      </c>
      <c r="L132" s="7">
        <v>45941</v>
      </c>
      <c r="M132" s="7">
        <f t="shared" si="13"/>
        <v>46306</v>
      </c>
      <c r="N132" s="7" t="str">
        <f t="shared" si="18"/>
        <v>Anual</v>
      </c>
      <c r="O132" s="2" t="str">
        <f t="shared" ca="1" si="17"/>
        <v>VIGENTE</v>
      </c>
      <c r="P132" s="6" t="s">
        <v>25</v>
      </c>
      <c r="Q132" s="2"/>
    </row>
    <row r="133" spans="1:17" x14ac:dyDescent="0.25">
      <c r="A133" s="23" t="s">
        <v>200</v>
      </c>
      <c r="B133" s="2" t="s">
        <v>201</v>
      </c>
      <c r="C133" s="3" t="s">
        <v>28</v>
      </c>
      <c r="D133" s="3" t="s">
        <v>23</v>
      </c>
      <c r="E133" s="2" t="s">
        <v>24</v>
      </c>
      <c r="F133" s="4">
        <v>0</v>
      </c>
      <c r="G133" s="8">
        <f t="shared" si="9"/>
        <v>1000000000</v>
      </c>
      <c r="H133" s="4" t="str">
        <f t="shared" si="10"/>
        <v>Ohms</v>
      </c>
      <c r="I133" s="6">
        <v>433000000</v>
      </c>
      <c r="J133" s="6" t="str">
        <f t="shared" si="11"/>
        <v>Ohms</v>
      </c>
      <c r="K133" s="2" t="str">
        <f t="shared" si="12"/>
        <v>RTG</v>
      </c>
      <c r="L133" s="7">
        <v>45755</v>
      </c>
      <c r="M133" s="7">
        <f t="shared" si="13"/>
        <v>46120</v>
      </c>
      <c r="N133" s="7" t="str">
        <f t="shared" si="18"/>
        <v>Anual</v>
      </c>
      <c r="O133" s="2" t="str">
        <f t="shared" ca="1" si="17"/>
        <v>VIGENTE</v>
      </c>
      <c r="P133" s="6" t="s">
        <v>25</v>
      </c>
      <c r="Q133" s="2" t="s">
        <v>29</v>
      </c>
    </row>
    <row r="134" spans="1:17" x14ac:dyDescent="0.25">
      <c r="A134" s="23" t="s">
        <v>200</v>
      </c>
      <c r="B134" s="2" t="s">
        <v>202</v>
      </c>
      <c r="C134" s="3" t="s">
        <v>28</v>
      </c>
      <c r="D134" s="3" t="s">
        <v>23</v>
      </c>
      <c r="E134" s="2" t="s">
        <v>24</v>
      </c>
      <c r="F134" s="4">
        <v>0</v>
      </c>
      <c r="G134" s="8">
        <f t="shared" si="9"/>
        <v>1000000000</v>
      </c>
      <c r="H134" s="4" t="str">
        <f t="shared" si="10"/>
        <v>Ohms</v>
      </c>
      <c r="I134" s="6">
        <v>76300000</v>
      </c>
      <c r="J134" s="6" t="str">
        <f t="shared" si="11"/>
        <v>Ohms</v>
      </c>
      <c r="K134" s="2" t="str">
        <f t="shared" si="12"/>
        <v>RTG</v>
      </c>
      <c r="L134" s="7">
        <v>45755</v>
      </c>
      <c r="M134" s="7">
        <f t="shared" si="13"/>
        <v>46120</v>
      </c>
      <c r="N134" s="7" t="str">
        <f t="shared" si="18"/>
        <v>Anual</v>
      </c>
      <c r="O134" s="2" t="str">
        <f t="shared" ca="1" si="17"/>
        <v>VIGENTE</v>
      </c>
      <c r="P134" s="6" t="s">
        <v>25</v>
      </c>
      <c r="Q134" s="2" t="s">
        <v>29</v>
      </c>
    </row>
    <row r="135" spans="1:17" x14ac:dyDescent="0.25">
      <c r="A135" s="23" t="s">
        <v>200</v>
      </c>
      <c r="B135" s="2" t="s">
        <v>203</v>
      </c>
      <c r="C135" s="3" t="s">
        <v>28</v>
      </c>
      <c r="D135" s="3" t="s">
        <v>23</v>
      </c>
      <c r="E135" s="2" t="s">
        <v>24</v>
      </c>
      <c r="F135" s="4">
        <v>0</v>
      </c>
      <c r="G135" s="8">
        <f t="shared" ref="G135:G198" si="19">IF(C135="Ionizador", 10, IF(C135="Mesa", 1000000000, IF(C135="Rack", 1000000000, IF(C135="Piso", 1000000000, IF(C135="Tapete", 1000000000, IF(C135="Carrito", 1000000000, IF(C135="Cautín", 10, 1)))))))</f>
        <v>1000000000</v>
      </c>
      <c r="H135" s="4" t="str">
        <f t="shared" ref="H135:H198" si="20">IF(C135="Ionizador", "Segundos", "Ohms")</f>
        <v>Ohms</v>
      </c>
      <c r="I135" s="6">
        <v>283000000</v>
      </c>
      <c r="J135" s="6" t="str">
        <f t="shared" ref="J135:J198" si="21">H135</f>
        <v>Ohms</v>
      </c>
      <c r="K135" s="2" t="str">
        <f t="shared" ref="K135:K198" si="22">IF(C135="Ionizador", "Plato de carga", IF(C135="Cautín", "PTG", IF(C135="ESD Tester", "PTP Deviation", "RTG")))</f>
        <v>RTG</v>
      </c>
      <c r="L135" s="7">
        <v>45755</v>
      </c>
      <c r="M135" s="7">
        <f t="shared" ref="M135:M198" si="23">IF(N135="Trimestral", L135+90, IF(N135="Semestral", L135+180, IF(N135="Mensual", L135+30, L135+365)))</f>
        <v>46120</v>
      </c>
      <c r="N135" s="7" t="str">
        <f t="shared" si="18"/>
        <v>Anual</v>
      </c>
      <c r="O135" s="2" t="str">
        <f t="shared" ref="O135:O153" ca="1" si="24">IF(M135&lt;TODAY(),"VENCIDO",IF(M135=TODAY(),"VIGENTE",IF(M135&gt;TODAY(),"VIGENTE")))</f>
        <v>VIGENTE</v>
      </c>
      <c r="P135" s="6" t="s">
        <v>25</v>
      </c>
      <c r="Q135" s="2" t="s">
        <v>29</v>
      </c>
    </row>
    <row r="136" spans="1:17" x14ac:dyDescent="0.25">
      <c r="A136" s="23" t="s">
        <v>200</v>
      </c>
      <c r="B136" s="2" t="s">
        <v>204</v>
      </c>
      <c r="C136" s="3" t="s">
        <v>28</v>
      </c>
      <c r="D136" s="3" t="s">
        <v>23</v>
      </c>
      <c r="E136" s="2" t="s">
        <v>24</v>
      </c>
      <c r="F136" s="4">
        <v>0</v>
      </c>
      <c r="G136" s="8">
        <f t="shared" si="19"/>
        <v>1000000000</v>
      </c>
      <c r="H136" s="4" t="str">
        <f t="shared" si="20"/>
        <v>Ohms</v>
      </c>
      <c r="I136" s="6">
        <v>131000</v>
      </c>
      <c r="J136" s="6" t="str">
        <f t="shared" si="21"/>
        <v>Ohms</v>
      </c>
      <c r="K136" s="2" t="str">
        <f t="shared" si="22"/>
        <v>RTG</v>
      </c>
      <c r="L136" s="7">
        <v>45755</v>
      </c>
      <c r="M136" s="7">
        <f t="shared" si="23"/>
        <v>46120</v>
      </c>
      <c r="N136" s="7" t="str">
        <f t="shared" si="18"/>
        <v>Anual</v>
      </c>
      <c r="O136" s="2" t="str">
        <f t="shared" ca="1" si="24"/>
        <v>VIGENTE</v>
      </c>
      <c r="P136" s="6" t="s">
        <v>25</v>
      </c>
      <c r="Q136" s="2" t="s">
        <v>29</v>
      </c>
    </row>
    <row r="137" spans="1:17" x14ac:dyDescent="0.25">
      <c r="A137" s="23" t="s">
        <v>200</v>
      </c>
      <c r="B137" s="2" t="s">
        <v>205</v>
      </c>
      <c r="C137" s="3" t="s">
        <v>22</v>
      </c>
      <c r="D137" s="3" t="s">
        <v>23</v>
      </c>
      <c r="E137" s="2" t="s">
        <v>24</v>
      </c>
      <c r="F137" s="4">
        <v>0</v>
      </c>
      <c r="G137" s="8">
        <f t="shared" si="19"/>
        <v>1000000000</v>
      </c>
      <c r="H137" s="4" t="str">
        <f t="shared" si="20"/>
        <v>Ohms</v>
      </c>
      <c r="I137" s="6">
        <v>241000000</v>
      </c>
      <c r="J137" s="6" t="str">
        <f t="shared" si="21"/>
        <v>Ohms</v>
      </c>
      <c r="K137" s="2" t="str">
        <f t="shared" si="22"/>
        <v>RTG</v>
      </c>
      <c r="L137" s="7">
        <v>45755</v>
      </c>
      <c r="M137" s="7">
        <f t="shared" si="23"/>
        <v>46120</v>
      </c>
      <c r="N137" s="7" t="str">
        <f t="shared" si="18"/>
        <v>Anual</v>
      </c>
      <c r="O137" s="2" t="str">
        <f t="shared" ca="1" si="24"/>
        <v>VIGENTE</v>
      </c>
      <c r="P137" s="6" t="s">
        <v>25</v>
      </c>
      <c r="Q137" s="2"/>
    </row>
    <row r="138" spans="1:17" x14ac:dyDescent="0.25">
      <c r="A138" s="23" t="s">
        <v>233</v>
      </c>
      <c r="B138" s="2" t="s">
        <v>234</v>
      </c>
      <c r="C138" s="3" t="s">
        <v>22</v>
      </c>
      <c r="D138" s="3" t="s">
        <v>23</v>
      </c>
      <c r="E138" s="2" t="s">
        <v>24</v>
      </c>
      <c r="F138" s="4">
        <v>0</v>
      </c>
      <c r="G138" s="8">
        <f t="shared" si="19"/>
        <v>1000000000</v>
      </c>
      <c r="H138" s="4" t="str">
        <f t="shared" si="20"/>
        <v>Ohms</v>
      </c>
      <c r="I138" s="14">
        <v>313000000</v>
      </c>
      <c r="J138" s="6" t="str">
        <f t="shared" si="21"/>
        <v>Ohms</v>
      </c>
      <c r="K138" s="2" t="str">
        <f t="shared" si="22"/>
        <v>RTG</v>
      </c>
      <c r="L138" s="7">
        <v>45842</v>
      </c>
      <c r="M138" s="7">
        <f t="shared" si="23"/>
        <v>46207</v>
      </c>
      <c r="N138" s="7" t="str">
        <f t="shared" si="18"/>
        <v>Anual</v>
      </c>
      <c r="O138" s="2" t="str">
        <f t="shared" ca="1" si="24"/>
        <v>VIGENTE</v>
      </c>
      <c r="P138" s="6" t="s">
        <v>25</v>
      </c>
      <c r="Q138" s="2"/>
    </row>
    <row r="139" spans="1:17" x14ac:dyDescent="0.25">
      <c r="A139" s="23" t="s">
        <v>233</v>
      </c>
      <c r="B139" s="2" t="s">
        <v>235</v>
      </c>
      <c r="C139" s="3" t="s">
        <v>22</v>
      </c>
      <c r="D139" s="3" t="s">
        <v>23</v>
      </c>
      <c r="E139" s="2" t="s">
        <v>24</v>
      </c>
      <c r="F139" s="4">
        <v>0</v>
      </c>
      <c r="G139" s="8">
        <f t="shared" si="19"/>
        <v>1000000000</v>
      </c>
      <c r="H139" s="4" t="str">
        <f t="shared" si="20"/>
        <v>Ohms</v>
      </c>
      <c r="I139" s="14">
        <v>19000000</v>
      </c>
      <c r="J139" s="6" t="str">
        <f t="shared" si="21"/>
        <v>Ohms</v>
      </c>
      <c r="K139" s="2" t="str">
        <f t="shared" si="22"/>
        <v>RTG</v>
      </c>
      <c r="L139" s="7">
        <v>45842</v>
      </c>
      <c r="M139" s="7">
        <f t="shared" si="23"/>
        <v>46207</v>
      </c>
      <c r="N139" s="7" t="str">
        <f t="shared" si="18"/>
        <v>Anual</v>
      </c>
      <c r="O139" s="2" t="str">
        <f t="shared" ca="1" si="24"/>
        <v>VIGENTE</v>
      </c>
      <c r="P139" s="6" t="s">
        <v>25</v>
      </c>
      <c r="Q139" s="2"/>
    </row>
    <row r="140" spans="1:17" x14ac:dyDescent="0.25">
      <c r="A140" s="23" t="s">
        <v>233</v>
      </c>
      <c r="B140" s="2" t="s">
        <v>236</v>
      </c>
      <c r="C140" s="3" t="s">
        <v>22</v>
      </c>
      <c r="D140" s="3" t="s">
        <v>23</v>
      </c>
      <c r="E140" s="2" t="s">
        <v>24</v>
      </c>
      <c r="F140" s="4">
        <v>0</v>
      </c>
      <c r="G140" s="8">
        <f t="shared" si="19"/>
        <v>1000000000</v>
      </c>
      <c r="H140" s="4" t="str">
        <f t="shared" si="20"/>
        <v>Ohms</v>
      </c>
      <c r="I140" s="14">
        <v>3660000</v>
      </c>
      <c r="J140" s="6" t="str">
        <f t="shared" si="21"/>
        <v>Ohms</v>
      </c>
      <c r="K140" s="2" t="str">
        <f t="shared" si="22"/>
        <v>RTG</v>
      </c>
      <c r="L140" s="7">
        <v>45842</v>
      </c>
      <c r="M140" s="7">
        <f t="shared" si="23"/>
        <v>46207</v>
      </c>
      <c r="N140" s="7" t="str">
        <f t="shared" si="18"/>
        <v>Anual</v>
      </c>
      <c r="O140" s="2" t="str">
        <f t="shared" ca="1" si="24"/>
        <v>VIGENTE</v>
      </c>
      <c r="P140" s="6" t="s">
        <v>25</v>
      </c>
      <c r="Q140" s="2"/>
    </row>
    <row r="141" spans="1:17" x14ac:dyDescent="0.25">
      <c r="A141" s="23" t="s">
        <v>233</v>
      </c>
      <c r="B141" s="2" t="s">
        <v>237</v>
      </c>
      <c r="C141" s="3" t="s">
        <v>22</v>
      </c>
      <c r="D141" s="3" t="s">
        <v>23</v>
      </c>
      <c r="E141" s="2" t="s">
        <v>24</v>
      </c>
      <c r="F141" s="4">
        <v>0</v>
      </c>
      <c r="G141" s="8">
        <f t="shared" si="19"/>
        <v>1000000000</v>
      </c>
      <c r="H141" s="4" t="str">
        <f t="shared" si="20"/>
        <v>Ohms</v>
      </c>
      <c r="I141" s="14">
        <v>49300000</v>
      </c>
      <c r="J141" s="6" t="str">
        <f t="shared" si="21"/>
        <v>Ohms</v>
      </c>
      <c r="K141" s="2" t="str">
        <f t="shared" si="22"/>
        <v>RTG</v>
      </c>
      <c r="L141" s="7">
        <v>45842</v>
      </c>
      <c r="M141" s="7">
        <f t="shared" si="23"/>
        <v>46207</v>
      </c>
      <c r="N141" s="7" t="str">
        <f t="shared" si="18"/>
        <v>Anual</v>
      </c>
      <c r="O141" s="2" t="str">
        <f t="shared" ca="1" si="24"/>
        <v>VIGENTE</v>
      </c>
      <c r="P141" s="6" t="s">
        <v>25</v>
      </c>
      <c r="Q141" s="2"/>
    </row>
    <row r="142" spans="1:17" x14ac:dyDescent="0.25">
      <c r="A142" s="23" t="s">
        <v>233</v>
      </c>
      <c r="B142" s="2" t="s">
        <v>238</v>
      </c>
      <c r="C142" s="3" t="s">
        <v>28</v>
      </c>
      <c r="D142" s="3" t="s">
        <v>23</v>
      </c>
      <c r="E142" s="2" t="s">
        <v>24</v>
      </c>
      <c r="F142" s="4">
        <v>0</v>
      </c>
      <c r="G142" s="8">
        <f t="shared" si="19"/>
        <v>1000000000</v>
      </c>
      <c r="H142" s="4" t="str">
        <f t="shared" si="20"/>
        <v>Ohms</v>
      </c>
      <c r="I142" s="14">
        <v>20400000</v>
      </c>
      <c r="J142" s="6" t="str">
        <f t="shared" si="21"/>
        <v>Ohms</v>
      </c>
      <c r="K142" s="2" t="str">
        <f t="shared" si="22"/>
        <v>RTG</v>
      </c>
      <c r="L142" s="7">
        <v>45842</v>
      </c>
      <c r="M142" s="7">
        <f t="shared" si="23"/>
        <v>46207</v>
      </c>
      <c r="N142" s="7" t="str">
        <f t="shared" si="18"/>
        <v>Anual</v>
      </c>
      <c r="O142" s="2" t="str">
        <f t="shared" ca="1" si="24"/>
        <v>VIGENTE</v>
      </c>
      <c r="P142" s="6" t="s">
        <v>25</v>
      </c>
      <c r="Q142" s="2" t="s">
        <v>29</v>
      </c>
    </row>
    <row r="143" spans="1:17" x14ac:dyDescent="0.25">
      <c r="A143" s="23" t="s">
        <v>233</v>
      </c>
      <c r="B143" s="2" t="s">
        <v>239</v>
      </c>
      <c r="C143" s="3" t="s">
        <v>28</v>
      </c>
      <c r="D143" s="3" t="s">
        <v>23</v>
      </c>
      <c r="E143" s="2" t="s">
        <v>24</v>
      </c>
      <c r="F143" s="4">
        <v>0</v>
      </c>
      <c r="G143" s="8">
        <f t="shared" si="19"/>
        <v>1000000000</v>
      </c>
      <c r="H143" s="4" t="str">
        <f t="shared" si="20"/>
        <v>Ohms</v>
      </c>
      <c r="I143" s="14">
        <v>176000000</v>
      </c>
      <c r="J143" s="6" t="str">
        <f t="shared" si="21"/>
        <v>Ohms</v>
      </c>
      <c r="K143" s="2" t="str">
        <f t="shared" si="22"/>
        <v>RTG</v>
      </c>
      <c r="L143" s="7">
        <v>45842</v>
      </c>
      <c r="M143" s="7">
        <f t="shared" si="23"/>
        <v>46207</v>
      </c>
      <c r="N143" s="7" t="str">
        <f t="shared" si="18"/>
        <v>Anual</v>
      </c>
      <c r="O143" s="2" t="str">
        <f t="shared" ca="1" si="24"/>
        <v>VIGENTE</v>
      </c>
      <c r="P143" s="6" t="s">
        <v>25</v>
      </c>
      <c r="Q143" s="2" t="s">
        <v>29</v>
      </c>
    </row>
    <row r="144" spans="1:17" x14ac:dyDescent="0.25">
      <c r="A144" s="23" t="s">
        <v>233</v>
      </c>
      <c r="B144" s="2" t="s">
        <v>240</v>
      </c>
      <c r="C144" s="3" t="s">
        <v>28</v>
      </c>
      <c r="D144" s="3" t="s">
        <v>23</v>
      </c>
      <c r="E144" s="2" t="s">
        <v>24</v>
      </c>
      <c r="F144" s="4">
        <v>0</v>
      </c>
      <c r="G144" s="8">
        <f t="shared" si="19"/>
        <v>1000000000</v>
      </c>
      <c r="H144" s="4" t="str">
        <f t="shared" si="20"/>
        <v>Ohms</v>
      </c>
      <c r="I144" s="14">
        <v>468000000</v>
      </c>
      <c r="J144" s="6" t="str">
        <f t="shared" si="21"/>
        <v>Ohms</v>
      </c>
      <c r="K144" s="2" t="str">
        <f t="shared" si="22"/>
        <v>RTG</v>
      </c>
      <c r="L144" s="7">
        <v>45842</v>
      </c>
      <c r="M144" s="7">
        <f t="shared" si="23"/>
        <v>46207</v>
      </c>
      <c r="N144" s="7" t="str">
        <f t="shared" si="18"/>
        <v>Anual</v>
      </c>
      <c r="O144" s="2" t="str">
        <f t="shared" ca="1" si="24"/>
        <v>VIGENTE</v>
      </c>
      <c r="P144" s="6" t="s">
        <v>25</v>
      </c>
      <c r="Q144" s="2" t="s">
        <v>29</v>
      </c>
    </row>
    <row r="145" spans="1:17" x14ac:dyDescent="0.25">
      <c r="A145" s="23" t="s">
        <v>233</v>
      </c>
      <c r="B145" s="2" t="s">
        <v>241</v>
      </c>
      <c r="C145" s="3" t="s">
        <v>28</v>
      </c>
      <c r="D145" s="3" t="s">
        <v>23</v>
      </c>
      <c r="E145" s="2" t="s">
        <v>24</v>
      </c>
      <c r="F145" s="4">
        <v>0</v>
      </c>
      <c r="G145" s="8">
        <f t="shared" si="19"/>
        <v>1000000000</v>
      </c>
      <c r="H145" s="4" t="str">
        <f t="shared" si="20"/>
        <v>Ohms</v>
      </c>
      <c r="I145" s="14">
        <v>75100000</v>
      </c>
      <c r="J145" s="6" t="str">
        <f t="shared" si="21"/>
        <v>Ohms</v>
      </c>
      <c r="K145" s="2" t="str">
        <f t="shared" si="22"/>
        <v>RTG</v>
      </c>
      <c r="L145" s="7">
        <v>45842</v>
      </c>
      <c r="M145" s="7">
        <f t="shared" si="23"/>
        <v>46207</v>
      </c>
      <c r="N145" s="7" t="str">
        <f t="shared" si="18"/>
        <v>Anual</v>
      </c>
      <c r="O145" s="2" t="str">
        <f t="shared" ca="1" si="24"/>
        <v>VIGENTE</v>
      </c>
      <c r="P145" s="6" t="s">
        <v>25</v>
      </c>
      <c r="Q145" s="2" t="s">
        <v>29</v>
      </c>
    </row>
    <row r="146" spans="1:17" x14ac:dyDescent="0.25">
      <c r="A146" s="23" t="s">
        <v>233</v>
      </c>
      <c r="B146" s="2" t="s">
        <v>242</v>
      </c>
      <c r="C146" s="3" t="s">
        <v>28</v>
      </c>
      <c r="D146" s="3" t="s">
        <v>23</v>
      </c>
      <c r="E146" s="2" t="s">
        <v>24</v>
      </c>
      <c r="F146" s="4">
        <v>0</v>
      </c>
      <c r="G146" s="8">
        <f t="shared" si="19"/>
        <v>1000000000</v>
      </c>
      <c r="H146" s="4" t="str">
        <f t="shared" si="20"/>
        <v>Ohms</v>
      </c>
      <c r="I146" s="14">
        <v>342000000</v>
      </c>
      <c r="J146" s="6" t="str">
        <f t="shared" si="21"/>
        <v>Ohms</v>
      </c>
      <c r="K146" s="2" t="str">
        <f t="shared" si="22"/>
        <v>RTG</v>
      </c>
      <c r="L146" s="7">
        <v>45842</v>
      </c>
      <c r="M146" s="7">
        <f t="shared" si="23"/>
        <v>46207</v>
      </c>
      <c r="N146" s="7" t="str">
        <f t="shared" si="18"/>
        <v>Anual</v>
      </c>
      <c r="O146" s="2" t="str">
        <f t="shared" ca="1" si="24"/>
        <v>VIGENTE</v>
      </c>
      <c r="P146" s="6" t="s">
        <v>25</v>
      </c>
      <c r="Q146" s="2" t="s">
        <v>29</v>
      </c>
    </row>
    <row r="147" spans="1:17" x14ac:dyDescent="0.25">
      <c r="A147" s="23" t="s">
        <v>233</v>
      </c>
      <c r="B147" s="2" t="s">
        <v>243</v>
      </c>
      <c r="C147" s="3" t="s">
        <v>28</v>
      </c>
      <c r="D147" s="3" t="s">
        <v>23</v>
      </c>
      <c r="E147" s="2" t="s">
        <v>24</v>
      </c>
      <c r="F147" s="4">
        <v>0</v>
      </c>
      <c r="G147" s="8">
        <f t="shared" si="19"/>
        <v>1000000000</v>
      </c>
      <c r="H147" s="4" t="str">
        <f t="shared" si="20"/>
        <v>Ohms</v>
      </c>
      <c r="I147" s="14">
        <v>28000000</v>
      </c>
      <c r="J147" s="6" t="str">
        <f t="shared" si="21"/>
        <v>Ohms</v>
      </c>
      <c r="K147" s="2" t="str">
        <f t="shared" si="22"/>
        <v>RTG</v>
      </c>
      <c r="L147" s="7">
        <v>45842</v>
      </c>
      <c r="M147" s="7">
        <f t="shared" si="23"/>
        <v>46207</v>
      </c>
      <c r="N147" s="7" t="str">
        <f t="shared" si="18"/>
        <v>Anual</v>
      </c>
      <c r="O147" s="2" t="str">
        <f t="shared" ca="1" si="24"/>
        <v>VIGENTE</v>
      </c>
      <c r="P147" s="6" t="s">
        <v>25</v>
      </c>
      <c r="Q147" s="2" t="s">
        <v>29</v>
      </c>
    </row>
    <row r="148" spans="1:17" x14ac:dyDescent="0.25">
      <c r="A148" s="23" t="s">
        <v>233</v>
      </c>
      <c r="B148" s="2" t="s">
        <v>244</v>
      </c>
      <c r="C148" s="3" t="s">
        <v>28</v>
      </c>
      <c r="D148" s="3" t="s">
        <v>23</v>
      </c>
      <c r="E148" s="2" t="s">
        <v>24</v>
      </c>
      <c r="F148" s="4">
        <v>0</v>
      </c>
      <c r="G148" s="8">
        <f t="shared" si="19"/>
        <v>1000000000</v>
      </c>
      <c r="H148" s="4" t="str">
        <f t="shared" si="20"/>
        <v>Ohms</v>
      </c>
      <c r="I148" s="14">
        <v>13800000</v>
      </c>
      <c r="J148" s="6" t="str">
        <f t="shared" si="21"/>
        <v>Ohms</v>
      </c>
      <c r="K148" s="2" t="str">
        <f t="shared" si="22"/>
        <v>RTG</v>
      </c>
      <c r="L148" s="7">
        <v>45842</v>
      </c>
      <c r="M148" s="7">
        <f t="shared" si="23"/>
        <v>46207</v>
      </c>
      <c r="N148" s="7" t="str">
        <f t="shared" si="18"/>
        <v>Anual</v>
      </c>
      <c r="O148" s="2" t="str">
        <f t="shared" ca="1" si="24"/>
        <v>VIGENTE</v>
      </c>
      <c r="P148" s="6" t="s">
        <v>25</v>
      </c>
      <c r="Q148" s="2" t="s">
        <v>29</v>
      </c>
    </row>
    <row r="149" spans="1:17" x14ac:dyDescent="0.25">
      <c r="A149" s="23" t="s">
        <v>233</v>
      </c>
      <c r="B149" s="2" t="s">
        <v>245</v>
      </c>
      <c r="C149" s="3" t="s">
        <v>43</v>
      </c>
      <c r="D149" s="3" t="s">
        <v>23</v>
      </c>
      <c r="E149" s="2" t="s">
        <v>24</v>
      </c>
      <c r="F149" s="4">
        <v>0</v>
      </c>
      <c r="G149" s="8">
        <f t="shared" si="19"/>
        <v>1000000000</v>
      </c>
      <c r="H149" s="4" t="str">
        <f t="shared" si="20"/>
        <v>Ohms</v>
      </c>
      <c r="I149" s="14">
        <v>236000000</v>
      </c>
      <c r="J149" s="6" t="str">
        <f t="shared" si="21"/>
        <v>Ohms</v>
      </c>
      <c r="K149" s="2" t="str">
        <f t="shared" si="22"/>
        <v>RTG</v>
      </c>
      <c r="L149" s="7">
        <v>45842</v>
      </c>
      <c r="M149" s="7">
        <f t="shared" si="23"/>
        <v>46022</v>
      </c>
      <c r="N149" s="7" t="str">
        <f t="shared" si="18"/>
        <v>Semestral</v>
      </c>
      <c r="O149" s="2" t="str">
        <f t="shared" ca="1" si="24"/>
        <v>VENCIDO</v>
      </c>
      <c r="P149" s="6" t="s">
        <v>25</v>
      </c>
      <c r="Q149" s="2"/>
    </row>
    <row r="150" spans="1:17" x14ac:dyDescent="0.25">
      <c r="A150" s="23" t="s">
        <v>233</v>
      </c>
      <c r="B150" s="2" t="s">
        <v>246</v>
      </c>
      <c r="C150" s="3" t="s">
        <v>28</v>
      </c>
      <c r="D150" s="3" t="s">
        <v>23</v>
      </c>
      <c r="E150" s="2" t="s">
        <v>24</v>
      </c>
      <c r="F150" s="4">
        <v>1</v>
      </c>
      <c r="G150" s="8">
        <f t="shared" si="19"/>
        <v>1000000000</v>
      </c>
      <c r="H150" s="4" t="str">
        <f t="shared" si="20"/>
        <v>Ohms</v>
      </c>
      <c r="I150" s="14">
        <v>8410000</v>
      </c>
      <c r="J150" s="6" t="str">
        <f t="shared" si="21"/>
        <v>Ohms</v>
      </c>
      <c r="K150" s="2" t="str">
        <f t="shared" si="22"/>
        <v>RTG</v>
      </c>
      <c r="L150" s="7">
        <v>46030</v>
      </c>
      <c r="M150" s="7">
        <f t="shared" si="23"/>
        <v>46395</v>
      </c>
      <c r="N150" s="7" t="str">
        <f t="shared" si="18"/>
        <v>Anual</v>
      </c>
      <c r="O150" s="2" t="str">
        <f t="shared" ca="1" si="24"/>
        <v>VIGENTE</v>
      </c>
      <c r="P150" s="6" t="s">
        <v>25</v>
      </c>
      <c r="Q150" s="2"/>
    </row>
    <row r="151" spans="1:17" x14ac:dyDescent="0.25">
      <c r="A151" s="23" t="s">
        <v>233</v>
      </c>
      <c r="B151" s="2" t="s">
        <v>247</v>
      </c>
      <c r="C151" s="3" t="s">
        <v>22</v>
      </c>
      <c r="D151" s="3" t="s">
        <v>23</v>
      </c>
      <c r="E151" s="2" t="s">
        <v>24</v>
      </c>
      <c r="F151" s="4">
        <v>0</v>
      </c>
      <c r="G151" s="8">
        <f t="shared" si="19"/>
        <v>1000000000</v>
      </c>
      <c r="H151" s="4" t="str">
        <f t="shared" si="20"/>
        <v>Ohms</v>
      </c>
      <c r="I151" s="6">
        <v>684000000</v>
      </c>
      <c r="J151" s="6" t="str">
        <f t="shared" si="21"/>
        <v>Ohms</v>
      </c>
      <c r="K151" s="2" t="str">
        <f t="shared" si="22"/>
        <v>RTG</v>
      </c>
      <c r="L151" s="7">
        <v>45677</v>
      </c>
      <c r="M151" s="7">
        <f t="shared" si="23"/>
        <v>46042</v>
      </c>
      <c r="N151" s="7" t="str">
        <f t="shared" si="18"/>
        <v>Anual</v>
      </c>
      <c r="O151" s="2" t="str">
        <f t="shared" ca="1" si="24"/>
        <v>VENCIDO</v>
      </c>
      <c r="P151" s="6" t="s">
        <v>25</v>
      </c>
      <c r="Q151" s="2"/>
    </row>
    <row r="152" spans="1:17" x14ac:dyDescent="0.25">
      <c r="A152" s="23" t="s">
        <v>233</v>
      </c>
      <c r="B152" s="2" t="s">
        <v>248</v>
      </c>
      <c r="C152" s="3" t="s">
        <v>22</v>
      </c>
      <c r="D152" s="3" t="s">
        <v>23</v>
      </c>
      <c r="E152" s="2" t="s">
        <v>24</v>
      </c>
      <c r="F152" s="4">
        <v>0</v>
      </c>
      <c r="G152" s="8">
        <f t="shared" si="19"/>
        <v>1000000000</v>
      </c>
      <c r="H152" s="4" t="str">
        <f t="shared" si="20"/>
        <v>Ohms</v>
      </c>
      <c r="I152" s="6">
        <v>365000000</v>
      </c>
      <c r="J152" s="6" t="str">
        <f t="shared" si="21"/>
        <v>Ohms</v>
      </c>
      <c r="K152" s="2" t="str">
        <f t="shared" si="22"/>
        <v>RTG</v>
      </c>
      <c r="L152" s="7">
        <v>45677</v>
      </c>
      <c r="M152" s="7">
        <f t="shared" si="23"/>
        <v>46042</v>
      </c>
      <c r="N152" s="7" t="str">
        <f t="shared" si="18"/>
        <v>Anual</v>
      </c>
      <c r="O152" s="2" t="str">
        <f t="shared" ca="1" si="24"/>
        <v>VENCIDO</v>
      </c>
      <c r="P152" s="6" t="s">
        <v>25</v>
      </c>
      <c r="Q152" s="2"/>
    </row>
    <row r="153" spans="1:17" x14ac:dyDescent="0.25">
      <c r="A153" s="23" t="s">
        <v>233</v>
      </c>
      <c r="B153" s="2" t="s">
        <v>569</v>
      </c>
      <c r="C153" s="3" t="s">
        <v>28</v>
      </c>
      <c r="D153" s="3" t="s">
        <v>23</v>
      </c>
      <c r="E153" s="2" t="s">
        <v>24</v>
      </c>
      <c r="F153" s="4">
        <v>0</v>
      </c>
      <c r="G153" s="8">
        <f t="shared" si="19"/>
        <v>1000000000</v>
      </c>
      <c r="H153" s="4" t="str">
        <f t="shared" si="20"/>
        <v>Ohms</v>
      </c>
      <c r="I153" s="6">
        <v>100000000</v>
      </c>
      <c r="J153" s="6" t="str">
        <f t="shared" si="21"/>
        <v>Ohms</v>
      </c>
      <c r="K153" s="2" t="str">
        <f t="shared" si="22"/>
        <v>RTG</v>
      </c>
      <c r="L153" s="7">
        <v>45677</v>
      </c>
      <c r="M153" s="7">
        <f t="shared" si="23"/>
        <v>46042</v>
      </c>
      <c r="N153" s="7" t="str">
        <f t="shared" si="18"/>
        <v>Anual</v>
      </c>
      <c r="O153" s="2" t="str">
        <f t="shared" ca="1" si="24"/>
        <v>VENCIDO</v>
      </c>
      <c r="P153" s="6" t="s">
        <v>25</v>
      </c>
      <c r="Q153" s="2" t="s">
        <v>29</v>
      </c>
    </row>
    <row r="154" spans="1:17" x14ac:dyDescent="0.25">
      <c r="A154" s="23" t="s">
        <v>226</v>
      </c>
      <c r="B154" s="2" t="s">
        <v>227</v>
      </c>
      <c r="C154" s="3" t="s">
        <v>22</v>
      </c>
      <c r="D154" s="3" t="s">
        <v>23</v>
      </c>
      <c r="E154" s="2" t="s">
        <v>24</v>
      </c>
      <c r="F154" s="4">
        <v>0</v>
      </c>
      <c r="G154" s="8">
        <f t="shared" si="19"/>
        <v>1000000000</v>
      </c>
      <c r="H154" s="4" t="str">
        <f t="shared" si="20"/>
        <v>Ohms</v>
      </c>
      <c r="I154" s="6">
        <v>23400000</v>
      </c>
      <c r="J154" s="6" t="str">
        <f t="shared" si="21"/>
        <v>Ohms</v>
      </c>
      <c r="K154" s="2" t="str">
        <f t="shared" si="22"/>
        <v>RTG</v>
      </c>
      <c r="L154" s="7">
        <v>45789</v>
      </c>
      <c r="M154" s="7">
        <f t="shared" si="23"/>
        <v>45969</v>
      </c>
      <c r="N154" s="7" t="str">
        <f>IF(C154="Ionizador", "Trimestral", IF(C154="Rack", "Semestral", IF(C154="Mesa", "Semestral", IF(C154="Tapete", "Semestral", IF(C154="Cautín", "Semestral", IF(C154="Silla", "Semestral", "Anual"))))))</f>
        <v>Semestral</v>
      </c>
      <c r="O154" s="2" t="str">
        <f ca="1">IF(M154&lt;TODAY(),"VENCIDO",IF(M154=TODAY(),"VENCE HOY",IF(M154&gt;TODAY(),"VIGENTE")))</f>
        <v>VENCIDO</v>
      </c>
      <c r="P154" s="13" t="s">
        <v>228</v>
      </c>
      <c r="Q154" s="2"/>
    </row>
    <row r="155" spans="1:17" x14ac:dyDescent="0.25">
      <c r="A155" s="23" t="s">
        <v>567</v>
      </c>
      <c r="B155" s="2" t="s">
        <v>568</v>
      </c>
      <c r="C155" s="3" t="s">
        <v>28</v>
      </c>
      <c r="D155" s="3" t="s">
        <v>23</v>
      </c>
      <c r="E155" s="2" t="s">
        <v>24</v>
      </c>
      <c r="F155" s="4">
        <v>0</v>
      </c>
      <c r="G155" s="8">
        <f t="shared" si="19"/>
        <v>1000000000</v>
      </c>
      <c r="H155" s="4" t="str">
        <f t="shared" si="20"/>
        <v>Ohms</v>
      </c>
      <c r="I155" s="14">
        <v>3350000</v>
      </c>
      <c r="J155" s="6" t="str">
        <f t="shared" si="21"/>
        <v>Ohms</v>
      </c>
      <c r="K155" s="2" t="str">
        <f t="shared" si="22"/>
        <v>RTG</v>
      </c>
      <c r="L155" s="7">
        <v>45719</v>
      </c>
      <c r="M155" s="7">
        <f t="shared" si="23"/>
        <v>46084</v>
      </c>
      <c r="N155" s="7" t="str">
        <f t="shared" ref="N155:N161" si="25">IF(C155="Ionizador", "Trimestral", IF(C155="Rack", "Anual", IF(C155="Mesa", "Anual", IF(C155="Tapete", "Semestral", IF(C155="Cautín", "Semestral", IF(C155="Silla", "Semestral", "Anual"))))))</f>
        <v>Anual</v>
      </c>
      <c r="O155" s="2" t="str">
        <f t="shared" ref="O155:O201" ca="1" si="26">IF(M155&lt;TODAY(),"VENCIDO",IF(M155=TODAY(),"VIGENTE",IF(M155&gt;TODAY(),"VIGENTE")))</f>
        <v>VENCIDO</v>
      </c>
      <c r="P155" s="6" t="s">
        <v>25</v>
      </c>
      <c r="Q155" s="2" t="s">
        <v>29</v>
      </c>
    </row>
    <row r="156" spans="1:17" x14ac:dyDescent="0.25">
      <c r="A156" s="23" t="s">
        <v>567</v>
      </c>
      <c r="B156" s="2" t="s">
        <v>588</v>
      </c>
      <c r="C156" s="3" t="s">
        <v>28</v>
      </c>
      <c r="D156" s="3" t="s">
        <v>23</v>
      </c>
      <c r="E156" s="2" t="s">
        <v>24</v>
      </c>
      <c r="F156" s="4">
        <v>0</v>
      </c>
      <c r="G156" s="8">
        <f t="shared" si="19"/>
        <v>1000000000</v>
      </c>
      <c r="H156" s="4" t="str">
        <f t="shared" si="20"/>
        <v>Ohms</v>
      </c>
      <c r="I156" s="14">
        <v>178000000</v>
      </c>
      <c r="J156" s="6" t="str">
        <f t="shared" si="21"/>
        <v>Ohms</v>
      </c>
      <c r="K156" s="2" t="str">
        <f t="shared" si="22"/>
        <v>RTG</v>
      </c>
      <c r="L156" s="7">
        <v>45719</v>
      </c>
      <c r="M156" s="7">
        <f t="shared" si="23"/>
        <v>46084</v>
      </c>
      <c r="N156" s="7" t="str">
        <f t="shared" si="25"/>
        <v>Anual</v>
      </c>
      <c r="O156" s="2" t="str">
        <f t="shared" ca="1" si="26"/>
        <v>VENCIDO</v>
      </c>
      <c r="P156" s="6" t="s">
        <v>25</v>
      </c>
      <c r="Q156" s="2" t="s">
        <v>29</v>
      </c>
    </row>
    <row r="157" spans="1:17" x14ac:dyDescent="0.25">
      <c r="A157" s="23" t="s">
        <v>567</v>
      </c>
      <c r="B157" s="2" t="s">
        <v>605</v>
      </c>
      <c r="C157" s="3" t="s">
        <v>28</v>
      </c>
      <c r="D157" s="3" t="s">
        <v>23</v>
      </c>
      <c r="E157" s="2" t="s">
        <v>24</v>
      </c>
      <c r="F157" s="4">
        <v>0</v>
      </c>
      <c r="G157" s="8">
        <f t="shared" si="19"/>
        <v>1000000000</v>
      </c>
      <c r="H157" s="4" t="str">
        <f t="shared" si="20"/>
        <v>Ohms</v>
      </c>
      <c r="I157" s="6">
        <v>1600000</v>
      </c>
      <c r="J157" s="6" t="str">
        <f t="shared" si="21"/>
        <v>Ohms</v>
      </c>
      <c r="K157" s="2" t="str">
        <f t="shared" si="22"/>
        <v>RTG</v>
      </c>
      <c r="L157" s="7">
        <v>45719</v>
      </c>
      <c r="M157" s="7">
        <f t="shared" si="23"/>
        <v>46084</v>
      </c>
      <c r="N157" s="7" t="str">
        <f t="shared" si="25"/>
        <v>Anual</v>
      </c>
      <c r="O157" s="2" t="str">
        <f t="shared" ca="1" si="26"/>
        <v>VENCIDO</v>
      </c>
      <c r="P157" s="6" t="s">
        <v>25</v>
      </c>
      <c r="Q157" s="2" t="s">
        <v>29</v>
      </c>
    </row>
    <row r="158" spans="1:17" x14ac:dyDescent="0.25">
      <c r="A158" s="23" t="s">
        <v>567</v>
      </c>
      <c r="B158" s="2" t="s">
        <v>634</v>
      </c>
      <c r="C158" s="3" t="s">
        <v>28</v>
      </c>
      <c r="D158" s="3" t="s">
        <v>23</v>
      </c>
      <c r="E158" s="2" t="s">
        <v>24</v>
      </c>
      <c r="F158" s="4">
        <v>0</v>
      </c>
      <c r="G158" s="8">
        <f t="shared" si="19"/>
        <v>1000000000</v>
      </c>
      <c r="H158" s="4" t="str">
        <f t="shared" si="20"/>
        <v>Ohms</v>
      </c>
      <c r="I158" s="14">
        <v>3350000</v>
      </c>
      <c r="J158" s="6" t="str">
        <f t="shared" si="21"/>
        <v>Ohms</v>
      </c>
      <c r="K158" s="2" t="str">
        <f t="shared" si="22"/>
        <v>RTG</v>
      </c>
      <c r="L158" s="7">
        <v>45720</v>
      </c>
      <c r="M158" s="7">
        <f t="shared" si="23"/>
        <v>46085</v>
      </c>
      <c r="N158" s="7" t="str">
        <f t="shared" si="25"/>
        <v>Anual</v>
      </c>
      <c r="O158" s="2" t="str">
        <f t="shared" ca="1" si="26"/>
        <v>VENCIDO</v>
      </c>
      <c r="P158" s="6" t="s">
        <v>25</v>
      </c>
      <c r="Q158" s="2" t="s">
        <v>29</v>
      </c>
    </row>
    <row r="159" spans="1:17" x14ac:dyDescent="0.25">
      <c r="A159" s="23" t="s">
        <v>567</v>
      </c>
      <c r="B159" s="2" t="s">
        <v>635</v>
      </c>
      <c r="C159" s="3" t="s">
        <v>28</v>
      </c>
      <c r="D159" s="3" t="s">
        <v>23</v>
      </c>
      <c r="E159" s="2" t="s">
        <v>24</v>
      </c>
      <c r="F159" s="4">
        <v>0</v>
      </c>
      <c r="G159" s="8">
        <f t="shared" si="19"/>
        <v>1000000000</v>
      </c>
      <c r="H159" s="4" t="str">
        <f t="shared" si="20"/>
        <v>Ohms</v>
      </c>
      <c r="I159" s="6">
        <v>481000</v>
      </c>
      <c r="J159" s="6" t="str">
        <f t="shared" si="21"/>
        <v>Ohms</v>
      </c>
      <c r="K159" s="2" t="str">
        <f t="shared" si="22"/>
        <v>RTG</v>
      </c>
      <c r="L159" s="7">
        <v>45719</v>
      </c>
      <c r="M159" s="7">
        <f t="shared" si="23"/>
        <v>46084</v>
      </c>
      <c r="N159" s="7" t="str">
        <f t="shared" si="25"/>
        <v>Anual</v>
      </c>
      <c r="O159" s="2" t="str">
        <f t="shared" ca="1" si="26"/>
        <v>VENCIDO</v>
      </c>
      <c r="P159" s="6" t="s">
        <v>25</v>
      </c>
      <c r="Q159" s="2" t="s">
        <v>29</v>
      </c>
    </row>
    <row r="160" spans="1:17" x14ac:dyDescent="0.25">
      <c r="A160" s="23" t="s">
        <v>567</v>
      </c>
      <c r="B160" s="2" t="s">
        <v>636</v>
      </c>
      <c r="C160" s="3" t="s">
        <v>28</v>
      </c>
      <c r="D160" s="3" t="s">
        <v>23</v>
      </c>
      <c r="E160" s="2" t="s">
        <v>24</v>
      </c>
      <c r="F160" s="4">
        <v>0</v>
      </c>
      <c r="G160" s="8">
        <f t="shared" si="19"/>
        <v>1000000000</v>
      </c>
      <c r="H160" s="4" t="str">
        <f t="shared" si="20"/>
        <v>Ohms</v>
      </c>
      <c r="I160" s="6">
        <v>4090000</v>
      </c>
      <c r="J160" s="6" t="str">
        <f t="shared" si="21"/>
        <v>Ohms</v>
      </c>
      <c r="K160" s="2" t="str">
        <f t="shared" si="22"/>
        <v>RTG</v>
      </c>
      <c r="L160" s="7">
        <v>45834</v>
      </c>
      <c r="M160" s="7">
        <f t="shared" si="23"/>
        <v>46199</v>
      </c>
      <c r="N160" s="7" t="str">
        <f t="shared" si="25"/>
        <v>Anual</v>
      </c>
      <c r="O160" s="2" t="str">
        <f t="shared" ca="1" si="26"/>
        <v>VIGENTE</v>
      </c>
      <c r="P160" s="6" t="s">
        <v>25</v>
      </c>
      <c r="Q160" s="2" t="s">
        <v>29</v>
      </c>
    </row>
    <row r="161" spans="1:17" x14ac:dyDescent="0.25">
      <c r="A161" s="23" t="s">
        <v>567</v>
      </c>
      <c r="B161" s="2" t="s">
        <v>645</v>
      </c>
      <c r="C161" s="3" t="s">
        <v>28</v>
      </c>
      <c r="D161" s="3" t="s">
        <v>23</v>
      </c>
      <c r="E161" s="2" t="s">
        <v>24</v>
      </c>
      <c r="F161" s="4">
        <v>0</v>
      </c>
      <c r="G161" s="8">
        <f t="shared" si="19"/>
        <v>1000000000</v>
      </c>
      <c r="H161" s="4" t="str">
        <f t="shared" si="20"/>
        <v>Ohms</v>
      </c>
      <c r="I161" s="6">
        <v>2430000</v>
      </c>
      <c r="J161" s="6" t="str">
        <f t="shared" si="21"/>
        <v>Ohms</v>
      </c>
      <c r="K161" s="2" t="str">
        <f t="shared" si="22"/>
        <v>RTG</v>
      </c>
      <c r="L161" s="7">
        <v>45834</v>
      </c>
      <c r="M161" s="7">
        <f t="shared" si="23"/>
        <v>46199</v>
      </c>
      <c r="N161" s="7" t="str">
        <f t="shared" si="25"/>
        <v>Anual</v>
      </c>
      <c r="O161" s="2" t="str">
        <f t="shared" ca="1" si="26"/>
        <v>VIGENTE</v>
      </c>
      <c r="P161" s="6" t="s">
        <v>25</v>
      </c>
      <c r="Q161" s="2" t="s">
        <v>29</v>
      </c>
    </row>
    <row r="162" spans="1:17" x14ac:dyDescent="0.25">
      <c r="A162" s="23" t="s">
        <v>271</v>
      </c>
      <c r="B162" s="2" t="s">
        <v>272</v>
      </c>
      <c r="C162" s="3" t="s">
        <v>28</v>
      </c>
      <c r="D162" s="3" t="s">
        <v>23</v>
      </c>
      <c r="E162" s="2" t="s">
        <v>24</v>
      </c>
      <c r="F162" s="4">
        <v>0</v>
      </c>
      <c r="G162" s="8">
        <f t="shared" si="19"/>
        <v>1000000000</v>
      </c>
      <c r="H162" s="4" t="str">
        <f t="shared" si="20"/>
        <v>Ohms</v>
      </c>
      <c r="I162" s="6">
        <v>15000000</v>
      </c>
      <c r="J162" s="6" t="str">
        <f t="shared" si="21"/>
        <v>Ohms</v>
      </c>
      <c r="K162" s="2" t="str">
        <f t="shared" si="22"/>
        <v>RTG</v>
      </c>
      <c r="L162" s="7">
        <v>46102</v>
      </c>
      <c r="M162" s="7">
        <f t="shared" si="23"/>
        <v>46282</v>
      </c>
      <c r="N162" s="7" t="str">
        <f t="shared" ref="N162:N183" si="27">IF(C162="Ionizador", "Trimestral", IF(C162="Rack", "Semestral", IF(C162="Mesa", "Semestral", IF(C162="Tapete", "Semestral", IF(C162="Cautín", "Semestral", IF(C162="Silla", "Semestral", "Anual"))))))</f>
        <v>Semestral</v>
      </c>
      <c r="O162" s="2" t="str">
        <f t="shared" ca="1" si="26"/>
        <v>VIGENTE</v>
      </c>
      <c r="P162" s="6"/>
      <c r="Q162" s="2"/>
    </row>
    <row r="163" spans="1:17" x14ac:dyDescent="0.25">
      <c r="A163" s="23" t="s">
        <v>271</v>
      </c>
      <c r="B163" s="2" t="s">
        <v>273</v>
      </c>
      <c r="C163" s="3" t="s">
        <v>28</v>
      </c>
      <c r="D163" s="3" t="s">
        <v>23</v>
      </c>
      <c r="E163" s="2" t="s">
        <v>24</v>
      </c>
      <c r="F163" s="4">
        <v>0</v>
      </c>
      <c r="G163" s="8">
        <f t="shared" si="19"/>
        <v>1000000000</v>
      </c>
      <c r="H163" s="4" t="str">
        <f t="shared" si="20"/>
        <v>Ohms</v>
      </c>
      <c r="I163" s="6">
        <v>890000000</v>
      </c>
      <c r="J163" s="6" t="str">
        <f t="shared" si="21"/>
        <v>Ohms</v>
      </c>
      <c r="K163" s="2" t="str">
        <f t="shared" si="22"/>
        <v>RTG</v>
      </c>
      <c r="L163" s="7">
        <v>46102</v>
      </c>
      <c r="M163" s="7">
        <f t="shared" si="23"/>
        <v>46282</v>
      </c>
      <c r="N163" s="7" t="str">
        <f t="shared" si="27"/>
        <v>Semestral</v>
      </c>
      <c r="O163" s="2" t="str">
        <f t="shared" ca="1" si="26"/>
        <v>VIGENTE</v>
      </c>
      <c r="P163" s="6"/>
      <c r="Q163" s="2"/>
    </row>
    <row r="164" spans="1:17" x14ac:dyDescent="0.25">
      <c r="A164" s="23" t="s">
        <v>271</v>
      </c>
      <c r="B164" s="2" t="s">
        <v>274</v>
      </c>
      <c r="C164" s="3" t="s">
        <v>28</v>
      </c>
      <c r="D164" s="3" t="s">
        <v>23</v>
      </c>
      <c r="E164" s="2" t="s">
        <v>24</v>
      </c>
      <c r="F164" s="4">
        <v>0</v>
      </c>
      <c r="G164" s="8">
        <f t="shared" si="19"/>
        <v>1000000000</v>
      </c>
      <c r="H164" s="4" t="str">
        <f t="shared" si="20"/>
        <v>Ohms</v>
      </c>
      <c r="I164" s="6">
        <v>3450000</v>
      </c>
      <c r="J164" s="6" t="str">
        <f t="shared" si="21"/>
        <v>Ohms</v>
      </c>
      <c r="K164" s="2" t="str">
        <f t="shared" si="22"/>
        <v>RTG</v>
      </c>
      <c r="L164" s="7">
        <v>46102</v>
      </c>
      <c r="M164" s="7">
        <f t="shared" si="23"/>
        <v>46282</v>
      </c>
      <c r="N164" s="7" t="str">
        <f t="shared" si="27"/>
        <v>Semestral</v>
      </c>
      <c r="O164" s="2" t="str">
        <f t="shared" ca="1" si="26"/>
        <v>VIGENTE</v>
      </c>
      <c r="P164" s="6"/>
      <c r="Q164" s="2"/>
    </row>
    <row r="165" spans="1:17" x14ac:dyDescent="0.25">
      <c r="A165" s="23" t="s">
        <v>271</v>
      </c>
      <c r="B165" s="2" t="s">
        <v>275</v>
      </c>
      <c r="C165" s="3" t="s">
        <v>28</v>
      </c>
      <c r="D165" s="3" t="s">
        <v>23</v>
      </c>
      <c r="E165" s="2" t="s">
        <v>24</v>
      </c>
      <c r="F165" s="4">
        <v>0</v>
      </c>
      <c r="G165" s="8">
        <f t="shared" si="19"/>
        <v>1000000000</v>
      </c>
      <c r="H165" s="4" t="str">
        <f t="shared" si="20"/>
        <v>Ohms</v>
      </c>
      <c r="I165" s="6">
        <v>76500000</v>
      </c>
      <c r="J165" s="6" t="str">
        <f t="shared" si="21"/>
        <v>Ohms</v>
      </c>
      <c r="K165" s="2" t="str">
        <f t="shared" si="22"/>
        <v>RTG</v>
      </c>
      <c r="L165" s="7">
        <v>46102</v>
      </c>
      <c r="M165" s="7">
        <f t="shared" si="23"/>
        <v>46282</v>
      </c>
      <c r="N165" s="7" t="str">
        <f t="shared" si="27"/>
        <v>Semestral</v>
      </c>
      <c r="O165" s="2" t="str">
        <f t="shared" ca="1" si="26"/>
        <v>VIGENTE</v>
      </c>
      <c r="P165" s="6"/>
      <c r="Q165" s="2"/>
    </row>
    <row r="166" spans="1:17" x14ac:dyDescent="0.25">
      <c r="A166" s="23" t="s">
        <v>271</v>
      </c>
      <c r="B166" s="2" t="s">
        <v>276</v>
      </c>
      <c r="C166" s="3" t="s">
        <v>28</v>
      </c>
      <c r="D166" s="3" t="s">
        <v>23</v>
      </c>
      <c r="E166" s="2" t="s">
        <v>24</v>
      </c>
      <c r="F166" s="4">
        <v>0</v>
      </c>
      <c r="G166" s="8">
        <f t="shared" si="19"/>
        <v>1000000000</v>
      </c>
      <c r="H166" s="4" t="str">
        <f t="shared" si="20"/>
        <v>Ohms</v>
      </c>
      <c r="I166" s="6">
        <v>543000000</v>
      </c>
      <c r="J166" s="6" t="str">
        <f t="shared" si="21"/>
        <v>Ohms</v>
      </c>
      <c r="K166" s="2" t="str">
        <f t="shared" si="22"/>
        <v>RTG</v>
      </c>
      <c r="L166" s="7">
        <v>46102</v>
      </c>
      <c r="M166" s="7">
        <f t="shared" si="23"/>
        <v>46282</v>
      </c>
      <c r="N166" s="7" t="str">
        <f t="shared" si="27"/>
        <v>Semestral</v>
      </c>
      <c r="O166" s="2" t="str">
        <f t="shared" ca="1" si="26"/>
        <v>VIGENTE</v>
      </c>
      <c r="P166" s="6"/>
      <c r="Q166" s="2"/>
    </row>
    <row r="167" spans="1:17" x14ac:dyDescent="0.25">
      <c r="A167" s="23" t="s">
        <v>271</v>
      </c>
      <c r="B167" s="2" t="s">
        <v>277</v>
      </c>
      <c r="C167" s="3" t="s">
        <v>28</v>
      </c>
      <c r="D167" s="3" t="s">
        <v>23</v>
      </c>
      <c r="E167" s="2" t="s">
        <v>24</v>
      </c>
      <c r="F167" s="4">
        <v>0</v>
      </c>
      <c r="G167" s="8">
        <f t="shared" si="19"/>
        <v>1000000000</v>
      </c>
      <c r="H167" s="4" t="str">
        <f t="shared" si="20"/>
        <v>Ohms</v>
      </c>
      <c r="I167" s="6">
        <v>21000000</v>
      </c>
      <c r="J167" s="6" t="str">
        <f t="shared" si="21"/>
        <v>Ohms</v>
      </c>
      <c r="K167" s="2" t="str">
        <f t="shared" si="22"/>
        <v>RTG</v>
      </c>
      <c r="L167" s="7">
        <v>46102</v>
      </c>
      <c r="M167" s="7">
        <f t="shared" si="23"/>
        <v>46282</v>
      </c>
      <c r="N167" s="7" t="str">
        <f t="shared" si="27"/>
        <v>Semestral</v>
      </c>
      <c r="O167" s="2" t="str">
        <f t="shared" ca="1" si="26"/>
        <v>VIGENTE</v>
      </c>
      <c r="P167" s="6"/>
      <c r="Q167" s="2"/>
    </row>
    <row r="168" spans="1:17" x14ac:dyDescent="0.25">
      <c r="A168" s="23" t="s">
        <v>271</v>
      </c>
      <c r="B168" s="2" t="s">
        <v>278</v>
      </c>
      <c r="C168" s="3" t="s">
        <v>28</v>
      </c>
      <c r="D168" s="3" t="s">
        <v>23</v>
      </c>
      <c r="E168" s="2" t="s">
        <v>24</v>
      </c>
      <c r="F168" s="4">
        <v>0</v>
      </c>
      <c r="G168" s="8">
        <f t="shared" si="19"/>
        <v>1000000000</v>
      </c>
      <c r="H168" s="4" t="str">
        <f t="shared" si="20"/>
        <v>Ohms</v>
      </c>
      <c r="I168" s="6">
        <v>67800000</v>
      </c>
      <c r="J168" s="6" t="str">
        <f t="shared" si="21"/>
        <v>Ohms</v>
      </c>
      <c r="K168" s="2" t="str">
        <f t="shared" si="22"/>
        <v>RTG</v>
      </c>
      <c r="L168" s="7">
        <v>46102</v>
      </c>
      <c r="M168" s="7">
        <f t="shared" si="23"/>
        <v>46282</v>
      </c>
      <c r="N168" s="7" t="str">
        <f t="shared" si="27"/>
        <v>Semestral</v>
      </c>
      <c r="O168" s="2" t="str">
        <f t="shared" ca="1" si="26"/>
        <v>VIGENTE</v>
      </c>
      <c r="P168" s="6"/>
      <c r="Q168" s="2"/>
    </row>
    <row r="169" spans="1:17" x14ac:dyDescent="0.25">
      <c r="A169" s="23" t="s">
        <v>271</v>
      </c>
      <c r="B169" s="2" t="s">
        <v>279</v>
      </c>
      <c r="C169" s="3" t="s">
        <v>28</v>
      </c>
      <c r="D169" s="3" t="s">
        <v>23</v>
      </c>
      <c r="E169" s="2" t="s">
        <v>24</v>
      </c>
      <c r="F169" s="4">
        <v>0</v>
      </c>
      <c r="G169" s="8">
        <f t="shared" si="19"/>
        <v>1000000000</v>
      </c>
      <c r="H169" s="4" t="str">
        <f t="shared" si="20"/>
        <v>Ohms</v>
      </c>
      <c r="I169" s="6">
        <v>34500000</v>
      </c>
      <c r="J169" s="6" t="str">
        <f t="shared" si="21"/>
        <v>Ohms</v>
      </c>
      <c r="K169" s="2" t="str">
        <f t="shared" si="22"/>
        <v>RTG</v>
      </c>
      <c r="L169" s="7">
        <v>46102</v>
      </c>
      <c r="M169" s="7">
        <f t="shared" si="23"/>
        <v>46282</v>
      </c>
      <c r="N169" s="7" t="str">
        <f t="shared" si="27"/>
        <v>Semestral</v>
      </c>
      <c r="O169" s="2" t="str">
        <f t="shared" ca="1" si="26"/>
        <v>VIGENTE</v>
      </c>
      <c r="P169" s="6"/>
      <c r="Q169" s="2"/>
    </row>
    <row r="170" spans="1:17" x14ac:dyDescent="0.25">
      <c r="A170" s="23" t="s">
        <v>271</v>
      </c>
      <c r="B170" s="2" t="s">
        <v>280</v>
      </c>
      <c r="C170" s="3" t="s">
        <v>28</v>
      </c>
      <c r="D170" s="3" t="s">
        <v>23</v>
      </c>
      <c r="E170" s="2" t="s">
        <v>24</v>
      </c>
      <c r="F170" s="4">
        <v>0</v>
      </c>
      <c r="G170" s="8">
        <f t="shared" si="19"/>
        <v>1000000000</v>
      </c>
      <c r="H170" s="4" t="str">
        <f t="shared" si="20"/>
        <v>Ohms</v>
      </c>
      <c r="I170" s="6">
        <v>120000000</v>
      </c>
      <c r="J170" s="6" t="str">
        <f t="shared" si="21"/>
        <v>Ohms</v>
      </c>
      <c r="K170" s="2" t="str">
        <f t="shared" si="22"/>
        <v>RTG</v>
      </c>
      <c r="L170" s="7">
        <v>46102</v>
      </c>
      <c r="M170" s="7">
        <f t="shared" si="23"/>
        <v>46282</v>
      </c>
      <c r="N170" s="7" t="str">
        <f t="shared" si="27"/>
        <v>Semestral</v>
      </c>
      <c r="O170" s="2" t="str">
        <f t="shared" ca="1" si="26"/>
        <v>VIGENTE</v>
      </c>
      <c r="P170" s="6"/>
      <c r="Q170" s="2"/>
    </row>
    <row r="171" spans="1:17" x14ac:dyDescent="0.25">
      <c r="A171" s="23" t="s">
        <v>271</v>
      </c>
      <c r="B171" s="2" t="s">
        <v>281</v>
      </c>
      <c r="C171" s="3" t="s">
        <v>28</v>
      </c>
      <c r="D171" s="3" t="s">
        <v>23</v>
      </c>
      <c r="E171" s="2" t="s">
        <v>24</v>
      </c>
      <c r="F171" s="4">
        <v>0</v>
      </c>
      <c r="G171" s="8">
        <f t="shared" si="19"/>
        <v>1000000000</v>
      </c>
      <c r="H171" s="4" t="str">
        <f t="shared" si="20"/>
        <v>Ohms</v>
      </c>
      <c r="I171" s="6">
        <v>89000000</v>
      </c>
      <c r="J171" s="6" t="str">
        <f t="shared" si="21"/>
        <v>Ohms</v>
      </c>
      <c r="K171" s="2" t="str">
        <f t="shared" si="22"/>
        <v>RTG</v>
      </c>
      <c r="L171" s="7">
        <v>46102</v>
      </c>
      <c r="M171" s="7">
        <f t="shared" si="23"/>
        <v>46282</v>
      </c>
      <c r="N171" s="7" t="str">
        <f t="shared" si="27"/>
        <v>Semestral</v>
      </c>
      <c r="O171" s="2" t="str">
        <f t="shared" ca="1" si="26"/>
        <v>VIGENTE</v>
      </c>
      <c r="P171" s="6"/>
      <c r="Q171" s="2"/>
    </row>
    <row r="172" spans="1:17" x14ac:dyDescent="0.25">
      <c r="A172" s="23" t="s">
        <v>271</v>
      </c>
      <c r="B172" s="2" t="s">
        <v>282</v>
      </c>
      <c r="C172" s="3" t="s">
        <v>28</v>
      </c>
      <c r="D172" s="3" t="s">
        <v>23</v>
      </c>
      <c r="E172" s="2" t="s">
        <v>24</v>
      </c>
      <c r="F172" s="4">
        <v>0</v>
      </c>
      <c r="G172" s="8">
        <f t="shared" si="19"/>
        <v>1000000000</v>
      </c>
      <c r="H172" s="4" t="str">
        <f t="shared" si="20"/>
        <v>Ohms</v>
      </c>
      <c r="I172" s="6">
        <v>4830000</v>
      </c>
      <c r="J172" s="6" t="str">
        <f t="shared" si="21"/>
        <v>Ohms</v>
      </c>
      <c r="K172" s="2" t="str">
        <f t="shared" si="22"/>
        <v>RTG</v>
      </c>
      <c r="L172" s="7">
        <v>46102</v>
      </c>
      <c r="M172" s="7">
        <f t="shared" si="23"/>
        <v>46282</v>
      </c>
      <c r="N172" s="7" t="str">
        <f t="shared" si="27"/>
        <v>Semestral</v>
      </c>
      <c r="O172" s="2" t="str">
        <f t="shared" ca="1" si="26"/>
        <v>VIGENTE</v>
      </c>
      <c r="P172" s="6"/>
      <c r="Q172" s="2"/>
    </row>
    <row r="173" spans="1:17" x14ac:dyDescent="0.25">
      <c r="A173" s="23" t="s">
        <v>271</v>
      </c>
      <c r="B173" s="2" t="s">
        <v>283</v>
      </c>
      <c r="C173" s="3" t="s">
        <v>28</v>
      </c>
      <c r="D173" s="3" t="s">
        <v>23</v>
      </c>
      <c r="E173" s="2" t="s">
        <v>24</v>
      </c>
      <c r="F173" s="4">
        <v>0</v>
      </c>
      <c r="G173" s="8">
        <f t="shared" si="19"/>
        <v>1000000000</v>
      </c>
      <c r="H173" s="4" t="str">
        <f t="shared" si="20"/>
        <v>Ohms</v>
      </c>
      <c r="I173" s="6">
        <v>12000000</v>
      </c>
      <c r="J173" s="6" t="str">
        <f t="shared" si="21"/>
        <v>Ohms</v>
      </c>
      <c r="K173" s="2" t="str">
        <f t="shared" si="22"/>
        <v>RTG</v>
      </c>
      <c r="L173" s="7">
        <v>46102</v>
      </c>
      <c r="M173" s="7">
        <f t="shared" si="23"/>
        <v>46282</v>
      </c>
      <c r="N173" s="7" t="str">
        <f t="shared" si="27"/>
        <v>Semestral</v>
      </c>
      <c r="O173" s="2" t="str">
        <f t="shared" ca="1" si="26"/>
        <v>VIGENTE</v>
      </c>
      <c r="P173" s="6"/>
      <c r="Q173" s="2"/>
    </row>
    <row r="174" spans="1:17" x14ac:dyDescent="0.25">
      <c r="A174" s="23" t="s">
        <v>271</v>
      </c>
      <c r="B174" s="2" t="s">
        <v>284</v>
      </c>
      <c r="C174" s="3" t="s">
        <v>28</v>
      </c>
      <c r="D174" s="3" t="s">
        <v>23</v>
      </c>
      <c r="E174" s="2" t="s">
        <v>24</v>
      </c>
      <c r="F174" s="4">
        <v>0</v>
      </c>
      <c r="G174" s="8">
        <f t="shared" si="19"/>
        <v>1000000000</v>
      </c>
      <c r="H174" s="4" t="str">
        <f t="shared" si="20"/>
        <v>Ohms</v>
      </c>
      <c r="I174" s="6">
        <v>987000000</v>
      </c>
      <c r="J174" s="6" t="str">
        <f t="shared" si="21"/>
        <v>Ohms</v>
      </c>
      <c r="K174" s="2" t="str">
        <f t="shared" si="22"/>
        <v>RTG</v>
      </c>
      <c r="L174" s="7">
        <v>46102</v>
      </c>
      <c r="M174" s="7">
        <f t="shared" si="23"/>
        <v>46282</v>
      </c>
      <c r="N174" s="7" t="str">
        <f t="shared" si="27"/>
        <v>Semestral</v>
      </c>
      <c r="O174" s="2" t="str">
        <f t="shared" ca="1" si="26"/>
        <v>VIGENTE</v>
      </c>
      <c r="P174" s="6"/>
      <c r="Q174" s="2"/>
    </row>
    <row r="175" spans="1:17" x14ac:dyDescent="0.25">
      <c r="A175" s="23" t="s">
        <v>271</v>
      </c>
      <c r="B175" s="2" t="s">
        <v>285</v>
      </c>
      <c r="C175" s="3" t="s">
        <v>28</v>
      </c>
      <c r="D175" s="3" t="s">
        <v>23</v>
      </c>
      <c r="E175" s="2" t="s">
        <v>24</v>
      </c>
      <c r="F175" s="4">
        <v>0</v>
      </c>
      <c r="G175" s="8">
        <f t="shared" si="19"/>
        <v>1000000000</v>
      </c>
      <c r="H175" s="4" t="str">
        <f t="shared" si="20"/>
        <v>Ohms</v>
      </c>
      <c r="I175" s="6">
        <v>4560000</v>
      </c>
      <c r="J175" s="6" t="str">
        <f t="shared" si="21"/>
        <v>Ohms</v>
      </c>
      <c r="K175" s="2" t="str">
        <f t="shared" si="22"/>
        <v>RTG</v>
      </c>
      <c r="L175" s="7">
        <v>46102</v>
      </c>
      <c r="M175" s="7">
        <f t="shared" si="23"/>
        <v>46282</v>
      </c>
      <c r="N175" s="7" t="str">
        <f t="shared" si="27"/>
        <v>Semestral</v>
      </c>
      <c r="O175" s="2" t="str">
        <f t="shared" ca="1" si="26"/>
        <v>VIGENTE</v>
      </c>
      <c r="P175" s="6"/>
      <c r="Q175" s="2"/>
    </row>
    <row r="176" spans="1:17" x14ac:dyDescent="0.25">
      <c r="A176" s="23" t="s">
        <v>271</v>
      </c>
      <c r="B176" s="2" t="s">
        <v>286</v>
      </c>
      <c r="C176" s="3" t="s">
        <v>28</v>
      </c>
      <c r="D176" s="3" t="s">
        <v>23</v>
      </c>
      <c r="E176" s="2" t="s">
        <v>24</v>
      </c>
      <c r="F176" s="4">
        <v>0</v>
      </c>
      <c r="G176" s="8">
        <f t="shared" si="19"/>
        <v>1000000000</v>
      </c>
      <c r="H176" s="4" t="str">
        <f t="shared" si="20"/>
        <v>Ohms</v>
      </c>
      <c r="I176" s="6">
        <v>678000000</v>
      </c>
      <c r="J176" s="6" t="str">
        <f t="shared" si="21"/>
        <v>Ohms</v>
      </c>
      <c r="K176" s="2" t="str">
        <f t="shared" si="22"/>
        <v>RTG</v>
      </c>
      <c r="L176" s="7">
        <v>46102</v>
      </c>
      <c r="M176" s="7">
        <f t="shared" si="23"/>
        <v>46282</v>
      </c>
      <c r="N176" s="7" t="str">
        <f t="shared" si="27"/>
        <v>Semestral</v>
      </c>
      <c r="O176" s="2" t="str">
        <f t="shared" ca="1" si="26"/>
        <v>VIGENTE</v>
      </c>
      <c r="P176" s="6"/>
      <c r="Q176" s="2"/>
    </row>
    <row r="177" spans="1:17" x14ac:dyDescent="0.25">
      <c r="A177" s="23" t="s">
        <v>271</v>
      </c>
      <c r="B177" s="2" t="s">
        <v>287</v>
      </c>
      <c r="C177" s="3" t="s">
        <v>28</v>
      </c>
      <c r="D177" s="3" t="s">
        <v>23</v>
      </c>
      <c r="E177" s="2" t="s">
        <v>24</v>
      </c>
      <c r="F177" s="4">
        <v>0</v>
      </c>
      <c r="G177" s="8">
        <f t="shared" si="19"/>
        <v>1000000000</v>
      </c>
      <c r="H177" s="4" t="str">
        <f t="shared" si="20"/>
        <v>Ohms</v>
      </c>
      <c r="I177" s="6">
        <v>42500000</v>
      </c>
      <c r="J177" s="6" t="str">
        <f t="shared" si="21"/>
        <v>Ohms</v>
      </c>
      <c r="K177" s="2" t="str">
        <f t="shared" si="22"/>
        <v>RTG</v>
      </c>
      <c r="L177" s="7">
        <v>46104</v>
      </c>
      <c r="M177" s="7">
        <f t="shared" si="23"/>
        <v>46284</v>
      </c>
      <c r="N177" s="7" t="str">
        <f t="shared" si="27"/>
        <v>Semestral</v>
      </c>
      <c r="O177" s="2" t="str">
        <f t="shared" ca="1" si="26"/>
        <v>VIGENTE</v>
      </c>
      <c r="P177" s="6"/>
      <c r="Q177" s="2"/>
    </row>
    <row r="178" spans="1:17" x14ac:dyDescent="0.25">
      <c r="A178" s="23" t="s">
        <v>271</v>
      </c>
      <c r="B178" s="2" t="s">
        <v>288</v>
      </c>
      <c r="C178" s="3" t="s">
        <v>28</v>
      </c>
      <c r="D178" s="3" t="s">
        <v>23</v>
      </c>
      <c r="E178" s="2" t="s">
        <v>24</v>
      </c>
      <c r="F178" s="4">
        <v>0</v>
      </c>
      <c r="G178" s="8">
        <f t="shared" si="19"/>
        <v>1000000000</v>
      </c>
      <c r="H178" s="4" t="str">
        <f t="shared" si="20"/>
        <v>Ohms</v>
      </c>
      <c r="I178" s="6">
        <v>642000000</v>
      </c>
      <c r="J178" s="6" t="str">
        <f t="shared" si="21"/>
        <v>Ohms</v>
      </c>
      <c r="K178" s="2" t="str">
        <f t="shared" si="22"/>
        <v>RTG</v>
      </c>
      <c r="L178" s="7">
        <v>46104</v>
      </c>
      <c r="M178" s="7">
        <f t="shared" si="23"/>
        <v>46284</v>
      </c>
      <c r="N178" s="7" t="str">
        <f t="shared" si="27"/>
        <v>Semestral</v>
      </c>
      <c r="O178" s="2" t="str">
        <f t="shared" ca="1" si="26"/>
        <v>VIGENTE</v>
      </c>
      <c r="P178" s="6"/>
      <c r="Q178" s="2"/>
    </row>
    <row r="179" spans="1:17" x14ac:dyDescent="0.25">
      <c r="A179" s="23" t="s">
        <v>271</v>
      </c>
      <c r="B179" s="2" t="s">
        <v>486</v>
      </c>
      <c r="C179" s="3" t="s">
        <v>28</v>
      </c>
      <c r="D179" s="3" t="s">
        <v>23</v>
      </c>
      <c r="E179" s="2" t="s">
        <v>24</v>
      </c>
      <c r="F179" s="4">
        <v>0</v>
      </c>
      <c r="G179" s="8">
        <f t="shared" si="19"/>
        <v>1000000000</v>
      </c>
      <c r="H179" s="4" t="str">
        <f t="shared" si="20"/>
        <v>Ohms</v>
      </c>
      <c r="I179" s="6">
        <v>6190000</v>
      </c>
      <c r="J179" s="6" t="str">
        <f t="shared" si="21"/>
        <v>Ohms</v>
      </c>
      <c r="K179" s="2" t="str">
        <f t="shared" si="22"/>
        <v>RTG</v>
      </c>
      <c r="L179" s="7">
        <v>46104</v>
      </c>
      <c r="M179" s="7">
        <f t="shared" si="23"/>
        <v>46284</v>
      </c>
      <c r="N179" s="7" t="str">
        <f t="shared" si="27"/>
        <v>Semestral</v>
      </c>
      <c r="O179" s="2" t="str">
        <f t="shared" ca="1" si="26"/>
        <v>VIGENTE</v>
      </c>
      <c r="P179" s="6"/>
      <c r="Q179" s="2"/>
    </row>
    <row r="180" spans="1:17" x14ac:dyDescent="0.25">
      <c r="A180" s="23" t="s">
        <v>271</v>
      </c>
      <c r="B180" s="2" t="s">
        <v>565</v>
      </c>
      <c r="C180" s="3" t="s">
        <v>28</v>
      </c>
      <c r="D180" s="3" t="s">
        <v>23</v>
      </c>
      <c r="E180" s="2" t="s">
        <v>24</v>
      </c>
      <c r="F180" s="4">
        <v>0</v>
      </c>
      <c r="G180" s="8">
        <f t="shared" si="19"/>
        <v>1000000000</v>
      </c>
      <c r="H180" s="4" t="str">
        <f t="shared" si="20"/>
        <v>Ohms</v>
      </c>
      <c r="I180" s="6">
        <v>49200</v>
      </c>
      <c r="J180" s="6" t="str">
        <f t="shared" si="21"/>
        <v>Ohms</v>
      </c>
      <c r="K180" s="2" t="str">
        <f t="shared" si="22"/>
        <v>RTG</v>
      </c>
      <c r="L180" s="7">
        <v>45960</v>
      </c>
      <c r="M180" s="7">
        <f t="shared" si="23"/>
        <v>46140</v>
      </c>
      <c r="N180" s="7" t="str">
        <f t="shared" si="27"/>
        <v>Semestral</v>
      </c>
      <c r="O180" s="2" t="str">
        <f t="shared" ca="1" si="26"/>
        <v>VIGENTE</v>
      </c>
      <c r="P180" s="6"/>
      <c r="Q180" s="2"/>
    </row>
    <row r="181" spans="1:17" x14ac:dyDescent="0.25">
      <c r="A181" s="23" t="s">
        <v>271</v>
      </c>
      <c r="B181" s="2" t="s">
        <v>566</v>
      </c>
      <c r="C181" s="3" t="s">
        <v>28</v>
      </c>
      <c r="D181" s="3" t="s">
        <v>23</v>
      </c>
      <c r="E181" s="2" t="s">
        <v>24</v>
      </c>
      <c r="F181" s="4">
        <v>0</v>
      </c>
      <c r="G181" s="8">
        <f t="shared" si="19"/>
        <v>1000000000</v>
      </c>
      <c r="H181" s="4" t="str">
        <f t="shared" si="20"/>
        <v>Ohms</v>
      </c>
      <c r="I181" s="6">
        <v>13000</v>
      </c>
      <c r="J181" s="6" t="str">
        <f t="shared" si="21"/>
        <v>Ohms</v>
      </c>
      <c r="K181" s="2" t="str">
        <f t="shared" si="22"/>
        <v>RTG</v>
      </c>
      <c r="L181" s="7">
        <v>45960</v>
      </c>
      <c r="M181" s="7">
        <f t="shared" si="23"/>
        <v>46140</v>
      </c>
      <c r="N181" s="7" t="str">
        <f t="shared" si="27"/>
        <v>Semestral</v>
      </c>
      <c r="O181" s="2" t="str">
        <f t="shared" ca="1" si="26"/>
        <v>VIGENTE</v>
      </c>
      <c r="P181" s="6"/>
      <c r="Q181" s="2"/>
    </row>
    <row r="182" spans="1:17" x14ac:dyDescent="0.25">
      <c r="A182" s="23" t="s">
        <v>271</v>
      </c>
      <c r="B182" s="2" t="s">
        <v>616</v>
      </c>
      <c r="C182" s="3" t="s">
        <v>28</v>
      </c>
      <c r="D182" s="3" t="s">
        <v>23</v>
      </c>
      <c r="E182" s="2" t="s">
        <v>24</v>
      </c>
      <c r="F182" s="4">
        <v>0</v>
      </c>
      <c r="G182" s="8">
        <f t="shared" si="19"/>
        <v>1000000000</v>
      </c>
      <c r="H182" s="4" t="str">
        <f t="shared" si="20"/>
        <v>Ohms</v>
      </c>
      <c r="I182" s="6">
        <v>26900</v>
      </c>
      <c r="J182" s="6" t="str">
        <f t="shared" si="21"/>
        <v>Ohms</v>
      </c>
      <c r="K182" s="2" t="str">
        <f t="shared" si="22"/>
        <v>RTG</v>
      </c>
      <c r="L182" s="7">
        <v>45960</v>
      </c>
      <c r="M182" s="7">
        <f t="shared" si="23"/>
        <v>46140</v>
      </c>
      <c r="N182" s="7" t="str">
        <f t="shared" si="27"/>
        <v>Semestral</v>
      </c>
      <c r="O182" s="2" t="str">
        <f t="shared" ca="1" si="26"/>
        <v>VIGENTE</v>
      </c>
      <c r="P182" s="6"/>
      <c r="Q182" s="2"/>
    </row>
    <row r="183" spans="1:17" x14ac:dyDescent="0.25">
      <c r="A183" s="23" t="s">
        <v>271</v>
      </c>
      <c r="B183" s="2" t="s">
        <v>617</v>
      </c>
      <c r="C183" s="3" t="s">
        <v>28</v>
      </c>
      <c r="D183" s="3" t="s">
        <v>23</v>
      </c>
      <c r="E183" s="2" t="s">
        <v>24</v>
      </c>
      <c r="F183" s="4">
        <v>0</v>
      </c>
      <c r="G183" s="8">
        <f t="shared" si="19"/>
        <v>1000000000</v>
      </c>
      <c r="H183" s="4" t="str">
        <f t="shared" si="20"/>
        <v>Ohms</v>
      </c>
      <c r="I183" s="6">
        <v>19700</v>
      </c>
      <c r="J183" s="6" t="str">
        <f t="shared" si="21"/>
        <v>Ohms</v>
      </c>
      <c r="K183" s="2" t="str">
        <f t="shared" si="22"/>
        <v>RTG</v>
      </c>
      <c r="L183" s="7">
        <v>45960</v>
      </c>
      <c r="M183" s="7">
        <f t="shared" si="23"/>
        <v>46140</v>
      </c>
      <c r="N183" s="7" t="str">
        <f t="shared" si="27"/>
        <v>Semestral</v>
      </c>
      <c r="O183" s="2" t="str">
        <f t="shared" ca="1" si="26"/>
        <v>VIGENTE</v>
      </c>
      <c r="P183" s="6"/>
      <c r="Q183" s="2"/>
    </row>
    <row r="184" spans="1:17" x14ac:dyDescent="0.25">
      <c r="A184" s="23" t="s">
        <v>1043</v>
      </c>
      <c r="B184" s="2" t="s">
        <v>1044</v>
      </c>
      <c r="C184" s="3" t="s">
        <v>28</v>
      </c>
      <c r="D184" s="3" t="s">
        <v>23</v>
      </c>
      <c r="E184" s="2" t="s">
        <v>24</v>
      </c>
      <c r="F184" s="4">
        <v>0</v>
      </c>
      <c r="G184" s="8">
        <f t="shared" si="19"/>
        <v>1000000000</v>
      </c>
      <c r="H184" s="4" t="str">
        <f t="shared" si="20"/>
        <v>Ohms</v>
      </c>
      <c r="I184" s="6">
        <v>375000</v>
      </c>
      <c r="J184" s="6" t="str">
        <f t="shared" si="21"/>
        <v>Ohms</v>
      </c>
      <c r="K184" s="2" t="str">
        <f t="shared" si="22"/>
        <v>RTG</v>
      </c>
      <c r="L184" s="7">
        <v>45922</v>
      </c>
      <c r="M184" s="7">
        <f t="shared" si="23"/>
        <v>46287</v>
      </c>
      <c r="N184" s="7" t="str">
        <f t="shared" ref="N184:N201" si="28">IF(C184="Ionizador", "Trimestral", IF(C184="Rack", "Anual", IF(C184="Mesa", "Anual", IF(C184="Tapete", "Semestral", IF(C184="Cautín", "Semestral", IF(C184="Silla", "Semestral", "Anual"))))))</f>
        <v>Anual</v>
      </c>
      <c r="O184" s="2" t="str">
        <f t="shared" ca="1" si="26"/>
        <v>VIGENTE</v>
      </c>
      <c r="P184" s="6" t="s">
        <v>25</v>
      </c>
      <c r="Q184" s="2" t="s">
        <v>29</v>
      </c>
    </row>
    <row r="185" spans="1:17" x14ac:dyDescent="0.25">
      <c r="A185" s="23" t="s">
        <v>1043</v>
      </c>
      <c r="B185" s="2" t="s">
        <v>1054</v>
      </c>
      <c r="C185" s="3" t="s">
        <v>22</v>
      </c>
      <c r="D185" s="3" t="s">
        <v>23</v>
      </c>
      <c r="E185" s="2" t="s">
        <v>24</v>
      </c>
      <c r="F185" s="4">
        <v>0</v>
      </c>
      <c r="G185" s="8">
        <f t="shared" si="19"/>
        <v>1000000000</v>
      </c>
      <c r="H185" s="4" t="str">
        <f t="shared" si="20"/>
        <v>Ohms</v>
      </c>
      <c r="I185" s="6">
        <v>7.3999999999999996E-2</v>
      </c>
      <c r="J185" s="6" t="str">
        <f t="shared" si="21"/>
        <v>Ohms</v>
      </c>
      <c r="K185" s="2" t="str">
        <f t="shared" si="22"/>
        <v>RTG</v>
      </c>
      <c r="L185" s="7">
        <v>45922</v>
      </c>
      <c r="M185" s="7">
        <f t="shared" si="23"/>
        <v>46287</v>
      </c>
      <c r="N185" s="7" t="str">
        <f t="shared" si="28"/>
        <v>Anual</v>
      </c>
      <c r="O185" s="2" t="str">
        <f t="shared" ca="1" si="26"/>
        <v>VIGENTE</v>
      </c>
      <c r="P185" s="6" t="s">
        <v>25</v>
      </c>
      <c r="Q185" s="2"/>
    </row>
    <row r="186" spans="1:17" x14ac:dyDescent="0.25">
      <c r="A186" s="23" t="s">
        <v>1043</v>
      </c>
      <c r="B186" s="2" t="s">
        <v>1059</v>
      </c>
      <c r="C186" s="3" t="s">
        <v>28</v>
      </c>
      <c r="D186" s="3" t="s">
        <v>23</v>
      </c>
      <c r="E186" s="2" t="s">
        <v>24</v>
      </c>
      <c r="F186" s="4">
        <v>0</v>
      </c>
      <c r="G186" s="8">
        <f t="shared" si="19"/>
        <v>1000000000</v>
      </c>
      <c r="H186" s="4" t="str">
        <f t="shared" si="20"/>
        <v>Ohms</v>
      </c>
      <c r="I186" s="6">
        <v>66600000</v>
      </c>
      <c r="J186" s="6" t="str">
        <f t="shared" si="21"/>
        <v>Ohms</v>
      </c>
      <c r="K186" s="2" t="str">
        <f t="shared" si="22"/>
        <v>RTG</v>
      </c>
      <c r="L186" s="7">
        <v>45922</v>
      </c>
      <c r="M186" s="7">
        <f t="shared" si="23"/>
        <v>46287</v>
      </c>
      <c r="N186" s="7" t="str">
        <f t="shared" si="28"/>
        <v>Anual</v>
      </c>
      <c r="O186" s="2" t="str">
        <f t="shared" ca="1" si="26"/>
        <v>VIGENTE</v>
      </c>
      <c r="P186" s="6" t="s">
        <v>25</v>
      </c>
      <c r="Q186" s="2" t="s">
        <v>29</v>
      </c>
    </row>
    <row r="187" spans="1:17" x14ac:dyDescent="0.25">
      <c r="A187" s="23" t="s">
        <v>1045</v>
      </c>
      <c r="B187" s="2" t="s">
        <v>1046</v>
      </c>
      <c r="C187" s="3" t="s">
        <v>28</v>
      </c>
      <c r="D187" s="3" t="s">
        <v>23</v>
      </c>
      <c r="E187" s="2" t="s">
        <v>24</v>
      </c>
      <c r="F187" s="4">
        <v>0</v>
      </c>
      <c r="G187" s="8">
        <f t="shared" si="19"/>
        <v>1000000000</v>
      </c>
      <c r="H187" s="4" t="str">
        <f t="shared" si="20"/>
        <v>Ohms</v>
      </c>
      <c r="I187" s="6">
        <v>268000000</v>
      </c>
      <c r="J187" s="6" t="str">
        <f t="shared" si="21"/>
        <v>Ohms</v>
      </c>
      <c r="K187" s="2" t="str">
        <f t="shared" si="22"/>
        <v>RTG</v>
      </c>
      <c r="L187" s="7">
        <v>45741</v>
      </c>
      <c r="M187" s="7">
        <f t="shared" si="23"/>
        <v>46106</v>
      </c>
      <c r="N187" s="7" t="str">
        <f t="shared" si="28"/>
        <v>Anual</v>
      </c>
      <c r="O187" s="2" t="str">
        <f t="shared" ca="1" si="26"/>
        <v>VENCIDO</v>
      </c>
      <c r="P187" s="6" t="s">
        <v>25</v>
      </c>
      <c r="Q187" s="2" t="s">
        <v>29</v>
      </c>
    </row>
    <row r="188" spans="1:17" x14ac:dyDescent="0.25">
      <c r="A188" s="23" t="s">
        <v>1045</v>
      </c>
      <c r="B188" s="2" t="s">
        <v>1055</v>
      </c>
      <c r="C188" s="3" t="s">
        <v>22</v>
      </c>
      <c r="D188" s="3" t="s">
        <v>23</v>
      </c>
      <c r="E188" s="2" t="s">
        <v>24</v>
      </c>
      <c r="F188" s="4">
        <v>0</v>
      </c>
      <c r="G188" s="8">
        <f t="shared" si="19"/>
        <v>1000000000</v>
      </c>
      <c r="H188" s="4" t="str">
        <f t="shared" si="20"/>
        <v>Ohms</v>
      </c>
      <c r="I188" s="6">
        <v>0.217</v>
      </c>
      <c r="J188" s="6" t="str">
        <f t="shared" si="21"/>
        <v>Ohms</v>
      </c>
      <c r="K188" s="2" t="str">
        <f t="shared" si="22"/>
        <v>RTG</v>
      </c>
      <c r="L188" s="7">
        <v>45741</v>
      </c>
      <c r="M188" s="7">
        <f t="shared" si="23"/>
        <v>46106</v>
      </c>
      <c r="N188" s="7" t="str">
        <f t="shared" si="28"/>
        <v>Anual</v>
      </c>
      <c r="O188" s="2" t="str">
        <f t="shared" ca="1" si="26"/>
        <v>VENCIDO</v>
      </c>
      <c r="P188" s="6" t="s">
        <v>25</v>
      </c>
      <c r="Q188" s="2"/>
    </row>
    <row r="189" spans="1:17" x14ac:dyDescent="0.25">
      <c r="A189" s="23" t="s">
        <v>1045</v>
      </c>
      <c r="B189" s="2" t="s">
        <v>1060</v>
      </c>
      <c r="C189" s="3" t="s">
        <v>28</v>
      </c>
      <c r="D189" s="3" t="s">
        <v>23</v>
      </c>
      <c r="E189" s="2" t="s">
        <v>24</v>
      </c>
      <c r="F189" s="4">
        <v>0</v>
      </c>
      <c r="G189" s="8">
        <f t="shared" si="19"/>
        <v>1000000000</v>
      </c>
      <c r="H189" s="4" t="str">
        <f t="shared" si="20"/>
        <v>Ohms</v>
      </c>
      <c r="I189" s="14">
        <v>19000000</v>
      </c>
      <c r="J189" s="6" t="str">
        <f t="shared" si="21"/>
        <v>Ohms</v>
      </c>
      <c r="K189" s="2" t="str">
        <f t="shared" si="22"/>
        <v>RTG</v>
      </c>
      <c r="L189" s="7">
        <v>45741</v>
      </c>
      <c r="M189" s="7">
        <f t="shared" si="23"/>
        <v>46106</v>
      </c>
      <c r="N189" s="7" t="str">
        <f t="shared" si="28"/>
        <v>Anual</v>
      </c>
      <c r="O189" s="2" t="str">
        <f t="shared" ca="1" si="26"/>
        <v>VENCIDO</v>
      </c>
      <c r="P189" s="6" t="s">
        <v>25</v>
      </c>
      <c r="Q189" s="2" t="s">
        <v>29</v>
      </c>
    </row>
    <row r="190" spans="1:17" x14ac:dyDescent="0.25">
      <c r="A190" s="23" t="s">
        <v>1047</v>
      </c>
      <c r="B190" s="2" t="s">
        <v>1048</v>
      </c>
      <c r="C190" s="3" t="s">
        <v>28</v>
      </c>
      <c r="D190" s="3" t="s">
        <v>23</v>
      </c>
      <c r="E190" s="2" t="s">
        <v>24</v>
      </c>
      <c r="F190" s="4">
        <v>0</v>
      </c>
      <c r="G190" s="8">
        <f t="shared" si="19"/>
        <v>1000000000</v>
      </c>
      <c r="H190" s="4" t="str">
        <f t="shared" si="20"/>
        <v>Ohms</v>
      </c>
      <c r="I190" s="6">
        <v>226000000</v>
      </c>
      <c r="J190" s="6" t="str">
        <f t="shared" si="21"/>
        <v>Ohms</v>
      </c>
      <c r="K190" s="2" t="str">
        <f t="shared" si="22"/>
        <v>RTG</v>
      </c>
      <c r="L190" s="7">
        <v>45741</v>
      </c>
      <c r="M190" s="7">
        <f t="shared" si="23"/>
        <v>46106</v>
      </c>
      <c r="N190" s="7" t="str">
        <f t="shared" si="28"/>
        <v>Anual</v>
      </c>
      <c r="O190" s="2" t="str">
        <f t="shared" ca="1" si="26"/>
        <v>VENCIDO</v>
      </c>
      <c r="P190" s="6" t="s">
        <v>25</v>
      </c>
      <c r="Q190" s="2" t="s">
        <v>29</v>
      </c>
    </row>
    <row r="191" spans="1:17" x14ac:dyDescent="0.25">
      <c r="A191" s="23" t="s">
        <v>1047</v>
      </c>
      <c r="B191" s="2" t="s">
        <v>1056</v>
      </c>
      <c r="C191" s="3" t="s">
        <v>22</v>
      </c>
      <c r="D191" s="3" t="s">
        <v>23</v>
      </c>
      <c r="E191" s="2" t="s">
        <v>24</v>
      </c>
      <c r="F191" s="4">
        <v>0</v>
      </c>
      <c r="G191" s="8">
        <f t="shared" si="19"/>
        <v>1000000000</v>
      </c>
      <c r="H191" s="4" t="str">
        <f t="shared" si="20"/>
        <v>Ohms</v>
      </c>
      <c r="I191" s="6">
        <v>0.24199999999999999</v>
      </c>
      <c r="J191" s="6" t="str">
        <f t="shared" si="21"/>
        <v>Ohms</v>
      </c>
      <c r="K191" s="2" t="str">
        <f t="shared" si="22"/>
        <v>RTG</v>
      </c>
      <c r="L191" s="7">
        <v>45741</v>
      </c>
      <c r="M191" s="7">
        <f t="shared" si="23"/>
        <v>46106</v>
      </c>
      <c r="N191" s="7" t="str">
        <f t="shared" si="28"/>
        <v>Anual</v>
      </c>
      <c r="O191" s="2" t="str">
        <f t="shared" ca="1" si="26"/>
        <v>VENCIDO</v>
      </c>
      <c r="P191" s="6" t="s">
        <v>25</v>
      </c>
      <c r="Q191" s="2"/>
    </row>
    <row r="192" spans="1:17" x14ac:dyDescent="0.25">
      <c r="A192" s="23" t="s">
        <v>1047</v>
      </c>
      <c r="B192" s="2" t="s">
        <v>1061</v>
      </c>
      <c r="C192" s="3" t="s">
        <v>28</v>
      </c>
      <c r="D192" s="3" t="s">
        <v>23</v>
      </c>
      <c r="E192" s="2" t="s">
        <v>24</v>
      </c>
      <c r="F192" s="4">
        <v>0</v>
      </c>
      <c r="G192" s="8">
        <f t="shared" si="19"/>
        <v>1000000000</v>
      </c>
      <c r="H192" s="4" t="str">
        <f t="shared" si="20"/>
        <v>Ohms</v>
      </c>
      <c r="I192" s="6">
        <v>422000000</v>
      </c>
      <c r="J192" s="6" t="str">
        <f t="shared" si="21"/>
        <v>Ohms</v>
      </c>
      <c r="K192" s="2" t="str">
        <f t="shared" si="22"/>
        <v>RTG</v>
      </c>
      <c r="L192" s="7">
        <v>45741</v>
      </c>
      <c r="M192" s="7">
        <f t="shared" si="23"/>
        <v>46106</v>
      </c>
      <c r="N192" s="7" t="str">
        <f t="shared" si="28"/>
        <v>Anual</v>
      </c>
      <c r="O192" s="2" t="str">
        <f t="shared" ca="1" si="26"/>
        <v>VENCIDO</v>
      </c>
      <c r="P192" s="6" t="s">
        <v>25</v>
      </c>
      <c r="Q192" s="2" t="s">
        <v>29</v>
      </c>
    </row>
    <row r="193" spans="1:17" x14ac:dyDescent="0.25">
      <c r="A193" s="23" t="s">
        <v>1049</v>
      </c>
      <c r="B193" s="2" t="s">
        <v>1050</v>
      </c>
      <c r="C193" s="3" t="s">
        <v>28</v>
      </c>
      <c r="D193" s="3" t="s">
        <v>23</v>
      </c>
      <c r="E193" s="2" t="s">
        <v>24</v>
      </c>
      <c r="F193" s="4">
        <v>0</v>
      </c>
      <c r="G193" s="8">
        <f t="shared" si="19"/>
        <v>1000000000</v>
      </c>
      <c r="H193" s="4" t="str">
        <f t="shared" si="20"/>
        <v>Ohms</v>
      </c>
      <c r="I193" s="14">
        <v>3660000</v>
      </c>
      <c r="J193" s="6" t="str">
        <f t="shared" si="21"/>
        <v>Ohms</v>
      </c>
      <c r="K193" s="2" t="str">
        <f t="shared" si="22"/>
        <v>RTG</v>
      </c>
      <c r="L193" s="7">
        <v>45741</v>
      </c>
      <c r="M193" s="7">
        <f t="shared" si="23"/>
        <v>46106</v>
      </c>
      <c r="N193" s="7" t="str">
        <f t="shared" si="28"/>
        <v>Anual</v>
      </c>
      <c r="O193" s="2" t="str">
        <f t="shared" ca="1" si="26"/>
        <v>VENCIDO</v>
      </c>
      <c r="P193" s="6" t="s">
        <v>25</v>
      </c>
      <c r="Q193" s="2" t="s">
        <v>29</v>
      </c>
    </row>
    <row r="194" spans="1:17" x14ac:dyDescent="0.25">
      <c r="A194" s="23" t="s">
        <v>1049</v>
      </c>
      <c r="B194" s="2" t="s">
        <v>1057</v>
      </c>
      <c r="C194" s="3" t="s">
        <v>22</v>
      </c>
      <c r="D194" s="3" t="s">
        <v>23</v>
      </c>
      <c r="E194" s="2" t="s">
        <v>24</v>
      </c>
      <c r="F194" s="4">
        <v>0</v>
      </c>
      <c r="G194" s="8">
        <f t="shared" si="19"/>
        <v>1000000000</v>
      </c>
      <c r="H194" s="4" t="str">
        <f t="shared" si="20"/>
        <v>Ohms</v>
      </c>
      <c r="I194" s="6">
        <v>0.29099999999999998</v>
      </c>
      <c r="J194" s="6" t="str">
        <f t="shared" si="21"/>
        <v>Ohms</v>
      </c>
      <c r="K194" s="2" t="str">
        <f t="shared" si="22"/>
        <v>RTG</v>
      </c>
      <c r="L194" s="7">
        <v>45741</v>
      </c>
      <c r="M194" s="7">
        <f t="shared" si="23"/>
        <v>46106</v>
      </c>
      <c r="N194" s="7" t="str">
        <f t="shared" si="28"/>
        <v>Anual</v>
      </c>
      <c r="O194" s="2" t="str">
        <f t="shared" ca="1" si="26"/>
        <v>VENCIDO</v>
      </c>
      <c r="P194" s="6" t="s">
        <v>25</v>
      </c>
      <c r="Q194" s="2"/>
    </row>
    <row r="195" spans="1:17" x14ac:dyDescent="0.25">
      <c r="A195" s="23" t="s">
        <v>1049</v>
      </c>
      <c r="B195" s="2" t="s">
        <v>1062</v>
      </c>
      <c r="C195" s="3" t="s">
        <v>28</v>
      </c>
      <c r="D195" s="3" t="s">
        <v>23</v>
      </c>
      <c r="E195" s="2" t="s">
        <v>24</v>
      </c>
      <c r="F195" s="4">
        <v>0</v>
      </c>
      <c r="G195" s="8">
        <f t="shared" si="19"/>
        <v>1000000000</v>
      </c>
      <c r="H195" s="4" t="str">
        <f t="shared" si="20"/>
        <v>Ohms</v>
      </c>
      <c r="I195" s="6">
        <v>773000000</v>
      </c>
      <c r="J195" s="6" t="str">
        <f t="shared" si="21"/>
        <v>Ohms</v>
      </c>
      <c r="K195" s="2" t="str">
        <f t="shared" si="22"/>
        <v>RTG</v>
      </c>
      <c r="L195" s="7">
        <v>45741</v>
      </c>
      <c r="M195" s="7">
        <f t="shared" si="23"/>
        <v>46106</v>
      </c>
      <c r="N195" s="7" t="str">
        <f t="shared" si="28"/>
        <v>Anual</v>
      </c>
      <c r="O195" s="2" t="str">
        <f t="shared" ca="1" si="26"/>
        <v>VENCIDO</v>
      </c>
      <c r="P195" s="6" t="s">
        <v>25</v>
      </c>
      <c r="Q195" s="2" t="s">
        <v>29</v>
      </c>
    </row>
    <row r="196" spans="1:17" x14ac:dyDescent="0.25">
      <c r="A196" s="23" t="s">
        <v>1051</v>
      </c>
      <c r="B196" s="2" t="s">
        <v>1052</v>
      </c>
      <c r="C196" s="3" t="s">
        <v>28</v>
      </c>
      <c r="D196" s="3" t="s">
        <v>23</v>
      </c>
      <c r="E196" s="2" t="s">
        <v>24</v>
      </c>
      <c r="F196" s="4">
        <v>0</v>
      </c>
      <c r="G196" s="8">
        <f t="shared" si="19"/>
        <v>1000000000</v>
      </c>
      <c r="H196" s="4" t="str">
        <f t="shared" si="20"/>
        <v>Ohms</v>
      </c>
      <c r="I196" s="14">
        <v>20400000</v>
      </c>
      <c r="J196" s="6" t="str">
        <f t="shared" si="21"/>
        <v>Ohms</v>
      </c>
      <c r="K196" s="2" t="str">
        <f t="shared" si="22"/>
        <v>RTG</v>
      </c>
      <c r="L196" s="7">
        <v>45741</v>
      </c>
      <c r="M196" s="7">
        <f t="shared" si="23"/>
        <v>46106</v>
      </c>
      <c r="N196" s="7" t="str">
        <f t="shared" si="28"/>
        <v>Anual</v>
      </c>
      <c r="O196" s="2" t="str">
        <f t="shared" ca="1" si="26"/>
        <v>VENCIDO</v>
      </c>
      <c r="P196" s="6" t="s">
        <v>25</v>
      </c>
      <c r="Q196" s="2" t="s">
        <v>29</v>
      </c>
    </row>
    <row r="197" spans="1:17" x14ac:dyDescent="0.25">
      <c r="A197" s="23" t="s">
        <v>1051</v>
      </c>
      <c r="B197" s="2" t="s">
        <v>1058</v>
      </c>
      <c r="C197" s="3" t="s">
        <v>22</v>
      </c>
      <c r="D197" s="3" t="s">
        <v>23</v>
      </c>
      <c r="E197" s="2" t="s">
        <v>24</v>
      </c>
      <c r="F197" s="4">
        <v>0</v>
      </c>
      <c r="G197" s="8">
        <f t="shared" si="19"/>
        <v>1000000000</v>
      </c>
      <c r="H197" s="4" t="str">
        <f t="shared" si="20"/>
        <v>Ohms</v>
      </c>
      <c r="I197" s="6">
        <v>0.13</v>
      </c>
      <c r="J197" s="6" t="str">
        <f t="shared" si="21"/>
        <v>Ohms</v>
      </c>
      <c r="K197" s="2" t="str">
        <f t="shared" si="22"/>
        <v>RTG</v>
      </c>
      <c r="L197" s="7">
        <v>45741</v>
      </c>
      <c r="M197" s="7">
        <f t="shared" si="23"/>
        <v>46106</v>
      </c>
      <c r="N197" s="7" t="str">
        <f t="shared" si="28"/>
        <v>Anual</v>
      </c>
      <c r="O197" s="2" t="str">
        <f t="shared" ca="1" si="26"/>
        <v>VENCIDO</v>
      </c>
      <c r="P197" s="6" t="s">
        <v>25</v>
      </c>
      <c r="Q197" s="2"/>
    </row>
    <row r="198" spans="1:17" x14ac:dyDescent="0.25">
      <c r="A198" s="23" t="s">
        <v>1051</v>
      </c>
      <c r="B198" s="2" t="s">
        <v>1063</v>
      </c>
      <c r="C198" s="3" t="s">
        <v>28</v>
      </c>
      <c r="D198" s="3" t="s">
        <v>23</v>
      </c>
      <c r="E198" s="2" t="s">
        <v>24</v>
      </c>
      <c r="F198" s="4">
        <v>0</v>
      </c>
      <c r="G198" s="8">
        <f t="shared" si="19"/>
        <v>1000000000</v>
      </c>
      <c r="H198" s="4" t="str">
        <f t="shared" si="20"/>
        <v>Ohms</v>
      </c>
      <c r="I198" s="6">
        <v>275000000</v>
      </c>
      <c r="J198" s="6" t="str">
        <f t="shared" si="21"/>
        <v>Ohms</v>
      </c>
      <c r="K198" s="2" t="str">
        <f t="shared" si="22"/>
        <v>RTG</v>
      </c>
      <c r="L198" s="7">
        <v>45741</v>
      </c>
      <c r="M198" s="7">
        <f t="shared" si="23"/>
        <v>46106</v>
      </c>
      <c r="N198" s="7" t="str">
        <f t="shared" si="28"/>
        <v>Anual</v>
      </c>
      <c r="O198" s="2" t="str">
        <f t="shared" ca="1" si="26"/>
        <v>VENCIDO</v>
      </c>
      <c r="P198" s="6" t="s">
        <v>25</v>
      </c>
      <c r="Q198" s="2" t="s">
        <v>29</v>
      </c>
    </row>
    <row r="199" spans="1:17" x14ac:dyDescent="0.25">
      <c r="A199" s="23" t="s">
        <v>291</v>
      </c>
      <c r="B199" s="2" t="s">
        <v>292</v>
      </c>
      <c r="C199" s="3" t="s">
        <v>28</v>
      </c>
      <c r="D199" s="3" t="s">
        <v>23</v>
      </c>
      <c r="E199" s="2" t="s">
        <v>24</v>
      </c>
      <c r="F199" s="4">
        <v>0</v>
      </c>
      <c r="G199" s="8">
        <f t="shared" ref="G199:G245" si="29">IF(C199="Ionizador", 10, IF(C199="Mesa", 1000000000, IF(C199="Rack", 1000000000, IF(C199="Piso", 1000000000, IF(C199="Tapete", 1000000000, IF(C199="Carrito", 1000000000, IF(C199="Cautín", 10, 1)))))))</f>
        <v>1000000000</v>
      </c>
      <c r="H199" s="4" t="str">
        <f t="shared" ref="H199:H245" si="30">IF(C199="Ionizador", "Segundos", "Ohms")</f>
        <v>Ohms</v>
      </c>
      <c r="I199" s="14">
        <v>236000000</v>
      </c>
      <c r="J199" s="6" t="str">
        <f t="shared" ref="J199:J245" si="31">H199</f>
        <v>Ohms</v>
      </c>
      <c r="K199" s="2" t="str">
        <f t="shared" ref="K199:K245" si="32">IF(C199="Ionizador", "Plato de carga", IF(C199="Cautín", "PTG", IF(C199="ESD Tester", "PTP Deviation", "RTG")))</f>
        <v>RTG</v>
      </c>
      <c r="L199" s="7">
        <v>45842</v>
      </c>
      <c r="M199" s="7">
        <f t="shared" ref="M199:M233" si="33">IF(N199="Trimestral", L199+90, IF(N199="Semestral", L199+180, IF(N199="Mensual", L199+30, L199+365)))</f>
        <v>46207</v>
      </c>
      <c r="N199" s="7" t="str">
        <f t="shared" si="28"/>
        <v>Anual</v>
      </c>
      <c r="O199" s="2" t="str">
        <f t="shared" ca="1" si="26"/>
        <v>VIGENTE</v>
      </c>
      <c r="P199" s="6" t="s">
        <v>25</v>
      </c>
      <c r="Q199" s="2" t="s">
        <v>29</v>
      </c>
    </row>
    <row r="200" spans="1:17" x14ac:dyDescent="0.25">
      <c r="A200" s="23" t="s">
        <v>570</v>
      </c>
      <c r="B200" s="2" t="s">
        <v>571</v>
      </c>
      <c r="C200" s="3" t="s">
        <v>28</v>
      </c>
      <c r="D200" s="3" t="s">
        <v>23</v>
      </c>
      <c r="E200" s="2" t="s">
        <v>24</v>
      </c>
      <c r="F200" s="4">
        <v>0</v>
      </c>
      <c r="G200" s="8">
        <f t="shared" si="29"/>
        <v>1000000000</v>
      </c>
      <c r="H200" s="4" t="str">
        <f t="shared" si="30"/>
        <v>Ohms</v>
      </c>
      <c r="I200" s="14">
        <v>376000000</v>
      </c>
      <c r="J200" s="6" t="str">
        <f t="shared" si="31"/>
        <v>Ohms</v>
      </c>
      <c r="K200" s="2" t="str">
        <f t="shared" si="32"/>
        <v>RTG</v>
      </c>
      <c r="L200" s="7">
        <v>45842</v>
      </c>
      <c r="M200" s="7">
        <f t="shared" si="33"/>
        <v>46207</v>
      </c>
      <c r="N200" s="7" t="str">
        <f t="shared" si="28"/>
        <v>Anual</v>
      </c>
      <c r="O200" s="2" t="str">
        <f t="shared" ca="1" si="26"/>
        <v>VIGENTE</v>
      </c>
      <c r="P200" s="6" t="s">
        <v>25</v>
      </c>
      <c r="Q200" s="2" t="s">
        <v>29</v>
      </c>
    </row>
    <row r="201" spans="1:17" x14ac:dyDescent="0.25">
      <c r="A201" s="23" t="s">
        <v>572</v>
      </c>
      <c r="B201" s="2" t="s">
        <v>573</v>
      </c>
      <c r="C201" s="3" t="s">
        <v>28</v>
      </c>
      <c r="D201" s="3" t="s">
        <v>23</v>
      </c>
      <c r="E201" s="2" t="s">
        <v>24</v>
      </c>
      <c r="F201" s="4">
        <v>0</v>
      </c>
      <c r="G201" s="8">
        <f t="shared" si="29"/>
        <v>1000000000</v>
      </c>
      <c r="H201" s="4" t="str">
        <f t="shared" si="30"/>
        <v>Ohms</v>
      </c>
      <c r="I201" s="6">
        <v>88600000</v>
      </c>
      <c r="J201" s="6" t="str">
        <f t="shared" si="31"/>
        <v>Ohms</v>
      </c>
      <c r="K201" s="2" t="str">
        <f t="shared" si="32"/>
        <v>RTG</v>
      </c>
      <c r="L201" s="7">
        <v>45726</v>
      </c>
      <c r="M201" s="7">
        <f t="shared" si="33"/>
        <v>46091</v>
      </c>
      <c r="N201" s="7" t="str">
        <f t="shared" si="28"/>
        <v>Anual</v>
      </c>
      <c r="O201" s="2" t="str">
        <f t="shared" ca="1" si="26"/>
        <v>VENCIDO</v>
      </c>
      <c r="P201" s="6" t="s">
        <v>25</v>
      </c>
      <c r="Q201" s="2" t="s">
        <v>29</v>
      </c>
    </row>
    <row r="202" spans="1:17" x14ac:dyDescent="0.25">
      <c r="A202" s="23" t="s">
        <v>257</v>
      </c>
      <c r="B202" s="2" t="s">
        <v>258</v>
      </c>
      <c r="C202" s="3" t="s">
        <v>259</v>
      </c>
      <c r="D202" s="3" t="s">
        <v>23</v>
      </c>
      <c r="E202" s="2" t="s">
        <v>24</v>
      </c>
      <c r="F202" s="4">
        <v>0</v>
      </c>
      <c r="G202" s="8">
        <f t="shared" si="29"/>
        <v>1</v>
      </c>
      <c r="H202" s="4" t="str">
        <f t="shared" si="30"/>
        <v>Ohms</v>
      </c>
      <c r="I202" s="6">
        <v>9.1999999999999998E-2</v>
      </c>
      <c r="J202" s="6" t="str">
        <f t="shared" si="31"/>
        <v>Ohms</v>
      </c>
      <c r="K202" s="2" t="str">
        <f t="shared" si="32"/>
        <v>RTG</v>
      </c>
      <c r="L202" s="7">
        <v>45726</v>
      </c>
      <c r="M202" s="7">
        <f t="shared" si="33"/>
        <v>46091</v>
      </c>
      <c r="N202" s="7" t="str">
        <f>IF(C202="Ionizador", "Trimestral", IF(C202="Rack", "Semestral", IF(C202="Mesa", "Semestral", IF(C202="Tapete", "Semestral", IF(C202="Cautín", "Semestral", IF(C202="Silla", "Semestral", "Anual"))))))</f>
        <v>Anual</v>
      </c>
      <c r="O202" s="2" t="str">
        <f ca="1">IF(M202&lt;TODAY(),"VENCIDO",IF(M202=TODAY(),"VENCE HOY",IF(M202&gt;TODAY(),"VIGENTE")))</f>
        <v>VENCIDO</v>
      </c>
      <c r="P202" s="6" t="s">
        <v>228</v>
      </c>
      <c r="Q202" s="2"/>
    </row>
    <row r="203" spans="1:17" x14ac:dyDescent="0.25">
      <c r="A203" s="23" t="s">
        <v>257</v>
      </c>
      <c r="B203" s="2" t="s">
        <v>260</v>
      </c>
      <c r="C203" s="3" t="s">
        <v>261</v>
      </c>
      <c r="D203" s="3" t="s">
        <v>23</v>
      </c>
      <c r="E203" s="2" t="s">
        <v>24</v>
      </c>
      <c r="F203" s="4">
        <v>0</v>
      </c>
      <c r="G203" s="8">
        <f t="shared" si="29"/>
        <v>1</v>
      </c>
      <c r="H203" s="4" t="str">
        <f t="shared" si="30"/>
        <v>Ohms</v>
      </c>
      <c r="I203" s="6">
        <v>0.40500000000000003</v>
      </c>
      <c r="J203" s="6" t="str">
        <f t="shared" si="31"/>
        <v>Ohms</v>
      </c>
      <c r="K203" s="2" t="str">
        <f t="shared" si="32"/>
        <v>RTG</v>
      </c>
      <c r="L203" s="7">
        <v>45726</v>
      </c>
      <c r="M203" s="7">
        <f t="shared" si="33"/>
        <v>46091</v>
      </c>
      <c r="N203" s="7" t="str">
        <f>IF(C203="Ionizador", "Trimestral", IF(C203="Rack", "Semestral", IF(C203="Mesa", "Semestral", IF(C203="Tapete", "Semestral", IF(C203="Cautín", "Semestral", IF(C203="Silla", "Semestral", "Anual"))))))</f>
        <v>Anual</v>
      </c>
      <c r="O203" s="2" t="str">
        <f ca="1">IF(M203&lt;TODAY(),"VENCIDO",IF(M203=TODAY(),"VENCE HOY",IF(M203&gt;TODAY(),"VIGENTE")))</f>
        <v>VENCIDO</v>
      </c>
      <c r="P203" s="6" t="s">
        <v>228</v>
      </c>
      <c r="Q203" s="2"/>
    </row>
    <row r="204" spans="1:17" x14ac:dyDescent="0.25">
      <c r="A204" s="23" t="s">
        <v>257</v>
      </c>
      <c r="B204" s="2" t="s">
        <v>262</v>
      </c>
      <c r="C204" s="3" t="s">
        <v>263</v>
      </c>
      <c r="D204" s="3" t="s">
        <v>23</v>
      </c>
      <c r="E204" s="2" t="s">
        <v>24</v>
      </c>
      <c r="F204" s="4">
        <v>0</v>
      </c>
      <c r="G204" s="8">
        <f t="shared" si="29"/>
        <v>1</v>
      </c>
      <c r="H204" s="4" t="str">
        <f t="shared" si="30"/>
        <v>Ohms</v>
      </c>
      <c r="I204" s="6">
        <v>0.20399999999999999</v>
      </c>
      <c r="J204" s="6" t="str">
        <f t="shared" si="31"/>
        <v>Ohms</v>
      </c>
      <c r="K204" s="2" t="str">
        <f t="shared" si="32"/>
        <v>RTG</v>
      </c>
      <c r="L204" s="7">
        <v>45726</v>
      </c>
      <c r="M204" s="7">
        <f t="shared" si="33"/>
        <v>46091</v>
      </c>
      <c r="N204" s="7" t="str">
        <f>IF(C204="Ionizador", "Trimestral", IF(C204="Rack", "Semestral", IF(C204="Mesa", "Semestral", IF(C204="Tapete", "Semestral", IF(C204="Cautín", "Semestral", IF(C204="Silla", "Semestral", "Anual"))))))</f>
        <v>Anual</v>
      </c>
      <c r="O204" s="2" t="str">
        <f ca="1">IF(M204&lt;TODAY(),"VENCIDO",IF(M204=TODAY(),"VENCE HOY",IF(M204&gt;TODAY(),"VIGENTE")))</f>
        <v>VENCIDO</v>
      </c>
      <c r="P204" s="6" t="s">
        <v>228</v>
      </c>
      <c r="Q204" s="2"/>
    </row>
    <row r="205" spans="1:17" x14ac:dyDescent="0.25">
      <c r="A205" s="23" t="s">
        <v>257</v>
      </c>
      <c r="B205" s="2" t="s">
        <v>264</v>
      </c>
      <c r="C205" s="3" t="s">
        <v>265</v>
      </c>
      <c r="D205" s="3" t="s">
        <v>23</v>
      </c>
      <c r="E205" s="2" t="s">
        <v>24</v>
      </c>
      <c r="F205" s="4">
        <v>0</v>
      </c>
      <c r="G205" s="8">
        <f t="shared" si="29"/>
        <v>1</v>
      </c>
      <c r="H205" s="4" t="str">
        <f t="shared" si="30"/>
        <v>Ohms</v>
      </c>
      <c r="I205" s="6">
        <v>0.73</v>
      </c>
      <c r="J205" s="6" t="str">
        <f t="shared" si="31"/>
        <v>Ohms</v>
      </c>
      <c r="K205" s="2" t="str">
        <f t="shared" si="32"/>
        <v>RTG</v>
      </c>
      <c r="L205" s="7">
        <v>45842</v>
      </c>
      <c r="M205" s="7">
        <f t="shared" si="33"/>
        <v>46207</v>
      </c>
      <c r="N205" s="7" t="str">
        <f>IF(C205="Ionizador", "Trimestral", IF(C205="Rack", "Semestral", IF(C205="Mesa", "Semestral", IF(C205="Tapete", "Semestral", IF(C205="Cautín", "Semestral", IF(C205="Silla", "Semestral", "Anual"))))))</f>
        <v>Anual</v>
      </c>
      <c r="O205" s="2" t="str">
        <f ca="1">IF(M205&lt;TODAY(),"VENCIDO",IF(M205=TODAY(),"VENCE HOY",IF(M205&gt;TODAY(),"VIGENTE")))</f>
        <v>VIGENTE</v>
      </c>
      <c r="P205" s="13" t="s">
        <v>228</v>
      </c>
      <c r="Q205" s="2"/>
    </row>
    <row r="206" spans="1:17" x14ac:dyDescent="0.25">
      <c r="A206" s="23" t="s">
        <v>257</v>
      </c>
      <c r="B206" s="2" t="s">
        <v>266</v>
      </c>
      <c r="C206" s="3" t="s">
        <v>267</v>
      </c>
      <c r="D206" s="3" t="s">
        <v>23</v>
      </c>
      <c r="E206" s="2" t="s">
        <v>24</v>
      </c>
      <c r="F206" s="4">
        <v>0</v>
      </c>
      <c r="G206" s="8">
        <f t="shared" si="29"/>
        <v>1</v>
      </c>
      <c r="H206" s="4" t="str">
        <f t="shared" si="30"/>
        <v>Ohms</v>
      </c>
      <c r="I206" s="6">
        <v>0.17</v>
      </c>
      <c r="J206" s="6" t="str">
        <f t="shared" si="31"/>
        <v>Ohms</v>
      </c>
      <c r="K206" s="2" t="str">
        <f t="shared" si="32"/>
        <v>RTG</v>
      </c>
      <c r="L206" s="7">
        <v>45842</v>
      </c>
      <c r="M206" s="7">
        <f t="shared" si="33"/>
        <v>46207</v>
      </c>
      <c r="N206" s="7" t="str">
        <f>IF(C206="Ionizador", "Trimestral", IF(C206="Rack", "Semestral", IF(C206="Mesa", "Semestral", IF(C206="Tapete", "Semestral", IF(C206="Cautín", "Semestral", IF(C206="Silla", "Semestral", "Anual"))))))</f>
        <v>Anual</v>
      </c>
      <c r="O206" s="2" t="str">
        <f ca="1">IF(M206&lt;TODAY(),"VENCIDO",IF(M206=TODAY(),"VENCE HOY",IF(M206&gt;TODAY(),"VIGENTE")))</f>
        <v>VIGENTE</v>
      </c>
      <c r="P206" s="13" t="s">
        <v>228</v>
      </c>
      <c r="Q206" s="2"/>
    </row>
    <row r="207" spans="1:17" x14ac:dyDescent="0.25">
      <c r="A207" s="23" t="s">
        <v>293</v>
      </c>
      <c r="B207" s="2" t="s">
        <v>294</v>
      </c>
      <c r="C207" s="3" t="s">
        <v>22</v>
      </c>
      <c r="D207" s="3" t="s">
        <v>23</v>
      </c>
      <c r="E207" s="2" t="s">
        <v>24</v>
      </c>
      <c r="F207" s="4">
        <v>0</v>
      </c>
      <c r="G207" s="8">
        <f t="shared" si="29"/>
        <v>1000000000</v>
      </c>
      <c r="H207" s="4" t="str">
        <f t="shared" si="30"/>
        <v>Ohms</v>
      </c>
      <c r="I207" s="14">
        <v>2470000</v>
      </c>
      <c r="J207" s="6" t="str">
        <f t="shared" si="31"/>
        <v>Ohms</v>
      </c>
      <c r="K207" s="2" t="str">
        <f t="shared" si="32"/>
        <v>RTG</v>
      </c>
      <c r="L207" s="7">
        <v>45843</v>
      </c>
      <c r="M207" s="7">
        <f t="shared" si="33"/>
        <v>46208</v>
      </c>
      <c r="N207" s="7" t="str">
        <f t="shared" ref="N207:N225" si="34">IF(C207="Ionizador", "Trimestral", IF(C207="Rack", "Anual", IF(C207="Mesa", "Anual", IF(C207="Tapete", "Semestral", IF(C207="Cautín", "Semestral", IF(C207="Silla", "Semestral", "Anual"))))))</f>
        <v>Anual</v>
      </c>
      <c r="O207" s="2" t="str">
        <f t="shared" ref="O207:O229" ca="1" si="35">IF(M207&lt;TODAY(),"VENCIDO",IF(M207=TODAY(),"VIGENTE",IF(M207&gt;TODAY(),"VIGENTE")))</f>
        <v>VIGENTE</v>
      </c>
      <c r="P207" s="6" t="s">
        <v>25</v>
      </c>
      <c r="Q207" s="2"/>
    </row>
    <row r="208" spans="1:17" x14ac:dyDescent="0.25">
      <c r="A208" s="23" t="s">
        <v>293</v>
      </c>
      <c r="B208" s="2" t="s">
        <v>295</v>
      </c>
      <c r="C208" s="3" t="s">
        <v>22</v>
      </c>
      <c r="D208" s="3" t="s">
        <v>23</v>
      </c>
      <c r="E208" s="2" t="s">
        <v>24</v>
      </c>
      <c r="F208" s="4">
        <v>0</v>
      </c>
      <c r="G208" s="8">
        <f t="shared" si="29"/>
        <v>1000000000</v>
      </c>
      <c r="H208" s="4" t="str">
        <f t="shared" si="30"/>
        <v>Ohms</v>
      </c>
      <c r="I208" s="14">
        <v>122000000</v>
      </c>
      <c r="J208" s="6" t="str">
        <f t="shared" si="31"/>
        <v>Ohms</v>
      </c>
      <c r="K208" s="2" t="str">
        <f t="shared" si="32"/>
        <v>RTG</v>
      </c>
      <c r="L208" s="7">
        <v>45843</v>
      </c>
      <c r="M208" s="7">
        <f t="shared" si="33"/>
        <v>46208</v>
      </c>
      <c r="N208" s="7" t="str">
        <f t="shared" si="34"/>
        <v>Anual</v>
      </c>
      <c r="O208" s="2" t="str">
        <f t="shared" ca="1" si="35"/>
        <v>VIGENTE</v>
      </c>
      <c r="P208" s="6" t="s">
        <v>25</v>
      </c>
      <c r="Q208" s="2"/>
    </row>
    <row r="209" spans="1:17" x14ac:dyDescent="0.25">
      <c r="A209" s="23" t="s">
        <v>293</v>
      </c>
      <c r="B209" s="2" t="s">
        <v>296</v>
      </c>
      <c r="C209" s="3" t="s">
        <v>22</v>
      </c>
      <c r="D209" s="3" t="s">
        <v>23</v>
      </c>
      <c r="E209" s="2" t="s">
        <v>24</v>
      </c>
      <c r="F209" s="4">
        <v>0</v>
      </c>
      <c r="G209" s="8">
        <f t="shared" si="29"/>
        <v>1000000000</v>
      </c>
      <c r="H209" s="4" t="str">
        <f t="shared" si="30"/>
        <v>Ohms</v>
      </c>
      <c r="I209" s="14">
        <v>1970000</v>
      </c>
      <c r="J209" s="6" t="str">
        <f t="shared" si="31"/>
        <v>Ohms</v>
      </c>
      <c r="K209" s="2" t="str">
        <f t="shared" si="32"/>
        <v>RTG</v>
      </c>
      <c r="L209" s="7">
        <v>45843</v>
      </c>
      <c r="M209" s="7">
        <f t="shared" si="33"/>
        <v>46208</v>
      </c>
      <c r="N209" s="7" t="str">
        <f t="shared" si="34"/>
        <v>Anual</v>
      </c>
      <c r="O209" s="2" t="str">
        <f t="shared" ca="1" si="35"/>
        <v>VIGENTE</v>
      </c>
      <c r="P209" s="6" t="s">
        <v>25</v>
      </c>
      <c r="Q209" s="2"/>
    </row>
    <row r="210" spans="1:17" x14ac:dyDescent="0.25">
      <c r="A210" s="23" t="s">
        <v>293</v>
      </c>
      <c r="B210" s="2" t="s">
        <v>297</v>
      </c>
      <c r="C210" s="3" t="s">
        <v>22</v>
      </c>
      <c r="D210" s="3" t="s">
        <v>23</v>
      </c>
      <c r="E210" s="2" t="s">
        <v>24</v>
      </c>
      <c r="F210" s="4">
        <v>0</v>
      </c>
      <c r="G210" s="8">
        <f t="shared" si="29"/>
        <v>1000000000</v>
      </c>
      <c r="H210" s="4" t="str">
        <f t="shared" si="30"/>
        <v>Ohms</v>
      </c>
      <c r="I210" s="14">
        <v>423000000</v>
      </c>
      <c r="J210" s="6" t="str">
        <f t="shared" si="31"/>
        <v>Ohms</v>
      </c>
      <c r="K210" s="2" t="str">
        <f t="shared" si="32"/>
        <v>RTG</v>
      </c>
      <c r="L210" s="7">
        <v>45843</v>
      </c>
      <c r="M210" s="7">
        <f t="shared" si="33"/>
        <v>46208</v>
      </c>
      <c r="N210" s="7" t="str">
        <f t="shared" si="34"/>
        <v>Anual</v>
      </c>
      <c r="O210" s="2" t="str">
        <f t="shared" ca="1" si="35"/>
        <v>VIGENTE</v>
      </c>
      <c r="P210" s="6" t="s">
        <v>25</v>
      </c>
      <c r="Q210" s="2"/>
    </row>
    <row r="211" spans="1:17" x14ac:dyDescent="0.25">
      <c r="A211" s="23" t="s">
        <v>293</v>
      </c>
      <c r="B211" s="2" t="s">
        <v>298</v>
      </c>
      <c r="C211" s="3" t="s">
        <v>28</v>
      </c>
      <c r="D211" s="3" t="s">
        <v>23</v>
      </c>
      <c r="E211" s="2" t="s">
        <v>24</v>
      </c>
      <c r="F211" s="4">
        <v>0</v>
      </c>
      <c r="G211" s="8">
        <f t="shared" si="29"/>
        <v>1000000000</v>
      </c>
      <c r="H211" s="4" t="str">
        <f t="shared" si="30"/>
        <v>Ohms</v>
      </c>
      <c r="I211" s="14">
        <v>3100000</v>
      </c>
      <c r="J211" s="6" t="str">
        <f t="shared" si="31"/>
        <v>Ohms</v>
      </c>
      <c r="K211" s="2" t="str">
        <f t="shared" si="32"/>
        <v>RTG</v>
      </c>
      <c r="L211" s="7">
        <v>45843</v>
      </c>
      <c r="M211" s="7">
        <f t="shared" si="33"/>
        <v>46208</v>
      </c>
      <c r="N211" s="7" t="str">
        <f t="shared" si="34"/>
        <v>Anual</v>
      </c>
      <c r="O211" s="2" t="str">
        <f t="shared" ca="1" si="35"/>
        <v>VIGENTE</v>
      </c>
      <c r="P211" s="6" t="s">
        <v>25</v>
      </c>
      <c r="Q211" s="2" t="s">
        <v>29</v>
      </c>
    </row>
    <row r="212" spans="1:17" x14ac:dyDescent="0.25">
      <c r="A212" s="23" t="s">
        <v>293</v>
      </c>
      <c r="B212" s="2" t="s">
        <v>299</v>
      </c>
      <c r="C212" s="3" t="s">
        <v>28</v>
      </c>
      <c r="D212" s="3" t="s">
        <v>23</v>
      </c>
      <c r="E212" s="2" t="s">
        <v>24</v>
      </c>
      <c r="F212" s="4">
        <v>0</v>
      </c>
      <c r="G212" s="8">
        <f t="shared" si="29"/>
        <v>1000000000</v>
      </c>
      <c r="H212" s="4" t="str">
        <f t="shared" si="30"/>
        <v>Ohms</v>
      </c>
      <c r="I212" s="14">
        <v>405000000</v>
      </c>
      <c r="J212" s="6" t="str">
        <f t="shared" si="31"/>
        <v>Ohms</v>
      </c>
      <c r="K212" s="2" t="str">
        <f t="shared" si="32"/>
        <v>RTG</v>
      </c>
      <c r="L212" s="7">
        <v>45843</v>
      </c>
      <c r="M212" s="7">
        <f t="shared" si="33"/>
        <v>46208</v>
      </c>
      <c r="N212" s="7" t="str">
        <f t="shared" si="34"/>
        <v>Anual</v>
      </c>
      <c r="O212" s="2" t="str">
        <f t="shared" ca="1" si="35"/>
        <v>VIGENTE</v>
      </c>
      <c r="P212" s="6" t="s">
        <v>25</v>
      </c>
      <c r="Q212" s="2" t="s">
        <v>29</v>
      </c>
    </row>
    <row r="213" spans="1:17" x14ac:dyDescent="0.25">
      <c r="A213" s="23" t="s">
        <v>293</v>
      </c>
      <c r="B213" s="2" t="s">
        <v>300</v>
      </c>
      <c r="C213" s="3" t="s">
        <v>28</v>
      </c>
      <c r="D213" s="3" t="s">
        <v>23</v>
      </c>
      <c r="E213" s="2" t="s">
        <v>24</v>
      </c>
      <c r="F213" s="4">
        <v>0</v>
      </c>
      <c r="G213" s="8">
        <f t="shared" si="29"/>
        <v>1000000000</v>
      </c>
      <c r="H213" s="4" t="str">
        <f t="shared" si="30"/>
        <v>Ohms</v>
      </c>
      <c r="I213" s="14">
        <v>150000000</v>
      </c>
      <c r="J213" s="6" t="str">
        <f t="shared" si="31"/>
        <v>Ohms</v>
      </c>
      <c r="K213" s="2" t="str">
        <f t="shared" si="32"/>
        <v>RTG</v>
      </c>
      <c r="L213" s="7">
        <v>45843</v>
      </c>
      <c r="M213" s="7">
        <f t="shared" si="33"/>
        <v>46208</v>
      </c>
      <c r="N213" s="7" t="str">
        <f t="shared" si="34"/>
        <v>Anual</v>
      </c>
      <c r="O213" s="2" t="str">
        <f t="shared" ca="1" si="35"/>
        <v>VIGENTE</v>
      </c>
      <c r="P213" s="6" t="s">
        <v>25</v>
      </c>
      <c r="Q213" s="2" t="s">
        <v>29</v>
      </c>
    </row>
    <row r="214" spans="1:17" x14ac:dyDescent="0.25">
      <c r="A214" s="23" t="s">
        <v>293</v>
      </c>
      <c r="B214" s="2" t="s">
        <v>301</v>
      </c>
      <c r="C214" s="3" t="s">
        <v>28</v>
      </c>
      <c r="D214" s="3" t="s">
        <v>23</v>
      </c>
      <c r="E214" s="2" t="s">
        <v>24</v>
      </c>
      <c r="F214" s="4">
        <v>0</v>
      </c>
      <c r="G214" s="8">
        <f t="shared" si="29"/>
        <v>1000000000</v>
      </c>
      <c r="H214" s="4" t="str">
        <f t="shared" si="30"/>
        <v>Ohms</v>
      </c>
      <c r="I214" s="14">
        <v>290000000</v>
      </c>
      <c r="J214" s="6" t="str">
        <f t="shared" si="31"/>
        <v>Ohms</v>
      </c>
      <c r="K214" s="2" t="str">
        <f t="shared" si="32"/>
        <v>RTG</v>
      </c>
      <c r="L214" s="7">
        <v>45843</v>
      </c>
      <c r="M214" s="7">
        <f t="shared" si="33"/>
        <v>46208</v>
      </c>
      <c r="N214" s="7" t="str">
        <f t="shared" si="34"/>
        <v>Anual</v>
      </c>
      <c r="O214" s="2" t="str">
        <f t="shared" ca="1" si="35"/>
        <v>VIGENTE</v>
      </c>
      <c r="P214" s="6" t="s">
        <v>25</v>
      </c>
      <c r="Q214" s="2" t="s">
        <v>29</v>
      </c>
    </row>
    <row r="215" spans="1:17" x14ac:dyDescent="0.25">
      <c r="A215" s="23" t="s">
        <v>293</v>
      </c>
      <c r="B215" s="2" t="s">
        <v>302</v>
      </c>
      <c r="C215" s="3" t="s">
        <v>28</v>
      </c>
      <c r="D215" s="3" t="s">
        <v>23</v>
      </c>
      <c r="E215" s="2" t="s">
        <v>24</v>
      </c>
      <c r="F215" s="4">
        <v>0</v>
      </c>
      <c r="G215" s="8">
        <f t="shared" si="29"/>
        <v>1000000000</v>
      </c>
      <c r="H215" s="4" t="str">
        <f t="shared" si="30"/>
        <v>Ohms</v>
      </c>
      <c r="I215" s="14">
        <v>4040000</v>
      </c>
      <c r="J215" s="6" t="str">
        <f t="shared" si="31"/>
        <v>Ohms</v>
      </c>
      <c r="K215" s="2" t="str">
        <f t="shared" si="32"/>
        <v>RTG</v>
      </c>
      <c r="L215" s="7">
        <v>45843</v>
      </c>
      <c r="M215" s="7">
        <f t="shared" si="33"/>
        <v>46208</v>
      </c>
      <c r="N215" s="7" t="str">
        <f t="shared" si="34"/>
        <v>Anual</v>
      </c>
      <c r="O215" s="2" t="str">
        <f t="shared" ca="1" si="35"/>
        <v>VIGENTE</v>
      </c>
      <c r="P215" s="6" t="s">
        <v>25</v>
      </c>
      <c r="Q215" s="2" t="s">
        <v>29</v>
      </c>
    </row>
    <row r="216" spans="1:17" x14ac:dyDescent="0.25">
      <c r="A216" s="23" t="s">
        <v>293</v>
      </c>
      <c r="B216" s="2" t="s">
        <v>303</v>
      </c>
      <c r="C216" s="3" t="s">
        <v>43</v>
      </c>
      <c r="D216" s="3" t="s">
        <v>23</v>
      </c>
      <c r="E216" s="2" t="s">
        <v>24</v>
      </c>
      <c r="F216" s="4">
        <v>0</v>
      </c>
      <c r="G216" s="8">
        <f t="shared" si="29"/>
        <v>1000000000</v>
      </c>
      <c r="H216" s="4" t="str">
        <f t="shared" si="30"/>
        <v>Ohms</v>
      </c>
      <c r="I216" s="14">
        <v>365000000</v>
      </c>
      <c r="J216" s="6" t="str">
        <f t="shared" si="31"/>
        <v>Ohms</v>
      </c>
      <c r="K216" s="2" t="str">
        <f t="shared" si="32"/>
        <v>RTG</v>
      </c>
      <c r="L216" s="7">
        <v>45843</v>
      </c>
      <c r="M216" s="7">
        <f t="shared" si="33"/>
        <v>46023</v>
      </c>
      <c r="N216" s="7" t="str">
        <f t="shared" si="34"/>
        <v>Semestral</v>
      </c>
      <c r="O216" s="2" t="str">
        <f t="shared" ca="1" si="35"/>
        <v>VENCIDO</v>
      </c>
      <c r="P216" s="6" t="s">
        <v>25</v>
      </c>
      <c r="Q216" s="2"/>
    </row>
    <row r="217" spans="1:17" x14ac:dyDescent="0.25">
      <c r="A217" s="23" t="s">
        <v>293</v>
      </c>
      <c r="B217" s="2" t="s">
        <v>304</v>
      </c>
      <c r="C217" s="3" t="s">
        <v>43</v>
      </c>
      <c r="D217" s="3" t="s">
        <v>23</v>
      </c>
      <c r="E217" s="2" t="s">
        <v>24</v>
      </c>
      <c r="F217" s="4">
        <v>0</v>
      </c>
      <c r="G217" s="8">
        <f t="shared" si="29"/>
        <v>1000000000</v>
      </c>
      <c r="H217" s="4" t="str">
        <f t="shared" si="30"/>
        <v>Ohms</v>
      </c>
      <c r="I217" s="14">
        <v>2150000</v>
      </c>
      <c r="J217" s="6" t="str">
        <f t="shared" si="31"/>
        <v>Ohms</v>
      </c>
      <c r="K217" s="2" t="str">
        <f t="shared" si="32"/>
        <v>RTG</v>
      </c>
      <c r="L217" s="7">
        <v>45843</v>
      </c>
      <c r="M217" s="7">
        <f t="shared" si="33"/>
        <v>46023</v>
      </c>
      <c r="N217" s="7" t="str">
        <f t="shared" si="34"/>
        <v>Semestral</v>
      </c>
      <c r="O217" s="2" t="str">
        <f t="shared" ca="1" si="35"/>
        <v>VENCIDO</v>
      </c>
      <c r="P217" s="6" t="s">
        <v>25</v>
      </c>
      <c r="Q217" s="2"/>
    </row>
    <row r="218" spans="1:17" x14ac:dyDescent="0.25">
      <c r="A218" s="23" t="s">
        <v>293</v>
      </c>
      <c r="B218" s="2" t="s">
        <v>305</v>
      </c>
      <c r="C218" s="3" t="s">
        <v>43</v>
      </c>
      <c r="D218" s="3" t="s">
        <v>23</v>
      </c>
      <c r="E218" s="2" t="s">
        <v>24</v>
      </c>
      <c r="F218" s="4">
        <v>0</v>
      </c>
      <c r="G218" s="8">
        <f t="shared" si="29"/>
        <v>1000000000</v>
      </c>
      <c r="H218" s="4" t="str">
        <f t="shared" si="30"/>
        <v>Ohms</v>
      </c>
      <c r="I218" s="14">
        <v>108000000</v>
      </c>
      <c r="J218" s="6" t="str">
        <f t="shared" si="31"/>
        <v>Ohms</v>
      </c>
      <c r="K218" s="2" t="str">
        <f t="shared" si="32"/>
        <v>RTG</v>
      </c>
      <c r="L218" s="7">
        <v>45843</v>
      </c>
      <c r="M218" s="7">
        <f t="shared" si="33"/>
        <v>46023</v>
      </c>
      <c r="N218" s="7" t="str">
        <f t="shared" si="34"/>
        <v>Semestral</v>
      </c>
      <c r="O218" s="2" t="str">
        <f t="shared" ca="1" si="35"/>
        <v>VENCIDO</v>
      </c>
      <c r="P218" s="6" t="s">
        <v>25</v>
      </c>
      <c r="Q218" s="2"/>
    </row>
    <row r="219" spans="1:17" x14ac:dyDescent="0.25">
      <c r="A219" s="23" t="s">
        <v>293</v>
      </c>
      <c r="B219" s="2" t="s">
        <v>306</v>
      </c>
      <c r="C219" s="3" t="s">
        <v>43</v>
      </c>
      <c r="D219" s="3" t="s">
        <v>23</v>
      </c>
      <c r="E219" s="2" t="s">
        <v>24</v>
      </c>
      <c r="F219" s="4">
        <v>0</v>
      </c>
      <c r="G219" s="8">
        <f t="shared" si="29"/>
        <v>1000000000</v>
      </c>
      <c r="H219" s="4" t="str">
        <f t="shared" si="30"/>
        <v>Ohms</v>
      </c>
      <c r="I219" s="14">
        <v>312000000</v>
      </c>
      <c r="J219" s="6" t="str">
        <f t="shared" si="31"/>
        <v>Ohms</v>
      </c>
      <c r="K219" s="2" t="str">
        <f t="shared" si="32"/>
        <v>RTG</v>
      </c>
      <c r="L219" s="7">
        <v>45843</v>
      </c>
      <c r="M219" s="7">
        <f t="shared" si="33"/>
        <v>46023</v>
      </c>
      <c r="N219" s="7" t="str">
        <f t="shared" si="34"/>
        <v>Semestral</v>
      </c>
      <c r="O219" s="2" t="str">
        <f t="shared" ca="1" si="35"/>
        <v>VENCIDO</v>
      </c>
      <c r="P219" s="6" t="s">
        <v>25</v>
      </c>
      <c r="Q219" s="2"/>
    </row>
    <row r="220" spans="1:17" x14ac:dyDescent="0.25">
      <c r="A220" s="23" t="s">
        <v>293</v>
      </c>
      <c r="B220" s="2" t="s">
        <v>307</v>
      </c>
      <c r="C220" s="3" t="s">
        <v>43</v>
      </c>
      <c r="D220" s="3" t="s">
        <v>23</v>
      </c>
      <c r="E220" s="2" t="s">
        <v>24</v>
      </c>
      <c r="F220" s="4">
        <v>0</v>
      </c>
      <c r="G220" s="8">
        <f t="shared" si="29"/>
        <v>1000000000</v>
      </c>
      <c r="H220" s="4" t="str">
        <f t="shared" si="30"/>
        <v>Ohms</v>
      </c>
      <c r="I220" s="14">
        <v>4300000</v>
      </c>
      <c r="J220" s="6" t="str">
        <f t="shared" si="31"/>
        <v>Ohms</v>
      </c>
      <c r="K220" s="2" t="str">
        <f t="shared" si="32"/>
        <v>RTG</v>
      </c>
      <c r="L220" s="7">
        <v>45843</v>
      </c>
      <c r="M220" s="7">
        <f t="shared" si="33"/>
        <v>46023</v>
      </c>
      <c r="N220" s="7" t="str">
        <f t="shared" si="34"/>
        <v>Semestral</v>
      </c>
      <c r="O220" s="2" t="str">
        <f t="shared" ca="1" si="35"/>
        <v>VENCIDO</v>
      </c>
      <c r="P220" s="6" t="s">
        <v>25</v>
      </c>
      <c r="Q220" s="2"/>
    </row>
    <row r="221" spans="1:17" x14ac:dyDescent="0.25">
      <c r="A221" s="23" t="s">
        <v>293</v>
      </c>
      <c r="B221" s="2" t="s">
        <v>327</v>
      </c>
      <c r="C221" s="3" t="s">
        <v>28</v>
      </c>
      <c r="D221" s="3" t="s">
        <v>23</v>
      </c>
      <c r="E221" s="2" t="s">
        <v>24</v>
      </c>
      <c r="F221" s="4">
        <v>0</v>
      </c>
      <c r="G221" s="8">
        <f t="shared" si="29"/>
        <v>1000000000</v>
      </c>
      <c r="H221" s="4" t="str">
        <f t="shared" si="30"/>
        <v>Ohms</v>
      </c>
      <c r="I221" s="14">
        <v>1720000</v>
      </c>
      <c r="J221" s="6" t="str">
        <f t="shared" si="31"/>
        <v>Ohms</v>
      </c>
      <c r="K221" s="2" t="str">
        <f t="shared" si="32"/>
        <v>RTG</v>
      </c>
      <c r="L221" s="7">
        <v>45959</v>
      </c>
      <c r="M221" s="7">
        <f t="shared" si="33"/>
        <v>46324</v>
      </c>
      <c r="N221" s="7" t="str">
        <f t="shared" si="34"/>
        <v>Anual</v>
      </c>
      <c r="O221" s="2" t="str">
        <f t="shared" ca="1" si="35"/>
        <v>VIGENTE</v>
      </c>
      <c r="P221" s="6" t="s">
        <v>25</v>
      </c>
      <c r="Q221" s="2"/>
    </row>
    <row r="222" spans="1:17" x14ac:dyDescent="0.25">
      <c r="A222" s="23" t="s">
        <v>293</v>
      </c>
      <c r="B222" s="2" t="s">
        <v>328</v>
      </c>
      <c r="C222" s="3" t="s">
        <v>28</v>
      </c>
      <c r="D222" s="3" t="s">
        <v>23</v>
      </c>
      <c r="E222" s="2" t="s">
        <v>24</v>
      </c>
      <c r="F222" s="4">
        <v>0</v>
      </c>
      <c r="G222" s="8">
        <f t="shared" si="29"/>
        <v>1000000000</v>
      </c>
      <c r="H222" s="4" t="str">
        <f t="shared" si="30"/>
        <v>Ohms</v>
      </c>
      <c r="I222" s="14">
        <v>3170000</v>
      </c>
      <c r="J222" s="6" t="str">
        <f t="shared" si="31"/>
        <v>Ohms</v>
      </c>
      <c r="K222" s="2" t="str">
        <f t="shared" si="32"/>
        <v>RTG</v>
      </c>
      <c r="L222" s="7">
        <v>45843</v>
      </c>
      <c r="M222" s="7">
        <f t="shared" si="33"/>
        <v>46208</v>
      </c>
      <c r="N222" s="7" t="str">
        <f t="shared" si="34"/>
        <v>Anual</v>
      </c>
      <c r="O222" s="2" t="str">
        <f t="shared" ca="1" si="35"/>
        <v>VIGENTE</v>
      </c>
      <c r="P222" s="6" t="s">
        <v>25</v>
      </c>
      <c r="Q222" s="2" t="s">
        <v>29</v>
      </c>
    </row>
    <row r="223" spans="1:17" x14ac:dyDescent="0.25">
      <c r="A223" s="23" t="s">
        <v>293</v>
      </c>
      <c r="B223" s="2" t="s">
        <v>329</v>
      </c>
      <c r="C223" s="3" t="s">
        <v>28</v>
      </c>
      <c r="D223" s="3" t="s">
        <v>23</v>
      </c>
      <c r="E223" s="2" t="s">
        <v>24</v>
      </c>
      <c r="F223" s="4">
        <v>0</v>
      </c>
      <c r="G223" s="8">
        <f t="shared" si="29"/>
        <v>1000000000</v>
      </c>
      <c r="H223" s="4" t="str">
        <f t="shared" si="30"/>
        <v>Ohms</v>
      </c>
      <c r="I223" s="14">
        <v>260000000</v>
      </c>
      <c r="J223" s="6" t="str">
        <f t="shared" si="31"/>
        <v>Ohms</v>
      </c>
      <c r="K223" s="2" t="str">
        <f t="shared" si="32"/>
        <v>RTG</v>
      </c>
      <c r="L223" s="7">
        <v>45843</v>
      </c>
      <c r="M223" s="7">
        <f t="shared" si="33"/>
        <v>46208</v>
      </c>
      <c r="N223" s="7" t="str">
        <f t="shared" si="34"/>
        <v>Anual</v>
      </c>
      <c r="O223" s="2" t="str">
        <f t="shared" ca="1" si="35"/>
        <v>VIGENTE</v>
      </c>
      <c r="P223" s="6" t="s">
        <v>25</v>
      </c>
      <c r="Q223" s="2" t="s">
        <v>29</v>
      </c>
    </row>
    <row r="224" spans="1:17" x14ac:dyDescent="0.25">
      <c r="A224" s="23" t="s">
        <v>293</v>
      </c>
      <c r="B224" s="2" t="s">
        <v>466</v>
      </c>
      <c r="C224" s="3" t="s">
        <v>22</v>
      </c>
      <c r="D224" s="3" t="s">
        <v>23</v>
      </c>
      <c r="E224" s="2" t="s">
        <v>24</v>
      </c>
      <c r="F224" s="4">
        <v>0</v>
      </c>
      <c r="G224" s="8">
        <f t="shared" si="29"/>
        <v>1000000000</v>
      </c>
      <c r="H224" s="4" t="str">
        <f t="shared" si="30"/>
        <v>Ohms</v>
      </c>
      <c r="I224" s="6">
        <v>104000000</v>
      </c>
      <c r="J224" s="6" t="str">
        <f t="shared" si="31"/>
        <v>Ohms</v>
      </c>
      <c r="K224" s="2" t="str">
        <f t="shared" si="32"/>
        <v>RTG</v>
      </c>
      <c r="L224" s="7">
        <v>45708</v>
      </c>
      <c r="M224" s="7">
        <f t="shared" si="33"/>
        <v>46073</v>
      </c>
      <c r="N224" s="7" t="str">
        <f t="shared" si="34"/>
        <v>Anual</v>
      </c>
      <c r="O224" s="2" t="str">
        <f t="shared" ca="1" si="35"/>
        <v>VENCIDO</v>
      </c>
      <c r="P224" s="6" t="s">
        <v>25</v>
      </c>
      <c r="Q224" s="2"/>
    </row>
    <row r="225" spans="1:17" x14ac:dyDescent="0.25">
      <c r="A225" s="23" t="s">
        <v>293</v>
      </c>
      <c r="B225" s="2" t="s">
        <v>502</v>
      </c>
      <c r="C225" s="3" t="s">
        <v>22</v>
      </c>
      <c r="D225" s="3" t="s">
        <v>23</v>
      </c>
      <c r="E225" s="2" t="s">
        <v>24</v>
      </c>
      <c r="F225" s="4">
        <v>0</v>
      </c>
      <c r="G225" s="8">
        <f t="shared" si="29"/>
        <v>1000000000</v>
      </c>
      <c r="H225" s="4" t="str">
        <f t="shared" si="30"/>
        <v>Ohms</v>
      </c>
      <c r="I225" s="6">
        <v>188000000</v>
      </c>
      <c r="J225" s="6" t="str">
        <f t="shared" si="31"/>
        <v>Ohms</v>
      </c>
      <c r="K225" s="2" t="str">
        <f t="shared" si="32"/>
        <v>RTG</v>
      </c>
      <c r="L225" s="7">
        <v>45708</v>
      </c>
      <c r="M225" s="7">
        <f t="shared" si="33"/>
        <v>46073</v>
      </c>
      <c r="N225" s="7" t="str">
        <f t="shared" si="34"/>
        <v>Anual</v>
      </c>
      <c r="O225" s="2" t="str">
        <f t="shared" ca="1" si="35"/>
        <v>VENCIDO</v>
      </c>
      <c r="P225" s="6" t="s">
        <v>25</v>
      </c>
      <c r="Q225" s="2"/>
    </row>
    <row r="226" spans="1:17" x14ac:dyDescent="0.25">
      <c r="A226" s="23" t="s">
        <v>1065</v>
      </c>
      <c r="B226" s="2" t="s">
        <v>1066</v>
      </c>
      <c r="C226" s="3" t="s">
        <v>22</v>
      </c>
      <c r="D226" s="3" t="s">
        <v>23</v>
      </c>
      <c r="E226" s="2" t="s">
        <v>24</v>
      </c>
      <c r="F226" s="4">
        <v>0</v>
      </c>
      <c r="G226" s="8">
        <f t="shared" si="29"/>
        <v>1000000000</v>
      </c>
      <c r="H226" s="4" t="str">
        <f t="shared" si="30"/>
        <v>Ohms</v>
      </c>
      <c r="I226" s="6">
        <v>66600000</v>
      </c>
      <c r="J226" s="6" t="str">
        <f t="shared" si="31"/>
        <v>Ohms</v>
      </c>
      <c r="K226" s="2" t="str">
        <f t="shared" si="32"/>
        <v>RTG</v>
      </c>
      <c r="L226" s="7">
        <v>45906</v>
      </c>
      <c r="M226" s="7">
        <f t="shared" si="33"/>
        <v>46086</v>
      </c>
      <c r="N226" s="7" t="str">
        <f>IF(C226="Ionizador", "Trimestral", IF(C226="Rack", "Semestral", IF(C226="Mesa", "Semestral", IF(C226="Tapete", "Semestral", IF(C226="Cautín", "Semestral", IF(C226="Silla", "Semestral", "Anual"))))))</f>
        <v>Semestral</v>
      </c>
      <c r="O226" s="2" t="str">
        <f t="shared" ca="1" si="35"/>
        <v>VENCIDO</v>
      </c>
      <c r="P226" s="6"/>
      <c r="Q226" s="2"/>
    </row>
    <row r="227" spans="1:17" x14ac:dyDescent="0.25">
      <c r="A227" s="23" t="s">
        <v>251</v>
      </c>
      <c r="B227" s="2" t="s">
        <v>252</v>
      </c>
      <c r="C227" s="3" t="s">
        <v>22</v>
      </c>
      <c r="D227" s="3" t="s">
        <v>23</v>
      </c>
      <c r="E227" s="2" t="s">
        <v>24</v>
      </c>
      <c r="F227" s="4">
        <v>0</v>
      </c>
      <c r="G227" s="8">
        <f t="shared" si="29"/>
        <v>1000000000</v>
      </c>
      <c r="H227" s="4" t="str">
        <f t="shared" si="30"/>
        <v>Ohms</v>
      </c>
      <c r="I227" s="6">
        <v>60500000</v>
      </c>
      <c r="J227" s="6" t="str">
        <f t="shared" si="31"/>
        <v>Ohms</v>
      </c>
      <c r="K227" s="2" t="str">
        <f t="shared" si="32"/>
        <v>RTG</v>
      </c>
      <c r="L227" s="7">
        <v>46104</v>
      </c>
      <c r="M227" s="7">
        <f t="shared" si="33"/>
        <v>46469</v>
      </c>
      <c r="N227" s="7" t="str">
        <f>IF(C227="Ionizador", "Trimestral", IF(C227="Rack", "Anual", IF(C227="Mesa", "Anual", IF(C227="Tapete", "Semestral", IF(C227="Cautín", "Semestral", IF(C227="Silla", "Semestral", "Anual"))))))</f>
        <v>Anual</v>
      </c>
      <c r="O227" s="2" t="str">
        <f t="shared" ca="1" si="35"/>
        <v>VIGENTE</v>
      </c>
      <c r="P227" s="6" t="s">
        <v>25</v>
      </c>
      <c r="Q227" s="2" t="s">
        <v>253</v>
      </c>
    </row>
    <row r="228" spans="1:17" x14ac:dyDescent="0.25">
      <c r="A228" s="23" t="s">
        <v>251</v>
      </c>
      <c r="B228" s="2" t="s">
        <v>1070</v>
      </c>
      <c r="C228" s="3" t="s">
        <v>22</v>
      </c>
      <c r="D228" s="3" t="s">
        <v>23</v>
      </c>
      <c r="E228" s="2" t="s">
        <v>24</v>
      </c>
      <c r="F228" s="4">
        <v>0</v>
      </c>
      <c r="G228" s="8">
        <f t="shared" si="29"/>
        <v>1000000000</v>
      </c>
      <c r="H228" s="4" t="str">
        <f t="shared" si="30"/>
        <v>Ohms</v>
      </c>
      <c r="I228" s="6">
        <v>64300000</v>
      </c>
      <c r="J228" s="6" t="str">
        <f t="shared" si="31"/>
        <v>Ohms</v>
      </c>
      <c r="K228" s="2" t="str">
        <f t="shared" si="32"/>
        <v>RTG</v>
      </c>
      <c r="L228" s="7">
        <v>46104</v>
      </c>
      <c r="M228" s="7">
        <f t="shared" si="33"/>
        <v>46469</v>
      </c>
      <c r="N228" s="7" t="str">
        <f>IF(C228="Ionizador", "Trimestral", IF(C228="Rack", "Anual", IF(C228="Mesa", "Anual", IF(C228="Tapete", "Semestral", IF(C228="Cautín", "Semestral", IF(C228="Silla", "Semestral", "Anual"))))))</f>
        <v>Anual</v>
      </c>
      <c r="O228" s="2" t="str">
        <f t="shared" ca="1" si="35"/>
        <v>VIGENTE</v>
      </c>
      <c r="P228" s="6" t="s">
        <v>25</v>
      </c>
      <c r="Q228" s="2" t="s">
        <v>253</v>
      </c>
    </row>
    <row r="229" spans="1:17" x14ac:dyDescent="0.25">
      <c r="A229" s="23" t="s">
        <v>251</v>
      </c>
      <c r="B229" s="2" t="s">
        <v>1071</v>
      </c>
      <c r="C229" s="3" t="s">
        <v>22</v>
      </c>
      <c r="D229" s="3" t="s">
        <v>23</v>
      </c>
      <c r="E229" s="2" t="s">
        <v>24</v>
      </c>
      <c r="F229" s="4">
        <v>0</v>
      </c>
      <c r="G229" s="8">
        <f t="shared" si="29"/>
        <v>1000000000</v>
      </c>
      <c r="H229" s="4" t="str">
        <f t="shared" si="30"/>
        <v>Ohms</v>
      </c>
      <c r="I229" s="6">
        <v>59200000</v>
      </c>
      <c r="J229" s="6" t="str">
        <f t="shared" si="31"/>
        <v>Ohms</v>
      </c>
      <c r="K229" s="2" t="str">
        <f t="shared" si="32"/>
        <v>RTG</v>
      </c>
      <c r="L229" s="7">
        <v>46104</v>
      </c>
      <c r="M229" s="7">
        <f t="shared" si="33"/>
        <v>46469</v>
      </c>
      <c r="N229" s="7" t="str">
        <f>IF(C229="Ionizador", "Trimestral", IF(C229="Rack", "Anual", IF(C229="Mesa", "Anual", IF(C229="Tapete", "Semestral", IF(C229="Cautín", "Semestral", IF(C229="Silla", "Semestral", "Anual"))))))</f>
        <v>Anual</v>
      </c>
      <c r="O229" s="2" t="str">
        <f t="shared" ca="1" si="35"/>
        <v>VIGENTE</v>
      </c>
      <c r="P229" s="6" t="s">
        <v>25</v>
      </c>
      <c r="Q229" s="2" t="s">
        <v>253</v>
      </c>
    </row>
    <row r="230" spans="1:17" x14ac:dyDescent="0.25">
      <c r="A230" s="24" t="s">
        <v>350</v>
      </c>
      <c r="B230" s="2" t="s">
        <v>350</v>
      </c>
      <c r="C230" s="3" t="s">
        <v>28</v>
      </c>
      <c r="D230" s="3" t="s">
        <v>23</v>
      </c>
      <c r="E230" s="2" t="s">
        <v>24</v>
      </c>
      <c r="F230" s="4">
        <v>0</v>
      </c>
      <c r="G230" s="8">
        <f t="shared" si="29"/>
        <v>1000000000</v>
      </c>
      <c r="H230" s="4" t="str">
        <f t="shared" si="30"/>
        <v>Ohms</v>
      </c>
      <c r="I230" s="6">
        <v>292000</v>
      </c>
      <c r="J230" s="6" t="str">
        <f t="shared" si="31"/>
        <v>Ohms</v>
      </c>
      <c r="K230" s="2" t="str">
        <f t="shared" si="32"/>
        <v>RTG</v>
      </c>
      <c r="L230" s="7">
        <v>45817</v>
      </c>
      <c r="M230" s="7">
        <f t="shared" si="33"/>
        <v>46182</v>
      </c>
      <c r="N230" s="7" t="str">
        <f t="shared" ref="N230:N261" si="36">IF(C230="Ionizador", "Trimestral", IF(C230="Rack", "Anual", IF(C230="Mesa", "Anual", IF(C230="Tapete", "Semestral", IF(C230="Cautín", "Semestral", IF(C230="Silla", "Semestral", "Anual"))))))</f>
        <v>Anual</v>
      </c>
      <c r="O230" s="2" t="str">
        <f t="shared" ref="O230:O293" ca="1" si="37">IF(M230&lt;TODAY(),"VENCIDO",IF(M230=TODAY(),"VIGENTE",IF(M230&gt;TODAY(),"VIGENTE")))</f>
        <v>VIGENTE</v>
      </c>
      <c r="P230" s="6" t="s">
        <v>25</v>
      </c>
      <c r="Q230" s="2" t="s">
        <v>29</v>
      </c>
    </row>
    <row r="231" spans="1:17" x14ac:dyDescent="0.25">
      <c r="A231" s="24" t="s">
        <v>350</v>
      </c>
      <c r="B231" s="21" t="s">
        <v>530</v>
      </c>
      <c r="C231" s="3" t="s">
        <v>28</v>
      </c>
      <c r="D231" s="3" t="s">
        <v>23</v>
      </c>
      <c r="E231" s="2" t="s">
        <v>24</v>
      </c>
      <c r="F231" s="4">
        <v>0</v>
      </c>
      <c r="G231" s="8">
        <f t="shared" si="29"/>
        <v>1000000000</v>
      </c>
      <c r="H231" s="4" t="str">
        <f t="shared" si="30"/>
        <v>Ohms</v>
      </c>
      <c r="I231" s="6">
        <v>4160000</v>
      </c>
      <c r="J231" s="6" t="str">
        <f t="shared" si="31"/>
        <v>Ohms</v>
      </c>
      <c r="K231" s="2" t="str">
        <f t="shared" si="32"/>
        <v>RTG</v>
      </c>
      <c r="L231" s="7">
        <v>45821</v>
      </c>
      <c r="M231" s="7">
        <f t="shared" si="33"/>
        <v>46186</v>
      </c>
      <c r="N231" s="7" t="str">
        <f t="shared" si="36"/>
        <v>Anual</v>
      </c>
      <c r="O231" s="2" t="str">
        <f t="shared" ca="1" si="37"/>
        <v>VIGENTE</v>
      </c>
      <c r="P231" s="6" t="s">
        <v>25</v>
      </c>
      <c r="Q231" s="2" t="s">
        <v>29</v>
      </c>
    </row>
    <row r="232" spans="1:17" x14ac:dyDescent="0.25">
      <c r="A232" s="23" t="s">
        <v>121</v>
      </c>
      <c r="B232" s="21" t="s">
        <v>122</v>
      </c>
      <c r="C232" s="3" t="s">
        <v>123</v>
      </c>
      <c r="D232" s="3" t="s">
        <v>23</v>
      </c>
      <c r="E232" s="2" t="s">
        <v>24</v>
      </c>
      <c r="F232" s="4">
        <v>0</v>
      </c>
      <c r="G232" s="8">
        <f t="shared" si="29"/>
        <v>1</v>
      </c>
      <c r="H232" s="4" t="str">
        <f t="shared" si="30"/>
        <v>Ohms</v>
      </c>
      <c r="I232" s="6">
        <v>0.20699999999999999</v>
      </c>
      <c r="J232" s="6" t="str">
        <f t="shared" si="31"/>
        <v>Ohms</v>
      </c>
      <c r="K232" s="2" t="str">
        <f t="shared" si="32"/>
        <v>RTG</v>
      </c>
      <c r="L232" s="7">
        <v>45707</v>
      </c>
      <c r="M232" s="7">
        <f t="shared" si="33"/>
        <v>46072</v>
      </c>
      <c r="N232" s="7" t="str">
        <f t="shared" si="36"/>
        <v>Anual</v>
      </c>
      <c r="O232" s="2" t="str">
        <f t="shared" ca="1" si="37"/>
        <v>VENCIDO</v>
      </c>
      <c r="P232" s="6" t="s">
        <v>25</v>
      </c>
      <c r="Q232" s="2"/>
    </row>
    <row r="233" spans="1:17" x14ac:dyDescent="0.25">
      <c r="A233" s="23" t="s">
        <v>121</v>
      </c>
      <c r="B233" s="2" t="s">
        <v>121</v>
      </c>
      <c r="C233" s="3" t="s">
        <v>28</v>
      </c>
      <c r="D233" s="3" t="s">
        <v>23</v>
      </c>
      <c r="E233" s="2" t="s">
        <v>24</v>
      </c>
      <c r="F233" s="4">
        <v>0</v>
      </c>
      <c r="G233" s="8">
        <f t="shared" si="29"/>
        <v>1000000000</v>
      </c>
      <c r="H233" s="4" t="str">
        <f t="shared" si="30"/>
        <v>Ohms</v>
      </c>
      <c r="I233" s="6">
        <v>1590000</v>
      </c>
      <c r="J233" s="6" t="str">
        <f t="shared" si="31"/>
        <v>Ohms</v>
      </c>
      <c r="K233" s="2" t="str">
        <f t="shared" si="32"/>
        <v>RTG</v>
      </c>
      <c r="L233" s="7">
        <v>45821</v>
      </c>
      <c r="M233" s="7">
        <f t="shared" si="33"/>
        <v>46186</v>
      </c>
      <c r="N233" s="7" t="str">
        <f t="shared" si="36"/>
        <v>Anual</v>
      </c>
      <c r="O233" s="2" t="str">
        <f t="shared" ca="1" si="37"/>
        <v>VIGENTE</v>
      </c>
      <c r="P233" s="6" t="s">
        <v>25</v>
      </c>
      <c r="Q233" s="2" t="s">
        <v>29</v>
      </c>
    </row>
    <row r="234" spans="1:17" x14ac:dyDescent="0.25">
      <c r="A234" s="23" t="s">
        <v>1312</v>
      </c>
      <c r="B234" s="2" t="s">
        <v>2563</v>
      </c>
      <c r="C234" s="3" t="s">
        <v>28</v>
      </c>
      <c r="D234" s="3" t="s">
        <v>23</v>
      </c>
      <c r="E234" s="2" t="s">
        <v>24</v>
      </c>
      <c r="F234" s="4">
        <v>0</v>
      </c>
      <c r="G234" s="8">
        <f t="shared" si="29"/>
        <v>1000000000</v>
      </c>
      <c r="H234" s="4" t="str">
        <f t="shared" si="30"/>
        <v>Ohms</v>
      </c>
      <c r="I234" s="6">
        <v>194000000</v>
      </c>
      <c r="J234" s="6" t="str">
        <f t="shared" si="31"/>
        <v>Ohms</v>
      </c>
      <c r="K234" s="2" t="str">
        <f t="shared" si="32"/>
        <v>RTG</v>
      </c>
      <c r="L234" s="7">
        <v>46118</v>
      </c>
      <c r="M234" s="7">
        <f>L234+365</f>
        <v>46483</v>
      </c>
      <c r="N234" s="7" t="str">
        <f t="shared" si="36"/>
        <v>Anual</v>
      </c>
      <c r="O234" s="2" t="str">
        <f t="shared" ca="1" si="37"/>
        <v>VIGENTE</v>
      </c>
      <c r="P234" s="6" t="s">
        <v>25</v>
      </c>
      <c r="Q234" s="2"/>
    </row>
    <row r="235" spans="1:17" x14ac:dyDescent="0.25">
      <c r="A235" s="23" t="s">
        <v>1312</v>
      </c>
      <c r="B235" s="2" t="s">
        <v>2562</v>
      </c>
      <c r="C235" s="3" t="s">
        <v>28</v>
      </c>
      <c r="D235" s="3" t="s">
        <v>23</v>
      </c>
      <c r="E235" s="2" t="s">
        <v>24</v>
      </c>
      <c r="F235" s="4">
        <v>0</v>
      </c>
      <c r="G235" s="8">
        <f t="shared" si="29"/>
        <v>1000000000</v>
      </c>
      <c r="H235" s="4" t="str">
        <f t="shared" si="30"/>
        <v>Ohms</v>
      </c>
      <c r="I235" s="6">
        <v>45900000</v>
      </c>
      <c r="J235" s="6" t="str">
        <f t="shared" si="31"/>
        <v>Ohms</v>
      </c>
      <c r="K235" s="2" t="str">
        <f t="shared" si="32"/>
        <v>RTG</v>
      </c>
      <c r="L235" s="7">
        <v>46118</v>
      </c>
      <c r="M235" s="7">
        <f>L235+365</f>
        <v>46483</v>
      </c>
      <c r="N235" s="7" t="str">
        <f t="shared" si="36"/>
        <v>Anual</v>
      </c>
      <c r="O235" s="2" t="str">
        <f t="shared" ca="1" si="37"/>
        <v>VIGENTE</v>
      </c>
      <c r="P235" s="6" t="s">
        <v>25</v>
      </c>
      <c r="Q235" s="2"/>
    </row>
    <row r="236" spans="1:17" x14ac:dyDescent="0.25">
      <c r="A236" s="23" t="s">
        <v>351</v>
      </c>
      <c r="B236" s="2" t="s">
        <v>2564</v>
      </c>
      <c r="C236" s="3" t="s">
        <v>28</v>
      </c>
      <c r="D236" s="3" t="s">
        <v>23</v>
      </c>
      <c r="E236" s="2" t="s">
        <v>24</v>
      </c>
      <c r="F236" s="4">
        <v>0</v>
      </c>
      <c r="G236" s="8">
        <f t="shared" si="29"/>
        <v>1000000000</v>
      </c>
      <c r="H236" s="4" t="str">
        <f t="shared" si="30"/>
        <v>Ohms</v>
      </c>
      <c r="I236" s="6">
        <v>301000000</v>
      </c>
      <c r="J236" s="6" t="str">
        <f t="shared" si="31"/>
        <v>Ohms</v>
      </c>
      <c r="K236" s="2" t="str">
        <f t="shared" si="32"/>
        <v>RTG</v>
      </c>
      <c r="L236" s="7">
        <v>46118</v>
      </c>
      <c r="M236" s="7">
        <f>L236+365</f>
        <v>46483</v>
      </c>
      <c r="N236" s="7" t="str">
        <f t="shared" si="36"/>
        <v>Anual</v>
      </c>
      <c r="O236" s="2" t="str">
        <f t="shared" ca="1" si="37"/>
        <v>VIGENTE</v>
      </c>
      <c r="P236" s="6" t="s">
        <v>25</v>
      </c>
      <c r="Q236" s="2"/>
    </row>
    <row r="237" spans="1:17" x14ac:dyDescent="0.25">
      <c r="A237" s="23" t="s">
        <v>351</v>
      </c>
      <c r="B237" s="2" t="s">
        <v>2565</v>
      </c>
      <c r="C237" s="3" t="s">
        <v>28</v>
      </c>
      <c r="D237" s="3" t="s">
        <v>23</v>
      </c>
      <c r="E237" s="2" t="s">
        <v>24</v>
      </c>
      <c r="F237" s="4">
        <v>0</v>
      </c>
      <c r="G237" s="8">
        <f t="shared" si="29"/>
        <v>1000000000</v>
      </c>
      <c r="H237" s="4" t="str">
        <f t="shared" si="30"/>
        <v>Ohms</v>
      </c>
      <c r="I237" s="6">
        <v>446000000</v>
      </c>
      <c r="J237" s="6" t="str">
        <f t="shared" si="31"/>
        <v>Ohms</v>
      </c>
      <c r="K237" s="2" t="str">
        <f t="shared" si="32"/>
        <v>RTG</v>
      </c>
      <c r="L237" s="7">
        <v>46118</v>
      </c>
      <c r="M237" s="7">
        <f>L237+365</f>
        <v>46483</v>
      </c>
      <c r="N237" s="7" t="str">
        <f t="shared" si="36"/>
        <v>Anual</v>
      </c>
      <c r="O237" s="2" t="str">
        <f t="shared" ca="1" si="37"/>
        <v>VIGENTE</v>
      </c>
      <c r="P237" s="6" t="s">
        <v>25</v>
      </c>
      <c r="Q237" s="2"/>
    </row>
    <row r="238" spans="1:17" x14ac:dyDescent="0.25">
      <c r="A238" s="23" t="s">
        <v>351</v>
      </c>
      <c r="B238" s="2" t="s">
        <v>352</v>
      </c>
      <c r="C238" s="3" t="s">
        <v>28</v>
      </c>
      <c r="D238" s="3" t="s">
        <v>23</v>
      </c>
      <c r="E238" s="2" t="s">
        <v>24</v>
      </c>
      <c r="F238" s="4">
        <v>0</v>
      </c>
      <c r="G238" s="8">
        <f t="shared" si="29"/>
        <v>1000000000</v>
      </c>
      <c r="H238" s="4" t="str">
        <f t="shared" si="30"/>
        <v>Ohms</v>
      </c>
      <c r="I238" s="14">
        <v>598000</v>
      </c>
      <c r="J238" s="6" t="str">
        <f t="shared" si="31"/>
        <v>Ohms</v>
      </c>
      <c r="K238" s="2" t="str">
        <f t="shared" si="32"/>
        <v>RTG</v>
      </c>
      <c r="L238" s="7">
        <v>46000</v>
      </c>
      <c r="M238" s="7">
        <f t="shared" ref="M238:M301" si="38">IF(N238="Trimestral", L238+90, IF(N238="Semestral", L238+180, IF(N238="Mensual", L238+30, L238+365)))</f>
        <v>46365</v>
      </c>
      <c r="N238" s="7" t="str">
        <f t="shared" si="36"/>
        <v>Anual</v>
      </c>
      <c r="O238" s="2" t="str">
        <f t="shared" ca="1" si="37"/>
        <v>VIGENTE</v>
      </c>
      <c r="P238" s="6" t="s">
        <v>25</v>
      </c>
      <c r="Q238" s="2"/>
    </row>
    <row r="239" spans="1:17" x14ac:dyDescent="0.25">
      <c r="A239" s="23" t="s">
        <v>351</v>
      </c>
      <c r="B239" s="2" t="s">
        <v>353</v>
      </c>
      <c r="C239" s="3" t="s">
        <v>28</v>
      </c>
      <c r="D239" s="3" t="s">
        <v>23</v>
      </c>
      <c r="E239" s="2" t="s">
        <v>24</v>
      </c>
      <c r="F239" s="4">
        <v>0</v>
      </c>
      <c r="G239" s="8">
        <f t="shared" si="29"/>
        <v>1000000000</v>
      </c>
      <c r="H239" s="4" t="str">
        <f t="shared" si="30"/>
        <v>Ohms</v>
      </c>
      <c r="I239" s="14">
        <v>800000</v>
      </c>
      <c r="J239" s="6" t="str">
        <f t="shared" si="31"/>
        <v>Ohms</v>
      </c>
      <c r="K239" s="2" t="str">
        <f t="shared" si="32"/>
        <v>RTG</v>
      </c>
      <c r="L239" s="7">
        <v>46000</v>
      </c>
      <c r="M239" s="7">
        <f t="shared" si="38"/>
        <v>46365</v>
      </c>
      <c r="N239" s="7" t="str">
        <f t="shared" si="36"/>
        <v>Anual</v>
      </c>
      <c r="O239" s="2" t="str">
        <f t="shared" ca="1" si="37"/>
        <v>VIGENTE</v>
      </c>
      <c r="P239" s="6" t="s">
        <v>25</v>
      </c>
      <c r="Q239" s="2"/>
    </row>
    <row r="240" spans="1:17" x14ac:dyDescent="0.25">
      <c r="A240" s="23" t="s">
        <v>351</v>
      </c>
      <c r="B240" s="2" t="s">
        <v>354</v>
      </c>
      <c r="C240" s="3" t="s">
        <v>28</v>
      </c>
      <c r="D240" s="3" t="s">
        <v>23</v>
      </c>
      <c r="E240" s="2" t="s">
        <v>24</v>
      </c>
      <c r="F240" s="4">
        <v>0</v>
      </c>
      <c r="G240" s="8">
        <f t="shared" si="29"/>
        <v>1000000000</v>
      </c>
      <c r="H240" s="4" t="str">
        <f t="shared" si="30"/>
        <v>Ohms</v>
      </c>
      <c r="I240" s="14">
        <v>586000</v>
      </c>
      <c r="J240" s="6" t="str">
        <f t="shared" si="31"/>
        <v>Ohms</v>
      </c>
      <c r="K240" s="2" t="str">
        <f t="shared" si="32"/>
        <v>RTG</v>
      </c>
      <c r="L240" s="7">
        <v>46000</v>
      </c>
      <c r="M240" s="7">
        <f t="shared" si="38"/>
        <v>46365</v>
      </c>
      <c r="N240" s="7" t="str">
        <f t="shared" si="36"/>
        <v>Anual</v>
      </c>
      <c r="O240" s="2" t="str">
        <f t="shared" ca="1" si="37"/>
        <v>VIGENTE</v>
      </c>
      <c r="P240" s="6" t="s">
        <v>25</v>
      </c>
      <c r="Q240" s="2"/>
    </row>
    <row r="241" spans="1:17" x14ac:dyDescent="0.25">
      <c r="A241" s="23" t="s">
        <v>351</v>
      </c>
      <c r="B241" s="2" t="s">
        <v>355</v>
      </c>
      <c r="C241" s="3" t="s">
        <v>28</v>
      </c>
      <c r="D241" s="3" t="s">
        <v>23</v>
      </c>
      <c r="E241" s="2" t="s">
        <v>24</v>
      </c>
      <c r="F241" s="4">
        <v>0</v>
      </c>
      <c r="G241" s="8">
        <f t="shared" si="29"/>
        <v>1000000000</v>
      </c>
      <c r="H241" s="4" t="str">
        <f t="shared" si="30"/>
        <v>Ohms</v>
      </c>
      <c r="I241" s="14">
        <v>742000</v>
      </c>
      <c r="J241" s="6" t="str">
        <f t="shared" si="31"/>
        <v>Ohms</v>
      </c>
      <c r="K241" s="2" t="str">
        <f t="shared" si="32"/>
        <v>RTG</v>
      </c>
      <c r="L241" s="7">
        <v>46000</v>
      </c>
      <c r="M241" s="7">
        <f t="shared" si="38"/>
        <v>46365</v>
      </c>
      <c r="N241" s="7" t="str">
        <f t="shared" si="36"/>
        <v>Anual</v>
      </c>
      <c r="O241" s="2" t="str">
        <f t="shared" ca="1" si="37"/>
        <v>VIGENTE</v>
      </c>
      <c r="P241" s="6" t="s">
        <v>25</v>
      </c>
      <c r="Q241" s="2"/>
    </row>
    <row r="242" spans="1:17" x14ac:dyDescent="0.25">
      <c r="A242" s="23" t="s">
        <v>76</v>
      </c>
      <c r="B242" s="2" t="s">
        <v>77</v>
      </c>
      <c r="C242" s="3" t="s">
        <v>22</v>
      </c>
      <c r="D242" s="3" t="s">
        <v>23</v>
      </c>
      <c r="E242" s="2" t="s">
        <v>24</v>
      </c>
      <c r="F242" s="4">
        <v>0</v>
      </c>
      <c r="G242" s="8">
        <f t="shared" si="29"/>
        <v>1000000000</v>
      </c>
      <c r="H242" s="4" t="str">
        <f t="shared" si="30"/>
        <v>Ohms</v>
      </c>
      <c r="I242" s="6">
        <v>0.40200000000000002</v>
      </c>
      <c r="J242" s="6" t="str">
        <f t="shared" si="31"/>
        <v>Ohms</v>
      </c>
      <c r="K242" s="2" t="str">
        <f t="shared" si="32"/>
        <v>RTG</v>
      </c>
      <c r="L242" s="7">
        <v>45706</v>
      </c>
      <c r="M242" s="7">
        <f t="shared" si="38"/>
        <v>46071</v>
      </c>
      <c r="N242" s="7" t="str">
        <f t="shared" si="36"/>
        <v>Anual</v>
      </c>
      <c r="O242" s="2" t="str">
        <f t="shared" ca="1" si="37"/>
        <v>VENCIDO</v>
      </c>
      <c r="P242" s="6" t="s">
        <v>25</v>
      </c>
      <c r="Q242" s="2"/>
    </row>
    <row r="243" spans="1:17" x14ac:dyDescent="0.25">
      <c r="A243" s="23" t="s">
        <v>76</v>
      </c>
      <c r="B243" s="2" t="s">
        <v>249</v>
      </c>
      <c r="C243" s="3" t="s">
        <v>28</v>
      </c>
      <c r="D243" s="3" t="s">
        <v>23</v>
      </c>
      <c r="E243" s="2" t="s">
        <v>24</v>
      </c>
      <c r="F243" s="4">
        <v>0</v>
      </c>
      <c r="G243" s="8">
        <f t="shared" si="29"/>
        <v>1000000000</v>
      </c>
      <c r="H243" s="4" t="str">
        <f t="shared" si="30"/>
        <v>Ohms</v>
      </c>
      <c r="I243" s="6">
        <v>462000</v>
      </c>
      <c r="J243" s="6" t="str">
        <f t="shared" si="31"/>
        <v>Ohms</v>
      </c>
      <c r="K243" s="2" t="str">
        <f t="shared" si="32"/>
        <v>RTG</v>
      </c>
      <c r="L243" s="7">
        <v>45706</v>
      </c>
      <c r="M243" s="7">
        <f t="shared" si="38"/>
        <v>46071</v>
      </c>
      <c r="N243" s="7" t="str">
        <f t="shared" si="36"/>
        <v>Anual</v>
      </c>
      <c r="O243" s="2" t="str">
        <f t="shared" ca="1" si="37"/>
        <v>VENCIDO</v>
      </c>
      <c r="P243" s="6" t="s">
        <v>25</v>
      </c>
      <c r="Q243" s="2" t="s">
        <v>29</v>
      </c>
    </row>
    <row r="244" spans="1:17" x14ac:dyDescent="0.25">
      <c r="A244" s="23" t="s">
        <v>76</v>
      </c>
      <c r="B244" s="2" t="s">
        <v>268</v>
      </c>
      <c r="C244" s="3" t="s">
        <v>22</v>
      </c>
      <c r="D244" s="3" t="s">
        <v>23</v>
      </c>
      <c r="E244" s="2" t="s">
        <v>24</v>
      </c>
      <c r="F244" s="4">
        <v>0</v>
      </c>
      <c r="G244" s="8">
        <f t="shared" si="29"/>
        <v>1000000000</v>
      </c>
      <c r="H244" s="4" t="str">
        <f t="shared" si="30"/>
        <v>Ohms</v>
      </c>
      <c r="I244" s="6">
        <v>0.42899999999999999</v>
      </c>
      <c r="J244" s="6" t="str">
        <f t="shared" si="31"/>
        <v>Ohms</v>
      </c>
      <c r="K244" s="2" t="str">
        <f t="shared" si="32"/>
        <v>RTG</v>
      </c>
      <c r="L244" s="7">
        <v>45706</v>
      </c>
      <c r="M244" s="7">
        <f t="shared" si="38"/>
        <v>46071</v>
      </c>
      <c r="N244" s="7" t="str">
        <f t="shared" si="36"/>
        <v>Anual</v>
      </c>
      <c r="O244" s="2" t="str">
        <f t="shared" ca="1" si="37"/>
        <v>VENCIDO</v>
      </c>
      <c r="P244" s="6" t="s">
        <v>25</v>
      </c>
      <c r="Q244" s="2"/>
    </row>
    <row r="245" spans="1:17" x14ac:dyDescent="0.25">
      <c r="A245" s="23" t="s">
        <v>76</v>
      </c>
      <c r="B245" s="2" t="s">
        <v>289</v>
      </c>
      <c r="C245" s="3" t="s">
        <v>22</v>
      </c>
      <c r="D245" s="3" t="s">
        <v>23</v>
      </c>
      <c r="E245" s="2" t="s">
        <v>24</v>
      </c>
      <c r="F245" s="4">
        <v>0</v>
      </c>
      <c r="G245" s="8">
        <f t="shared" si="29"/>
        <v>1000000000</v>
      </c>
      <c r="H245" s="4" t="str">
        <f t="shared" si="30"/>
        <v>Ohms</v>
      </c>
      <c r="I245" s="6">
        <v>0.13100000000000001</v>
      </c>
      <c r="J245" s="6" t="str">
        <f t="shared" si="31"/>
        <v>Ohms</v>
      </c>
      <c r="K245" s="2" t="str">
        <f t="shared" si="32"/>
        <v>RTG</v>
      </c>
      <c r="L245" s="7">
        <v>45706</v>
      </c>
      <c r="M245" s="7">
        <f t="shared" si="38"/>
        <v>46071</v>
      </c>
      <c r="N245" s="7" t="str">
        <f t="shared" si="36"/>
        <v>Anual</v>
      </c>
      <c r="O245" s="2" t="str">
        <f t="shared" ca="1" si="37"/>
        <v>VENCIDO</v>
      </c>
      <c r="P245" s="6" t="s">
        <v>25</v>
      </c>
      <c r="Q245" s="2"/>
    </row>
    <row r="246" spans="1:17" x14ac:dyDescent="0.25">
      <c r="A246" s="23" t="s">
        <v>76</v>
      </c>
      <c r="B246" s="2" t="s">
        <v>356</v>
      </c>
      <c r="C246" s="3" t="s">
        <v>22</v>
      </c>
      <c r="D246" s="3" t="s">
        <v>23</v>
      </c>
      <c r="E246" s="2" t="s">
        <v>24</v>
      </c>
      <c r="F246" s="4">
        <v>0</v>
      </c>
      <c r="G246" s="8">
        <f t="shared" ref="G246:G309" si="39">IF(C246="Ionizador", 10, IF(C246="Mesa", 1000000000, IF(C246="Rack", 1000000000, IF(C246="Piso", 1000000000, IF(C246="Tapete", 1000000000, IF(C246="Carrito", 1000000000, IF(C246="Cautín", 10, 1)))))))</f>
        <v>1000000000</v>
      </c>
      <c r="H246" s="4" t="str">
        <f t="shared" ref="H246:H309" si="40">IF(C246="Ionizador", "Segundos", "Ohms")</f>
        <v>Ohms</v>
      </c>
      <c r="I246" s="14">
        <v>3890000</v>
      </c>
      <c r="J246" s="6" t="str">
        <f t="shared" ref="J246:J309" si="41">H246</f>
        <v>Ohms</v>
      </c>
      <c r="K246" s="2" t="str">
        <f t="shared" ref="K246:K309" si="42">IF(C246="Ionizador", "Plato de carga", IF(C246="Cautín", "PTG", IF(C246="ESD Tester", "PTP Deviation", "RTG")))</f>
        <v>RTG</v>
      </c>
      <c r="L246" s="7">
        <v>45706</v>
      </c>
      <c r="M246" s="7">
        <f t="shared" si="38"/>
        <v>46071</v>
      </c>
      <c r="N246" s="7" t="str">
        <f t="shared" si="36"/>
        <v>Anual</v>
      </c>
      <c r="O246" s="2" t="str">
        <f t="shared" ca="1" si="37"/>
        <v>VENCIDO</v>
      </c>
      <c r="P246" s="6" t="s">
        <v>25</v>
      </c>
      <c r="Q246" s="2"/>
    </row>
    <row r="247" spans="1:17" x14ac:dyDescent="0.25">
      <c r="A247" s="23" t="s">
        <v>76</v>
      </c>
      <c r="B247" s="2" t="s">
        <v>357</v>
      </c>
      <c r="C247" s="3" t="s">
        <v>22</v>
      </c>
      <c r="D247" s="3" t="s">
        <v>23</v>
      </c>
      <c r="E247" s="2" t="s">
        <v>24</v>
      </c>
      <c r="F247" s="4">
        <v>0</v>
      </c>
      <c r="G247" s="8">
        <f t="shared" si="39"/>
        <v>1000000000</v>
      </c>
      <c r="H247" s="4" t="str">
        <f t="shared" si="40"/>
        <v>Ohms</v>
      </c>
      <c r="I247" s="14">
        <v>158000000</v>
      </c>
      <c r="J247" s="6" t="str">
        <f t="shared" si="41"/>
        <v>Ohms</v>
      </c>
      <c r="K247" s="2" t="str">
        <f t="shared" si="42"/>
        <v>RTG</v>
      </c>
      <c r="L247" s="7">
        <v>45842</v>
      </c>
      <c r="M247" s="7">
        <f t="shared" si="38"/>
        <v>46207</v>
      </c>
      <c r="N247" s="7" t="str">
        <f t="shared" si="36"/>
        <v>Anual</v>
      </c>
      <c r="O247" s="2" t="str">
        <f t="shared" ca="1" si="37"/>
        <v>VIGENTE</v>
      </c>
      <c r="P247" s="6" t="s">
        <v>25</v>
      </c>
      <c r="Q247" s="2"/>
    </row>
    <row r="248" spans="1:17" x14ac:dyDescent="0.25">
      <c r="A248" s="23" t="s">
        <v>76</v>
      </c>
      <c r="B248" s="2" t="s">
        <v>358</v>
      </c>
      <c r="C248" s="3" t="s">
        <v>22</v>
      </c>
      <c r="D248" s="3" t="s">
        <v>23</v>
      </c>
      <c r="E248" s="2" t="s">
        <v>24</v>
      </c>
      <c r="F248" s="4">
        <v>0</v>
      </c>
      <c r="G248" s="8">
        <f t="shared" si="39"/>
        <v>1000000000</v>
      </c>
      <c r="H248" s="4" t="str">
        <f t="shared" si="40"/>
        <v>Ohms</v>
      </c>
      <c r="I248" s="14">
        <v>122000000</v>
      </c>
      <c r="J248" s="6" t="str">
        <f t="shared" si="41"/>
        <v>Ohms</v>
      </c>
      <c r="K248" s="2" t="str">
        <f t="shared" si="42"/>
        <v>RTG</v>
      </c>
      <c r="L248" s="7">
        <v>45842</v>
      </c>
      <c r="M248" s="7">
        <f t="shared" si="38"/>
        <v>46207</v>
      </c>
      <c r="N248" s="7" t="str">
        <f t="shared" si="36"/>
        <v>Anual</v>
      </c>
      <c r="O248" s="2" t="str">
        <f t="shared" ca="1" si="37"/>
        <v>VIGENTE</v>
      </c>
      <c r="P248" s="6" t="s">
        <v>25</v>
      </c>
      <c r="Q248" s="2"/>
    </row>
    <row r="249" spans="1:17" x14ac:dyDescent="0.25">
      <c r="A249" s="23" t="s">
        <v>76</v>
      </c>
      <c r="B249" s="2" t="s">
        <v>359</v>
      </c>
      <c r="C249" s="3" t="s">
        <v>22</v>
      </c>
      <c r="D249" s="3" t="s">
        <v>23</v>
      </c>
      <c r="E249" s="2" t="s">
        <v>24</v>
      </c>
      <c r="F249" s="4">
        <v>0</v>
      </c>
      <c r="G249" s="8">
        <f t="shared" si="39"/>
        <v>1000000000</v>
      </c>
      <c r="H249" s="4" t="str">
        <f t="shared" si="40"/>
        <v>Ohms</v>
      </c>
      <c r="I249" s="14">
        <v>252000000</v>
      </c>
      <c r="J249" s="6" t="str">
        <f t="shared" si="41"/>
        <v>Ohms</v>
      </c>
      <c r="K249" s="2" t="str">
        <f t="shared" si="42"/>
        <v>RTG</v>
      </c>
      <c r="L249" s="7">
        <v>45842</v>
      </c>
      <c r="M249" s="7">
        <f t="shared" si="38"/>
        <v>46207</v>
      </c>
      <c r="N249" s="7" t="str">
        <f t="shared" si="36"/>
        <v>Anual</v>
      </c>
      <c r="O249" s="2" t="str">
        <f t="shared" ca="1" si="37"/>
        <v>VIGENTE</v>
      </c>
      <c r="P249" s="6" t="s">
        <v>25</v>
      </c>
      <c r="Q249" s="2"/>
    </row>
    <row r="250" spans="1:17" x14ac:dyDescent="0.25">
      <c r="A250" s="23" t="s">
        <v>76</v>
      </c>
      <c r="B250" s="2" t="s">
        <v>360</v>
      </c>
      <c r="C250" s="3" t="s">
        <v>22</v>
      </c>
      <c r="D250" s="3" t="s">
        <v>23</v>
      </c>
      <c r="E250" s="2" t="s">
        <v>24</v>
      </c>
      <c r="F250" s="4">
        <v>0</v>
      </c>
      <c r="G250" s="8">
        <f t="shared" si="39"/>
        <v>1000000000</v>
      </c>
      <c r="H250" s="4" t="str">
        <f t="shared" si="40"/>
        <v>Ohms</v>
      </c>
      <c r="I250" s="14">
        <v>349000000</v>
      </c>
      <c r="J250" s="6" t="str">
        <f t="shared" si="41"/>
        <v>Ohms</v>
      </c>
      <c r="K250" s="2" t="str">
        <f t="shared" si="42"/>
        <v>RTG</v>
      </c>
      <c r="L250" s="7">
        <v>45842</v>
      </c>
      <c r="M250" s="7">
        <f t="shared" si="38"/>
        <v>46207</v>
      </c>
      <c r="N250" s="7" t="str">
        <f t="shared" si="36"/>
        <v>Anual</v>
      </c>
      <c r="O250" s="2" t="str">
        <f t="shared" ca="1" si="37"/>
        <v>VIGENTE</v>
      </c>
      <c r="P250" s="6" t="s">
        <v>25</v>
      </c>
      <c r="Q250" s="2"/>
    </row>
    <row r="251" spans="1:17" x14ac:dyDescent="0.25">
      <c r="A251" s="23" t="s">
        <v>76</v>
      </c>
      <c r="B251" s="2" t="s">
        <v>361</v>
      </c>
      <c r="C251" s="3" t="s">
        <v>22</v>
      </c>
      <c r="D251" s="3" t="s">
        <v>23</v>
      </c>
      <c r="E251" s="2" t="s">
        <v>24</v>
      </c>
      <c r="F251" s="4">
        <v>0</v>
      </c>
      <c r="G251" s="8">
        <f t="shared" si="39"/>
        <v>1000000000</v>
      </c>
      <c r="H251" s="4" t="str">
        <f t="shared" si="40"/>
        <v>Ohms</v>
      </c>
      <c r="I251" s="14">
        <v>3560000</v>
      </c>
      <c r="J251" s="6" t="str">
        <f t="shared" si="41"/>
        <v>Ohms</v>
      </c>
      <c r="K251" s="2" t="str">
        <f t="shared" si="42"/>
        <v>RTG</v>
      </c>
      <c r="L251" s="7">
        <v>45842</v>
      </c>
      <c r="M251" s="7">
        <f t="shared" si="38"/>
        <v>46207</v>
      </c>
      <c r="N251" s="7" t="str">
        <f t="shared" si="36"/>
        <v>Anual</v>
      </c>
      <c r="O251" s="2" t="str">
        <f t="shared" ca="1" si="37"/>
        <v>VIGENTE</v>
      </c>
      <c r="P251" s="6" t="s">
        <v>25</v>
      </c>
      <c r="Q251" s="2"/>
    </row>
    <row r="252" spans="1:17" x14ac:dyDescent="0.25">
      <c r="A252" s="23" t="s">
        <v>76</v>
      </c>
      <c r="B252" s="2" t="s">
        <v>362</v>
      </c>
      <c r="C252" s="3" t="s">
        <v>22</v>
      </c>
      <c r="D252" s="3" t="s">
        <v>23</v>
      </c>
      <c r="E252" s="2" t="s">
        <v>24</v>
      </c>
      <c r="F252" s="4">
        <v>0</v>
      </c>
      <c r="G252" s="8">
        <f t="shared" si="39"/>
        <v>1000000000</v>
      </c>
      <c r="H252" s="4" t="str">
        <f t="shared" si="40"/>
        <v>Ohms</v>
      </c>
      <c r="I252" s="14">
        <v>4280000</v>
      </c>
      <c r="J252" s="6" t="str">
        <f t="shared" si="41"/>
        <v>Ohms</v>
      </c>
      <c r="K252" s="2" t="str">
        <f t="shared" si="42"/>
        <v>RTG</v>
      </c>
      <c r="L252" s="7">
        <v>45842</v>
      </c>
      <c r="M252" s="7">
        <f t="shared" si="38"/>
        <v>46207</v>
      </c>
      <c r="N252" s="7" t="str">
        <f t="shared" si="36"/>
        <v>Anual</v>
      </c>
      <c r="O252" s="2" t="str">
        <f t="shared" ca="1" si="37"/>
        <v>VIGENTE</v>
      </c>
      <c r="P252" s="6" t="s">
        <v>25</v>
      </c>
      <c r="Q252" s="2"/>
    </row>
    <row r="253" spans="1:17" x14ac:dyDescent="0.25">
      <c r="A253" s="23" t="s">
        <v>76</v>
      </c>
      <c r="B253" s="2" t="s">
        <v>363</v>
      </c>
      <c r="C253" s="3" t="s">
        <v>28</v>
      </c>
      <c r="D253" s="3" t="s">
        <v>23</v>
      </c>
      <c r="E253" s="2" t="s">
        <v>24</v>
      </c>
      <c r="F253" s="4">
        <v>0</v>
      </c>
      <c r="G253" s="8">
        <f t="shared" si="39"/>
        <v>1000000000</v>
      </c>
      <c r="H253" s="4" t="str">
        <f t="shared" si="40"/>
        <v>Ohms</v>
      </c>
      <c r="I253" s="14">
        <v>283000000</v>
      </c>
      <c r="J253" s="6" t="str">
        <f t="shared" si="41"/>
        <v>Ohms</v>
      </c>
      <c r="K253" s="2" t="str">
        <f t="shared" si="42"/>
        <v>RTG</v>
      </c>
      <c r="L253" s="7">
        <v>45842</v>
      </c>
      <c r="M253" s="7">
        <f t="shared" si="38"/>
        <v>46207</v>
      </c>
      <c r="N253" s="7" t="str">
        <f t="shared" si="36"/>
        <v>Anual</v>
      </c>
      <c r="O253" s="2" t="str">
        <f t="shared" ca="1" si="37"/>
        <v>VIGENTE</v>
      </c>
      <c r="P253" s="6" t="s">
        <v>25</v>
      </c>
      <c r="Q253" s="2" t="s">
        <v>29</v>
      </c>
    </row>
    <row r="254" spans="1:17" x14ac:dyDescent="0.25">
      <c r="A254" s="23" t="s">
        <v>76</v>
      </c>
      <c r="B254" s="2" t="s">
        <v>364</v>
      </c>
      <c r="C254" s="3" t="s">
        <v>28</v>
      </c>
      <c r="D254" s="3" t="s">
        <v>23</v>
      </c>
      <c r="E254" s="2" t="s">
        <v>24</v>
      </c>
      <c r="F254" s="4">
        <v>0</v>
      </c>
      <c r="G254" s="8">
        <f t="shared" si="39"/>
        <v>1000000000</v>
      </c>
      <c r="H254" s="4" t="str">
        <f t="shared" si="40"/>
        <v>Ohms</v>
      </c>
      <c r="I254" s="14">
        <v>260000000</v>
      </c>
      <c r="J254" s="6" t="str">
        <f t="shared" si="41"/>
        <v>Ohms</v>
      </c>
      <c r="K254" s="2" t="str">
        <f t="shared" si="42"/>
        <v>RTG</v>
      </c>
      <c r="L254" s="7">
        <v>45842</v>
      </c>
      <c r="M254" s="7">
        <f t="shared" si="38"/>
        <v>46207</v>
      </c>
      <c r="N254" s="7" t="str">
        <f t="shared" si="36"/>
        <v>Anual</v>
      </c>
      <c r="O254" s="2" t="str">
        <f t="shared" ca="1" si="37"/>
        <v>VIGENTE</v>
      </c>
      <c r="P254" s="6" t="s">
        <v>25</v>
      </c>
      <c r="Q254" s="2" t="s">
        <v>29</v>
      </c>
    </row>
    <row r="255" spans="1:17" x14ac:dyDescent="0.25">
      <c r="A255" s="23" t="s">
        <v>76</v>
      </c>
      <c r="B255" s="2" t="s">
        <v>365</v>
      </c>
      <c r="C255" s="3" t="s">
        <v>28</v>
      </c>
      <c r="D255" s="3" t="s">
        <v>23</v>
      </c>
      <c r="E255" s="2" t="s">
        <v>24</v>
      </c>
      <c r="F255" s="4">
        <v>0</v>
      </c>
      <c r="G255" s="8">
        <f t="shared" si="39"/>
        <v>1000000000</v>
      </c>
      <c r="H255" s="4" t="str">
        <f t="shared" si="40"/>
        <v>Ohms</v>
      </c>
      <c r="I255" s="14">
        <v>3170000</v>
      </c>
      <c r="J255" s="6" t="str">
        <f t="shared" si="41"/>
        <v>Ohms</v>
      </c>
      <c r="K255" s="2" t="str">
        <f t="shared" si="42"/>
        <v>RTG</v>
      </c>
      <c r="L255" s="7">
        <v>45842</v>
      </c>
      <c r="M255" s="7">
        <f t="shared" si="38"/>
        <v>46207</v>
      </c>
      <c r="N255" s="7" t="str">
        <f t="shared" si="36"/>
        <v>Anual</v>
      </c>
      <c r="O255" s="2" t="str">
        <f t="shared" ca="1" si="37"/>
        <v>VIGENTE</v>
      </c>
      <c r="P255" s="6" t="s">
        <v>25</v>
      </c>
      <c r="Q255" s="2" t="s">
        <v>29</v>
      </c>
    </row>
    <row r="256" spans="1:17" x14ac:dyDescent="0.25">
      <c r="A256" s="23" t="s">
        <v>76</v>
      </c>
      <c r="B256" s="2" t="s">
        <v>366</v>
      </c>
      <c r="C256" s="3" t="s">
        <v>133</v>
      </c>
      <c r="D256" s="3" t="s">
        <v>23</v>
      </c>
      <c r="E256" s="2" t="s">
        <v>24</v>
      </c>
      <c r="F256" s="4">
        <v>0</v>
      </c>
      <c r="G256" s="8">
        <f t="shared" si="39"/>
        <v>1</v>
      </c>
      <c r="H256" s="4" t="str">
        <f t="shared" si="40"/>
        <v>Ohms</v>
      </c>
      <c r="I256" s="14">
        <v>479000000</v>
      </c>
      <c r="J256" s="6" t="str">
        <f t="shared" si="41"/>
        <v>Ohms</v>
      </c>
      <c r="K256" s="2" t="str">
        <f t="shared" si="42"/>
        <v>RTG</v>
      </c>
      <c r="L256" s="7">
        <v>45842</v>
      </c>
      <c r="M256" s="7">
        <f t="shared" si="38"/>
        <v>46207</v>
      </c>
      <c r="N256" s="7" t="str">
        <f t="shared" si="36"/>
        <v>Anual</v>
      </c>
      <c r="O256" s="2" t="str">
        <f t="shared" ca="1" si="37"/>
        <v>VIGENTE</v>
      </c>
      <c r="P256" s="6" t="s">
        <v>25</v>
      </c>
      <c r="Q256" s="2" t="s">
        <v>126</v>
      </c>
    </row>
    <row r="257" spans="1:17" x14ac:dyDescent="0.25">
      <c r="A257" s="23" t="s">
        <v>76</v>
      </c>
      <c r="B257" s="2" t="s">
        <v>367</v>
      </c>
      <c r="C257" s="3" t="s">
        <v>28</v>
      </c>
      <c r="D257" s="3" t="s">
        <v>23</v>
      </c>
      <c r="E257" s="2" t="s">
        <v>24</v>
      </c>
      <c r="F257" s="4">
        <v>0</v>
      </c>
      <c r="G257" s="8">
        <f t="shared" si="39"/>
        <v>1000000000</v>
      </c>
      <c r="H257" s="4" t="str">
        <f t="shared" si="40"/>
        <v>Ohms</v>
      </c>
      <c r="I257" s="14">
        <v>299000000</v>
      </c>
      <c r="J257" s="6" t="str">
        <f t="shared" si="41"/>
        <v>Ohms</v>
      </c>
      <c r="K257" s="2" t="str">
        <f t="shared" si="42"/>
        <v>RTG</v>
      </c>
      <c r="L257" s="7">
        <v>45842</v>
      </c>
      <c r="M257" s="7">
        <f t="shared" si="38"/>
        <v>46207</v>
      </c>
      <c r="N257" s="7" t="str">
        <f t="shared" si="36"/>
        <v>Anual</v>
      </c>
      <c r="O257" s="2" t="str">
        <f t="shared" ca="1" si="37"/>
        <v>VIGENTE</v>
      </c>
      <c r="P257" s="6" t="s">
        <v>25</v>
      </c>
      <c r="Q257" s="2" t="s">
        <v>29</v>
      </c>
    </row>
    <row r="258" spans="1:17" x14ac:dyDescent="0.25">
      <c r="A258" s="23" t="s">
        <v>76</v>
      </c>
      <c r="B258" s="2" t="s">
        <v>368</v>
      </c>
      <c r="C258" s="3" t="s">
        <v>43</v>
      </c>
      <c r="D258" s="3" t="s">
        <v>23</v>
      </c>
      <c r="E258" s="2" t="s">
        <v>24</v>
      </c>
      <c r="F258" s="4">
        <v>0</v>
      </c>
      <c r="G258" s="8">
        <f t="shared" si="39"/>
        <v>1000000000</v>
      </c>
      <c r="H258" s="4" t="str">
        <f t="shared" si="40"/>
        <v>Ohms</v>
      </c>
      <c r="I258" s="14">
        <v>1930000</v>
      </c>
      <c r="J258" s="6" t="str">
        <f t="shared" si="41"/>
        <v>Ohms</v>
      </c>
      <c r="K258" s="2" t="str">
        <f t="shared" si="42"/>
        <v>RTG</v>
      </c>
      <c r="L258" s="7">
        <v>45842</v>
      </c>
      <c r="M258" s="7">
        <f t="shared" si="38"/>
        <v>46022</v>
      </c>
      <c r="N258" s="7" t="str">
        <f t="shared" si="36"/>
        <v>Semestral</v>
      </c>
      <c r="O258" s="2" t="str">
        <f t="shared" ca="1" si="37"/>
        <v>VENCIDO</v>
      </c>
      <c r="P258" s="6" t="s">
        <v>25</v>
      </c>
      <c r="Q258" s="2"/>
    </row>
    <row r="259" spans="1:17" x14ac:dyDescent="0.25">
      <c r="A259" s="23" t="s">
        <v>76</v>
      </c>
      <c r="B259" s="2" t="s">
        <v>369</v>
      </c>
      <c r="C259" s="3" t="s">
        <v>43</v>
      </c>
      <c r="D259" s="3" t="s">
        <v>23</v>
      </c>
      <c r="E259" s="2" t="s">
        <v>24</v>
      </c>
      <c r="F259" s="4">
        <v>0</v>
      </c>
      <c r="G259" s="8">
        <f t="shared" si="39"/>
        <v>1000000000</v>
      </c>
      <c r="H259" s="4" t="str">
        <f t="shared" si="40"/>
        <v>Ohms</v>
      </c>
      <c r="I259" s="14">
        <v>3840000</v>
      </c>
      <c r="J259" s="6" t="str">
        <f t="shared" si="41"/>
        <v>Ohms</v>
      </c>
      <c r="K259" s="2" t="str">
        <f t="shared" si="42"/>
        <v>RTG</v>
      </c>
      <c r="L259" s="7">
        <v>45842</v>
      </c>
      <c r="M259" s="7">
        <f t="shared" si="38"/>
        <v>46022</v>
      </c>
      <c r="N259" s="7" t="str">
        <f t="shared" si="36"/>
        <v>Semestral</v>
      </c>
      <c r="O259" s="2" t="str">
        <f t="shared" ca="1" si="37"/>
        <v>VENCIDO</v>
      </c>
      <c r="P259" s="6" t="s">
        <v>25</v>
      </c>
      <c r="Q259" s="2"/>
    </row>
    <row r="260" spans="1:17" x14ac:dyDescent="0.25">
      <c r="A260" s="23" t="s">
        <v>76</v>
      </c>
      <c r="B260" s="2" t="s">
        <v>370</v>
      </c>
      <c r="C260" s="3" t="s">
        <v>43</v>
      </c>
      <c r="D260" s="3" t="s">
        <v>23</v>
      </c>
      <c r="E260" s="2" t="s">
        <v>24</v>
      </c>
      <c r="F260" s="4">
        <v>0</v>
      </c>
      <c r="G260" s="8">
        <f t="shared" si="39"/>
        <v>1000000000</v>
      </c>
      <c r="H260" s="4" t="str">
        <f t="shared" si="40"/>
        <v>Ohms</v>
      </c>
      <c r="I260" s="14">
        <v>411000000</v>
      </c>
      <c r="J260" s="6" t="str">
        <f t="shared" si="41"/>
        <v>Ohms</v>
      </c>
      <c r="K260" s="2" t="str">
        <f t="shared" si="42"/>
        <v>RTG</v>
      </c>
      <c r="L260" s="7">
        <v>45842</v>
      </c>
      <c r="M260" s="7">
        <f t="shared" si="38"/>
        <v>46022</v>
      </c>
      <c r="N260" s="7" t="str">
        <f t="shared" si="36"/>
        <v>Semestral</v>
      </c>
      <c r="O260" s="2" t="str">
        <f t="shared" ca="1" si="37"/>
        <v>VENCIDO</v>
      </c>
      <c r="P260" s="6" t="s">
        <v>25</v>
      </c>
      <c r="Q260" s="2"/>
    </row>
    <row r="261" spans="1:17" x14ac:dyDescent="0.25">
      <c r="A261" s="23" t="s">
        <v>76</v>
      </c>
      <c r="B261" s="2" t="s">
        <v>371</v>
      </c>
      <c r="C261" s="3" t="s">
        <v>43</v>
      </c>
      <c r="D261" s="3" t="s">
        <v>23</v>
      </c>
      <c r="E261" s="2" t="s">
        <v>24</v>
      </c>
      <c r="F261" s="4">
        <v>0</v>
      </c>
      <c r="G261" s="8">
        <f t="shared" si="39"/>
        <v>1000000000</v>
      </c>
      <c r="H261" s="4" t="str">
        <f t="shared" si="40"/>
        <v>Ohms</v>
      </c>
      <c r="I261" s="14">
        <v>2470000</v>
      </c>
      <c r="J261" s="6" t="str">
        <f t="shared" si="41"/>
        <v>Ohms</v>
      </c>
      <c r="K261" s="2" t="str">
        <f t="shared" si="42"/>
        <v>RTG</v>
      </c>
      <c r="L261" s="7">
        <v>45842</v>
      </c>
      <c r="M261" s="7">
        <f t="shared" si="38"/>
        <v>46022</v>
      </c>
      <c r="N261" s="7" t="str">
        <f t="shared" si="36"/>
        <v>Semestral</v>
      </c>
      <c r="O261" s="2" t="str">
        <f t="shared" ca="1" si="37"/>
        <v>VENCIDO</v>
      </c>
      <c r="P261" s="6" t="s">
        <v>25</v>
      </c>
      <c r="Q261" s="2"/>
    </row>
    <row r="262" spans="1:17" x14ac:dyDescent="0.25">
      <c r="A262" s="23" t="s">
        <v>76</v>
      </c>
      <c r="B262" s="2" t="s">
        <v>372</v>
      </c>
      <c r="C262" s="3" t="s">
        <v>43</v>
      </c>
      <c r="D262" s="3" t="s">
        <v>23</v>
      </c>
      <c r="E262" s="2" t="s">
        <v>24</v>
      </c>
      <c r="F262" s="4">
        <v>0</v>
      </c>
      <c r="G262" s="8">
        <f t="shared" si="39"/>
        <v>1000000000</v>
      </c>
      <c r="H262" s="4" t="str">
        <f t="shared" si="40"/>
        <v>Ohms</v>
      </c>
      <c r="I262" s="14">
        <v>122000000</v>
      </c>
      <c r="J262" s="6" t="str">
        <f t="shared" si="41"/>
        <v>Ohms</v>
      </c>
      <c r="K262" s="2" t="str">
        <f t="shared" si="42"/>
        <v>RTG</v>
      </c>
      <c r="L262" s="7">
        <v>45842</v>
      </c>
      <c r="M262" s="7">
        <f t="shared" si="38"/>
        <v>46022</v>
      </c>
      <c r="N262" s="7" t="str">
        <f t="shared" ref="N262:N293" si="43">IF(C262="Ionizador", "Trimestral", IF(C262="Rack", "Anual", IF(C262="Mesa", "Anual", IF(C262="Tapete", "Semestral", IF(C262="Cautín", "Semestral", IF(C262="Silla", "Semestral", "Anual"))))))</f>
        <v>Semestral</v>
      </c>
      <c r="O262" s="2" t="str">
        <f t="shared" ca="1" si="37"/>
        <v>VENCIDO</v>
      </c>
      <c r="P262" s="6" t="s">
        <v>25</v>
      </c>
      <c r="Q262" s="2"/>
    </row>
    <row r="263" spans="1:17" x14ac:dyDescent="0.25">
      <c r="A263" s="23" t="s">
        <v>76</v>
      </c>
      <c r="B263" s="2" t="s">
        <v>373</v>
      </c>
      <c r="C263" s="3" t="s">
        <v>43</v>
      </c>
      <c r="D263" s="3" t="s">
        <v>23</v>
      </c>
      <c r="E263" s="2" t="s">
        <v>24</v>
      </c>
      <c r="F263" s="4">
        <v>0</v>
      </c>
      <c r="G263" s="8">
        <f t="shared" si="39"/>
        <v>1000000000</v>
      </c>
      <c r="H263" s="4" t="str">
        <f t="shared" si="40"/>
        <v>Ohms</v>
      </c>
      <c r="I263" s="14">
        <v>294000000</v>
      </c>
      <c r="J263" s="6" t="str">
        <f t="shared" si="41"/>
        <v>Ohms</v>
      </c>
      <c r="K263" s="2" t="str">
        <f t="shared" si="42"/>
        <v>RTG</v>
      </c>
      <c r="L263" s="7">
        <v>45842</v>
      </c>
      <c r="M263" s="7">
        <f t="shared" si="38"/>
        <v>46022</v>
      </c>
      <c r="N263" s="7" t="str">
        <f t="shared" si="43"/>
        <v>Semestral</v>
      </c>
      <c r="O263" s="2" t="str">
        <f t="shared" ca="1" si="37"/>
        <v>VENCIDO</v>
      </c>
      <c r="P263" s="6" t="s">
        <v>25</v>
      </c>
      <c r="Q263" s="2"/>
    </row>
    <row r="264" spans="1:17" x14ac:dyDescent="0.25">
      <c r="A264" s="23" t="s">
        <v>76</v>
      </c>
      <c r="B264" s="2" t="s">
        <v>374</v>
      </c>
      <c r="C264" s="3" t="s">
        <v>43</v>
      </c>
      <c r="D264" s="3" t="s">
        <v>23</v>
      </c>
      <c r="E264" s="2" t="s">
        <v>24</v>
      </c>
      <c r="F264" s="4">
        <v>0</v>
      </c>
      <c r="G264" s="8">
        <f t="shared" si="39"/>
        <v>1000000000</v>
      </c>
      <c r="H264" s="4" t="str">
        <f t="shared" si="40"/>
        <v>Ohms</v>
      </c>
      <c r="I264" s="14">
        <v>304000000</v>
      </c>
      <c r="J264" s="6" t="str">
        <f t="shared" si="41"/>
        <v>Ohms</v>
      </c>
      <c r="K264" s="2" t="str">
        <f t="shared" si="42"/>
        <v>RTG</v>
      </c>
      <c r="L264" s="7">
        <v>45842</v>
      </c>
      <c r="M264" s="7">
        <f t="shared" si="38"/>
        <v>46022</v>
      </c>
      <c r="N264" s="7" t="str">
        <f t="shared" si="43"/>
        <v>Semestral</v>
      </c>
      <c r="O264" s="2" t="str">
        <f t="shared" ca="1" si="37"/>
        <v>VENCIDO</v>
      </c>
      <c r="P264" s="6" t="s">
        <v>25</v>
      </c>
      <c r="Q264" s="2"/>
    </row>
    <row r="265" spans="1:17" x14ac:dyDescent="0.25">
      <c r="A265" s="23" t="s">
        <v>76</v>
      </c>
      <c r="B265" s="2" t="s">
        <v>375</v>
      </c>
      <c r="C265" s="3" t="s">
        <v>43</v>
      </c>
      <c r="D265" s="3" t="s">
        <v>23</v>
      </c>
      <c r="E265" s="2" t="s">
        <v>24</v>
      </c>
      <c r="F265" s="4">
        <v>0</v>
      </c>
      <c r="G265" s="8">
        <f t="shared" si="39"/>
        <v>1000000000</v>
      </c>
      <c r="H265" s="4" t="str">
        <f t="shared" si="40"/>
        <v>Ohms</v>
      </c>
      <c r="I265" s="14">
        <v>481000000</v>
      </c>
      <c r="J265" s="6" t="str">
        <f t="shared" si="41"/>
        <v>Ohms</v>
      </c>
      <c r="K265" s="2" t="str">
        <f t="shared" si="42"/>
        <v>RTG</v>
      </c>
      <c r="L265" s="7">
        <v>45842</v>
      </c>
      <c r="M265" s="7">
        <f t="shared" si="38"/>
        <v>46022</v>
      </c>
      <c r="N265" s="7" t="str">
        <f t="shared" si="43"/>
        <v>Semestral</v>
      </c>
      <c r="O265" s="2" t="str">
        <f t="shared" ca="1" si="37"/>
        <v>VENCIDO</v>
      </c>
      <c r="P265" s="6" t="s">
        <v>25</v>
      </c>
      <c r="Q265" s="2"/>
    </row>
    <row r="266" spans="1:17" x14ac:dyDescent="0.25">
      <c r="A266" s="23" t="s">
        <v>76</v>
      </c>
      <c r="B266" s="2" t="s">
        <v>376</v>
      </c>
      <c r="C266" s="3" t="s">
        <v>28</v>
      </c>
      <c r="D266" s="3" t="s">
        <v>23</v>
      </c>
      <c r="E266" s="2" t="s">
        <v>24</v>
      </c>
      <c r="F266" s="4">
        <v>0</v>
      </c>
      <c r="G266" s="8">
        <f t="shared" si="39"/>
        <v>1000000000</v>
      </c>
      <c r="H266" s="4" t="str">
        <f t="shared" si="40"/>
        <v>Ohms</v>
      </c>
      <c r="I266" s="14">
        <v>1000</v>
      </c>
      <c r="J266" s="6" t="str">
        <f t="shared" si="41"/>
        <v>Ohms</v>
      </c>
      <c r="K266" s="2" t="str">
        <f t="shared" si="42"/>
        <v>RTG</v>
      </c>
      <c r="L266" s="7">
        <v>45980</v>
      </c>
      <c r="M266" s="7">
        <f t="shared" si="38"/>
        <v>46345</v>
      </c>
      <c r="N266" s="7" t="str">
        <f t="shared" si="43"/>
        <v>Anual</v>
      </c>
      <c r="O266" s="2" t="str">
        <f t="shared" ca="1" si="37"/>
        <v>VIGENTE</v>
      </c>
      <c r="P266" s="6" t="s">
        <v>25</v>
      </c>
      <c r="Q266" s="2"/>
    </row>
    <row r="267" spans="1:17" x14ac:dyDescent="0.25">
      <c r="A267" s="23" t="s">
        <v>76</v>
      </c>
      <c r="B267" s="2" t="s">
        <v>377</v>
      </c>
      <c r="C267" s="3" t="s">
        <v>28</v>
      </c>
      <c r="D267" s="3" t="s">
        <v>23</v>
      </c>
      <c r="E267" s="2" t="s">
        <v>24</v>
      </c>
      <c r="F267" s="4">
        <v>0</v>
      </c>
      <c r="G267" s="8">
        <f t="shared" si="39"/>
        <v>1000000000</v>
      </c>
      <c r="H267" s="4" t="str">
        <f t="shared" si="40"/>
        <v>Ohms</v>
      </c>
      <c r="I267" s="14">
        <v>64700</v>
      </c>
      <c r="J267" s="6" t="str">
        <f t="shared" si="41"/>
        <v>Ohms</v>
      </c>
      <c r="K267" s="2" t="str">
        <f t="shared" si="42"/>
        <v>RTG</v>
      </c>
      <c r="L267" s="7">
        <v>46072</v>
      </c>
      <c r="M267" s="7">
        <f t="shared" si="38"/>
        <v>46437</v>
      </c>
      <c r="N267" s="7" t="str">
        <f t="shared" si="43"/>
        <v>Anual</v>
      </c>
      <c r="O267" s="2" t="str">
        <f t="shared" ca="1" si="37"/>
        <v>VIGENTE</v>
      </c>
      <c r="P267" s="6" t="s">
        <v>25</v>
      </c>
      <c r="Q267" s="2"/>
    </row>
    <row r="268" spans="1:17" x14ac:dyDescent="0.25">
      <c r="A268" s="23" t="s">
        <v>76</v>
      </c>
      <c r="B268" s="2" t="s">
        <v>2566</v>
      </c>
      <c r="C268" s="3" t="s">
        <v>133</v>
      </c>
      <c r="D268" s="3" t="s">
        <v>23</v>
      </c>
      <c r="E268" s="2" t="s">
        <v>24</v>
      </c>
      <c r="F268" s="4">
        <v>0</v>
      </c>
      <c r="G268" s="8">
        <f t="shared" si="39"/>
        <v>1</v>
      </c>
      <c r="H268" s="4" t="str">
        <f t="shared" si="40"/>
        <v>Ohms</v>
      </c>
      <c r="I268" s="14">
        <v>479000000</v>
      </c>
      <c r="J268" s="6" t="str">
        <f t="shared" si="41"/>
        <v>Ohms</v>
      </c>
      <c r="K268" s="2" t="str">
        <f t="shared" si="42"/>
        <v>RTG</v>
      </c>
      <c r="L268" s="7">
        <v>46081</v>
      </c>
      <c r="M268" s="7">
        <f t="shared" si="38"/>
        <v>46446</v>
      </c>
      <c r="N268" s="7" t="str">
        <f t="shared" si="43"/>
        <v>Anual</v>
      </c>
      <c r="O268" s="2" t="str">
        <f t="shared" ca="1" si="37"/>
        <v>VIGENTE</v>
      </c>
      <c r="P268" s="6" t="s">
        <v>25</v>
      </c>
      <c r="Q268" s="2"/>
    </row>
    <row r="269" spans="1:17" x14ac:dyDescent="0.25">
      <c r="A269" s="23" t="s">
        <v>76</v>
      </c>
      <c r="B269" s="2" t="s">
        <v>422</v>
      </c>
      <c r="C269" s="3" t="s">
        <v>28</v>
      </c>
      <c r="D269" s="3" t="s">
        <v>23</v>
      </c>
      <c r="E269" s="2" t="s">
        <v>24</v>
      </c>
      <c r="F269" s="4">
        <v>0</v>
      </c>
      <c r="G269" s="8">
        <f t="shared" si="39"/>
        <v>1000000000</v>
      </c>
      <c r="H269" s="4" t="str">
        <f t="shared" si="40"/>
        <v>Ohms</v>
      </c>
      <c r="I269" s="6">
        <v>472000</v>
      </c>
      <c r="J269" s="6" t="str">
        <f t="shared" si="41"/>
        <v>Ohms</v>
      </c>
      <c r="K269" s="2" t="str">
        <f t="shared" si="42"/>
        <v>RTG</v>
      </c>
      <c r="L269" s="7">
        <v>45706</v>
      </c>
      <c r="M269" s="7">
        <f t="shared" si="38"/>
        <v>46071</v>
      </c>
      <c r="N269" s="7" t="str">
        <f t="shared" si="43"/>
        <v>Anual</v>
      </c>
      <c r="O269" s="2" t="str">
        <f t="shared" ca="1" si="37"/>
        <v>VENCIDO</v>
      </c>
      <c r="P269" s="6" t="s">
        <v>25</v>
      </c>
      <c r="Q269" s="2" t="s">
        <v>29</v>
      </c>
    </row>
    <row r="270" spans="1:17" x14ac:dyDescent="0.25">
      <c r="A270" s="23" t="s">
        <v>76</v>
      </c>
      <c r="B270" s="2" t="s">
        <v>500</v>
      </c>
      <c r="C270" s="3" t="s">
        <v>22</v>
      </c>
      <c r="D270" s="3" t="s">
        <v>23</v>
      </c>
      <c r="E270" s="2" t="s">
        <v>24</v>
      </c>
      <c r="F270" s="4">
        <v>0</v>
      </c>
      <c r="G270" s="8">
        <f t="shared" si="39"/>
        <v>1000000000</v>
      </c>
      <c r="H270" s="4" t="str">
        <f t="shared" si="40"/>
        <v>Ohms</v>
      </c>
      <c r="I270" s="6">
        <v>134000000</v>
      </c>
      <c r="J270" s="6" t="str">
        <f t="shared" si="41"/>
        <v>Ohms</v>
      </c>
      <c r="K270" s="2" t="str">
        <f t="shared" si="42"/>
        <v>RTG</v>
      </c>
      <c r="L270" s="7">
        <v>45706</v>
      </c>
      <c r="M270" s="7">
        <f t="shared" si="38"/>
        <v>46071</v>
      </c>
      <c r="N270" s="7" t="str">
        <f t="shared" si="43"/>
        <v>Anual</v>
      </c>
      <c r="O270" s="2" t="str">
        <f t="shared" ca="1" si="37"/>
        <v>VENCIDO</v>
      </c>
      <c r="P270" s="6" t="s">
        <v>25</v>
      </c>
      <c r="Q270" s="2"/>
    </row>
    <row r="271" spans="1:17" x14ac:dyDescent="0.25">
      <c r="A271" s="23" t="s">
        <v>76</v>
      </c>
      <c r="B271" s="2" t="s">
        <v>504</v>
      </c>
      <c r="C271" s="3" t="s">
        <v>28</v>
      </c>
      <c r="D271" s="3" t="s">
        <v>23</v>
      </c>
      <c r="E271" s="2" t="s">
        <v>24</v>
      </c>
      <c r="F271" s="4">
        <v>0</v>
      </c>
      <c r="G271" s="8">
        <f t="shared" si="39"/>
        <v>1000000000</v>
      </c>
      <c r="H271" s="4" t="str">
        <f t="shared" si="40"/>
        <v>Ohms</v>
      </c>
      <c r="I271" s="6">
        <v>17200000</v>
      </c>
      <c r="J271" s="6" t="str">
        <f t="shared" si="41"/>
        <v>Ohms</v>
      </c>
      <c r="K271" s="2" t="str">
        <f t="shared" si="42"/>
        <v>RTG</v>
      </c>
      <c r="L271" s="7">
        <v>45706</v>
      </c>
      <c r="M271" s="7">
        <f t="shared" si="38"/>
        <v>46071</v>
      </c>
      <c r="N271" s="7" t="str">
        <f t="shared" si="43"/>
        <v>Anual</v>
      </c>
      <c r="O271" s="2" t="str">
        <f t="shared" ca="1" si="37"/>
        <v>VENCIDO</v>
      </c>
      <c r="P271" s="6" t="s">
        <v>25</v>
      </c>
      <c r="Q271" s="2" t="s">
        <v>29</v>
      </c>
    </row>
    <row r="272" spans="1:17" x14ac:dyDescent="0.25">
      <c r="A272" s="23" t="s">
        <v>76</v>
      </c>
      <c r="B272" s="2" t="s">
        <v>1096</v>
      </c>
      <c r="C272" s="3" t="s">
        <v>22</v>
      </c>
      <c r="D272" s="3" t="s">
        <v>23</v>
      </c>
      <c r="E272" s="2" t="s">
        <v>24</v>
      </c>
      <c r="F272" s="4">
        <v>0</v>
      </c>
      <c r="G272" s="8">
        <f t="shared" si="39"/>
        <v>1000000000</v>
      </c>
      <c r="H272" s="4" t="str">
        <f t="shared" si="40"/>
        <v>Ohms</v>
      </c>
      <c r="I272" s="6">
        <v>862000</v>
      </c>
      <c r="J272" s="6" t="str">
        <f t="shared" si="41"/>
        <v>Ohms</v>
      </c>
      <c r="K272" s="2" t="str">
        <f t="shared" si="42"/>
        <v>RTG</v>
      </c>
      <c r="L272" s="7">
        <v>45706</v>
      </c>
      <c r="M272" s="7">
        <f t="shared" si="38"/>
        <v>46071</v>
      </c>
      <c r="N272" s="7" t="str">
        <f t="shared" si="43"/>
        <v>Anual</v>
      </c>
      <c r="O272" s="2" t="str">
        <f t="shared" ca="1" si="37"/>
        <v>VENCIDO</v>
      </c>
      <c r="P272" s="6" t="s">
        <v>25</v>
      </c>
      <c r="Q272" s="2"/>
    </row>
    <row r="273" spans="1:17" x14ac:dyDescent="0.25">
      <c r="A273" s="23" t="s">
        <v>76</v>
      </c>
      <c r="B273" s="2" t="s">
        <v>1100</v>
      </c>
      <c r="C273" s="3" t="s">
        <v>28</v>
      </c>
      <c r="D273" s="3" t="s">
        <v>23</v>
      </c>
      <c r="E273" s="2" t="s">
        <v>24</v>
      </c>
      <c r="F273" s="4">
        <v>0</v>
      </c>
      <c r="G273" s="8">
        <f t="shared" si="39"/>
        <v>1000000000</v>
      </c>
      <c r="H273" s="4" t="str">
        <f t="shared" si="40"/>
        <v>Ohms</v>
      </c>
      <c r="I273" s="6">
        <v>86200000</v>
      </c>
      <c r="J273" s="6" t="str">
        <f t="shared" si="41"/>
        <v>Ohms</v>
      </c>
      <c r="K273" s="2" t="str">
        <f t="shared" si="42"/>
        <v>RTG</v>
      </c>
      <c r="L273" s="7">
        <v>45706</v>
      </c>
      <c r="M273" s="7">
        <f t="shared" si="38"/>
        <v>46071</v>
      </c>
      <c r="N273" s="7" t="str">
        <f t="shared" si="43"/>
        <v>Anual</v>
      </c>
      <c r="O273" s="2" t="str">
        <f t="shared" ca="1" si="37"/>
        <v>VENCIDO</v>
      </c>
      <c r="P273" s="6" t="s">
        <v>25</v>
      </c>
      <c r="Q273" s="2" t="s">
        <v>29</v>
      </c>
    </row>
    <row r="274" spans="1:17" x14ac:dyDescent="0.25">
      <c r="A274" s="23" t="s">
        <v>76</v>
      </c>
      <c r="B274" s="2" t="s">
        <v>1106</v>
      </c>
      <c r="C274" s="3" t="s">
        <v>28</v>
      </c>
      <c r="D274" s="3" t="s">
        <v>23</v>
      </c>
      <c r="E274" s="2" t="s">
        <v>24</v>
      </c>
      <c r="F274" s="4">
        <v>0</v>
      </c>
      <c r="G274" s="8">
        <f t="shared" si="39"/>
        <v>1000000000</v>
      </c>
      <c r="H274" s="4" t="str">
        <f t="shared" si="40"/>
        <v>Ohms</v>
      </c>
      <c r="I274" s="6">
        <v>80000</v>
      </c>
      <c r="J274" s="6" t="str">
        <f t="shared" si="41"/>
        <v>Ohms</v>
      </c>
      <c r="K274" s="2" t="str">
        <f t="shared" si="42"/>
        <v>RTG</v>
      </c>
      <c r="L274" s="7">
        <v>45706</v>
      </c>
      <c r="M274" s="7">
        <f t="shared" si="38"/>
        <v>46071</v>
      </c>
      <c r="N274" s="7" t="str">
        <f t="shared" si="43"/>
        <v>Anual</v>
      </c>
      <c r="O274" s="2" t="str">
        <f t="shared" ca="1" si="37"/>
        <v>VENCIDO</v>
      </c>
      <c r="P274" s="6" t="s">
        <v>25</v>
      </c>
      <c r="Q274" s="2" t="s">
        <v>29</v>
      </c>
    </row>
    <row r="275" spans="1:17" x14ac:dyDescent="0.25">
      <c r="A275" s="23" t="s">
        <v>76</v>
      </c>
      <c r="B275" s="2" t="s">
        <v>1112</v>
      </c>
      <c r="C275" s="3" t="s">
        <v>28</v>
      </c>
      <c r="D275" s="3" t="s">
        <v>23</v>
      </c>
      <c r="E275" s="2" t="s">
        <v>24</v>
      </c>
      <c r="F275" s="4">
        <v>0</v>
      </c>
      <c r="G275" s="8">
        <f t="shared" si="39"/>
        <v>1000000000</v>
      </c>
      <c r="H275" s="4" t="str">
        <f t="shared" si="40"/>
        <v>Ohms</v>
      </c>
      <c r="I275" s="6">
        <v>65000000</v>
      </c>
      <c r="J275" s="6" t="str">
        <f t="shared" si="41"/>
        <v>Ohms</v>
      </c>
      <c r="K275" s="2" t="str">
        <f t="shared" si="42"/>
        <v>RTG</v>
      </c>
      <c r="L275" s="7">
        <v>45706</v>
      </c>
      <c r="M275" s="7">
        <f t="shared" si="38"/>
        <v>46071</v>
      </c>
      <c r="N275" s="7" t="str">
        <f t="shared" si="43"/>
        <v>Anual</v>
      </c>
      <c r="O275" s="2" t="str">
        <f t="shared" ca="1" si="37"/>
        <v>VENCIDO</v>
      </c>
      <c r="P275" s="6" t="s">
        <v>25</v>
      </c>
      <c r="Q275" s="2" t="s">
        <v>29</v>
      </c>
    </row>
    <row r="276" spans="1:17" x14ac:dyDescent="0.25">
      <c r="A276" s="23" t="s">
        <v>78</v>
      </c>
      <c r="B276" s="2" t="s">
        <v>79</v>
      </c>
      <c r="C276" s="3" t="s">
        <v>22</v>
      </c>
      <c r="D276" s="3" t="s">
        <v>23</v>
      </c>
      <c r="E276" s="2" t="s">
        <v>24</v>
      </c>
      <c r="F276" s="4">
        <v>0</v>
      </c>
      <c r="G276" s="8">
        <f t="shared" si="39"/>
        <v>1000000000</v>
      </c>
      <c r="H276" s="4" t="str">
        <f t="shared" si="40"/>
        <v>Ohms</v>
      </c>
      <c r="I276" s="6">
        <v>0.57999999999999996</v>
      </c>
      <c r="J276" s="6" t="str">
        <f t="shared" si="41"/>
        <v>Ohms</v>
      </c>
      <c r="K276" s="2" t="str">
        <f t="shared" si="42"/>
        <v>RTG</v>
      </c>
      <c r="L276" s="7">
        <v>45702</v>
      </c>
      <c r="M276" s="7">
        <f t="shared" si="38"/>
        <v>46067</v>
      </c>
      <c r="N276" s="7" t="str">
        <f t="shared" si="43"/>
        <v>Anual</v>
      </c>
      <c r="O276" s="2" t="str">
        <f t="shared" ca="1" si="37"/>
        <v>VENCIDO</v>
      </c>
      <c r="P276" s="6" t="s">
        <v>25</v>
      </c>
      <c r="Q276" s="2"/>
    </row>
    <row r="277" spans="1:17" x14ac:dyDescent="0.25">
      <c r="A277" s="23" t="s">
        <v>78</v>
      </c>
      <c r="B277" s="2" t="s">
        <v>250</v>
      </c>
      <c r="C277" s="3" t="s">
        <v>28</v>
      </c>
      <c r="D277" s="3" t="s">
        <v>23</v>
      </c>
      <c r="E277" s="2" t="s">
        <v>24</v>
      </c>
      <c r="F277" s="4">
        <v>0</v>
      </c>
      <c r="G277" s="8">
        <f t="shared" si="39"/>
        <v>1000000000</v>
      </c>
      <c r="H277" s="4" t="str">
        <f t="shared" si="40"/>
        <v>Ohms</v>
      </c>
      <c r="I277" s="6">
        <v>227000</v>
      </c>
      <c r="J277" s="6" t="str">
        <f t="shared" si="41"/>
        <v>Ohms</v>
      </c>
      <c r="K277" s="2" t="str">
        <f t="shared" si="42"/>
        <v>RTG</v>
      </c>
      <c r="L277" s="7">
        <v>45702</v>
      </c>
      <c r="M277" s="7">
        <f t="shared" si="38"/>
        <v>46067</v>
      </c>
      <c r="N277" s="7" t="str">
        <f t="shared" si="43"/>
        <v>Anual</v>
      </c>
      <c r="O277" s="2" t="str">
        <f t="shared" ca="1" si="37"/>
        <v>VENCIDO</v>
      </c>
      <c r="P277" s="6" t="s">
        <v>25</v>
      </c>
      <c r="Q277" s="2" t="s">
        <v>29</v>
      </c>
    </row>
    <row r="278" spans="1:17" x14ac:dyDescent="0.25">
      <c r="A278" s="23" t="s">
        <v>78</v>
      </c>
      <c r="B278" s="2" t="s">
        <v>269</v>
      </c>
      <c r="C278" s="3" t="s">
        <v>270</v>
      </c>
      <c r="D278" s="3" t="s">
        <v>23</v>
      </c>
      <c r="E278" s="2" t="s">
        <v>24</v>
      </c>
      <c r="F278" s="4">
        <v>0</v>
      </c>
      <c r="G278" s="8">
        <f t="shared" si="39"/>
        <v>1</v>
      </c>
      <c r="H278" s="4" t="str">
        <f t="shared" si="40"/>
        <v>Ohms</v>
      </c>
      <c r="I278" s="6">
        <v>204000</v>
      </c>
      <c r="J278" s="6" t="str">
        <f t="shared" si="41"/>
        <v>Ohms</v>
      </c>
      <c r="K278" s="2" t="str">
        <f t="shared" si="42"/>
        <v>RTG</v>
      </c>
      <c r="L278" s="7">
        <v>45702</v>
      </c>
      <c r="M278" s="7">
        <f t="shared" si="38"/>
        <v>46067</v>
      </c>
      <c r="N278" s="7" t="str">
        <f t="shared" si="43"/>
        <v>Anual</v>
      </c>
      <c r="O278" s="2" t="str">
        <f t="shared" ca="1" si="37"/>
        <v>VENCIDO</v>
      </c>
      <c r="P278" s="6" t="s">
        <v>25</v>
      </c>
      <c r="Q278" s="2"/>
    </row>
    <row r="279" spans="1:17" x14ac:dyDescent="0.25">
      <c r="A279" s="23" t="s">
        <v>78</v>
      </c>
      <c r="B279" s="2" t="s">
        <v>290</v>
      </c>
      <c r="C279" s="3" t="s">
        <v>22</v>
      </c>
      <c r="D279" s="3" t="s">
        <v>23</v>
      </c>
      <c r="E279" s="2" t="s">
        <v>24</v>
      </c>
      <c r="F279" s="4">
        <v>0</v>
      </c>
      <c r="G279" s="8">
        <f t="shared" si="39"/>
        <v>1000000000</v>
      </c>
      <c r="H279" s="4" t="str">
        <f t="shared" si="40"/>
        <v>Ohms</v>
      </c>
      <c r="I279" s="6">
        <v>0.433</v>
      </c>
      <c r="J279" s="6" t="str">
        <f t="shared" si="41"/>
        <v>Ohms</v>
      </c>
      <c r="K279" s="2" t="str">
        <f t="shared" si="42"/>
        <v>RTG</v>
      </c>
      <c r="L279" s="7">
        <v>45702</v>
      </c>
      <c r="M279" s="7">
        <f t="shared" si="38"/>
        <v>46067</v>
      </c>
      <c r="N279" s="7" t="str">
        <f t="shared" si="43"/>
        <v>Anual</v>
      </c>
      <c r="O279" s="2" t="str">
        <f t="shared" ca="1" si="37"/>
        <v>VENCIDO</v>
      </c>
      <c r="P279" s="6" t="s">
        <v>25</v>
      </c>
      <c r="Q279" s="2"/>
    </row>
    <row r="280" spans="1:17" x14ac:dyDescent="0.25">
      <c r="A280" s="23" t="s">
        <v>78</v>
      </c>
      <c r="B280" s="2" t="s">
        <v>378</v>
      </c>
      <c r="C280" s="3" t="s">
        <v>22</v>
      </c>
      <c r="D280" s="3" t="s">
        <v>23</v>
      </c>
      <c r="E280" s="2" t="s">
        <v>24</v>
      </c>
      <c r="F280" s="4">
        <v>0</v>
      </c>
      <c r="G280" s="8">
        <f t="shared" si="39"/>
        <v>1000000000</v>
      </c>
      <c r="H280" s="4" t="str">
        <f t="shared" si="40"/>
        <v>Ohms</v>
      </c>
      <c r="I280" s="14">
        <v>260000000</v>
      </c>
      <c r="J280" s="6" t="str">
        <f t="shared" si="41"/>
        <v>Ohms</v>
      </c>
      <c r="K280" s="2" t="str">
        <f t="shared" si="42"/>
        <v>RTG</v>
      </c>
      <c r="L280" s="7">
        <v>45843</v>
      </c>
      <c r="M280" s="7">
        <f t="shared" si="38"/>
        <v>46208</v>
      </c>
      <c r="N280" s="7" t="str">
        <f t="shared" si="43"/>
        <v>Anual</v>
      </c>
      <c r="O280" s="2" t="str">
        <f t="shared" ca="1" si="37"/>
        <v>VIGENTE</v>
      </c>
      <c r="P280" s="6" t="s">
        <v>25</v>
      </c>
      <c r="Q280" s="2"/>
    </row>
    <row r="281" spans="1:17" x14ac:dyDescent="0.25">
      <c r="A281" s="23" t="s">
        <v>78</v>
      </c>
      <c r="B281" s="2" t="s">
        <v>379</v>
      </c>
      <c r="C281" s="3" t="s">
        <v>22</v>
      </c>
      <c r="D281" s="3" t="s">
        <v>23</v>
      </c>
      <c r="E281" s="2" t="s">
        <v>24</v>
      </c>
      <c r="F281" s="4">
        <v>0</v>
      </c>
      <c r="G281" s="8">
        <f t="shared" si="39"/>
        <v>1000000000</v>
      </c>
      <c r="H281" s="4" t="str">
        <f t="shared" si="40"/>
        <v>Ohms</v>
      </c>
      <c r="I281" s="14">
        <v>3170000</v>
      </c>
      <c r="J281" s="6" t="str">
        <f t="shared" si="41"/>
        <v>Ohms</v>
      </c>
      <c r="K281" s="2" t="str">
        <f t="shared" si="42"/>
        <v>RTG</v>
      </c>
      <c r="L281" s="7">
        <v>45843</v>
      </c>
      <c r="M281" s="7">
        <f t="shared" si="38"/>
        <v>46208</v>
      </c>
      <c r="N281" s="7" t="str">
        <f t="shared" si="43"/>
        <v>Anual</v>
      </c>
      <c r="O281" s="2" t="str">
        <f t="shared" ca="1" si="37"/>
        <v>VIGENTE</v>
      </c>
      <c r="P281" s="6" t="s">
        <v>25</v>
      </c>
      <c r="Q281" s="2"/>
    </row>
    <row r="282" spans="1:17" x14ac:dyDescent="0.25">
      <c r="A282" s="23" t="s">
        <v>78</v>
      </c>
      <c r="B282" s="2" t="s">
        <v>380</v>
      </c>
      <c r="C282" s="3" t="s">
        <v>28</v>
      </c>
      <c r="D282" s="3" t="s">
        <v>23</v>
      </c>
      <c r="E282" s="2" t="s">
        <v>24</v>
      </c>
      <c r="F282" s="4">
        <v>0</v>
      </c>
      <c r="G282" s="8">
        <f t="shared" si="39"/>
        <v>1000000000</v>
      </c>
      <c r="H282" s="4" t="str">
        <f t="shared" si="40"/>
        <v>Ohms</v>
      </c>
      <c r="I282" s="14">
        <v>479000000</v>
      </c>
      <c r="J282" s="6" t="str">
        <f t="shared" si="41"/>
        <v>Ohms</v>
      </c>
      <c r="K282" s="2" t="str">
        <f t="shared" si="42"/>
        <v>RTG</v>
      </c>
      <c r="L282" s="7">
        <v>45843</v>
      </c>
      <c r="M282" s="7">
        <f t="shared" si="38"/>
        <v>46208</v>
      </c>
      <c r="N282" s="7" t="str">
        <f t="shared" si="43"/>
        <v>Anual</v>
      </c>
      <c r="O282" s="2" t="str">
        <f t="shared" ca="1" si="37"/>
        <v>VIGENTE</v>
      </c>
      <c r="P282" s="6" t="s">
        <v>25</v>
      </c>
      <c r="Q282" s="2" t="s">
        <v>29</v>
      </c>
    </row>
    <row r="283" spans="1:17" x14ac:dyDescent="0.25">
      <c r="A283" s="23" t="s">
        <v>78</v>
      </c>
      <c r="B283" s="2" t="s">
        <v>381</v>
      </c>
      <c r="C283" s="3" t="s">
        <v>28</v>
      </c>
      <c r="D283" s="3" t="s">
        <v>23</v>
      </c>
      <c r="E283" s="2" t="s">
        <v>24</v>
      </c>
      <c r="F283" s="4">
        <v>0</v>
      </c>
      <c r="G283" s="8">
        <f t="shared" si="39"/>
        <v>1000000000</v>
      </c>
      <c r="H283" s="4" t="str">
        <f t="shared" si="40"/>
        <v>Ohms</v>
      </c>
      <c r="I283" s="14">
        <v>299000000</v>
      </c>
      <c r="J283" s="6" t="str">
        <f t="shared" si="41"/>
        <v>Ohms</v>
      </c>
      <c r="K283" s="2" t="str">
        <f t="shared" si="42"/>
        <v>RTG</v>
      </c>
      <c r="L283" s="7">
        <v>45843</v>
      </c>
      <c r="M283" s="7">
        <f t="shared" si="38"/>
        <v>46208</v>
      </c>
      <c r="N283" s="7" t="str">
        <f t="shared" si="43"/>
        <v>Anual</v>
      </c>
      <c r="O283" s="2" t="str">
        <f t="shared" ca="1" si="37"/>
        <v>VIGENTE</v>
      </c>
      <c r="P283" s="6" t="s">
        <v>25</v>
      </c>
      <c r="Q283" s="2" t="s">
        <v>29</v>
      </c>
    </row>
    <row r="284" spans="1:17" x14ac:dyDescent="0.25">
      <c r="A284" s="23" t="s">
        <v>78</v>
      </c>
      <c r="B284" s="2" t="s">
        <v>382</v>
      </c>
      <c r="C284" s="3" t="s">
        <v>28</v>
      </c>
      <c r="D284" s="3" t="s">
        <v>23</v>
      </c>
      <c r="E284" s="2" t="s">
        <v>24</v>
      </c>
      <c r="F284" s="4">
        <v>0</v>
      </c>
      <c r="G284" s="8">
        <f t="shared" si="39"/>
        <v>1000000000</v>
      </c>
      <c r="H284" s="4" t="str">
        <f t="shared" si="40"/>
        <v>Ohms</v>
      </c>
      <c r="I284" s="14">
        <v>1930000</v>
      </c>
      <c r="J284" s="6" t="str">
        <f t="shared" si="41"/>
        <v>Ohms</v>
      </c>
      <c r="K284" s="2" t="str">
        <f t="shared" si="42"/>
        <v>RTG</v>
      </c>
      <c r="L284" s="7">
        <v>45843</v>
      </c>
      <c r="M284" s="7">
        <f t="shared" si="38"/>
        <v>46208</v>
      </c>
      <c r="N284" s="7" t="str">
        <f t="shared" si="43"/>
        <v>Anual</v>
      </c>
      <c r="O284" s="2" t="str">
        <f t="shared" ca="1" si="37"/>
        <v>VIGENTE</v>
      </c>
      <c r="P284" s="6" t="s">
        <v>25</v>
      </c>
      <c r="Q284" s="2" t="s">
        <v>29</v>
      </c>
    </row>
    <row r="285" spans="1:17" x14ac:dyDescent="0.25">
      <c r="A285" s="23" t="s">
        <v>78</v>
      </c>
      <c r="B285" s="2" t="s">
        <v>383</v>
      </c>
      <c r="C285" s="3" t="s">
        <v>28</v>
      </c>
      <c r="D285" s="3" t="s">
        <v>23</v>
      </c>
      <c r="E285" s="2" t="s">
        <v>24</v>
      </c>
      <c r="F285" s="4">
        <v>0</v>
      </c>
      <c r="G285" s="8">
        <f t="shared" si="39"/>
        <v>1000000000</v>
      </c>
      <c r="H285" s="4" t="str">
        <f t="shared" si="40"/>
        <v>Ohms</v>
      </c>
      <c r="I285" s="14">
        <v>3840000</v>
      </c>
      <c r="J285" s="6" t="str">
        <f t="shared" si="41"/>
        <v>Ohms</v>
      </c>
      <c r="K285" s="2" t="str">
        <f t="shared" si="42"/>
        <v>RTG</v>
      </c>
      <c r="L285" s="7">
        <v>45843</v>
      </c>
      <c r="M285" s="7">
        <f t="shared" si="38"/>
        <v>46208</v>
      </c>
      <c r="N285" s="7" t="str">
        <f t="shared" si="43"/>
        <v>Anual</v>
      </c>
      <c r="O285" s="2" t="str">
        <f t="shared" ca="1" si="37"/>
        <v>VIGENTE</v>
      </c>
      <c r="P285" s="6" t="s">
        <v>25</v>
      </c>
      <c r="Q285" s="2" t="s">
        <v>29</v>
      </c>
    </row>
    <row r="286" spans="1:17" x14ac:dyDescent="0.25">
      <c r="A286" s="23" t="s">
        <v>78</v>
      </c>
      <c r="B286" s="2" t="s">
        <v>384</v>
      </c>
      <c r="C286" s="3" t="s">
        <v>28</v>
      </c>
      <c r="D286" s="3" t="s">
        <v>23</v>
      </c>
      <c r="E286" s="2" t="s">
        <v>24</v>
      </c>
      <c r="F286" s="4">
        <v>0</v>
      </c>
      <c r="G286" s="8">
        <f t="shared" si="39"/>
        <v>1000000000</v>
      </c>
      <c r="H286" s="4" t="str">
        <f t="shared" si="40"/>
        <v>Ohms</v>
      </c>
      <c r="I286" s="14">
        <v>411000000</v>
      </c>
      <c r="J286" s="6" t="str">
        <f t="shared" si="41"/>
        <v>Ohms</v>
      </c>
      <c r="K286" s="2" t="str">
        <f t="shared" si="42"/>
        <v>RTG</v>
      </c>
      <c r="L286" s="7">
        <v>45843</v>
      </c>
      <c r="M286" s="7">
        <f t="shared" si="38"/>
        <v>46208</v>
      </c>
      <c r="N286" s="7" t="str">
        <f t="shared" si="43"/>
        <v>Anual</v>
      </c>
      <c r="O286" s="2" t="str">
        <f t="shared" ca="1" si="37"/>
        <v>VIGENTE</v>
      </c>
      <c r="P286" s="6" t="s">
        <v>25</v>
      </c>
      <c r="Q286" s="2" t="s">
        <v>29</v>
      </c>
    </row>
    <row r="287" spans="1:17" x14ac:dyDescent="0.25">
      <c r="A287" s="23" t="s">
        <v>78</v>
      </c>
      <c r="B287" s="2" t="s">
        <v>385</v>
      </c>
      <c r="C287" s="3" t="s">
        <v>28</v>
      </c>
      <c r="D287" s="3" t="s">
        <v>23</v>
      </c>
      <c r="E287" s="2" t="s">
        <v>24</v>
      </c>
      <c r="F287" s="4">
        <v>0</v>
      </c>
      <c r="G287" s="8">
        <f t="shared" si="39"/>
        <v>1000000000</v>
      </c>
      <c r="H287" s="4" t="str">
        <f t="shared" si="40"/>
        <v>Ohms</v>
      </c>
      <c r="I287" s="14">
        <v>2470000</v>
      </c>
      <c r="J287" s="6" t="str">
        <f t="shared" si="41"/>
        <v>Ohms</v>
      </c>
      <c r="K287" s="2" t="str">
        <f t="shared" si="42"/>
        <v>RTG</v>
      </c>
      <c r="L287" s="7">
        <v>45843</v>
      </c>
      <c r="M287" s="7">
        <f t="shared" si="38"/>
        <v>46208</v>
      </c>
      <c r="N287" s="7" t="str">
        <f t="shared" si="43"/>
        <v>Anual</v>
      </c>
      <c r="O287" s="2" t="str">
        <f t="shared" ca="1" si="37"/>
        <v>VIGENTE</v>
      </c>
      <c r="P287" s="6" t="s">
        <v>25</v>
      </c>
      <c r="Q287" s="2" t="s">
        <v>29</v>
      </c>
    </row>
    <row r="288" spans="1:17" x14ac:dyDescent="0.25">
      <c r="A288" s="23" t="s">
        <v>78</v>
      </c>
      <c r="B288" s="2" t="s">
        <v>386</v>
      </c>
      <c r="C288" s="3" t="s">
        <v>28</v>
      </c>
      <c r="D288" s="3" t="s">
        <v>23</v>
      </c>
      <c r="E288" s="2" t="s">
        <v>24</v>
      </c>
      <c r="F288" s="4">
        <v>0</v>
      </c>
      <c r="G288" s="8">
        <f t="shared" si="39"/>
        <v>1000000000</v>
      </c>
      <c r="H288" s="4" t="str">
        <f t="shared" si="40"/>
        <v>Ohms</v>
      </c>
      <c r="I288" s="14">
        <v>122000000</v>
      </c>
      <c r="J288" s="6" t="str">
        <f t="shared" si="41"/>
        <v>Ohms</v>
      </c>
      <c r="K288" s="2" t="str">
        <f t="shared" si="42"/>
        <v>RTG</v>
      </c>
      <c r="L288" s="7">
        <v>45843</v>
      </c>
      <c r="M288" s="7">
        <f t="shared" si="38"/>
        <v>46208</v>
      </c>
      <c r="N288" s="7" t="str">
        <f t="shared" si="43"/>
        <v>Anual</v>
      </c>
      <c r="O288" s="2" t="str">
        <f t="shared" ca="1" si="37"/>
        <v>VIGENTE</v>
      </c>
      <c r="P288" s="6" t="s">
        <v>25</v>
      </c>
      <c r="Q288" s="2" t="s">
        <v>29</v>
      </c>
    </row>
    <row r="289" spans="1:17" x14ac:dyDescent="0.25">
      <c r="A289" s="23" t="s">
        <v>78</v>
      </c>
      <c r="B289" s="2" t="s">
        <v>387</v>
      </c>
      <c r="C289" s="3" t="s">
        <v>28</v>
      </c>
      <c r="D289" s="3" t="s">
        <v>23</v>
      </c>
      <c r="E289" s="2" t="s">
        <v>24</v>
      </c>
      <c r="F289" s="4">
        <v>0</v>
      </c>
      <c r="G289" s="8">
        <f t="shared" si="39"/>
        <v>1000000000</v>
      </c>
      <c r="H289" s="4" t="str">
        <f t="shared" si="40"/>
        <v>Ohms</v>
      </c>
      <c r="I289" s="14">
        <v>294000000</v>
      </c>
      <c r="J289" s="6" t="str">
        <f t="shared" si="41"/>
        <v>Ohms</v>
      </c>
      <c r="K289" s="2" t="str">
        <f t="shared" si="42"/>
        <v>RTG</v>
      </c>
      <c r="L289" s="7">
        <v>45843</v>
      </c>
      <c r="M289" s="7">
        <f t="shared" si="38"/>
        <v>46208</v>
      </c>
      <c r="N289" s="7" t="str">
        <f t="shared" si="43"/>
        <v>Anual</v>
      </c>
      <c r="O289" s="2" t="str">
        <f t="shared" ca="1" si="37"/>
        <v>VIGENTE</v>
      </c>
      <c r="P289" s="6" t="s">
        <v>25</v>
      </c>
      <c r="Q289" s="2" t="s">
        <v>29</v>
      </c>
    </row>
    <row r="290" spans="1:17" x14ac:dyDescent="0.25">
      <c r="A290" s="23" t="s">
        <v>78</v>
      </c>
      <c r="B290" s="2" t="s">
        <v>388</v>
      </c>
      <c r="C290" s="3" t="s">
        <v>28</v>
      </c>
      <c r="D290" s="3" t="s">
        <v>23</v>
      </c>
      <c r="E290" s="2" t="s">
        <v>24</v>
      </c>
      <c r="F290" s="4">
        <v>0</v>
      </c>
      <c r="G290" s="8">
        <f t="shared" si="39"/>
        <v>1000000000</v>
      </c>
      <c r="H290" s="4" t="str">
        <f t="shared" si="40"/>
        <v>Ohms</v>
      </c>
      <c r="I290" s="14">
        <v>304000000</v>
      </c>
      <c r="J290" s="6" t="str">
        <f t="shared" si="41"/>
        <v>Ohms</v>
      </c>
      <c r="K290" s="2" t="str">
        <f t="shared" si="42"/>
        <v>RTG</v>
      </c>
      <c r="L290" s="7">
        <v>45843</v>
      </c>
      <c r="M290" s="7">
        <f t="shared" si="38"/>
        <v>46208</v>
      </c>
      <c r="N290" s="7" t="str">
        <f t="shared" si="43"/>
        <v>Anual</v>
      </c>
      <c r="O290" s="2" t="str">
        <f t="shared" ca="1" si="37"/>
        <v>VIGENTE</v>
      </c>
      <c r="P290" s="6" t="s">
        <v>25</v>
      </c>
      <c r="Q290" s="2" t="s">
        <v>29</v>
      </c>
    </row>
    <row r="291" spans="1:17" x14ac:dyDescent="0.25">
      <c r="A291" s="23" t="s">
        <v>78</v>
      </c>
      <c r="B291" s="2" t="s">
        <v>389</v>
      </c>
      <c r="C291" s="3" t="s">
        <v>28</v>
      </c>
      <c r="D291" s="3" t="s">
        <v>23</v>
      </c>
      <c r="E291" s="2" t="s">
        <v>24</v>
      </c>
      <c r="F291" s="4">
        <v>0</v>
      </c>
      <c r="G291" s="8">
        <f t="shared" si="39"/>
        <v>1000000000</v>
      </c>
      <c r="H291" s="4" t="str">
        <f t="shared" si="40"/>
        <v>Ohms</v>
      </c>
      <c r="I291" s="14">
        <v>481000000</v>
      </c>
      <c r="J291" s="6" t="str">
        <f t="shared" si="41"/>
        <v>Ohms</v>
      </c>
      <c r="K291" s="2" t="str">
        <f t="shared" si="42"/>
        <v>RTG</v>
      </c>
      <c r="L291" s="7">
        <v>45843</v>
      </c>
      <c r="M291" s="7">
        <f t="shared" si="38"/>
        <v>46208</v>
      </c>
      <c r="N291" s="7" t="str">
        <f t="shared" si="43"/>
        <v>Anual</v>
      </c>
      <c r="O291" s="2" t="str">
        <f t="shared" ca="1" si="37"/>
        <v>VIGENTE</v>
      </c>
      <c r="P291" s="6" t="s">
        <v>25</v>
      </c>
      <c r="Q291" s="2" t="s">
        <v>29</v>
      </c>
    </row>
    <row r="292" spans="1:17" x14ac:dyDescent="0.25">
      <c r="A292" s="23" t="s">
        <v>78</v>
      </c>
      <c r="B292" s="2" t="s">
        <v>390</v>
      </c>
      <c r="C292" s="3" t="s">
        <v>133</v>
      </c>
      <c r="D292" s="3" t="s">
        <v>23</v>
      </c>
      <c r="E292" s="2" t="s">
        <v>24</v>
      </c>
      <c r="F292" s="4">
        <v>0</v>
      </c>
      <c r="G292" s="8">
        <f t="shared" si="39"/>
        <v>1</v>
      </c>
      <c r="H292" s="4" t="str">
        <f t="shared" si="40"/>
        <v>Ohms</v>
      </c>
      <c r="I292" s="14">
        <v>321000000</v>
      </c>
      <c r="J292" s="6" t="str">
        <f t="shared" si="41"/>
        <v>Ohms</v>
      </c>
      <c r="K292" s="2" t="str">
        <f t="shared" si="42"/>
        <v>RTG</v>
      </c>
      <c r="L292" s="7">
        <v>45843</v>
      </c>
      <c r="M292" s="7">
        <f t="shared" si="38"/>
        <v>46208</v>
      </c>
      <c r="N292" s="7" t="str">
        <f t="shared" si="43"/>
        <v>Anual</v>
      </c>
      <c r="O292" s="2" t="str">
        <f t="shared" ca="1" si="37"/>
        <v>VIGENTE</v>
      </c>
      <c r="P292" s="6" t="s">
        <v>25</v>
      </c>
      <c r="Q292" s="2" t="s">
        <v>126</v>
      </c>
    </row>
    <row r="293" spans="1:17" x14ac:dyDescent="0.25">
      <c r="A293" s="23" t="s">
        <v>78</v>
      </c>
      <c r="B293" s="2" t="s">
        <v>391</v>
      </c>
      <c r="C293" s="3" t="s">
        <v>28</v>
      </c>
      <c r="D293" s="3" t="s">
        <v>23</v>
      </c>
      <c r="E293" s="2" t="s">
        <v>24</v>
      </c>
      <c r="F293" s="4">
        <v>0</v>
      </c>
      <c r="G293" s="8">
        <f t="shared" si="39"/>
        <v>1000000000</v>
      </c>
      <c r="H293" s="4" t="str">
        <f t="shared" si="40"/>
        <v>Ohms</v>
      </c>
      <c r="I293" s="14">
        <v>268000000</v>
      </c>
      <c r="J293" s="6" t="str">
        <f t="shared" si="41"/>
        <v>Ohms</v>
      </c>
      <c r="K293" s="2" t="str">
        <f t="shared" si="42"/>
        <v>RTG</v>
      </c>
      <c r="L293" s="7">
        <v>45843</v>
      </c>
      <c r="M293" s="7">
        <f t="shared" si="38"/>
        <v>46208</v>
      </c>
      <c r="N293" s="7" t="str">
        <f t="shared" si="43"/>
        <v>Anual</v>
      </c>
      <c r="O293" s="2" t="str">
        <f t="shared" ca="1" si="37"/>
        <v>VIGENTE</v>
      </c>
      <c r="P293" s="6" t="s">
        <v>25</v>
      </c>
      <c r="Q293" s="2"/>
    </row>
    <row r="294" spans="1:17" x14ac:dyDescent="0.25">
      <c r="A294" s="23" t="s">
        <v>78</v>
      </c>
      <c r="B294" s="2" t="s">
        <v>392</v>
      </c>
      <c r="C294" s="3" t="s">
        <v>43</v>
      </c>
      <c r="D294" s="3" t="s">
        <v>23</v>
      </c>
      <c r="E294" s="2" t="s">
        <v>24</v>
      </c>
      <c r="F294" s="4">
        <v>0</v>
      </c>
      <c r="G294" s="8">
        <f t="shared" si="39"/>
        <v>1000000000</v>
      </c>
      <c r="H294" s="4" t="str">
        <f t="shared" si="40"/>
        <v>Ohms</v>
      </c>
      <c r="I294" s="14">
        <v>202000000</v>
      </c>
      <c r="J294" s="6" t="str">
        <f t="shared" si="41"/>
        <v>Ohms</v>
      </c>
      <c r="K294" s="2" t="str">
        <f t="shared" si="42"/>
        <v>RTG</v>
      </c>
      <c r="L294" s="7">
        <v>45843</v>
      </c>
      <c r="M294" s="7">
        <f t="shared" si="38"/>
        <v>46023</v>
      </c>
      <c r="N294" s="7" t="str">
        <f t="shared" ref="N294:N312" si="44">IF(C294="Ionizador", "Trimestral", IF(C294="Rack", "Anual", IF(C294="Mesa", "Anual", IF(C294="Tapete", "Semestral", IF(C294="Cautín", "Semestral", IF(C294="Silla", "Semestral", "Anual"))))))</f>
        <v>Semestral</v>
      </c>
      <c r="O294" s="2" t="str">
        <f t="shared" ref="O294:O357" ca="1" si="45">IF(M294&lt;TODAY(),"VENCIDO",IF(M294=TODAY(),"VIGENTE",IF(M294&gt;TODAY(),"VIGENTE")))</f>
        <v>VENCIDO</v>
      </c>
      <c r="P294" s="6" t="s">
        <v>25</v>
      </c>
      <c r="Q294" s="2"/>
    </row>
    <row r="295" spans="1:17" x14ac:dyDescent="0.25">
      <c r="A295" s="23" t="s">
        <v>78</v>
      </c>
      <c r="B295" s="2" t="s">
        <v>393</v>
      </c>
      <c r="C295" s="3" t="s">
        <v>43</v>
      </c>
      <c r="D295" s="3" t="s">
        <v>23</v>
      </c>
      <c r="E295" s="2" t="s">
        <v>24</v>
      </c>
      <c r="F295" s="4">
        <v>0</v>
      </c>
      <c r="G295" s="8">
        <f t="shared" si="39"/>
        <v>1000000000</v>
      </c>
      <c r="H295" s="4" t="str">
        <f t="shared" si="40"/>
        <v>Ohms</v>
      </c>
      <c r="I295" s="14">
        <v>1970000</v>
      </c>
      <c r="J295" s="6" t="str">
        <f t="shared" si="41"/>
        <v>Ohms</v>
      </c>
      <c r="K295" s="2" t="str">
        <f t="shared" si="42"/>
        <v>RTG</v>
      </c>
      <c r="L295" s="7">
        <v>45843</v>
      </c>
      <c r="M295" s="7">
        <f t="shared" si="38"/>
        <v>46023</v>
      </c>
      <c r="N295" s="7" t="str">
        <f t="shared" si="44"/>
        <v>Semestral</v>
      </c>
      <c r="O295" s="2" t="str">
        <f t="shared" ca="1" si="45"/>
        <v>VENCIDO</v>
      </c>
      <c r="P295" s="6" t="s">
        <v>25</v>
      </c>
      <c r="Q295" s="2"/>
    </row>
    <row r="296" spans="1:17" x14ac:dyDescent="0.25">
      <c r="A296" s="23" t="s">
        <v>78</v>
      </c>
      <c r="B296" s="2" t="s">
        <v>394</v>
      </c>
      <c r="C296" s="3" t="s">
        <v>43</v>
      </c>
      <c r="D296" s="3" t="s">
        <v>23</v>
      </c>
      <c r="E296" s="2" t="s">
        <v>24</v>
      </c>
      <c r="F296" s="4">
        <v>0</v>
      </c>
      <c r="G296" s="8">
        <f t="shared" si="39"/>
        <v>1000000000</v>
      </c>
      <c r="H296" s="4" t="str">
        <f t="shared" si="40"/>
        <v>Ohms</v>
      </c>
      <c r="I296" s="14">
        <v>423000000</v>
      </c>
      <c r="J296" s="6" t="str">
        <f t="shared" si="41"/>
        <v>Ohms</v>
      </c>
      <c r="K296" s="2" t="str">
        <f t="shared" si="42"/>
        <v>RTG</v>
      </c>
      <c r="L296" s="7">
        <v>45843</v>
      </c>
      <c r="M296" s="7">
        <f t="shared" si="38"/>
        <v>46023</v>
      </c>
      <c r="N296" s="7" t="str">
        <f t="shared" si="44"/>
        <v>Semestral</v>
      </c>
      <c r="O296" s="2" t="str">
        <f t="shared" ca="1" si="45"/>
        <v>VENCIDO</v>
      </c>
      <c r="P296" s="6" t="s">
        <v>25</v>
      </c>
      <c r="Q296" s="2"/>
    </row>
    <row r="297" spans="1:17" x14ac:dyDescent="0.25">
      <c r="A297" s="23" t="s">
        <v>78</v>
      </c>
      <c r="B297" s="2" t="s">
        <v>395</v>
      </c>
      <c r="C297" s="3" t="s">
        <v>43</v>
      </c>
      <c r="D297" s="3" t="s">
        <v>23</v>
      </c>
      <c r="E297" s="2" t="s">
        <v>24</v>
      </c>
      <c r="F297" s="4">
        <v>0</v>
      </c>
      <c r="G297" s="8">
        <f t="shared" si="39"/>
        <v>1000000000</v>
      </c>
      <c r="H297" s="4" t="str">
        <f t="shared" si="40"/>
        <v>Ohms</v>
      </c>
      <c r="I297" s="14">
        <v>3100000</v>
      </c>
      <c r="J297" s="6" t="str">
        <f t="shared" si="41"/>
        <v>Ohms</v>
      </c>
      <c r="K297" s="2" t="str">
        <f t="shared" si="42"/>
        <v>RTG</v>
      </c>
      <c r="L297" s="7">
        <v>45843</v>
      </c>
      <c r="M297" s="7">
        <f t="shared" si="38"/>
        <v>46023</v>
      </c>
      <c r="N297" s="7" t="str">
        <f t="shared" si="44"/>
        <v>Semestral</v>
      </c>
      <c r="O297" s="2" t="str">
        <f t="shared" ca="1" si="45"/>
        <v>VENCIDO</v>
      </c>
      <c r="P297" s="6" t="s">
        <v>25</v>
      </c>
      <c r="Q297" s="2"/>
    </row>
    <row r="298" spans="1:17" x14ac:dyDescent="0.25">
      <c r="A298" s="23" t="s">
        <v>78</v>
      </c>
      <c r="B298" s="2" t="s">
        <v>396</v>
      </c>
      <c r="C298" s="3" t="s">
        <v>43</v>
      </c>
      <c r="D298" s="3" t="s">
        <v>23</v>
      </c>
      <c r="E298" s="2" t="s">
        <v>24</v>
      </c>
      <c r="F298" s="4">
        <v>0</v>
      </c>
      <c r="G298" s="8">
        <f t="shared" si="39"/>
        <v>1000000000</v>
      </c>
      <c r="H298" s="4" t="str">
        <f t="shared" si="40"/>
        <v>Ohms</v>
      </c>
      <c r="I298" s="14">
        <v>405000000</v>
      </c>
      <c r="J298" s="6" t="str">
        <f t="shared" si="41"/>
        <v>Ohms</v>
      </c>
      <c r="K298" s="2" t="str">
        <f t="shared" si="42"/>
        <v>RTG</v>
      </c>
      <c r="L298" s="7">
        <v>45843</v>
      </c>
      <c r="M298" s="7">
        <f t="shared" si="38"/>
        <v>46023</v>
      </c>
      <c r="N298" s="7" t="str">
        <f t="shared" si="44"/>
        <v>Semestral</v>
      </c>
      <c r="O298" s="2" t="str">
        <f t="shared" ca="1" si="45"/>
        <v>VENCIDO</v>
      </c>
      <c r="P298" s="6" t="s">
        <v>25</v>
      </c>
      <c r="Q298" s="2"/>
    </row>
    <row r="299" spans="1:17" x14ac:dyDescent="0.25">
      <c r="A299" s="23" t="s">
        <v>78</v>
      </c>
      <c r="B299" s="2" t="s">
        <v>397</v>
      </c>
      <c r="C299" s="3" t="s">
        <v>43</v>
      </c>
      <c r="D299" s="3" t="s">
        <v>23</v>
      </c>
      <c r="E299" s="2" t="s">
        <v>24</v>
      </c>
      <c r="F299" s="4">
        <v>0</v>
      </c>
      <c r="G299" s="8">
        <f t="shared" si="39"/>
        <v>1000000000</v>
      </c>
      <c r="H299" s="4" t="str">
        <f t="shared" si="40"/>
        <v>Ohms</v>
      </c>
      <c r="I299" s="14">
        <v>150000000</v>
      </c>
      <c r="J299" s="6" t="str">
        <f t="shared" si="41"/>
        <v>Ohms</v>
      </c>
      <c r="K299" s="2" t="str">
        <f t="shared" si="42"/>
        <v>RTG</v>
      </c>
      <c r="L299" s="7">
        <v>45843</v>
      </c>
      <c r="M299" s="7">
        <f t="shared" si="38"/>
        <v>46023</v>
      </c>
      <c r="N299" s="7" t="str">
        <f t="shared" si="44"/>
        <v>Semestral</v>
      </c>
      <c r="O299" s="2" t="str">
        <f t="shared" ca="1" si="45"/>
        <v>VENCIDO</v>
      </c>
      <c r="P299" s="6" t="s">
        <v>25</v>
      </c>
      <c r="Q299" s="2"/>
    </row>
    <row r="300" spans="1:17" x14ac:dyDescent="0.25">
      <c r="A300" s="23" t="s">
        <v>78</v>
      </c>
      <c r="B300" s="2" t="s">
        <v>398</v>
      </c>
      <c r="C300" s="3" t="s">
        <v>43</v>
      </c>
      <c r="D300" s="3" t="s">
        <v>23</v>
      </c>
      <c r="E300" s="2" t="s">
        <v>24</v>
      </c>
      <c r="F300" s="4">
        <v>0</v>
      </c>
      <c r="G300" s="8">
        <f t="shared" si="39"/>
        <v>1000000000</v>
      </c>
      <c r="H300" s="4" t="str">
        <f t="shared" si="40"/>
        <v>Ohms</v>
      </c>
      <c r="I300" s="14">
        <v>290000000</v>
      </c>
      <c r="J300" s="6" t="str">
        <f t="shared" si="41"/>
        <v>Ohms</v>
      </c>
      <c r="K300" s="2" t="str">
        <f t="shared" si="42"/>
        <v>RTG</v>
      </c>
      <c r="L300" s="7">
        <v>45843</v>
      </c>
      <c r="M300" s="7">
        <f t="shared" si="38"/>
        <v>46023</v>
      </c>
      <c r="N300" s="7" t="str">
        <f t="shared" si="44"/>
        <v>Semestral</v>
      </c>
      <c r="O300" s="2" t="str">
        <f t="shared" ca="1" si="45"/>
        <v>VENCIDO</v>
      </c>
      <c r="P300" s="6" t="s">
        <v>25</v>
      </c>
      <c r="Q300" s="2"/>
    </row>
    <row r="301" spans="1:17" x14ac:dyDescent="0.25">
      <c r="A301" s="23" t="s">
        <v>78</v>
      </c>
      <c r="B301" s="2" t="s">
        <v>399</v>
      </c>
      <c r="C301" s="3" t="s">
        <v>22</v>
      </c>
      <c r="D301" s="3" t="s">
        <v>23</v>
      </c>
      <c r="E301" s="2" t="s">
        <v>24</v>
      </c>
      <c r="F301" s="4">
        <v>0</v>
      </c>
      <c r="G301" s="8">
        <f t="shared" si="39"/>
        <v>1000000000</v>
      </c>
      <c r="H301" s="4" t="str">
        <f t="shared" si="40"/>
        <v>Ohms</v>
      </c>
      <c r="I301" s="6">
        <v>1000</v>
      </c>
      <c r="J301" s="6" t="str">
        <f t="shared" si="41"/>
        <v>Ohms</v>
      </c>
      <c r="K301" s="2" t="str">
        <f t="shared" si="42"/>
        <v>RTG</v>
      </c>
      <c r="L301" s="7">
        <v>45845</v>
      </c>
      <c r="M301" s="7">
        <f t="shared" si="38"/>
        <v>46210</v>
      </c>
      <c r="N301" s="7" t="str">
        <f t="shared" si="44"/>
        <v>Anual</v>
      </c>
      <c r="O301" s="2" t="str">
        <f t="shared" ca="1" si="45"/>
        <v>VIGENTE</v>
      </c>
      <c r="P301" s="6" t="s">
        <v>25</v>
      </c>
      <c r="Q301" s="2"/>
    </row>
    <row r="302" spans="1:17" x14ac:dyDescent="0.25">
      <c r="A302" s="23" t="s">
        <v>78</v>
      </c>
      <c r="B302" s="2" t="s">
        <v>400</v>
      </c>
      <c r="C302" s="3" t="s">
        <v>22</v>
      </c>
      <c r="D302" s="3" t="s">
        <v>23</v>
      </c>
      <c r="E302" s="2" t="s">
        <v>24</v>
      </c>
      <c r="F302" s="4">
        <v>0</v>
      </c>
      <c r="G302" s="8">
        <f t="shared" si="39"/>
        <v>1000000000</v>
      </c>
      <c r="H302" s="4" t="str">
        <f t="shared" si="40"/>
        <v>Ohms</v>
      </c>
      <c r="I302" s="6">
        <v>1000</v>
      </c>
      <c r="J302" s="6" t="str">
        <f t="shared" si="41"/>
        <v>Ohms</v>
      </c>
      <c r="K302" s="2" t="str">
        <f t="shared" si="42"/>
        <v>RTG</v>
      </c>
      <c r="L302" s="7">
        <v>45846</v>
      </c>
      <c r="M302" s="7">
        <f t="shared" ref="M302:M365" si="46">IF(N302="Trimestral", L302+90, IF(N302="Semestral", L302+180, IF(N302="Mensual", L302+30, L302+365)))</f>
        <v>46211</v>
      </c>
      <c r="N302" s="7" t="str">
        <f t="shared" si="44"/>
        <v>Anual</v>
      </c>
      <c r="O302" s="2" t="str">
        <f t="shared" ca="1" si="45"/>
        <v>VIGENTE</v>
      </c>
      <c r="P302" s="6" t="s">
        <v>25</v>
      </c>
      <c r="Q302" s="2"/>
    </row>
    <row r="303" spans="1:17" x14ac:dyDescent="0.25">
      <c r="A303" s="23" t="s">
        <v>78</v>
      </c>
      <c r="B303" s="2" t="s">
        <v>401</v>
      </c>
      <c r="C303" s="3" t="s">
        <v>133</v>
      </c>
      <c r="D303" s="3" t="s">
        <v>23</v>
      </c>
      <c r="E303" s="2" t="s">
        <v>24</v>
      </c>
      <c r="F303" s="4">
        <v>0</v>
      </c>
      <c r="G303" s="8">
        <f t="shared" si="39"/>
        <v>1</v>
      </c>
      <c r="H303" s="4" t="str">
        <f t="shared" si="40"/>
        <v>Ohms</v>
      </c>
      <c r="I303" s="14">
        <v>321000000</v>
      </c>
      <c r="J303" s="6" t="str">
        <f t="shared" si="41"/>
        <v>Ohms</v>
      </c>
      <c r="K303" s="2" t="str">
        <f t="shared" si="42"/>
        <v>RTG</v>
      </c>
      <c r="L303" s="7">
        <v>46081</v>
      </c>
      <c r="M303" s="7">
        <f t="shared" si="46"/>
        <v>46446</v>
      </c>
      <c r="N303" s="7" t="str">
        <f t="shared" si="44"/>
        <v>Anual</v>
      </c>
      <c r="O303" s="2" t="str">
        <f t="shared" ca="1" si="45"/>
        <v>VIGENTE</v>
      </c>
      <c r="P303" s="6" t="s">
        <v>25</v>
      </c>
      <c r="Q303" s="2"/>
    </row>
    <row r="304" spans="1:17" x14ac:dyDescent="0.25">
      <c r="A304" s="23" t="s">
        <v>78</v>
      </c>
      <c r="B304" s="2" t="s">
        <v>423</v>
      </c>
      <c r="C304" s="3" t="s">
        <v>28</v>
      </c>
      <c r="D304" s="3" t="s">
        <v>23</v>
      </c>
      <c r="E304" s="2" t="s">
        <v>24</v>
      </c>
      <c r="F304" s="4">
        <v>0</v>
      </c>
      <c r="G304" s="8">
        <f t="shared" si="39"/>
        <v>1000000000</v>
      </c>
      <c r="H304" s="4" t="str">
        <f t="shared" si="40"/>
        <v>Ohms</v>
      </c>
      <c r="I304" s="6">
        <v>279000000</v>
      </c>
      <c r="J304" s="6" t="str">
        <f t="shared" si="41"/>
        <v>Ohms</v>
      </c>
      <c r="K304" s="2" t="str">
        <f t="shared" si="42"/>
        <v>RTG</v>
      </c>
      <c r="L304" s="7">
        <v>45702</v>
      </c>
      <c r="M304" s="7">
        <f t="shared" si="46"/>
        <v>46067</v>
      </c>
      <c r="N304" s="7" t="str">
        <f t="shared" si="44"/>
        <v>Anual</v>
      </c>
      <c r="O304" s="2" t="str">
        <f t="shared" ca="1" si="45"/>
        <v>VENCIDO</v>
      </c>
      <c r="P304" s="6" t="s">
        <v>25</v>
      </c>
      <c r="Q304" s="2" t="s">
        <v>29</v>
      </c>
    </row>
    <row r="305" spans="1:17" x14ac:dyDescent="0.25">
      <c r="A305" s="23" t="s">
        <v>78</v>
      </c>
      <c r="B305" s="2" t="s">
        <v>501</v>
      </c>
      <c r="C305" s="3" t="s">
        <v>22</v>
      </c>
      <c r="D305" s="3" t="s">
        <v>23</v>
      </c>
      <c r="E305" s="2" t="s">
        <v>24</v>
      </c>
      <c r="F305" s="4">
        <v>0</v>
      </c>
      <c r="G305" s="8">
        <f t="shared" si="39"/>
        <v>1000000000</v>
      </c>
      <c r="H305" s="4" t="str">
        <f t="shared" si="40"/>
        <v>Ohms</v>
      </c>
      <c r="I305" s="6">
        <v>268000000</v>
      </c>
      <c r="J305" s="6" t="str">
        <f t="shared" si="41"/>
        <v>Ohms</v>
      </c>
      <c r="K305" s="2" t="str">
        <f t="shared" si="42"/>
        <v>RTG</v>
      </c>
      <c r="L305" s="7">
        <v>45702</v>
      </c>
      <c r="M305" s="7">
        <f t="shared" si="46"/>
        <v>46067</v>
      </c>
      <c r="N305" s="7" t="str">
        <f t="shared" si="44"/>
        <v>Anual</v>
      </c>
      <c r="O305" s="2" t="str">
        <f t="shared" ca="1" si="45"/>
        <v>VENCIDO</v>
      </c>
      <c r="P305" s="6" t="s">
        <v>25</v>
      </c>
      <c r="Q305" s="2"/>
    </row>
    <row r="306" spans="1:17" x14ac:dyDescent="0.25">
      <c r="A306" s="23" t="s">
        <v>78</v>
      </c>
      <c r="B306" s="2" t="s">
        <v>505</v>
      </c>
      <c r="C306" s="3" t="s">
        <v>28</v>
      </c>
      <c r="D306" s="3" t="s">
        <v>23</v>
      </c>
      <c r="E306" s="2" t="s">
        <v>24</v>
      </c>
      <c r="F306" s="4">
        <v>0</v>
      </c>
      <c r="G306" s="8">
        <f t="shared" si="39"/>
        <v>1000000000</v>
      </c>
      <c r="H306" s="4" t="str">
        <f t="shared" si="40"/>
        <v>Ohms</v>
      </c>
      <c r="I306" s="14">
        <v>283000000</v>
      </c>
      <c r="J306" s="6" t="str">
        <f t="shared" si="41"/>
        <v>Ohms</v>
      </c>
      <c r="K306" s="2" t="str">
        <f t="shared" si="42"/>
        <v>RTG</v>
      </c>
      <c r="L306" s="7">
        <v>45702</v>
      </c>
      <c r="M306" s="7">
        <f t="shared" si="46"/>
        <v>46067</v>
      </c>
      <c r="N306" s="7" t="str">
        <f t="shared" si="44"/>
        <v>Anual</v>
      </c>
      <c r="O306" s="2" t="str">
        <f t="shared" ca="1" si="45"/>
        <v>VENCIDO</v>
      </c>
      <c r="P306" s="6" t="s">
        <v>25</v>
      </c>
      <c r="Q306" s="2" t="s">
        <v>29</v>
      </c>
    </row>
    <row r="307" spans="1:17" x14ac:dyDescent="0.25">
      <c r="A307" s="23" t="s">
        <v>78</v>
      </c>
      <c r="B307" s="2" t="s">
        <v>1097</v>
      </c>
      <c r="C307" s="3" t="s">
        <v>28</v>
      </c>
      <c r="D307" s="3" t="s">
        <v>23</v>
      </c>
      <c r="E307" s="2" t="s">
        <v>24</v>
      </c>
      <c r="F307" s="4">
        <v>0</v>
      </c>
      <c r="G307" s="8">
        <f t="shared" si="39"/>
        <v>1000000000</v>
      </c>
      <c r="H307" s="4" t="str">
        <f t="shared" si="40"/>
        <v>Ohms</v>
      </c>
      <c r="I307" s="6">
        <v>101000</v>
      </c>
      <c r="J307" s="6" t="str">
        <f t="shared" si="41"/>
        <v>Ohms</v>
      </c>
      <c r="K307" s="2" t="str">
        <f t="shared" si="42"/>
        <v>RTG</v>
      </c>
      <c r="L307" s="7">
        <v>45702</v>
      </c>
      <c r="M307" s="7">
        <f t="shared" si="46"/>
        <v>46067</v>
      </c>
      <c r="N307" s="7" t="str">
        <f t="shared" si="44"/>
        <v>Anual</v>
      </c>
      <c r="O307" s="2" t="str">
        <f t="shared" ca="1" si="45"/>
        <v>VENCIDO</v>
      </c>
      <c r="P307" s="6" t="s">
        <v>25</v>
      </c>
      <c r="Q307" s="2" t="s">
        <v>29</v>
      </c>
    </row>
    <row r="308" spans="1:17" x14ac:dyDescent="0.25">
      <c r="A308" s="23" t="s">
        <v>78</v>
      </c>
      <c r="B308" s="2" t="s">
        <v>1101</v>
      </c>
      <c r="C308" s="3" t="s">
        <v>28</v>
      </c>
      <c r="D308" s="3" t="s">
        <v>23</v>
      </c>
      <c r="E308" s="2" t="s">
        <v>24</v>
      </c>
      <c r="F308" s="4">
        <v>0</v>
      </c>
      <c r="G308" s="8">
        <f t="shared" si="39"/>
        <v>1000000000</v>
      </c>
      <c r="H308" s="4" t="str">
        <f t="shared" si="40"/>
        <v>Ohms</v>
      </c>
      <c r="I308" s="6">
        <v>1300000</v>
      </c>
      <c r="J308" s="6" t="str">
        <f t="shared" si="41"/>
        <v>Ohms</v>
      </c>
      <c r="K308" s="2" t="str">
        <f t="shared" si="42"/>
        <v>RTG</v>
      </c>
      <c r="L308" s="7">
        <v>45702</v>
      </c>
      <c r="M308" s="7">
        <f t="shared" si="46"/>
        <v>46067</v>
      </c>
      <c r="N308" s="7" t="str">
        <f t="shared" si="44"/>
        <v>Anual</v>
      </c>
      <c r="O308" s="2" t="str">
        <f t="shared" ca="1" si="45"/>
        <v>VENCIDO</v>
      </c>
      <c r="P308" s="6" t="s">
        <v>25</v>
      </c>
      <c r="Q308" s="2" t="s">
        <v>29</v>
      </c>
    </row>
    <row r="309" spans="1:17" x14ac:dyDescent="0.25">
      <c r="A309" s="23" t="s">
        <v>78</v>
      </c>
      <c r="B309" s="2" t="s">
        <v>1107</v>
      </c>
      <c r="C309" s="3" t="s">
        <v>28</v>
      </c>
      <c r="D309" s="3" t="s">
        <v>23</v>
      </c>
      <c r="E309" s="2" t="s">
        <v>24</v>
      </c>
      <c r="F309" s="4">
        <v>0</v>
      </c>
      <c r="G309" s="8">
        <f t="shared" si="39"/>
        <v>1000000000</v>
      </c>
      <c r="H309" s="4" t="str">
        <f t="shared" si="40"/>
        <v>Ohms</v>
      </c>
      <c r="I309" s="6">
        <v>209000</v>
      </c>
      <c r="J309" s="6" t="str">
        <f t="shared" si="41"/>
        <v>Ohms</v>
      </c>
      <c r="K309" s="2" t="str">
        <f t="shared" si="42"/>
        <v>RTG</v>
      </c>
      <c r="L309" s="7">
        <v>45702</v>
      </c>
      <c r="M309" s="7">
        <f t="shared" si="46"/>
        <v>46067</v>
      </c>
      <c r="N309" s="7" t="str">
        <f t="shared" si="44"/>
        <v>Anual</v>
      </c>
      <c r="O309" s="2" t="str">
        <f t="shared" ca="1" si="45"/>
        <v>VENCIDO</v>
      </c>
      <c r="P309" s="6" t="s">
        <v>25</v>
      </c>
      <c r="Q309" s="2" t="s">
        <v>29</v>
      </c>
    </row>
    <row r="310" spans="1:17" x14ac:dyDescent="0.25">
      <c r="A310" s="23" t="s">
        <v>78</v>
      </c>
      <c r="B310" s="2" t="s">
        <v>1113</v>
      </c>
      <c r="C310" s="3" t="s">
        <v>28</v>
      </c>
      <c r="D310" s="3" t="s">
        <v>23</v>
      </c>
      <c r="E310" s="2" t="s">
        <v>24</v>
      </c>
      <c r="F310" s="4">
        <v>0</v>
      </c>
      <c r="G310" s="8">
        <f t="shared" ref="G310:G373" si="47">IF(C310="Ionizador", 10, IF(C310="Mesa", 1000000000, IF(C310="Rack", 1000000000, IF(C310="Piso", 1000000000, IF(C310="Tapete", 1000000000, IF(C310="Carrito", 1000000000, IF(C310="Cautín", 10, 1)))))))</f>
        <v>1000000000</v>
      </c>
      <c r="H310" s="4" t="str">
        <f t="shared" ref="H310:H373" si="48">IF(C310="Ionizador", "Segundos", "Ohms")</f>
        <v>Ohms</v>
      </c>
      <c r="I310" s="6">
        <v>28700000</v>
      </c>
      <c r="J310" s="6" t="str">
        <f t="shared" ref="J310:J373" si="49">H310</f>
        <v>Ohms</v>
      </c>
      <c r="K310" s="2" t="str">
        <f t="shared" ref="K310:K373" si="50">IF(C310="Ionizador", "Plato de carga", IF(C310="Cautín", "PTG", IF(C310="ESD Tester", "PTP Deviation", "RTG")))</f>
        <v>RTG</v>
      </c>
      <c r="L310" s="7">
        <v>45702</v>
      </c>
      <c r="M310" s="7">
        <f t="shared" si="46"/>
        <v>46067</v>
      </c>
      <c r="N310" s="7" t="str">
        <f t="shared" si="44"/>
        <v>Anual</v>
      </c>
      <c r="O310" s="2" t="str">
        <f t="shared" ca="1" si="45"/>
        <v>VENCIDO</v>
      </c>
      <c r="P310" s="6" t="s">
        <v>25</v>
      </c>
      <c r="Q310" s="2" t="s">
        <v>29</v>
      </c>
    </row>
    <row r="311" spans="1:17" x14ac:dyDescent="0.25">
      <c r="A311" s="23" t="s">
        <v>574</v>
      </c>
      <c r="B311" s="2" t="s">
        <v>575</v>
      </c>
      <c r="C311" s="3" t="s">
        <v>28</v>
      </c>
      <c r="D311" s="3" t="s">
        <v>23</v>
      </c>
      <c r="E311" s="2" t="s">
        <v>24</v>
      </c>
      <c r="F311" s="4">
        <v>0</v>
      </c>
      <c r="G311" s="8">
        <f t="shared" si="47"/>
        <v>1000000000</v>
      </c>
      <c r="H311" s="4" t="str">
        <f t="shared" si="48"/>
        <v>Ohms</v>
      </c>
      <c r="I311" s="14">
        <v>297000000</v>
      </c>
      <c r="J311" s="6" t="str">
        <f t="shared" si="49"/>
        <v>Ohms</v>
      </c>
      <c r="K311" s="2" t="str">
        <f t="shared" si="50"/>
        <v>RTG</v>
      </c>
      <c r="L311" s="7">
        <v>45842</v>
      </c>
      <c r="M311" s="7">
        <f t="shared" si="46"/>
        <v>46207</v>
      </c>
      <c r="N311" s="7" t="str">
        <f t="shared" si="44"/>
        <v>Anual</v>
      </c>
      <c r="O311" s="2" t="str">
        <f t="shared" ca="1" si="45"/>
        <v>VIGENTE</v>
      </c>
      <c r="P311" s="6" t="s">
        <v>25</v>
      </c>
      <c r="Q311" s="2" t="s">
        <v>29</v>
      </c>
    </row>
    <row r="312" spans="1:17" x14ac:dyDescent="0.25">
      <c r="A312" s="23" t="s">
        <v>576</v>
      </c>
      <c r="B312" s="2" t="s">
        <v>577</v>
      </c>
      <c r="C312" s="3" t="s">
        <v>28</v>
      </c>
      <c r="D312" s="3" t="s">
        <v>23</v>
      </c>
      <c r="E312" s="2" t="s">
        <v>24</v>
      </c>
      <c r="F312" s="4">
        <v>0</v>
      </c>
      <c r="G312" s="8">
        <f t="shared" si="47"/>
        <v>1000000000</v>
      </c>
      <c r="H312" s="4" t="str">
        <f t="shared" si="48"/>
        <v>Ohms</v>
      </c>
      <c r="I312" s="14">
        <v>1450000</v>
      </c>
      <c r="J312" s="6" t="str">
        <f t="shared" si="49"/>
        <v>Ohms</v>
      </c>
      <c r="K312" s="2" t="str">
        <f t="shared" si="50"/>
        <v>RTG</v>
      </c>
      <c r="L312" s="7">
        <v>45842</v>
      </c>
      <c r="M312" s="7">
        <f t="shared" si="46"/>
        <v>46207</v>
      </c>
      <c r="N312" s="7" t="str">
        <f t="shared" si="44"/>
        <v>Anual</v>
      </c>
      <c r="O312" s="2" t="str">
        <f t="shared" ca="1" si="45"/>
        <v>VIGENTE</v>
      </c>
      <c r="P312" s="6" t="s">
        <v>25</v>
      </c>
      <c r="Q312" s="2" t="s">
        <v>29</v>
      </c>
    </row>
    <row r="313" spans="1:17" x14ac:dyDescent="0.25">
      <c r="A313" s="23" t="s">
        <v>618</v>
      </c>
      <c r="B313" s="2" t="s">
        <v>619</v>
      </c>
      <c r="C313" s="3" t="s">
        <v>28</v>
      </c>
      <c r="D313" s="3" t="s">
        <v>23</v>
      </c>
      <c r="E313" s="2" t="s">
        <v>24</v>
      </c>
      <c r="F313" s="4">
        <v>0</v>
      </c>
      <c r="G313" s="8">
        <f t="shared" si="47"/>
        <v>1000000000</v>
      </c>
      <c r="H313" s="4" t="str">
        <f t="shared" si="48"/>
        <v>Ohms</v>
      </c>
      <c r="I313" s="6">
        <v>592000000</v>
      </c>
      <c r="J313" s="6" t="str">
        <f t="shared" si="49"/>
        <v>Ohms</v>
      </c>
      <c r="K313" s="2" t="str">
        <f t="shared" si="50"/>
        <v>RTG</v>
      </c>
      <c r="L313" s="7">
        <v>46104</v>
      </c>
      <c r="M313" s="7">
        <f t="shared" si="46"/>
        <v>46284</v>
      </c>
      <c r="N313" s="7" t="str">
        <f>IF(C313="Ionizador", "Trimestral", IF(C313="Rack", "Semestral", IF(C313="Mesa", "Semestral", IF(C313="Tapete", "Semestral", IF(C313="Cautín", "Semestral", IF(C313="Silla", "Semestral", "Anual"))))))</f>
        <v>Semestral</v>
      </c>
      <c r="O313" s="2" t="str">
        <f t="shared" ca="1" si="45"/>
        <v>VIGENTE</v>
      </c>
      <c r="P313" s="6"/>
      <c r="Q313" s="2"/>
    </row>
    <row r="314" spans="1:17" x14ac:dyDescent="0.25">
      <c r="A314" s="23" t="s">
        <v>618</v>
      </c>
      <c r="B314" s="2" t="s">
        <v>620</v>
      </c>
      <c r="C314" s="3" t="s">
        <v>28</v>
      </c>
      <c r="D314" s="3" t="s">
        <v>23</v>
      </c>
      <c r="E314" s="2" t="s">
        <v>24</v>
      </c>
      <c r="F314" s="4">
        <v>0</v>
      </c>
      <c r="G314" s="8">
        <f t="shared" si="47"/>
        <v>1000000000</v>
      </c>
      <c r="H314" s="4" t="str">
        <f t="shared" si="48"/>
        <v>Ohms</v>
      </c>
      <c r="I314" s="6">
        <v>719000000</v>
      </c>
      <c r="J314" s="6" t="str">
        <f t="shared" si="49"/>
        <v>Ohms</v>
      </c>
      <c r="K314" s="2" t="str">
        <f t="shared" si="50"/>
        <v>RTG</v>
      </c>
      <c r="L314" s="7">
        <v>46104</v>
      </c>
      <c r="M314" s="7">
        <f t="shared" si="46"/>
        <v>46284</v>
      </c>
      <c r="N314" s="7" t="str">
        <f>IF(C314="Ionizador", "Trimestral", IF(C314="Rack", "Semestral", IF(C314="Mesa", "Semestral", IF(C314="Tapete", "Semestral", IF(C314="Cautín", "Semestral", IF(C314="Silla", "Semestral", "Anual"))))))</f>
        <v>Semestral</v>
      </c>
      <c r="O314" s="2" t="str">
        <f t="shared" ca="1" si="45"/>
        <v>VIGENTE</v>
      </c>
      <c r="P314" s="6"/>
      <c r="Q314" s="2"/>
    </row>
    <row r="315" spans="1:17" x14ac:dyDescent="0.25">
      <c r="A315" s="23" t="s">
        <v>404</v>
      </c>
      <c r="B315" s="2" t="s">
        <v>405</v>
      </c>
      <c r="C315" s="3" t="s">
        <v>45</v>
      </c>
      <c r="D315" s="3" t="s">
        <v>23</v>
      </c>
      <c r="E315" s="2" t="s">
        <v>24</v>
      </c>
      <c r="F315" s="4">
        <v>0</v>
      </c>
      <c r="G315" s="8">
        <f t="shared" si="47"/>
        <v>1</v>
      </c>
      <c r="H315" s="4" t="str">
        <f t="shared" si="48"/>
        <v>Ohms</v>
      </c>
      <c r="I315" s="6">
        <v>91000000</v>
      </c>
      <c r="J315" s="6" t="str">
        <f t="shared" si="49"/>
        <v>Ohms</v>
      </c>
      <c r="K315" s="2" t="str">
        <f t="shared" si="50"/>
        <v>RTG</v>
      </c>
      <c r="L315" s="7">
        <v>46065</v>
      </c>
      <c r="M315" s="7">
        <f t="shared" si="46"/>
        <v>46245</v>
      </c>
      <c r="N315" s="7" t="str">
        <f t="shared" ref="N315:N346" si="51">IF(C315="Ionizador", "Trimestral", IF(C315="Rack", "Anual", IF(C315="Mesa", "Anual", IF(C315="Tapete", "Semestral", IF(C315="Cautín", "Semestral", IF(C315="Silla", "Semestral", "Anual"))))))</f>
        <v>Semestral</v>
      </c>
      <c r="O315" s="2" t="str">
        <f t="shared" ca="1" si="45"/>
        <v>VIGENTE</v>
      </c>
      <c r="P315" s="6" t="s">
        <v>25</v>
      </c>
      <c r="Q315" s="2" t="s">
        <v>46</v>
      </c>
    </row>
    <row r="316" spans="1:17" x14ac:dyDescent="0.25">
      <c r="A316" s="23" t="s">
        <v>404</v>
      </c>
      <c r="B316" s="2" t="s">
        <v>406</v>
      </c>
      <c r="C316" s="3" t="s">
        <v>45</v>
      </c>
      <c r="D316" s="3" t="s">
        <v>23</v>
      </c>
      <c r="E316" s="2" t="s">
        <v>24</v>
      </c>
      <c r="F316" s="4">
        <v>0</v>
      </c>
      <c r="G316" s="8">
        <f t="shared" si="47"/>
        <v>1</v>
      </c>
      <c r="H316" s="4" t="str">
        <f t="shared" si="48"/>
        <v>Ohms</v>
      </c>
      <c r="I316" s="6">
        <v>537000000</v>
      </c>
      <c r="J316" s="6" t="str">
        <f t="shared" si="49"/>
        <v>Ohms</v>
      </c>
      <c r="K316" s="2" t="str">
        <f t="shared" si="50"/>
        <v>RTG</v>
      </c>
      <c r="L316" s="7">
        <v>46065</v>
      </c>
      <c r="M316" s="7">
        <f t="shared" si="46"/>
        <v>46245</v>
      </c>
      <c r="N316" s="7" t="str">
        <f t="shared" si="51"/>
        <v>Semestral</v>
      </c>
      <c r="O316" s="2" t="str">
        <f t="shared" ca="1" si="45"/>
        <v>VIGENTE</v>
      </c>
      <c r="P316" s="6" t="s">
        <v>25</v>
      </c>
      <c r="Q316" s="2"/>
    </row>
    <row r="317" spans="1:17" x14ac:dyDescent="0.25">
      <c r="A317" s="23" t="s">
        <v>404</v>
      </c>
      <c r="B317" s="2" t="s">
        <v>428</v>
      </c>
      <c r="C317" s="3" t="s">
        <v>22</v>
      </c>
      <c r="D317" s="3" t="s">
        <v>23</v>
      </c>
      <c r="E317" s="2" t="s">
        <v>24</v>
      </c>
      <c r="F317" s="4">
        <v>0</v>
      </c>
      <c r="G317" s="8">
        <f t="shared" si="47"/>
        <v>1000000000</v>
      </c>
      <c r="H317" s="4" t="str">
        <f t="shared" si="48"/>
        <v>Ohms</v>
      </c>
      <c r="I317" s="6">
        <v>15700000</v>
      </c>
      <c r="J317" s="6" t="str">
        <f t="shared" si="49"/>
        <v>Ohms</v>
      </c>
      <c r="K317" s="2" t="str">
        <f t="shared" si="50"/>
        <v>RTG</v>
      </c>
      <c r="L317" s="7">
        <v>46057</v>
      </c>
      <c r="M317" s="7">
        <f t="shared" si="46"/>
        <v>46422</v>
      </c>
      <c r="N317" s="7" t="str">
        <f t="shared" si="51"/>
        <v>Anual</v>
      </c>
      <c r="O317" s="2" t="str">
        <f t="shared" ca="1" si="45"/>
        <v>VIGENTE</v>
      </c>
      <c r="P317" s="6" t="s">
        <v>25</v>
      </c>
      <c r="Q317" s="2"/>
    </row>
    <row r="318" spans="1:17" x14ac:dyDescent="0.25">
      <c r="A318" s="23" t="s">
        <v>404</v>
      </c>
      <c r="B318" s="2" t="s">
        <v>430</v>
      </c>
      <c r="C318" s="3" t="s">
        <v>22</v>
      </c>
      <c r="D318" s="3" t="s">
        <v>23</v>
      </c>
      <c r="E318" s="2" t="s">
        <v>24</v>
      </c>
      <c r="F318" s="4">
        <v>0</v>
      </c>
      <c r="G318" s="8">
        <f t="shared" si="47"/>
        <v>1000000000</v>
      </c>
      <c r="H318" s="4" t="str">
        <f t="shared" si="48"/>
        <v>Ohms</v>
      </c>
      <c r="I318" s="6">
        <v>174000000</v>
      </c>
      <c r="J318" s="6" t="str">
        <f t="shared" si="49"/>
        <v>Ohms</v>
      </c>
      <c r="K318" s="2" t="str">
        <f t="shared" si="50"/>
        <v>RTG</v>
      </c>
      <c r="L318" s="7">
        <v>46057</v>
      </c>
      <c r="M318" s="7">
        <f t="shared" si="46"/>
        <v>46422</v>
      </c>
      <c r="N318" s="7" t="str">
        <f t="shared" si="51"/>
        <v>Anual</v>
      </c>
      <c r="O318" s="2" t="str">
        <f t="shared" ca="1" si="45"/>
        <v>VIGENTE</v>
      </c>
      <c r="P318" s="6" t="s">
        <v>25</v>
      </c>
      <c r="Q318" s="2"/>
    </row>
    <row r="319" spans="1:17" x14ac:dyDescent="0.25">
      <c r="A319" s="23" t="s">
        <v>404</v>
      </c>
      <c r="B319" s="2" t="s">
        <v>432</v>
      </c>
      <c r="C319" s="3" t="s">
        <v>22</v>
      </c>
      <c r="D319" s="3" t="s">
        <v>23</v>
      </c>
      <c r="E319" s="2" t="s">
        <v>24</v>
      </c>
      <c r="F319" s="4">
        <v>0</v>
      </c>
      <c r="G319" s="8">
        <f t="shared" si="47"/>
        <v>1000000000</v>
      </c>
      <c r="H319" s="4" t="str">
        <f t="shared" si="48"/>
        <v>Ohms</v>
      </c>
      <c r="I319" s="6">
        <v>896000000</v>
      </c>
      <c r="J319" s="6" t="str">
        <f t="shared" si="49"/>
        <v>Ohms</v>
      </c>
      <c r="K319" s="2" t="str">
        <f t="shared" si="50"/>
        <v>RTG</v>
      </c>
      <c r="L319" s="7">
        <v>46057</v>
      </c>
      <c r="M319" s="7">
        <f t="shared" si="46"/>
        <v>46422</v>
      </c>
      <c r="N319" s="7" t="str">
        <f t="shared" si="51"/>
        <v>Anual</v>
      </c>
      <c r="O319" s="2" t="str">
        <f t="shared" ca="1" si="45"/>
        <v>VIGENTE</v>
      </c>
      <c r="P319" s="6" t="s">
        <v>25</v>
      </c>
      <c r="Q319" s="2"/>
    </row>
    <row r="320" spans="1:17" x14ac:dyDescent="0.25">
      <c r="A320" s="23" t="s">
        <v>404</v>
      </c>
      <c r="B320" s="2" t="s">
        <v>434</v>
      </c>
      <c r="C320" s="3" t="s">
        <v>22</v>
      </c>
      <c r="D320" s="3" t="s">
        <v>23</v>
      </c>
      <c r="E320" s="2" t="s">
        <v>24</v>
      </c>
      <c r="F320" s="4">
        <v>0</v>
      </c>
      <c r="G320" s="8">
        <f t="shared" si="47"/>
        <v>1000000000</v>
      </c>
      <c r="H320" s="4" t="str">
        <f t="shared" si="48"/>
        <v>Ohms</v>
      </c>
      <c r="I320" s="6">
        <v>714000000</v>
      </c>
      <c r="J320" s="6" t="str">
        <f t="shared" si="49"/>
        <v>Ohms</v>
      </c>
      <c r="K320" s="2" t="str">
        <f t="shared" si="50"/>
        <v>RTG</v>
      </c>
      <c r="L320" s="7">
        <v>46057</v>
      </c>
      <c r="M320" s="7">
        <f t="shared" si="46"/>
        <v>46422</v>
      </c>
      <c r="N320" s="7" t="str">
        <f t="shared" si="51"/>
        <v>Anual</v>
      </c>
      <c r="O320" s="2" t="str">
        <f t="shared" ca="1" si="45"/>
        <v>VIGENTE</v>
      </c>
      <c r="P320" s="6" t="s">
        <v>25</v>
      </c>
      <c r="Q320" s="2"/>
    </row>
    <row r="321" spans="1:17" x14ac:dyDescent="0.25">
      <c r="A321" s="23" t="s">
        <v>404</v>
      </c>
      <c r="B321" s="2" t="s">
        <v>509</v>
      </c>
      <c r="C321" s="3" t="s">
        <v>508</v>
      </c>
      <c r="D321" s="3" t="s">
        <v>23</v>
      </c>
      <c r="E321" s="2" t="s">
        <v>24</v>
      </c>
      <c r="F321" s="4">
        <v>0</v>
      </c>
      <c r="G321" s="8">
        <f t="shared" si="47"/>
        <v>1000000000</v>
      </c>
      <c r="H321" s="4" t="str">
        <f t="shared" si="48"/>
        <v>Ohms</v>
      </c>
      <c r="I321" s="6">
        <v>30000</v>
      </c>
      <c r="J321" s="6" t="str">
        <f t="shared" si="49"/>
        <v>Ohms</v>
      </c>
      <c r="K321" s="2" t="str">
        <f t="shared" si="50"/>
        <v>RTG</v>
      </c>
      <c r="L321" s="7">
        <v>46048</v>
      </c>
      <c r="M321" s="7">
        <f t="shared" si="46"/>
        <v>46413</v>
      </c>
      <c r="N321" s="7" t="str">
        <f t="shared" si="51"/>
        <v>Anual</v>
      </c>
      <c r="O321" s="2" t="str">
        <f t="shared" ca="1" si="45"/>
        <v>VIGENTE</v>
      </c>
      <c r="P321" s="6" t="s">
        <v>25</v>
      </c>
      <c r="Q321" s="2"/>
    </row>
    <row r="322" spans="1:17" x14ac:dyDescent="0.25">
      <c r="A322" s="23" t="s">
        <v>404</v>
      </c>
      <c r="B322" s="2" t="s">
        <v>553</v>
      </c>
      <c r="C322" s="3" t="s">
        <v>28</v>
      </c>
      <c r="D322" s="3" t="s">
        <v>23</v>
      </c>
      <c r="E322" s="2" t="s">
        <v>24</v>
      </c>
      <c r="F322" s="4">
        <v>0</v>
      </c>
      <c r="G322" s="8">
        <f t="shared" si="47"/>
        <v>1000000000</v>
      </c>
      <c r="H322" s="4" t="str">
        <f t="shared" si="48"/>
        <v>Ohms</v>
      </c>
      <c r="I322" s="6">
        <v>3290000</v>
      </c>
      <c r="J322" s="6" t="str">
        <f t="shared" si="49"/>
        <v>Ohms</v>
      </c>
      <c r="K322" s="2" t="str">
        <f t="shared" si="50"/>
        <v>RTG</v>
      </c>
      <c r="L322" s="7">
        <v>46065</v>
      </c>
      <c r="M322" s="7">
        <f t="shared" si="46"/>
        <v>46430</v>
      </c>
      <c r="N322" s="7" t="str">
        <f t="shared" si="51"/>
        <v>Anual</v>
      </c>
      <c r="O322" s="2" t="str">
        <f t="shared" ca="1" si="45"/>
        <v>VIGENTE</v>
      </c>
      <c r="P322" s="6" t="s">
        <v>25</v>
      </c>
      <c r="Q322" s="2" t="s">
        <v>29</v>
      </c>
    </row>
    <row r="323" spans="1:17" x14ac:dyDescent="0.25">
      <c r="A323" s="23" t="s">
        <v>404</v>
      </c>
      <c r="B323" s="2" t="s">
        <v>555</v>
      </c>
      <c r="C323" s="3" t="s">
        <v>28</v>
      </c>
      <c r="D323" s="3" t="s">
        <v>23</v>
      </c>
      <c r="E323" s="2" t="s">
        <v>24</v>
      </c>
      <c r="F323" s="4">
        <v>0</v>
      </c>
      <c r="G323" s="8">
        <f t="shared" si="47"/>
        <v>1000000000</v>
      </c>
      <c r="H323" s="4" t="str">
        <f t="shared" si="48"/>
        <v>Ohms</v>
      </c>
      <c r="I323" s="6">
        <v>41700000</v>
      </c>
      <c r="J323" s="6" t="str">
        <f t="shared" si="49"/>
        <v>Ohms</v>
      </c>
      <c r="K323" s="2" t="str">
        <f t="shared" si="50"/>
        <v>RTG</v>
      </c>
      <c r="L323" s="7">
        <v>46065</v>
      </c>
      <c r="M323" s="7">
        <f t="shared" si="46"/>
        <v>46430</v>
      </c>
      <c r="N323" s="7" t="str">
        <f t="shared" si="51"/>
        <v>Anual</v>
      </c>
      <c r="O323" s="2" t="str">
        <f t="shared" ca="1" si="45"/>
        <v>VIGENTE</v>
      </c>
      <c r="P323" s="6" t="s">
        <v>25</v>
      </c>
      <c r="Q323" s="2" t="s">
        <v>29</v>
      </c>
    </row>
    <row r="324" spans="1:17" x14ac:dyDescent="0.25">
      <c r="A324" s="23" t="s">
        <v>407</v>
      </c>
      <c r="B324" s="2" t="s">
        <v>408</v>
      </c>
      <c r="C324" s="3" t="s">
        <v>22</v>
      </c>
      <c r="D324" s="3" t="s">
        <v>23</v>
      </c>
      <c r="E324" s="2" t="s">
        <v>24</v>
      </c>
      <c r="F324" s="4">
        <v>0</v>
      </c>
      <c r="G324" s="8">
        <f t="shared" si="47"/>
        <v>1000000000</v>
      </c>
      <c r="H324" s="4" t="str">
        <f t="shared" si="48"/>
        <v>Ohms</v>
      </c>
      <c r="I324" s="14">
        <v>248000000</v>
      </c>
      <c r="J324" s="6" t="str">
        <f t="shared" si="49"/>
        <v>Ohms</v>
      </c>
      <c r="K324" s="2" t="str">
        <f t="shared" si="50"/>
        <v>RTG</v>
      </c>
      <c r="L324" s="7">
        <v>45843</v>
      </c>
      <c r="M324" s="7">
        <f t="shared" si="46"/>
        <v>46208</v>
      </c>
      <c r="N324" s="7" t="str">
        <f t="shared" si="51"/>
        <v>Anual</v>
      </c>
      <c r="O324" s="2" t="str">
        <f t="shared" ca="1" si="45"/>
        <v>VIGENTE</v>
      </c>
      <c r="P324" s="6" t="s">
        <v>25</v>
      </c>
      <c r="Q324" s="2"/>
    </row>
    <row r="325" spans="1:17" x14ac:dyDescent="0.25">
      <c r="A325" s="23" t="s">
        <v>407</v>
      </c>
      <c r="B325" s="2" t="s">
        <v>409</v>
      </c>
      <c r="C325" s="3" t="s">
        <v>22</v>
      </c>
      <c r="D325" s="3" t="s">
        <v>23</v>
      </c>
      <c r="E325" s="2" t="s">
        <v>24</v>
      </c>
      <c r="F325" s="4">
        <v>0</v>
      </c>
      <c r="G325" s="8">
        <f t="shared" si="47"/>
        <v>1000000000</v>
      </c>
      <c r="H325" s="4" t="str">
        <f t="shared" si="48"/>
        <v>Ohms</v>
      </c>
      <c r="I325" s="14">
        <v>323000000</v>
      </c>
      <c r="J325" s="6" t="str">
        <f t="shared" si="49"/>
        <v>Ohms</v>
      </c>
      <c r="K325" s="2" t="str">
        <f t="shared" si="50"/>
        <v>RTG</v>
      </c>
      <c r="L325" s="7">
        <v>45843</v>
      </c>
      <c r="M325" s="7">
        <f t="shared" si="46"/>
        <v>46208</v>
      </c>
      <c r="N325" s="7" t="str">
        <f t="shared" si="51"/>
        <v>Anual</v>
      </c>
      <c r="O325" s="2" t="str">
        <f t="shared" ca="1" si="45"/>
        <v>VIGENTE</v>
      </c>
      <c r="P325" s="6" t="s">
        <v>25</v>
      </c>
      <c r="Q325" s="2"/>
    </row>
    <row r="326" spans="1:17" x14ac:dyDescent="0.25">
      <c r="A326" s="23" t="s">
        <v>407</v>
      </c>
      <c r="B326" s="2" t="s">
        <v>410</v>
      </c>
      <c r="C326" s="3" t="s">
        <v>22</v>
      </c>
      <c r="D326" s="3" t="s">
        <v>23</v>
      </c>
      <c r="E326" s="2" t="s">
        <v>24</v>
      </c>
      <c r="F326" s="4">
        <v>0</v>
      </c>
      <c r="G326" s="8">
        <f t="shared" si="47"/>
        <v>1000000000</v>
      </c>
      <c r="H326" s="4" t="str">
        <f t="shared" si="48"/>
        <v>Ohms</v>
      </c>
      <c r="I326" s="14">
        <v>152000000</v>
      </c>
      <c r="J326" s="6" t="str">
        <f t="shared" si="49"/>
        <v>Ohms</v>
      </c>
      <c r="K326" s="2" t="str">
        <f t="shared" si="50"/>
        <v>RTG</v>
      </c>
      <c r="L326" s="7">
        <v>45843</v>
      </c>
      <c r="M326" s="7">
        <f t="shared" si="46"/>
        <v>46208</v>
      </c>
      <c r="N326" s="7" t="str">
        <f t="shared" si="51"/>
        <v>Anual</v>
      </c>
      <c r="O326" s="2" t="str">
        <f t="shared" ca="1" si="45"/>
        <v>VIGENTE</v>
      </c>
      <c r="P326" s="6" t="s">
        <v>25</v>
      </c>
      <c r="Q326" s="2"/>
    </row>
    <row r="327" spans="1:17" x14ac:dyDescent="0.25">
      <c r="A327" s="23" t="s">
        <v>407</v>
      </c>
      <c r="B327" s="2" t="s">
        <v>411</v>
      </c>
      <c r="C327" s="3" t="s">
        <v>45</v>
      </c>
      <c r="D327" s="3" t="s">
        <v>23</v>
      </c>
      <c r="E327" s="2" t="s">
        <v>24</v>
      </c>
      <c r="F327" s="4">
        <v>0</v>
      </c>
      <c r="G327" s="8">
        <f t="shared" si="47"/>
        <v>1</v>
      </c>
      <c r="H327" s="4" t="str">
        <f t="shared" si="48"/>
        <v>Ohms</v>
      </c>
      <c r="I327" s="14">
        <v>4160000</v>
      </c>
      <c r="J327" s="6" t="str">
        <f t="shared" si="49"/>
        <v>Ohms</v>
      </c>
      <c r="K327" s="2" t="str">
        <f t="shared" si="50"/>
        <v>RTG</v>
      </c>
      <c r="L327" s="7">
        <v>45843</v>
      </c>
      <c r="M327" s="7">
        <f t="shared" si="46"/>
        <v>46023</v>
      </c>
      <c r="N327" s="7" t="str">
        <f t="shared" si="51"/>
        <v>Semestral</v>
      </c>
      <c r="O327" s="2" t="str">
        <f t="shared" ca="1" si="45"/>
        <v>VENCIDO</v>
      </c>
      <c r="P327" s="6" t="s">
        <v>25</v>
      </c>
      <c r="Q327" s="2" t="s">
        <v>46</v>
      </c>
    </row>
    <row r="328" spans="1:17" x14ac:dyDescent="0.25">
      <c r="A328" s="23" t="s">
        <v>416</v>
      </c>
      <c r="B328" s="2" t="s">
        <v>417</v>
      </c>
      <c r="C328" s="3" t="s">
        <v>22</v>
      </c>
      <c r="D328" s="3" t="s">
        <v>23</v>
      </c>
      <c r="E328" s="2" t="s">
        <v>24</v>
      </c>
      <c r="F328" s="4">
        <v>0</v>
      </c>
      <c r="G328" s="8">
        <f t="shared" si="47"/>
        <v>1000000000</v>
      </c>
      <c r="H328" s="4" t="str">
        <f t="shared" si="48"/>
        <v>Ohms</v>
      </c>
      <c r="I328" s="14">
        <v>213000000</v>
      </c>
      <c r="J328" s="6" t="str">
        <f t="shared" si="49"/>
        <v>Ohms</v>
      </c>
      <c r="K328" s="2" t="str">
        <f t="shared" si="50"/>
        <v>RTG</v>
      </c>
      <c r="L328" s="7">
        <v>45843</v>
      </c>
      <c r="M328" s="7">
        <f t="shared" si="46"/>
        <v>46208</v>
      </c>
      <c r="N328" s="7" t="str">
        <f t="shared" si="51"/>
        <v>Anual</v>
      </c>
      <c r="O328" s="2" t="str">
        <f t="shared" ca="1" si="45"/>
        <v>VIGENTE</v>
      </c>
      <c r="P328" s="6" t="s">
        <v>25</v>
      </c>
      <c r="Q328" s="2"/>
    </row>
    <row r="329" spans="1:17" x14ac:dyDescent="0.25">
      <c r="A329" s="23" t="s">
        <v>416</v>
      </c>
      <c r="B329" s="2" t="s">
        <v>418</v>
      </c>
      <c r="C329" s="3" t="s">
        <v>22</v>
      </c>
      <c r="D329" s="3" t="s">
        <v>23</v>
      </c>
      <c r="E329" s="2" t="s">
        <v>24</v>
      </c>
      <c r="F329" s="4">
        <v>0</v>
      </c>
      <c r="G329" s="8">
        <f t="shared" si="47"/>
        <v>1000000000</v>
      </c>
      <c r="H329" s="4" t="str">
        <f t="shared" si="48"/>
        <v>Ohms</v>
      </c>
      <c r="I329" s="14">
        <v>2690000</v>
      </c>
      <c r="J329" s="6" t="str">
        <f t="shared" si="49"/>
        <v>Ohms</v>
      </c>
      <c r="K329" s="2" t="str">
        <f t="shared" si="50"/>
        <v>RTG</v>
      </c>
      <c r="L329" s="7">
        <v>45843</v>
      </c>
      <c r="M329" s="7">
        <f t="shared" si="46"/>
        <v>46208</v>
      </c>
      <c r="N329" s="7" t="str">
        <f t="shared" si="51"/>
        <v>Anual</v>
      </c>
      <c r="O329" s="2" t="str">
        <f t="shared" ca="1" si="45"/>
        <v>VIGENTE</v>
      </c>
      <c r="P329" s="6" t="s">
        <v>25</v>
      </c>
      <c r="Q329" s="2"/>
    </row>
    <row r="330" spans="1:17" x14ac:dyDescent="0.25">
      <c r="A330" s="23" t="s">
        <v>416</v>
      </c>
      <c r="B330" s="2" t="s">
        <v>419</v>
      </c>
      <c r="C330" s="3" t="s">
        <v>22</v>
      </c>
      <c r="D330" s="3" t="s">
        <v>23</v>
      </c>
      <c r="E330" s="2" t="s">
        <v>24</v>
      </c>
      <c r="F330" s="4">
        <v>0</v>
      </c>
      <c r="G330" s="8">
        <f t="shared" si="47"/>
        <v>1000000000</v>
      </c>
      <c r="H330" s="4" t="str">
        <f t="shared" si="48"/>
        <v>Ohms</v>
      </c>
      <c r="I330" s="14">
        <v>423000000</v>
      </c>
      <c r="J330" s="6" t="str">
        <f t="shared" si="49"/>
        <v>Ohms</v>
      </c>
      <c r="K330" s="2" t="str">
        <f t="shared" si="50"/>
        <v>RTG</v>
      </c>
      <c r="L330" s="7">
        <v>45843</v>
      </c>
      <c r="M330" s="7">
        <f t="shared" si="46"/>
        <v>46208</v>
      </c>
      <c r="N330" s="7" t="str">
        <f t="shared" si="51"/>
        <v>Anual</v>
      </c>
      <c r="O330" s="2" t="str">
        <f t="shared" ca="1" si="45"/>
        <v>VIGENTE</v>
      </c>
      <c r="P330" s="6" t="s">
        <v>25</v>
      </c>
      <c r="Q330" s="2"/>
    </row>
    <row r="331" spans="1:17" x14ac:dyDescent="0.25">
      <c r="A331" s="23" t="s">
        <v>416</v>
      </c>
      <c r="B331" s="2" t="s">
        <v>420</v>
      </c>
      <c r="C331" s="3" t="s">
        <v>421</v>
      </c>
      <c r="D331" s="3" t="s">
        <v>23</v>
      </c>
      <c r="E331" s="2" t="s">
        <v>24</v>
      </c>
      <c r="F331" s="4">
        <v>0</v>
      </c>
      <c r="G331" s="8">
        <f t="shared" si="47"/>
        <v>1</v>
      </c>
      <c r="H331" s="4" t="str">
        <f t="shared" si="48"/>
        <v>Ohms</v>
      </c>
      <c r="I331" s="14">
        <v>1400000</v>
      </c>
      <c r="J331" s="6" t="str">
        <f t="shared" si="49"/>
        <v>Ohms</v>
      </c>
      <c r="K331" s="2" t="str">
        <f t="shared" si="50"/>
        <v>RTG</v>
      </c>
      <c r="L331" s="7">
        <v>45843</v>
      </c>
      <c r="M331" s="7">
        <f t="shared" si="46"/>
        <v>46208</v>
      </c>
      <c r="N331" s="7" t="str">
        <f t="shared" si="51"/>
        <v>Anual</v>
      </c>
      <c r="O331" s="2" t="str">
        <f t="shared" ca="1" si="45"/>
        <v>VIGENTE</v>
      </c>
      <c r="P331" s="6" t="s">
        <v>25</v>
      </c>
      <c r="Q331" s="2"/>
    </row>
    <row r="332" spans="1:17" x14ac:dyDescent="0.25">
      <c r="A332" s="23" t="s">
        <v>413</v>
      </c>
      <c r="B332" s="2" t="s">
        <v>414</v>
      </c>
      <c r="C332" s="3" t="s">
        <v>28</v>
      </c>
      <c r="D332" s="3" t="s">
        <v>23</v>
      </c>
      <c r="E332" s="2" t="s">
        <v>24</v>
      </c>
      <c r="F332" s="4">
        <v>0</v>
      </c>
      <c r="G332" s="8">
        <f t="shared" si="47"/>
        <v>1000000000</v>
      </c>
      <c r="H332" s="4" t="str">
        <f t="shared" si="48"/>
        <v>Ohms</v>
      </c>
      <c r="I332" s="14">
        <v>2690000</v>
      </c>
      <c r="J332" s="6" t="str">
        <f t="shared" si="49"/>
        <v>Ohms</v>
      </c>
      <c r="K332" s="2" t="str">
        <f t="shared" si="50"/>
        <v>RTG</v>
      </c>
      <c r="L332" s="7">
        <v>45838</v>
      </c>
      <c r="M332" s="7">
        <f t="shared" si="46"/>
        <v>46203</v>
      </c>
      <c r="N332" s="7" t="str">
        <f t="shared" si="51"/>
        <v>Anual</v>
      </c>
      <c r="O332" s="2" t="str">
        <f t="shared" ca="1" si="45"/>
        <v>VIGENTE</v>
      </c>
      <c r="P332" s="6" t="s">
        <v>25</v>
      </c>
      <c r="Q332" s="2" t="s">
        <v>29</v>
      </c>
    </row>
    <row r="333" spans="1:17" x14ac:dyDescent="0.25">
      <c r="A333" s="23" t="s">
        <v>413</v>
      </c>
      <c r="B333" s="2" t="s">
        <v>415</v>
      </c>
      <c r="C333" s="3" t="s">
        <v>28</v>
      </c>
      <c r="D333" s="3" t="s">
        <v>23</v>
      </c>
      <c r="E333" s="2" t="s">
        <v>24</v>
      </c>
      <c r="F333" s="4">
        <v>0</v>
      </c>
      <c r="G333" s="8">
        <f t="shared" si="47"/>
        <v>1000000000</v>
      </c>
      <c r="H333" s="4" t="str">
        <f t="shared" si="48"/>
        <v>Ohms</v>
      </c>
      <c r="I333" s="14">
        <v>4300000</v>
      </c>
      <c r="J333" s="6" t="str">
        <f t="shared" si="49"/>
        <v>Ohms</v>
      </c>
      <c r="K333" s="2" t="str">
        <f t="shared" si="50"/>
        <v>RTG</v>
      </c>
      <c r="L333" s="7">
        <v>45707</v>
      </c>
      <c r="M333" s="7">
        <f t="shared" si="46"/>
        <v>46072</v>
      </c>
      <c r="N333" s="7" t="str">
        <f t="shared" si="51"/>
        <v>Anual</v>
      </c>
      <c r="O333" s="2" t="str">
        <f t="shared" ca="1" si="45"/>
        <v>VENCIDO</v>
      </c>
      <c r="P333" s="6" t="s">
        <v>25</v>
      </c>
      <c r="Q333" s="2" t="s">
        <v>29</v>
      </c>
    </row>
    <row r="334" spans="1:17" x14ac:dyDescent="0.25">
      <c r="A334" s="23" t="s">
        <v>449</v>
      </c>
      <c r="B334" s="2" t="s">
        <v>450</v>
      </c>
      <c r="C334" s="3" t="s">
        <v>22</v>
      </c>
      <c r="D334" s="3" t="s">
        <v>23</v>
      </c>
      <c r="E334" s="2" t="s">
        <v>24</v>
      </c>
      <c r="F334" s="4">
        <v>0</v>
      </c>
      <c r="G334" s="8">
        <f t="shared" si="47"/>
        <v>1000000000</v>
      </c>
      <c r="H334" s="4" t="str">
        <f t="shared" si="48"/>
        <v>Ohms</v>
      </c>
      <c r="I334" s="14">
        <v>268000000</v>
      </c>
      <c r="J334" s="6" t="str">
        <f t="shared" si="49"/>
        <v>Ohms</v>
      </c>
      <c r="K334" s="2" t="str">
        <f t="shared" si="50"/>
        <v>RTG</v>
      </c>
      <c r="L334" s="7">
        <v>45714</v>
      </c>
      <c r="M334" s="7">
        <f t="shared" si="46"/>
        <v>46079</v>
      </c>
      <c r="N334" s="7" t="str">
        <f t="shared" si="51"/>
        <v>Anual</v>
      </c>
      <c r="O334" s="2" t="str">
        <f t="shared" ca="1" si="45"/>
        <v>VENCIDO</v>
      </c>
      <c r="P334" s="6" t="s">
        <v>25</v>
      </c>
      <c r="Q334" s="2"/>
    </row>
    <row r="335" spans="1:17" x14ac:dyDescent="0.25">
      <c r="A335" s="23" t="s">
        <v>449</v>
      </c>
      <c r="B335" s="2" t="s">
        <v>630</v>
      </c>
      <c r="C335" s="3" t="s">
        <v>28</v>
      </c>
      <c r="D335" s="3" t="s">
        <v>23</v>
      </c>
      <c r="E335" s="2" t="s">
        <v>24</v>
      </c>
      <c r="F335" s="4">
        <v>0</v>
      </c>
      <c r="G335" s="8">
        <f t="shared" si="47"/>
        <v>1000000000</v>
      </c>
      <c r="H335" s="4" t="str">
        <f t="shared" si="48"/>
        <v>Ohms</v>
      </c>
      <c r="I335" s="6">
        <v>987000000</v>
      </c>
      <c r="J335" s="6" t="str">
        <f t="shared" si="49"/>
        <v>Ohms</v>
      </c>
      <c r="K335" s="2" t="str">
        <f t="shared" si="50"/>
        <v>RTG</v>
      </c>
      <c r="L335" s="7">
        <v>45714</v>
      </c>
      <c r="M335" s="7">
        <f t="shared" si="46"/>
        <v>46079</v>
      </c>
      <c r="N335" s="7" t="str">
        <f t="shared" si="51"/>
        <v>Anual</v>
      </c>
      <c r="O335" s="2" t="str">
        <f t="shared" ca="1" si="45"/>
        <v>VENCIDO</v>
      </c>
      <c r="P335" s="6" t="s">
        <v>25</v>
      </c>
      <c r="Q335" s="2" t="s">
        <v>29</v>
      </c>
    </row>
    <row r="336" spans="1:17" x14ac:dyDescent="0.25">
      <c r="A336" s="23" t="s">
        <v>449</v>
      </c>
      <c r="B336" s="2" t="s">
        <v>632</v>
      </c>
      <c r="C336" s="3" t="s">
        <v>28</v>
      </c>
      <c r="D336" s="3" t="s">
        <v>23</v>
      </c>
      <c r="E336" s="2" t="s">
        <v>24</v>
      </c>
      <c r="F336" s="4">
        <v>0</v>
      </c>
      <c r="G336" s="8">
        <f t="shared" si="47"/>
        <v>1000000000</v>
      </c>
      <c r="H336" s="4" t="str">
        <f t="shared" si="48"/>
        <v>Ohms</v>
      </c>
      <c r="I336" s="14">
        <v>4300000</v>
      </c>
      <c r="J336" s="6" t="str">
        <f t="shared" si="49"/>
        <v>Ohms</v>
      </c>
      <c r="K336" s="2" t="str">
        <f t="shared" si="50"/>
        <v>RTG</v>
      </c>
      <c r="L336" s="7">
        <v>45714</v>
      </c>
      <c r="M336" s="7">
        <f t="shared" si="46"/>
        <v>46079</v>
      </c>
      <c r="N336" s="7" t="str">
        <f t="shared" si="51"/>
        <v>Anual</v>
      </c>
      <c r="O336" s="2" t="str">
        <f t="shared" ca="1" si="45"/>
        <v>VENCIDO</v>
      </c>
      <c r="P336" s="6" t="s">
        <v>25</v>
      </c>
      <c r="Q336" s="2" t="s">
        <v>29</v>
      </c>
    </row>
    <row r="337" spans="1:17" x14ac:dyDescent="0.25">
      <c r="A337" s="23" t="s">
        <v>449</v>
      </c>
      <c r="B337" s="2" t="s">
        <v>633</v>
      </c>
      <c r="C337" s="3" t="s">
        <v>28</v>
      </c>
      <c r="D337" s="3" t="s">
        <v>23</v>
      </c>
      <c r="E337" s="2" t="s">
        <v>24</v>
      </c>
      <c r="F337" s="4">
        <v>0</v>
      </c>
      <c r="G337" s="8">
        <f t="shared" si="47"/>
        <v>1000000000</v>
      </c>
      <c r="H337" s="4" t="str">
        <f t="shared" si="48"/>
        <v>Ohms</v>
      </c>
      <c r="I337" s="6">
        <v>179000000</v>
      </c>
      <c r="J337" s="6" t="str">
        <f t="shared" si="49"/>
        <v>Ohms</v>
      </c>
      <c r="K337" s="2" t="str">
        <f t="shared" si="50"/>
        <v>RTG</v>
      </c>
      <c r="L337" s="7">
        <v>45714</v>
      </c>
      <c r="M337" s="7">
        <f t="shared" si="46"/>
        <v>46079</v>
      </c>
      <c r="N337" s="7" t="str">
        <f t="shared" si="51"/>
        <v>Anual</v>
      </c>
      <c r="O337" s="2" t="str">
        <f t="shared" ca="1" si="45"/>
        <v>VENCIDO</v>
      </c>
      <c r="P337" s="6" t="s">
        <v>25</v>
      </c>
      <c r="Q337" s="2" t="s">
        <v>29</v>
      </c>
    </row>
    <row r="338" spans="1:17" x14ac:dyDescent="0.25">
      <c r="A338" s="23" t="s">
        <v>449</v>
      </c>
      <c r="B338" s="2" t="s">
        <v>643</v>
      </c>
      <c r="C338" s="3" t="s">
        <v>28</v>
      </c>
      <c r="D338" s="3" t="s">
        <v>23</v>
      </c>
      <c r="E338" s="2" t="s">
        <v>24</v>
      </c>
      <c r="F338" s="4">
        <v>0</v>
      </c>
      <c r="G338" s="8">
        <f t="shared" si="47"/>
        <v>1000000000</v>
      </c>
      <c r="H338" s="4" t="str">
        <f t="shared" si="48"/>
        <v>Ohms</v>
      </c>
      <c r="I338" s="6">
        <v>276000000</v>
      </c>
      <c r="J338" s="6" t="str">
        <f t="shared" si="49"/>
        <v>Ohms</v>
      </c>
      <c r="K338" s="2" t="str">
        <f t="shared" si="50"/>
        <v>RTG</v>
      </c>
      <c r="L338" s="7">
        <v>45714</v>
      </c>
      <c r="M338" s="7">
        <f t="shared" si="46"/>
        <v>46079</v>
      </c>
      <c r="N338" s="7" t="str">
        <f t="shared" si="51"/>
        <v>Anual</v>
      </c>
      <c r="O338" s="2" t="str">
        <f t="shared" ca="1" si="45"/>
        <v>VENCIDO</v>
      </c>
      <c r="P338" s="6" t="s">
        <v>25</v>
      </c>
      <c r="Q338" s="2" t="s">
        <v>29</v>
      </c>
    </row>
    <row r="339" spans="1:17" x14ac:dyDescent="0.25">
      <c r="A339" s="23" t="s">
        <v>449</v>
      </c>
      <c r="B339" s="2" t="s">
        <v>646</v>
      </c>
      <c r="C339" s="3" t="s">
        <v>28</v>
      </c>
      <c r="D339" s="3" t="s">
        <v>23</v>
      </c>
      <c r="E339" s="2" t="s">
        <v>24</v>
      </c>
      <c r="F339" s="4">
        <v>0</v>
      </c>
      <c r="G339" s="8">
        <f t="shared" si="47"/>
        <v>1000000000</v>
      </c>
      <c r="H339" s="4" t="str">
        <f t="shared" si="48"/>
        <v>Ohms</v>
      </c>
      <c r="I339" s="6">
        <v>145000000</v>
      </c>
      <c r="J339" s="6" t="str">
        <f t="shared" si="49"/>
        <v>Ohms</v>
      </c>
      <c r="K339" s="2" t="str">
        <f t="shared" si="50"/>
        <v>RTG</v>
      </c>
      <c r="L339" s="7">
        <v>45714</v>
      </c>
      <c r="M339" s="7">
        <f t="shared" si="46"/>
        <v>46079</v>
      </c>
      <c r="N339" s="7" t="str">
        <f t="shared" si="51"/>
        <v>Anual</v>
      </c>
      <c r="O339" s="2" t="str">
        <f t="shared" ca="1" si="45"/>
        <v>VENCIDO</v>
      </c>
      <c r="P339" s="6" t="s">
        <v>25</v>
      </c>
      <c r="Q339" s="2" t="s">
        <v>29</v>
      </c>
    </row>
    <row r="340" spans="1:17" x14ac:dyDescent="0.25">
      <c r="A340" s="23" t="s">
        <v>402</v>
      </c>
      <c r="B340" s="2" t="s">
        <v>403</v>
      </c>
      <c r="C340" s="3" t="s">
        <v>22</v>
      </c>
      <c r="D340" s="3" t="s">
        <v>23</v>
      </c>
      <c r="E340" s="2" t="s">
        <v>24</v>
      </c>
      <c r="F340" s="4">
        <v>0</v>
      </c>
      <c r="G340" s="8">
        <f t="shared" si="47"/>
        <v>1000000000</v>
      </c>
      <c r="H340" s="4" t="str">
        <f t="shared" si="48"/>
        <v>Ohms</v>
      </c>
      <c r="I340" s="14">
        <v>184000000</v>
      </c>
      <c r="J340" s="6" t="str">
        <f t="shared" si="49"/>
        <v>Ohms</v>
      </c>
      <c r="K340" s="2" t="str">
        <f t="shared" si="50"/>
        <v>RTG</v>
      </c>
      <c r="L340" s="7">
        <v>45714</v>
      </c>
      <c r="M340" s="7">
        <f t="shared" si="46"/>
        <v>46079</v>
      </c>
      <c r="N340" s="7" t="str">
        <f t="shared" si="51"/>
        <v>Anual</v>
      </c>
      <c r="O340" s="2" t="str">
        <f t="shared" ca="1" si="45"/>
        <v>VENCIDO</v>
      </c>
      <c r="P340" s="6" t="s">
        <v>25</v>
      </c>
      <c r="Q340" s="2"/>
    </row>
    <row r="341" spans="1:17" x14ac:dyDescent="0.25">
      <c r="A341" s="23" t="s">
        <v>402</v>
      </c>
      <c r="B341" s="2" t="s">
        <v>628</v>
      </c>
      <c r="C341" s="3" t="s">
        <v>28</v>
      </c>
      <c r="D341" s="3" t="s">
        <v>23</v>
      </c>
      <c r="E341" s="2" t="s">
        <v>24</v>
      </c>
      <c r="F341" s="4">
        <v>0</v>
      </c>
      <c r="G341" s="8">
        <f t="shared" si="47"/>
        <v>1000000000</v>
      </c>
      <c r="H341" s="4" t="str">
        <f t="shared" si="48"/>
        <v>Ohms</v>
      </c>
      <c r="I341" s="14">
        <v>150000000</v>
      </c>
      <c r="J341" s="6" t="str">
        <f t="shared" si="49"/>
        <v>Ohms</v>
      </c>
      <c r="K341" s="2" t="str">
        <f t="shared" si="50"/>
        <v>RTG</v>
      </c>
      <c r="L341" s="7">
        <v>45714</v>
      </c>
      <c r="M341" s="7">
        <f t="shared" si="46"/>
        <v>46079</v>
      </c>
      <c r="N341" s="7" t="str">
        <f t="shared" si="51"/>
        <v>Anual</v>
      </c>
      <c r="O341" s="2" t="str">
        <f t="shared" ca="1" si="45"/>
        <v>VENCIDO</v>
      </c>
      <c r="P341" s="6" t="s">
        <v>25</v>
      </c>
      <c r="Q341" s="2" t="s">
        <v>29</v>
      </c>
    </row>
    <row r="342" spans="1:17" x14ac:dyDescent="0.25">
      <c r="A342" s="23" t="s">
        <v>402</v>
      </c>
      <c r="B342" s="2" t="s">
        <v>631</v>
      </c>
      <c r="C342" s="3" t="s">
        <v>28</v>
      </c>
      <c r="D342" s="3" t="s">
        <v>23</v>
      </c>
      <c r="E342" s="2" t="s">
        <v>24</v>
      </c>
      <c r="F342" s="4">
        <v>0</v>
      </c>
      <c r="G342" s="8">
        <f t="shared" si="47"/>
        <v>1000000000</v>
      </c>
      <c r="H342" s="4" t="str">
        <f t="shared" si="48"/>
        <v>Ohms</v>
      </c>
      <c r="I342" s="14">
        <v>3660000</v>
      </c>
      <c r="J342" s="6" t="str">
        <f t="shared" si="49"/>
        <v>Ohms</v>
      </c>
      <c r="K342" s="2" t="str">
        <f t="shared" si="50"/>
        <v>RTG</v>
      </c>
      <c r="L342" s="7">
        <v>45714</v>
      </c>
      <c r="M342" s="7">
        <f t="shared" si="46"/>
        <v>46079</v>
      </c>
      <c r="N342" s="7" t="str">
        <f t="shared" si="51"/>
        <v>Anual</v>
      </c>
      <c r="O342" s="2" t="str">
        <f t="shared" ca="1" si="45"/>
        <v>VENCIDO</v>
      </c>
      <c r="P342" s="6" t="s">
        <v>25</v>
      </c>
      <c r="Q342" s="2" t="s">
        <v>29</v>
      </c>
    </row>
    <row r="343" spans="1:17" x14ac:dyDescent="0.25">
      <c r="A343" s="23" t="s">
        <v>402</v>
      </c>
      <c r="B343" s="2" t="s">
        <v>644</v>
      </c>
      <c r="C343" s="3" t="s">
        <v>28</v>
      </c>
      <c r="D343" s="3" t="s">
        <v>23</v>
      </c>
      <c r="E343" s="2" t="s">
        <v>24</v>
      </c>
      <c r="F343" s="4">
        <v>0</v>
      </c>
      <c r="G343" s="8">
        <f t="shared" si="47"/>
        <v>1000000000</v>
      </c>
      <c r="H343" s="4" t="str">
        <f t="shared" si="48"/>
        <v>Ohms</v>
      </c>
      <c r="I343" s="14">
        <v>108000000</v>
      </c>
      <c r="J343" s="6" t="str">
        <f t="shared" si="49"/>
        <v>Ohms</v>
      </c>
      <c r="K343" s="2" t="str">
        <f t="shared" si="50"/>
        <v>RTG</v>
      </c>
      <c r="L343" s="7">
        <v>45714</v>
      </c>
      <c r="M343" s="7">
        <f t="shared" si="46"/>
        <v>46079</v>
      </c>
      <c r="N343" s="7" t="str">
        <f t="shared" si="51"/>
        <v>Anual</v>
      </c>
      <c r="O343" s="2" t="str">
        <f t="shared" ca="1" si="45"/>
        <v>VENCIDO</v>
      </c>
      <c r="P343" s="6" t="s">
        <v>25</v>
      </c>
      <c r="Q343" s="2" t="s">
        <v>29</v>
      </c>
    </row>
    <row r="344" spans="1:17" x14ac:dyDescent="0.25">
      <c r="A344" s="23" t="s">
        <v>402</v>
      </c>
      <c r="B344" s="2" t="s">
        <v>1117</v>
      </c>
      <c r="C344" s="3" t="s">
        <v>22</v>
      </c>
      <c r="D344" s="3" t="s">
        <v>23</v>
      </c>
      <c r="E344" s="2" t="s">
        <v>24</v>
      </c>
      <c r="F344" s="4">
        <v>0</v>
      </c>
      <c r="G344" s="8">
        <f t="shared" si="47"/>
        <v>1000000000</v>
      </c>
      <c r="H344" s="4" t="str">
        <f t="shared" si="48"/>
        <v>Ohms</v>
      </c>
      <c r="I344" s="6">
        <v>372000</v>
      </c>
      <c r="J344" s="6" t="str">
        <f t="shared" si="49"/>
        <v>Ohms</v>
      </c>
      <c r="K344" s="2" t="str">
        <f t="shared" si="50"/>
        <v>RTG</v>
      </c>
      <c r="L344" s="7">
        <v>45714</v>
      </c>
      <c r="M344" s="7">
        <f t="shared" si="46"/>
        <v>46079</v>
      </c>
      <c r="N344" s="7" t="str">
        <f t="shared" si="51"/>
        <v>Anual</v>
      </c>
      <c r="O344" s="2" t="str">
        <f t="shared" ca="1" si="45"/>
        <v>VENCIDO</v>
      </c>
      <c r="P344" s="6" t="s">
        <v>25</v>
      </c>
      <c r="Q344" s="2"/>
    </row>
    <row r="345" spans="1:17" x14ac:dyDescent="0.25">
      <c r="A345" s="23" t="s">
        <v>473</v>
      </c>
      <c r="B345" s="2" t="s">
        <v>474</v>
      </c>
      <c r="C345" s="3" t="s">
        <v>28</v>
      </c>
      <c r="D345" s="3" t="s">
        <v>23</v>
      </c>
      <c r="E345" s="2" t="s">
        <v>24</v>
      </c>
      <c r="F345" s="4">
        <v>0</v>
      </c>
      <c r="G345" s="8">
        <f t="shared" si="47"/>
        <v>1000000000</v>
      </c>
      <c r="H345" s="4" t="str">
        <f t="shared" si="48"/>
        <v>Ohms</v>
      </c>
      <c r="I345" s="6">
        <v>728000</v>
      </c>
      <c r="J345" s="6" t="str">
        <f t="shared" si="49"/>
        <v>Ohms</v>
      </c>
      <c r="K345" s="2" t="str">
        <f t="shared" si="50"/>
        <v>RTG</v>
      </c>
      <c r="L345" s="7">
        <v>45971</v>
      </c>
      <c r="M345" s="7">
        <f t="shared" si="46"/>
        <v>46336</v>
      </c>
      <c r="N345" s="7" t="str">
        <f t="shared" si="51"/>
        <v>Anual</v>
      </c>
      <c r="O345" s="2" t="str">
        <f t="shared" ca="1" si="45"/>
        <v>VIGENTE</v>
      </c>
      <c r="P345" s="6" t="s">
        <v>25</v>
      </c>
      <c r="Q345" s="2"/>
    </row>
    <row r="346" spans="1:17" x14ac:dyDescent="0.25">
      <c r="A346" s="23" t="s">
        <v>473</v>
      </c>
      <c r="B346" s="2" t="s">
        <v>475</v>
      </c>
      <c r="C346" s="3" t="s">
        <v>28</v>
      </c>
      <c r="D346" s="3" t="s">
        <v>23</v>
      </c>
      <c r="E346" s="2" t="s">
        <v>24</v>
      </c>
      <c r="F346" s="4">
        <v>0</v>
      </c>
      <c r="G346" s="8">
        <f t="shared" si="47"/>
        <v>1000000000</v>
      </c>
      <c r="H346" s="4" t="str">
        <f t="shared" si="48"/>
        <v>Ohms</v>
      </c>
      <c r="I346" s="6">
        <v>472000</v>
      </c>
      <c r="J346" s="6" t="str">
        <f t="shared" si="49"/>
        <v>Ohms</v>
      </c>
      <c r="K346" s="2" t="str">
        <f t="shared" si="50"/>
        <v>RTG</v>
      </c>
      <c r="L346" s="7">
        <v>45940</v>
      </c>
      <c r="M346" s="7">
        <f t="shared" si="46"/>
        <v>46305</v>
      </c>
      <c r="N346" s="7" t="str">
        <f t="shared" si="51"/>
        <v>Anual</v>
      </c>
      <c r="O346" s="2" t="str">
        <f t="shared" ca="1" si="45"/>
        <v>VIGENTE</v>
      </c>
      <c r="P346" s="6" t="s">
        <v>25</v>
      </c>
      <c r="Q346" s="2"/>
    </row>
    <row r="347" spans="1:17" x14ac:dyDescent="0.25">
      <c r="A347" s="23" t="s">
        <v>473</v>
      </c>
      <c r="B347" s="2" t="s">
        <v>476</v>
      </c>
      <c r="C347" s="3" t="s">
        <v>28</v>
      </c>
      <c r="D347" s="3" t="s">
        <v>23</v>
      </c>
      <c r="E347" s="2" t="s">
        <v>24</v>
      </c>
      <c r="F347" s="4">
        <v>0</v>
      </c>
      <c r="G347" s="8">
        <f t="shared" si="47"/>
        <v>1000000000</v>
      </c>
      <c r="H347" s="4" t="str">
        <f t="shared" si="48"/>
        <v>Ohms</v>
      </c>
      <c r="I347" s="6">
        <v>540000</v>
      </c>
      <c r="J347" s="6" t="str">
        <f t="shared" si="49"/>
        <v>Ohms</v>
      </c>
      <c r="K347" s="2" t="str">
        <f t="shared" si="50"/>
        <v>RTG</v>
      </c>
      <c r="L347" s="7">
        <v>45971</v>
      </c>
      <c r="M347" s="7">
        <f t="shared" si="46"/>
        <v>46336</v>
      </c>
      <c r="N347" s="7" t="str">
        <f t="shared" ref="N347:N374" si="52">IF(C347="Ionizador", "Trimestral", IF(C347="Rack", "Anual", IF(C347="Mesa", "Anual", IF(C347="Tapete", "Semestral", IF(C347="Cautín", "Semestral", IF(C347="Silla", "Semestral", "Anual"))))))</f>
        <v>Anual</v>
      </c>
      <c r="O347" s="2" t="str">
        <f t="shared" ca="1" si="45"/>
        <v>VIGENTE</v>
      </c>
      <c r="P347" s="6" t="s">
        <v>25</v>
      </c>
      <c r="Q347" s="2"/>
    </row>
    <row r="348" spans="1:17" x14ac:dyDescent="0.25">
      <c r="A348" s="23" t="s">
        <v>473</v>
      </c>
      <c r="B348" s="2" t="s">
        <v>477</v>
      </c>
      <c r="C348" s="3" t="s">
        <v>28</v>
      </c>
      <c r="D348" s="3" t="s">
        <v>23</v>
      </c>
      <c r="E348" s="2" t="s">
        <v>24</v>
      </c>
      <c r="F348" s="4">
        <v>0</v>
      </c>
      <c r="G348" s="8">
        <f t="shared" si="47"/>
        <v>1000000000</v>
      </c>
      <c r="H348" s="4" t="str">
        <f t="shared" si="48"/>
        <v>Ohms</v>
      </c>
      <c r="I348" s="6">
        <v>2240000</v>
      </c>
      <c r="J348" s="6" t="str">
        <f t="shared" si="49"/>
        <v>Ohms</v>
      </c>
      <c r="K348" s="2" t="str">
        <f t="shared" si="50"/>
        <v>RTG</v>
      </c>
      <c r="L348" s="7">
        <v>45971</v>
      </c>
      <c r="M348" s="7">
        <f t="shared" si="46"/>
        <v>46336</v>
      </c>
      <c r="N348" s="7" t="str">
        <f t="shared" si="52"/>
        <v>Anual</v>
      </c>
      <c r="O348" s="2" t="str">
        <f t="shared" ca="1" si="45"/>
        <v>VIGENTE</v>
      </c>
      <c r="P348" s="6" t="s">
        <v>25</v>
      </c>
      <c r="Q348" s="2"/>
    </row>
    <row r="349" spans="1:17" x14ac:dyDescent="0.25">
      <c r="A349" s="23" t="s">
        <v>473</v>
      </c>
      <c r="B349" s="2" t="s">
        <v>478</v>
      </c>
      <c r="C349" s="3" t="s">
        <v>28</v>
      </c>
      <c r="D349" s="3" t="s">
        <v>23</v>
      </c>
      <c r="E349" s="2" t="s">
        <v>24</v>
      </c>
      <c r="F349" s="4">
        <v>0</v>
      </c>
      <c r="G349" s="8">
        <f t="shared" si="47"/>
        <v>1000000000</v>
      </c>
      <c r="H349" s="4" t="str">
        <f t="shared" si="48"/>
        <v>Ohms</v>
      </c>
      <c r="I349" s="6">
        <v>2140000</v>
      </c>
      <c r="J349" s="6" t="str">
        <f t="shared" si="49"/>
        <v>Ohms</v>
      </c>
      <c r="K349" s="2" t="str">
        <f t="shared" si="50"/>
        <v>RTG</v>
      </c>
      <c r="L349" s="7">
        <v>45971</v>
      </c>
      <c r="M349" s="7">
        <f t="shared" si="46"/>
        <v>46336</v>
      </c>
      <c r="N349" s="7" t="str">
        <f t="shared" si="52"/>
        <v>Anual</v>
      </c>
      <c r="O349" s="2" t="str">
        <f t="shared" ca="1" si="45"/>
        <v>VIGENTE</v>
      </c>
      <c r="P349" s="6" t="s">
        <v>25</v>
      </c>
      <c r="Q349" s="2"/>
    </row>
    <row r="350" spans="1:17" x14ac:dyDescent="0.25">
      <c r="A350" s="23" t="s">
        <v>473</v>
      </c>
      <c r="B350" s="2" t="s">
        <v>479</v>
      </c>
      <c r="C350" s="3" t="s">
        <v>28</v>
      </c>
      <c r="D350" s="3" t="s">
        <v>23</v>
      </c>
      <c r="E350" s="2" t="s">
        <v>24</v>
      </c>
      <c r="F350" s="4">
        <v>0</v>
      </c>
      <c r="G350" s="8">
        <f t="shared" si="47"/>
        <v>1000000000</v>
      </c>
      <c r="H350" s="4" t="str">
        <f t="shared" si="48"/>
        <v>Ohms</v>
      </c>
      <c r="I350" s="6">
        <v>3820000</v>
      </c>
      <c r="J350" s="6" t="str">
        <f t="shared" si="49"/>
        <v>Ohms</v>
      </c>
      <c r="K350" s="2" t="str">
        <f t="shared" si="50"/>
        <v>RTG</v>
      </c>
      <c r="L350" s="7">
        <v>45940</v>
      </c>
      <c r="M350" s="7">
        <f t="shared" si="46"/>
        <v>46305</v>
      </c>
      <c r="N350" s="7" t="str">
        <f t="shared" si="52"/>
        <v>Anual</v>
      </c>
      <c r="O350" s="2" t="str">
        <f t="shared" ca="1" si="45"/>
        <v>VIGENTE</v>
      </c>
      <c r="P350" s="6" t="s">
        <v>25</v>
      </c>
      <c r="Q350" s="2"/>
    </row>
    <row r="351" spans="1:17" x14ac:dyDescent="0.25">
      <c r="A351" s="23" t="s">
        <v>473</v>
      </c>
      <c r="B351" s="2" t="s">
        <v>480</v>
      </c>
      <c r="C351" s="3" t="s">
        <v>28</v>
      </c>
      <c r="D351" s="3" t="s">
        <v>23</v>
      </c>
      <c r="E351" s="2" t="s">
        <v>24</v>
      </c>
      <c r="F351" s="4">
        <v>0</v>
      </c>
      <c r="G351" s="8">
        <f t="shared" si="47"/>
        <v>1000000000</v>
      </c>
      <c r="H351" s="4" t="str">
        <f t="shared" si="48"/>
        <v>Ohms</v>
      </c>
      <c r="I351" s="6">
        <v>35000000</v>
      </c>
      <c r="J351" s="6" t="str">
        <f t="shared" si="49"/>
        <v>Ohms</v>
      </c>
      <c r="K351" s="2" t="str">
        <f t="shared" si="50"/>
        <v>RTG</v>
      </c>
      <c r="L351" s="7">
        <v>45979</v>
      </c>
      <c r="M351" s="7">
        <f t="shared" si="46"/>
        <v>46344</v>
      </c>
      <c r="N351" s="7" t="str">
        <f t="shared" si="52"/>
        <v>Anual</v>
      </c>
      <c r="O351" s="2" t="str">
        <f t="shared" ca="1" si="45"/>
        <v>VIGENTE</v>
      </c>
      <c r="P351" s="6" t="s">
        <v>25</v>
      </c>
      <c r="Q351" s="2"/>
    </row>
    <row r="352" spans="1:17" x14ac:dyDescent="0.25">
      <c r="A352" s="23" t="s">
        <v>473</v>
      </c>
      <c r="B352" s="2" t="s">
        <v>481</v>
      </c>
      <c r="C352" s="3" t="s">
        <v>28</v>
      </c>
      <c r="D352" s="3" t="s">
        <v>23</v>
      </c>
      <c r="E352" s="2" t="s">
        <v>24</v>
      </c>
      <c r="F352" s="4">
        <v>0</v>
      </c>
      <c r="G352" s="8">
        <f t="shared" si="47"/>
        <v>1000000000</v>
      </c>
      <c r="H352" s="4" t="str">
        <f t="shared" si="48"/>
        <v>Ohms</v>
      </c>
      <c r="I352" s="6">
        <v>255000</v>
      </c>
      <c r="J352" s="6" t="str">
        <f t="shared" si="49"/>
        <v>Ohms</v>
      </c>
      <c r="K352" s="2" t="str">
        <f t="shared" si="50"/>
        <v>RTG</v>
      </c>
      <c r="L352" s="7">
        <v>45979</v>
      </c>
      <c r="M352" s="7">
        <f t="shared" si="46"/>
        <v>46344</v>
      </c>
      <c r="N352" s="7" t="str">
        <f t="shared" si="52"/>
        <v>Anual</v>
      </c>
      <c r="O352" s="2" t="str">
        <f t="shared" ca="1" si="45"/>
        <v>VIGENTE</v>
      </c>
      <c r="P352" s="6" t="s">
        <v>25</v>
      </c>
      <c r="Q352" s="2"/>
    </row>
    <row r="353" spans="1:17" x14ac:dyDescent="0.25">
      <c r="A353" s="23" t="s">
        <v>473</v>
      </c>
      <c r="B353" s="2" t="s">
        <v>482</v>
      </c>
      <c r="C353" s="3" t="s">
        <v>28</v>
      </c>
      <c r="D353" s="3" t="s">
        <v>23</v>
      </c>
      <c r="E353" s="2" t="s">
        <v>24</v>
      </c>
      <c r="F353" s="4">
        <v>0</v>
      </c>
      <c r="G353" s="8">
        <f t="shared" si="47"/>
        <v>1000000000</v>
      </c>
      <c r="H353" s="4" t="str">
        <f t="shared" si="48"/>
        <v>Ohms</v>
      </c>
      <c r="I353" s="14">
        <v>5820000</v>
      </c>
      <c r="J353" s="6" t="str">
        <f t="shared" si="49"/>
        <v>Ohms</v>
      </c>
      <c r="K353" s="2" t="str">
        <f t="shared" si="50"/>
        <v>RTG</v>
      </c>
      <c r="L353" s="7">
        <v>45986</v>
      </c>
      <c r="M353" s="7">
        <f t="shared" si="46"/>
        <v>46351</v>
      </c>
      <c r="N353" s="7" t="str">
        <f t="shared" si="52"/>
        <v>Anual</v>
      </c>
      <c r="O353" s="2" t="str">
        <f t="shared" ca="1" si="45"/>
        <v>VIGENTE</v>
      </c>
      <c r="P353" s="6" t="s">
        <v>25</v>
      </c>
      <c r="Q353" s="2"/>
    </row>
    <row r="354" spans="1:17" x14ac:dyDescent="0.25">
      <c r="A354" s="23" t="s">
        <v>473</v>
      </c>
      <c r="B354" s="2" t="s">
        <v>483</v>
      </c>
      <c r="C354" s="3" t="s">
        <v>28</v>
      </c>
      <c r="D354" s="3" t="s">
        <v>23</v>
      </c>
      <c r="E354" s="2" t="s">
        <v>24</v>
      </c>
      <c r="F354" s="4">
        <v>0</v>
      </c>
      <c r="G354" s="8">
        <f t="shared" si="47"/>
        <v>1000000000</v>
      </c>
      <c r="H354" s="4" t="str">
        <f t="shared" si="48"/>
        <v>Ohms</v>
      </c>
      <c r="I354" s="14">
        <v>23800000</v>
      </c>
      <c r="J354" s="6" t="str">
        <f t="shared" si="49"/>
        <v>Ohms</v>
      </c>
      <c r="K354" s="2" t="str">
        <f t="shared" si="50"/>
        <v>RTG</v>
      </c>
      <c r="L354" s="7">
        <v>45986</v>
      </c>
      <c r="M354" s="7">
        <f t="shared" si="46"/>
        <v>46351</v>
      </c>
      <c r="N354" s="7" t="str">
        <f t="shared" si="52"/>
        <v>Anual</v>
      </c>
      <c r="O354" s="2" t="str">
        <f t="shared" ca="1" si="45"/>
        <v>VIGENTE</v>
      </c>
      <c r="P354" s="6" t="s">
        <v>25</v>
      </c>
      <c r="Q354" s="2"/>
    </row>
    <row r="355" spans="1:17" x14ac:dyDescent="0.25">
      <c r="A355" s="23" t="s">
        <v>487</v>
      </c>
      <c r="B355" s="2" t="s">
        <v>488</v>
      </c>
      <c r="C355" s="3" t="s">
        <v>22</v>
      </c>
      <c r="D355" s="3" t="s">
        <v>23</v>
      </c>
      <c r="E355" s="2" t="s">
        <v>24</v>
      </c>
      <c r="F355" s="4">
        <v>0</v>
      </c>
      <c r="G355" s="8">
        <f t="shared" si="47"/>
        <v>1000000000</v>
      </c>
      <c r="H355" s="4" t="str">
        <f t="shared" si="48"/>
        <v>Ohms</v>
      </c>
      <c r="I355" s="14">
        <v>2930000</v>
      </c>
      <c r="J355" s="6" t="str">
        <f t="shared" si="49"/>
        <v>Ohms</v>
      </c>
      <c r="K355" s="2" t="str">
        <f t="shared" si="50"/>
        <v>RTG</v>
      </c>
      <c r="L355" s="7">
        <v>45843</v>
      </c>
      <c r="M355" s="7">
        <f t="shared" si="46"/>
        <v>46208</v>
      </c>
      <c r="N355" s="7" t="str">
        <f t="shared" si="52"/>
        <v>Anual</v>
      </c>
      <c r="O355" s="2" t="str">
        <f t="shared" ca="1" si="45"/>
        <v>VIGENTE</v>
      </c>
      <c r="P355" s="6" t="s">
        <v>25</v>
      </c>
      <c r="Q355" s="2"/>
    </row>
    <row r="356" spans="1:17" x14ac:dyDescent="0.25">
      <c r="A356" s="23" t="s">
        <v>487</v>
      </c>
      <c r="B356" s="2" t="s">
        <v>489</v>
      </c>
      <c r="C356" s="3" t="s">
        <v>22</v>
      </c>
      <c r="D356" s="3" t="s">
        <v>23</v>
      </c>
      <c r="E356" s="2" t="s">
        <v>24</v>
      </c>
      <c r="F356" s="4">
        <v>0</v>
      </c>
      <c r="G356" s="8">
        <f t="shared" si="47"/>
        <v>1000000000</v>
      </c>
      <c r="H356" s="4" t="str">
        <f t="shared" si="48"/>
        <v>Ohms</v>
      </c>
      <c r="I356" s="14">
        <v>360000000</v>
      </c>
      <c r="J356" s="6" t="str">
        <f t="shared" si="49"/>
        <v>Ohms</v>
      </c>
      <c r="K356" s="2" t="str">
        <f t="shared" si="50"/>
        <v>RTG</v>
      </c>
      <c r="L356" s="7">
        <v>45843</v>
      </c>
      <c r="M356" s="7">
        <f t="shared" si="46"/>
        <v>46208</v>
      </c>
      <c r="N356" s="7" t="str">
        <f t="shared" si="52"/>
        <v>Anual</v>
      </c>
      <c r="O356" s="2" t="str">
        <f t="shared" ca="1" si="45"/>
        <v>VIGENTE</v>
      </c>
      <c r="P356" s="6" t="s">
        <v>25</v>
      </c>
      <c r="Q356" s="2"/>
    </row>
    <row r="357" spans="1:17" x14ac:dyDescent="0.25">
      <c r="A357" s="23" t="s">
        <v>487</v>
      </c>
      <c r="B357" s="2" t="s">
        <v>490</v>
      </c>
      <c r="C357" s="3" t="s">
        <v>22</v>
      </c>
      <c r="D357" s="3" t="s">
        <v>23</v>
      </c>
      <c r="E357" s="2" t="s">
        <v>24</v>
      </c>
      <c r="F357" s="4">
        <v>0</v>
      </c>
      <c r="G357" s="8">
        <f t="shared" si="47"/>
        <v>1000000000</v>
      </c>
      <c r="H357" s="4" t="str">
        <f t="shared" si="48"/>
        <v>Ohms</v>
      </c>
      <c r="I357" s="14">
        <v>4200000</v>
      </c>
      <c r="J357" s="6" t="str">
        <f t="shared" si="49"/>
        <v>Ohms</v>
      </c>
      <c r="K357" s="2" t="str">
        <f t="shared" si="50"/>
        <v>RTG</v>
      </c>
      <c r="L357" s="7">
        <v>45843</v>
      </c>
      <c r="M357" s="7">
        <f t="shared" si="46"/>
        <v>46208</v>
      </c>
      <c r="N357" s="7" t="str">
        <f t="shared" si="52"/>
        <v>Anual</v>
      </c>
      <c r="O357" s="2" t="str">
        <f t="shared" ca="1" si="45"/>
        <v>VIGENTE</v>
      </c>
      <c r="P357" s="6" t="s">
        <v>25</v>
      </c>
      <c r="Q357" s="2"/>
    </row>
    <row r="358" spans="1:17" x14ac:dyDescent="0.25">
      <c r="A358" s="23" t="s">
        <v>487</v>
      </c>
      <c r="B358" s="2" t="s">
        <v>491</v>
      </c>
      <c r="C358" s="3" t="s">
        <v>22</v>
      </c>
      <c r="D358" s="3" t="s">
        <v>23</v>
      </c>
      <c r="E358" s="2" t="s">
        <v>24</v>
      </c>
      <c r="F358" s="4">
        <v>0</v>
      </c>
      <c r="G358" s="8">
        <f t="shared" si="47"/>
        <v>1000000000</v>
      </c>
      <c r="H358" s="4" t="str">
        <f t="shared" si="48"/>
        <v>Ohms</v>
      </c>
      <c r="I358" s="14">
        <v>158000000</v>
      </c>
      <c r="J358" s="6" t="str">
        <f t="shared" si="49"/>
        <v>Ohms</v>
      </c>
      <c r="K358" s="2" t="str">
        <f t="shared" si="50"/>
        <v>RTG</v>
      </c>
      <c r="L358" s="7">
        <v>45843</v>
      </c>
      <c r="M358" s="7">
        <f t="shared" si="46"/>
        <v>46208</v>
      </c>
      <c r="N358" s="7" t="str">
        <f t="shared" si="52"/>
        <v>Anual</v>
      </c>
      <c r="O358" s="2" t="str">
        <f t="shared" ref="O358:O421" ca="1" si="53">IF(M358&lt;TODAY(),"VENCIDO",IF(M358=TODAY(),"VIGENTE",IF(M358&gt;TODAY(),"VIGENTE")))</f>
        <v>VIGENTE</v>
      </c>
      <c r="P358" s="6" t="s">
        <v>25</v>
      </c>
      <c r="Q358" s="2"/>
    </row>
    <row r="359" spans="1:17" x14ac:dyDescent="0.25">
      <c r="A359" s="23" t="s">
        <v>487</v>
      </c>
      <c r="B359" s="2" t="s">
        <v>492</v>
      </c>
      <c r="C359" s="3" t="s">
        <v>22</v>
      </c>
      <c r="D359" s="3" t="s">
        <v>23</v>
      </c>
      <c r="E359" s="2" t="s">
        <v>24</v>
      </c>
      <c r="F359" s="4">
        <v>0</v>
      </c>
      <c r="G359" s="8">
        <f t="shared" si="47"/>
        <v>1000000000</v>
      </c>
      <c r="H359" s="4" t="str">
        <f t="shared" si="48"/>
        <v>Ohms</v>
      </c>
      <c r="I359" s="14">
        <v>376000000</v>
      </c>
      <c r="J359" s="6" t="str">
        <f t="shared" si="49"/>
        <v>Ohms</v>
      </c>
      <c r="K359" s="2" t="str">
        <f t="shared" si="50"/>
        <v>RTG</v>
      </c>
      <c r="L359" s="7">
        <v>45843</v>
      </c>
      <c r="M359" s="7">
        <f t="shared" si="46"/>
        <v>46208</v>
      </c>
      <c r="N359" s="7" t="str">
        <f t="shared" si="52"/>
        <v>Anual</v>
      </c>
      <c r="O359" s="2" t="str">
        <f t="shared" ca="1" si="53"/>
        <v>VIGENTE</v>
      </c>
      <c r="P359" s="6" t="s">
        <v>25</v>
      </c>
      <c r="Q359" s="2"/>
    </row>
    <row r="360" spans="1:17" x14ac:dyDescent="0.25">
      <c r="A360" s="23" t="s">
        <v>487</v>
      </c>
      <c r="B360" s="2" t="s">
        <v>493</v>
      </c>
      <c r="C360" s="3" t="s">
        <v>22</v>
      </c>
      <c r="D360" s="3" t="s">
        <v>23</v>
      </c>
      <c r="E360" s="2" t="s">
        <v>24</v>
      </c>
      <c r="F360" s="4">
        <v>0</v>
      </c>
      <c r="G360" s="8">
        <f t="shared" si="47"/>
        <v>1000000000</v>
      </c>
      <c r="H360" s="4" t="str">
        <f t="shared" si="48"/>
        <v>Ohms</v>
      </c>
      <c r="I360" s="14">
        <v>297000000</v>
      </c>
      <c r="J360" s="6" t="str">
        <f t="shared" si="49"/>
        <v>Ohms</v>
      </c>
      <c r="K360" s="2" t="str">
        <f t="shared" si="50"/>
        <v>RTG</v>
      </c>
      <c r="L360" s="7">
        <v>45843</v>
      </c>
      <c r="M360" s="7">
        <f t="shared" si="46"/>
        <v>46208</v>
      </c>
      <c r="N360" s="7" t="str">
        <f t="shared" si="52"/>
        <v>Anual</v>
      </c>
      <c r="O360" s="2" t="str">
        <f t="shared" ca="1" si="53"/>
        <v>VIGENTE</v>
      </c>
      <c r="P360" s="6" t="s">
        <v>25</v>
      </c>
      <c r="Q360" s="2"/>
    </row>
    <row r="361" spans="1:17" x14ac:dyDescent="0.25">
      <c r="A361" s="23" t="s">
        <v>487</v>
      </c>
      <c r="B361" s="2" t="s">
        <v>494</v>
      </c>
      <c r="C361" s="3" t="s">
        <v>22</v>
      </c>
      <c r="D361" s="3" t="s">
        <v>23</v>
      </c>
      <c r="E361" s="2" t="s">
        <v>24</v>
      </c>
      <c r="F361" s="4">
        <v>0</v>
      </c>
      <c r="G361" s="8">
        <f t="shared" si="47"/>
        <v>1000000000</v>
      </c>
      <c r="H361" s="4" t="str">
        <f t="shared" si="48"/>
        <v>Ohms</v>
      </c>
      <c r="I361" s="14">
        <v>1450000</v>
      </c>
      <c r="J361" s="6" t="str">
        <f t="shared" si="49"/>
        <v>Ohms</v>
      </c>
      <c r="K361" s="2" t="str">
        <f t="shared" si="50"/>
        <v>RTG</v>
      </c>
      <c r="L361" s="7">
        <v>45843</v>
      </c>
      <c r="M361" s="7">
        <f t="shared" si="46"/>
        <v>46208</v>
      </c>
      <c r="N361" s="7" t="str">
        <f t="shared" si="52"/>
        <v>Anual</v>
      </c>
      <c r="O361" s="2" t="str">
        <f t="shared" ca="1" si="53"/>
        <v>VIGENTE</v>
      </c>
      <c r="P361" s="6" t="s">
        <v>25</v>
      </c>
      <c r="Q361" s="2"/>
    </row>
    <row r="362" spans="1:17" x14ac:dyDescent="0.25">
      <c r="A362" s="23" t="s">
        <v>487</v>
      </c>
      <c r="B362" s="2" t="s">
        <v>495</v>
      </c>
      <c r="C362" s="3" t="s">
        <v>22</v>
      </c>
      <c r="D362" s="3" t="s">
        <v>23</v>
      </c>
      <c r="E362" s="2" t="s">
        <v>24</v>
      </c>
      <c r="F362" s="4">
        <v>0</v>
      </c>
      <c r="G362" s="8">
        <f t="shared" si="47"/>
        <v>1000000000</v>
      </c>
      <c r="H362" s="4" t="str">
        <f t="shared" si="48"/>
        <v>Ohms</v>
      </c>
      <c r="I362" s="14">
        <v>439000000</v>
      </c>
      <c r="J362" s="6" t="str">
        <f t="shared" si="49"/>
        <v>Ohms</v>
      </c>
      <c r="K362" s="2" t="str">
        <f t="shared" si="50"/>
        <v>RTG</v>
      </c>
      <c r="L362" s="7">
        <v>45843</v>
      </c>
      <c r="M362" s="7">
        <f t="shared" si="46"/>
        <v>46208</v>
      </c>
      <c r="N362" s="7" t="str">
        <f t="shared" si="52"/>
        <v>Anual</v>
      </c>
      <c r="O362" s="2" t="str">
        <f t="shared" ca="1" si="53"/>
        <v>VIGENTE</v>
      </c>
      <c r="P362" s="6" t="s">
        <v>25</v>
      </c>
      <c r="Q362" s="2"/>
    </row>
    <row r="363" spans="1:17" x14ac:dyDescent="0.25">
      <c r="A363" s="23" t="s">
        <v>487</v>
      </c>
      <c r="B363" s="2" t="s">
        <v>496</v>
      </c>
      <c r="C363" s="3" t="s">
        <v>22</v>
      </c>
      <c r="D363" s="3" t="s">
        <v>23</v>
      </c>
      <c r="E363" s="2" t="s">
        <v>24</v>
      </c>
      <c r="F363" s="4">
        <v>0</v>
      </c>
      <c r="G363" s="8">
        <f t="shared" si="47"/>
        <v>1000000000</v>
      </c>
      <c r="H363" s="4" t="str">
        <f t="shared" si="48"/>
        <v>Ohms</v>
      </c>
      <c r="I363" s="14">
        <v>266000000</v>
      </c>
      <c r="J363" s="6" t="str">
        <f t="shared" si="49"/>
        <v>Ohms</v>
      </c>
      <c r="K363" s="2" t="str">
        <f t="shared" si="50"/>
        <v>RTG</v>
      </c>
      <c r="L363" s="7">
        <v>45843</v>
      </c>
      <c r="M363" s="7">
        <f t="shared" si="46"/>
        <v>46208</v>
      </c>
      <c r="N363" s="7" t="str">
        <f t="shared" si="52"/>
        <v>Anual</v>
      </c>
      <c r="O363" s="2" t="str">
        <f t="shared" ca="1" si="53"/>
        <v>VIGENTE</v>
      </c>
      <c r="P363" s="6" t="s">
        <v>25</v>
      </c>
      <c r="Q363" s="2"/>
    </row>
    <row r="364" spans="1:17" x14ac:dyDescent="0.25">
      <c r="A364" s="23" t="s">
        <v>487</v>
      </c>
      <c r="B364" s="2" t="s">
        <v>497</v>
      </c>
      <c r="C364" s="3" t="s">
        <v>45</v>
      </c>
      <c r="D364" s="3" t="s">
        <v>23</v>
      </c>
      <c r="E364" s="2" t="s">
        <v>24</v>
      </c>
      <c r="F364" s="4">
        <v>0</v>
      </c>
      <c r="G364" s="8">
        <f t="shared" si="47"/>
        <v>1</v>
      </c>
      <c r="H364" s="4" t="str">
        <f t="shared" si="48"/>
        <v>Ohms</v>
      </c>
      <c r="I364" s="14">
        <v>329000000</v>
      </c>
      <c r="J364" s="6" t="str">
        <f t="shared" si="49"/>
        <v>Ohms</v>
      </c>
      <c r="K364" s="2" t="str">
        <f t="shared" si="50"/>
        <v>RTG</v>
      </c>
      <c r="L364" s="7">
        <v>45843</v>
      </c>
      <c r="M364" s="7">
        <f t="shared" si="46"/>
        <v>46023</v>
      </c>
      <c r="N364" s="7" t="str">
        <f t="shared" si="52"/>
        <v>Semestral</v>
      </c>
      <c r="O364" s="2" t="str">
        <f t="shared" ca="1" si="53"/>
        <v>VENCIDO</v>
      </c>
      <c r="P364" s="6" t="s">
        <v>25</v>
      </c>
      <c r="Q364" s="2" t="s">
        <v>46</v>
      </c>
    </row>
    <row r="365" spans="1:17" x14ac:dyDescent="0.25">
      <c r="A365" s="23" t="s">
        <v>487</v>
      </c>
      <c r="B365" s="2" t="s">
        <v>498</v>
      </c>
      <c r="C365" s="3" t="s">
        <v>45</v>
      </c>
      <c r="D365" s="3" t="s">
        <v>23</v>
      </c>
      <c r="E365" s="2" t="s">
        <v>24</v>
      </c>
      <c r="F365" s="4">
        <v>0</v>
      </c>
      <c r="G365" s="8">
        <f t="shared" si="47"/>
        <v>1</v>
      </c>
      <c r="H365" s="4" t="str">
        <f t="shared" si="48"/>
        <v>Ohms</v>
      </c>
      <c r="I365" s="14">
        <v>254000000</v>
      </c>
      <c r="J365" s="6" t="str">
        <f t="shared" si="49"/>
        <v>Ohms</v>
      </c>
      <c r="K365" s="2" t="str">
        <f t="shared" si="50"/>
        <v>RTG</v>
      </c>
      <c r="L365" s="7">
        <v>45843</v>
      </c>
      <c r="M365" s="7">
        <f t="shared" si="46"/>
        <v>46023</v>
      </c>
      <c r="N365" s="7" t="str">
        <f t="shared" si="52"/>
        <v>Semestral</v>
      </c>
      <c r="O365" s="2" t="str">
        <f t="shared" ca="1" si="53"/>
        <v>VENCIDO</v>
      </c>
      <c r="P365" s="6" t="s">
        <v>25</v>
      </c>
      <c r="Q365" s="2" t="s">
        <v>46</v>
      </c>
    </row>
    <row r="366" spans="1:17" x14ac:dyDescent="0.25">
      <c r="A366" s="23" t="s">
        <v>487</v>
      </c>
      <c r="B366" s="2" t="s">
        <v>499</v>
      </c>
      <c r="C366" s="3" t="s">
        <v>45</v>
      </c>
      <c r="D366" s="3" t="s">
        <v>23</v>
      </c>
      <c r="E366" s="2" t="s">
        <v>24</v>
      </c>
      <c r="F366" s="4">
        <v>0</v>
      </c>
      <c r="G366" s="8">
        <f t="shared" si="47"/>
        <v>1</v>
      </c>
      <c r="H366" s="4" t="str">
        <f t="shared" si="48"/>
        <v>Ohms</v>
      </c>
      <c r="I366" s="14">
        <v>1330000</v>
      </c>
      <c r="J366" s="6" t="str">
        <f t="shared" si="49"/>
        <v>Ohms</v>
      </c>
      <c r="K366" s="2" t="str">
        <f t="shared" si="50"/>
        <v>RTG</v>
      </c>
      <c r="L366" s="7">
        <v>45843</v>
      </c>
      <c r="M366" s="7">
        <f t="shared" ref="M366:M429" si="54">IF(N366="Trimestral", L366+90, IF(N366="Semestral", L366+180, IF(N366="Mensual", L366+30, L366+365)))</f>
        <v>46023</v>
      </c>
      <c r="N366" s="7" t="str">
        <f t="shared" si="52"/>
        <v>Semestral</v>
      </c>
      <c r="O366" s="2" t="str">
        <f t="shared" ca="1" si="53"/>
        <v>VENCIDO</v>
      </c>
      <c r="P366" s="6" t="s">
        <v>25</v>
      </c>
      <c r="Q366" s="2" t="s">
        <v>46</v>
      </c>
    </row>
    <row r="367" spans="1:17" x14ac:dyDescent="0.25">
      <c r="A367" s="23" t="s">
        <v>206</v>
      </c>
      <c r="B367" s="2" t="s">
        <v>207</v>
      </c>
      <c r="C367" s="3" t="s">
        <v>22</v>
      </c>
      <c r="D367" s="3" t="s">
        <v>23</v>
      </c>
      <c r="E367" s="2" t="s">
        <v>24</v>
      </c>
      <c r="F367" s="4">
        <v>0</v>
      </c>
      <c r="G367" s="8">
        <f t="shared" si="47"/>
        <v>1000000000</v>
      </c>
      <c r="H367" s="4" t="str">
        <f t="shared" si="48"/>
        <v>Ohms</v>
      </c>
      <c r="I367" s="14">
        <v>382000000</v>
      </c>
      <c r="J367" s="6" t="str">
        <f t="shared" si="49"/>
        <v>Ohms</v>
      </c>
      <c r="K367" s="2" t="str">
        <f t="shared" si="50"/>
        <v>RTG</v>
      </c>
      <c r="L367" s="7">
        <v>45838</v>
      </c>
      <c r="M367" s="7">
        <f t="shared" si="54"/>
        <v>46203</v>
      </c>
      <c r="N367" s="7" t="str">
        <f t="shared" si="52"/>
        <v>Anual</v>
      </c>
      <c r="O367" s="2" t="str">
        <f t="shared" ca="1" si="53"/>
        <v>VIGENTE</v>
      </c>
      <c r="P367" s="6" t="s">
        <v>25</v>
      </c>
      <c r="Q367" s="2"/>
    </row>
    <row r="368" spans="1:17" x14ac:dyDescent="0.25">
      <c r="A368" s="23" t="s">
        <v>424</v>
      </c>
      <c r="B368" s="2" t="s">
        <v>425</v>
      </c>
      <c r="C368" s="3" t="s">
        <v>28</v>
      </c>
      <c r="D368" s="3" t="s">
        <v>23</v>
      </c>
      <c r="E368" s="2" t="s">
        <v>24</v>
      </c>
      <c r="F368" s="4">
        <v>0</v>
      </c>
      <c r="G368" s="8">
        <f t="shared" si="47"/>
        <v>1000000000</v>
      </c>
      <c r="H368" s="4" t="str">
        <f t="shared" si="48"/>
        <v>Ohms</v>
      </c>
      <c r="I368" s="14">
        <v>21900</v>
      </c>
      <c r="J368" s="6" t="str">
        <f t="shared" si="49"/>
        <v>Ohms</v>
      </c>
      <c r="K368" s="2" t="str">
        <f t="shared" si="50"/>
        <v>RTG</v>
      </c>
      <c r="L368" s="7">
        <v>45881</v>
      </c>
      <c r="M368" s="7">
        <f t="shared" si="54"/>
        <v>46246</v>
      </c>
      <c r="N368" s="7" t="str">
        <f t="shared" si="52"/>
        <v>Anual</v>
      </c>
      <c r="O368" s="2" t="str">
        <f t="shared" ca="1" si="53"/>
        <v>VIGENTE</v>
      </c>
      <c r="P368" s="6" t="s">
        <v>25</v>
      </c>
      <c r="Q368" s="2" t="s">
        <v>29</v>
      </c>
    </row>
    <row r="369" spans="1:17" x14ac:dyDescent="0.25">
      <c r="A369" s="23" t="s">
        <v>424</v>
      </c>
      <c r="B369" s="2" t="s">
        <v>503</v>
      </c>
      <c r="C369" s="3" t="s">
        <v>22</v>
      </c>
      <c r="D369" s="3" t="s">
        <v>23</v>
      </c>
      <c r="E369" s="2" t="s">
        <v>24</v>
      </c>
      <c r="F369" s="4">
        <v>0</v>
      </c>
      <c r="G369" s="8">
        <f t="shared" si="47"/>
        <v>1000000000</v>
      </c>
      <c r="H369" s="4" t="str">
        <f t="shared" si="48"/>
        <v>Ohms</v>
      </c>
      <c r="I369" s="6">
        <v>63600000</v>
      </c>
      <c r="J369" s="6" t="str">
        <f t="shared" si="49"/>
        <v>Ohms</v>
      </c>
      <c r="K369" s="2" t="str">
        <f t="shared" si="50"/>
        <v>RTG</v>
      </c>
      <c r="L369" s="7">
        <v>45881</v>
      </c>
      <c r="M369" s="7">
        <f t="shared" si="54"/>
        <v>46246</v>
      </c>
      <c r="N369" s="7" t="str">
        <f t="shared" si="52"/>
        <v>Anual</v>
      </c>
      <c r="O369" s="2" t="str">
        <f t="shared" ca="1" si="53"/>
        <v>VIGENTE</v>
      </c>
      <c r="P369" s="6" t="s">
        <v>25</v>
      </c>
      <c r="Q369" s="2"/>
    </row>
    <row r="370" spans="1:17" x14ac:dyDescent="0.25">
      <c r="A370" s="23" t="s">
        <v>424</v>
      </c>
      <c r="B370" s="2" t="s">
        <v>527</v>
      </c>
      <c r="C370" s="3" t="s">
        <v>28</v>
      </c>
      <c r="D370" s="3" t="s">
        <v>23</v>
      </c>
      <c r="E370" s="2" t="s">
        <v>24</v>
      </c>
      <c r="F370" s="4">
        <v>0</v>
      </c>
      <c r="G370" s="8">
        <f t="shared" si="47"/>
        <v>1000000000</v>
      </c>
      <c r="H370" s="4" t="str">
        <f t="shared" si="48"/>
        <v>Ohms</v>
      </c>
      <c r="I370" s="14">
        <v>17900000</v>
      </c>
      <c r="J370" s="6" t="str">
        <f t="shared" si="49"/>
        <v>Ohms</v>
      </c>
      <c r="K370" s="2" t="str">
        <f t="shared" si="50"/>
        <v>RTG</v>
      </c>
      <c r="L370" s="7">
        <v>45881</v>
      </c>
      <c r="M370" s="7">
        <f t="shared" si="54"/>
        <v>46246</v>
      </c>
      <c r="N370" s="7" t="str">
        <f t="shared" si="52"/>
        <v>Anual</v>
      </c>
      <c r="O370" s="2" t="str">
        <f t="shared" ca="1" si="53"/>
        <v>VIGENTE</v>
      </c>
      <c r="P370" s="6" t="s">
        <v>25</v>
      </c>
      <c r="Q370" s="2"/>
    </row>
    <row r="371" spans="1:17" x14ac:dyDescent="0.25">
      <c r="A371" s="23" t="s">
        <v>424</v>
      </c>
      <c r="B371" s="2" t="s">
        <v>528</v>
      </c>
      <c r="C371" s="3" t="s">
        <v>22</v>
      </c>
      <c r="D371" s="3" t="s">
        <v>23</v>
      </c>
      <c r="E371" s="2" t="s">
        <v>24</v>
      </c>
      <c r="F371" s="4">
        <v>0</v>
      </c>
      <c r="G371" s="8">
        <f t="shared" si="47"/>
        <v>1000000000</v>
      </c>
      <c r="H371" s="4" t="str">
        <f t="shared" si="48"/>
        <v>Ohms</v>
      </c>
      <c r="I371" s="14">
        <v>312000000</v>
      </c>
      <c r="J371" s="6" t="str">
        <f t="shared" si="49"/>
        <v>Ohms</v>
      </c>
      <c r="K371" s="2" t="str">
        <f t="shared" si="50"/>
        <v>RTG</v>
      </c>
      <c r="L371" s="7">
        <v>45715</v>
      </c>
      <c r="M371" s="7">
        <f t="shared" si="54"/>
        <v>46080</v>
      </c>
      <c r="N371" s="7" t="str">
        <f t="shared" si="52"/>
        <v>Anual</v>
      </c>
      <c r="O371" s="2" t="str">
        <f t="shared" ca="1" si="53"/>
        <v>VENCIDO</v>
      </c>
      <c r="P371" s="6" t="s">
        <v>25</v>
      </c>
      <c r="Q371" s="2"/>
    </row>
    <row r="372" spans="1:17" x14ac:dyDescent="0.25">
      <c r="A372" s="23" t="s">
        <v>424</v>
      </c>
      <c r="B372" s="2" t="s">
        <v>691</v>
      </c>
      <c r="C372" s="3" t="s">
        <v>28</v>
      </c>
      <c r="D372" s="3" t="s">
        <v>23</v>
      </c>
      <c r="E372" s="2" t="s">
        <v>24</v>
      </c>
      <c r="F372" s="4">
        <v>0</v>
      </c>
      <c r="G372" s="8">
        <f t="shared" si="47"/>
        <v>1000000000</v>
      </c>
      <c r="H372" s="4" t="str">
        <f t="shared" si="48"/>
        <v>Ohms</v>
      </c>
      <c r="I372" s="14">
        <v>49200</v>
      </c>
      <c r="J372" s="6" t="str">
        <f t="shared" si="49"/>
        <v>Ohms</v>
      </c>
      <c r="K372" s="2" t="str">
        <f t="shared" si="50"/>
        <v>RTG</v>
      </c>
      <c r="L372" s="7">
        <v>45881</v>
      </c>
      <c r="M372" s="7">
        <f t="shared" si="54"/>
        <v>46246</v>
      </c>
      <c r="N372" s="7" t="str">
        <f t="shared" si="52"/>
        <v>Anual</v>
      </c>
      <c r="O372" s="2" t="str">
        <f t="shared" ca="1" si="53"/>
        <v>VIGENTE</v>
      </c>
      <c r="P372" s="6" t="s">
        <v>25</v>
      </c>
      <c r="Q372" s="2" t="s">
        <v>29</v>
      </c>
    </row>
    <row r="373" spans="1:17" x14ac:dyDescent="0.25">
      <c r="A373" s="23" t="s">
        <v>424</v>
      </c>
      <c r="B373" s="2" t="s">
        <v>1053</v>
      </c>
      <c r="C373" s="3" t="s">
        <v>22</v>
      </c>
      <c r="D373" s="3" t="s">
        <v>23</v>
      </c>
      <c r="E373" s="2" t="s">
        <v>24</v>
      </c>
      <c r="F373" s="4">
        <v>0</v>
      </c>
      <c r="G373" s="8">
        <f t="shared" si="47"/>
        <v>1000000000</v>
      </c>
      <c r="H373" s="4" t="str">
        <f t="shared" si="48"/>
        <v>Ohms</v>
      </c>
      <c r="I373" s="14">
        <v>1300000</v>
      </c>
      <c r="J373" s="6" t="str">
        <f t="shared" si="49"/>
        <v>Ohms</v>
      </c>
      <c r="K373" s="2" t="str">
        <f t="shared" si="50"/>
        <v>RTG</v>
      </c>
      <c r="L373" s="7">
        <v>45881</v>
      </c>
      <c r="M373" s="7">
        <f t="shared" si="54"/>
        <v>46246</v>
      </c>
      <c r="N373" s="7" t="str">
        <f t="shared" si="52"/>
        <v>Anual</v>
      </c>
      <c r="O373" s="2" t="str">
        <f t="shared" ca="1" si="53"/>
        <v>VIGENTE</v>
      </c>
      <c r="P373" s="6" t="s">
        <v>25</v>
      </c>
      <c r="Q373" s="2"/>
    </row>
    <row r="374" spans="1:17" x14ac:dyDescent="0.25">
      <c r="A374" s="23" t="s">
        <v>452</v>
      </c>
      <c r="B374" s="2" t="s">
        <v>453</v>
      </c>
      <c r="C374" s="3" t="s">
        <v>22</v>
      </c>
      <c r="D374" s="3" t="s">
        <v>23</v>
      </c>
      <c r="E374" s="2" t="s">
        <v>24</v>
      </c>
      <c r="F374" s="4">
        <v>0</v>
      </c>
      <c r="G374" s="8">
        <f t="shared" ref="G374:G437" si="55">IF(C374="Ionizador", 10, IF(C374="Mesa", 1000000000, IF(C374="Rack", 1000000000, IF(C374="Piso", 1000000000, IF(C374="Tapete", 1000000000, IF(C374="Carrito", 1000000000, IF(C374="Cautín", 10, 1)))))))</f>
        <v>1000000000</v>
      </c>
      <c r="H374" s="4" t="str">
        <f t="shared" ref="H374:H437" si="56">IF(C374="Ionizador", "Segundos", "Ohms")</f>
        <v>Ohms</v>
      </c>
      <c r="I374" s="14">
        <v>48100000</v>
      </c>
      <c r="J374" s="6" t="str">
        <f t="shared" ref="J374:J437" si="57">H374</f>
        <v>Ohms</v>
      </c>
      <c r="K374" s="2" t="str">
        <f t="shared" ref="K374:K437" si="58">IF(C374="Ionizador", "Plato de carga", IF(C374="Cautín", "PTG", IF(C374="ESD Tester", "PTP Deviation", "RTG")))</f>
        <v>RTG</v>
      </c>
      <c r="L374" s="7">
        <v>46072</v>
      </c>
      <c r="M374" s="7">
        <f t="shared" si="54"/>
        <v>46437</v>
      </c>
      <c r="N374" s="7" t="str">
        <f t="shared" si="52"/>
        <v>Anual</v>
      </c>
      <c r="O374" s="2" t="str">
        <f t="shared" ca="1" si="53"/>
        <v>VIGENTE</v>
      </c>
      <c r="P374" s="6" t="s">
        <v>25</v>
      </c>
      <c r="Q374" s="2"/>
    </row>
    <row r="375" spans="1:17" x14ac:dyDescent="0.25">
      <c r="A375" s="23" t="s">
        <v>452</v>
      </c>
      <c r="B375" s="2" t="s">
        <v>519</v>
      </c>
      <c r="C375" s="3" t="s">
        <v>28</v>
      </c>
      <c r="D375" s="3" t="s">
        <v>23</v>
      </c>
      <c r="E375" s="2" t="s">
        <v>24</v>
      </c>
      <c r="F375" s="4">
        <v>0</v>
      </c>
      <c r="G375" s="8">
        <f t="shared" si="55"/>
        <v>1000000000</v>
      </c>
      <c r="H375" s="4" t="str">
        <f t="shared" si="56"/>
        <v>Ohms</v>
      </c>
      <c r="I375" s="14">
        <v>631000</v>
      </c>
      <c r="J375" s="6" t="str">
        <f t="shared" si="57"/>
        <v>Ohms</v>
      </c>
      <c r="K375" s="2" t="str">
        <f t="shared" si="58"/>
        <v>RTG</v>
      </c>
      <c r="L375" s="7">
        <v>46104</v>
      </c>
      <c r="M375" s="7">
        <f t="shared" si="54"/>
        <v>46284</v>
      </c>
      <c r="N375" s="7" t="str">
        <f>IF(C375="Ionizador", "Trimestral", IF(C375="Rack", "Semestral", IF(C375="Mesa", "Semestral", IF(C375="Tapete", "Semestral", IF(C375="Cautín", "Semestral", IF(C375="Silla", "Semestral", "Anual"))))))</f>
        <v>Semestral</v>
      </c>
      <c r="O375" s="2" t="str">
        <f t="shared" ca="1" si="53"/>
        <v>VIGENTE</v>
      </c>
      <c r="P375" s="6"/>
      <c r="Q375" s="2"/>
    </row>
    <row r="376" spans="1:17" x14ac:dyDescent="0.25">
      <c r="A376" s="23" t="s">
        <v>452</v>
      </c>
      <c r="B376" s="2" t="s">
        <v>520</v>
      </c>
      <c r="C376" s="3" t="s">
        <v>28</v>
      </c>
      <c r="D376" s="3" t="s">
        <v>23</v>
      </c>
      <c r="E376" s="2" t="s">
        <v>24</v>
      </c>
      <c r="F376" s="4">
        <v>0</v>
      </c>
      <c r="G376" s="8">
        <f t="shared" si="55"/>
        <v>1000000000</v>
      </c>
      <c r="H376" s="4" t="str">
        <f t="shared" si="56"/>
        <v>Ohms</v>
      </c>
      <c r="I376" s="14">
        <v>158000000</v>
      </c>
      <c r="J376" s="6" t="str">
        <f t="shared" si="57"/>
        <v>Ohms</v>
      </c>
      <c r="K376" s="2" t="str">
        <f t="shared" si="58"/>
        <v>RTG</v>
      </c>
      <c r="L376" s="7">
        <v>46104</v>
      </c>
      <c r="M376" s="7">
        <f t="shared" si="54"/>
        <v>46284</v>
      </c>
      <c r="N376" s="7" t="str">
        <f>IF(C376="Ionizador", "Trimestral", IF(C376="Rack", "Semestral", IF(C376="Mesa", "Semestral", IF(C376="Tapete", "Semestral", IF(C376="Cautín", "Semestral", IF(C376="Silla", "Semestral", "Anual"))))))</f>
        <v>Semestral</v>
      </c>
      <c r="O376" s="2" t="str">
        <f t="shared" ca="1" si="53"/>
        <v>VIGENTE</v>
      </c>
      <c r="P376" s="6"/>
      <c r="Q376" s="2"/>
    </row>
    <row r="377" spans="1:17" x14ac:dyDescent="0.25">
      <c r="A377" s="23" t="s">
        <v>452</v>
      </c>
      <c r="B377" s="2" t="s">
        <v>580</v>
      </c>
      <c r="C377" s="3" t="s">
        <v>28</v>
      </c>
      <c r="D377" s="3" t="s">
        <v>23</v>
      </c>
      <c r="E377" s="2" t="s">
        <v>24</v>
      </c>
      <c r="F377" s="4">
        <v>0</v>
      </c>
      <c r="G377" s="8">
        <f t="shared" si="55"/>
        <v>1000000000</v>
      </c>
      <c r="H377" s="4" t="str">
        <f t="shared" si="56"/>
        <v>Ohms</v>
      </c>
      <c r="I377" s="6">
        <v>235000</v>
      </c>
      <c r="J377" s="6" t="str">
        <f t="shared" si="57"/>
        <v>Ohms</v>
      </c>
      <c r="K377" s="2" t="str">
        <f t="shared" si="58"/>
        <v>RTG</v>
      </c>
      <c r="L377" s="7">
        <v>45728</v>
      </c>
      <c r="M377" s="7">
        <f t="shared" si="54"/>
        <v>46093</v>
      </c>
      <c r="N377" s="7" t="str">
        <f t="shared" ref="N377:N382" si="59">IF(C377="Ionizador", "Trimestral", IF(C377="Rack", "Anual", IF(C377="Mesa", "Anual", IF(C377="Tapete", "Semestral", IF(C377="Cautín", "Semestral", IF(C377="Silla", "Semestral", "Anual"))))))</f>
        <v>Anual</v>
      </c>
      <c r="O377" s="2" t="str">
        <f t="shared" ca="1" si="53"/>
        <v>VENCIDO</v>
      </c>
      <c r="P377" s="6" t="s">
        <v>25</v>
      </c>
      <c r="Q377" s="2" t="s">
        <v>29</v>
      </c>
    </row>
    <row r="378" spans="1:17" x14ac:dyDescent="0.25">
      <c r="A378" s="23" t="s">
        <v>452</v>
      </c>
      <c r="B378" s="2" t="s">
        <v>591</v>
      </c>
      <c r="C378" s="3" t="s">
        <v>28</v>
      </c>
      <c r="D378" s="3" t="s">
        <v>23</v>
      </c>
      <c r="E378" s="2" t="s">
        <v>24</v>
      </c>
      <c r="F378" s="4">
        <v>0</v>
      </c>
      <c r="G378" s="8">
        <f t="shared" si="55"/>
        <v>1000000000</v>
      </c>
      <c r="H378" s="4" t="str">
        <f t="shared" si="56"/>
        <v>Ohms</v>
      </c>
      <c r="I378" s="14">
        <v>49200</v>
      </c>
      <c r="J378" s="6" t="str">
        <f t="shared" si="57"/>
        <v>Ohms</v>
      </c>
      <c r="K378" s="2" t="str">
        <f t="shared" si="58"/>
        <v>RTG</v>
      </c>
      <c r="L378" s="7">
        <v>45960</v>
      </c>
      <c r="M378" s="7">
        <f t="shared" si="54"/>
        <v>46325</v>
      </c>
      <c r="N378" s="7" t="str">
        <f t="shared" si="59"/>
        <v>Anual</v>
      </c>
      <c r="O378" s="2" t="str">
        <f t="shared" ca="1" si="53"/>
        <v>VIGENTE</v>
      </c>
      <c r="P378" s="6" t="s">
        <v>25</v>
      </c>
      <c r="Q378" s="2"/>
    </row>
    <row r="379" spans="1:17" x14ac:dyDescent="0.25">
      <c r="A379" s="23" t="s">
        <v>452</v>
      </c>
      <c r="B379" s="2" t="s">
        <v>598</v>
      </c>
      <c r="C379" s="3" t="s">
        <v>28</v>
      </c>
      <c r="D379" s="3" t="s">
        <v>23</v>
      </c>
      <c r="E379" s="2" t="s">
        <v>24</v>
      </c>
      <c r="F379" s="4">
        <v>0</v>
      </c>
      <c r="G379" s="8">
        <f t="shared" si="55"/>
        <v>1000000000</v>
      </c>
      <c r="H379" s="4" t="str">
        <f t="shared" si="56"/>
        <v>Ohms</v>
      </c>
      <c r="I379" s="14">
        <v>13000</v>
      </c>
      <c r="J379" s="6" t="str">
        <f t="shared" si="57"/>
        <v>Ohms</v>
      </c>
      <c r="K379" s="2" t="str">
        <f t="shared" si="58"/>
        <v>RTG</v>
      </c>
      <c r="L379" s="7">
        <v>45960</v>
      </c>
      <c r="M379" s="7">
        <f t="shared" si="54"/>
        <v>46325</v>
      </c>
      <c r="N379" s="7" t="str">
        <f t="shared" si="59"/>
        <v>Anual</v>
      </c>
      <c r="O379" s="2" t="str">
        <f t="shared" ca="1" si="53"/>
        <v>VIGENTE</v>
      </c>
      <c r="P379" s="6" t="s">
        <v>25</v>
      </c>
      <c r="Q379" s="2"/>
    </row>
    <row r="380" spans="1:17" x14ac:dyDescent="0.25">
      <c r="A380" s="23" t="s">
        <v>452</v>
      </c>
      <c r="B380" s="2" t="s">
        <v>625</v>
      </c>
      <c r="C380" s="3" t="s">
        <v>28</v>
      </c>
      <c r="D380" s="3" t="s">
        <v>23</v>
      </c>
      <c r="E380" s="2" t="s">
        <v>24</v>
      </c>
      <c r="F380" s="4">
        <v>0</v>
      </c>
      <c r="G380" s="8">
        <f t="shared" si="55"/>
        <v>1000000000</v>
      </c>
      <c r="H380" s="4" t="str">
        <f t="shared" si="56"/>
        <v>Ohms</v>
      </c>
      <c r="I380" s="6">
        <v>789000</v>
      </c>
      <c r="J380" s="6" t="str">
        <f t="shared" si="57"/>
        <v>Ohms</v>
      </c>
      <c r="K380" s="2" t="str">
        <f t="shared" si="58"/>
        <v>RTG</v>
      </c>
      <c r="L380" s="7">
        <v>45728</v>
      </c>
      <c r="M380" s="7">
        <f t="shared" si="54"/>
        <v>46093</v>
      </c>
      <c r="N380" s="7" t="str">
        <f t="shared" si="59"/>
        <v>Anual</v>
      </c>
      <c r="O380" s="2" t="str">
        <f t="shared" ca="1" si="53"/>
        <v>VENCIDO</v>
      </c>
      <c r="P380" s="6" t="s">
        <v>25</v>
      </c>
      <c r="Q380" s="2" t="s">
        <v>29</v>
      </c>
    </row>
    <row r="381" spans="1:17" x14ac:dyDescent="0.25">
      <c r="A381" s="23" t="s">
        <v>452</v>
      </c>
      <c r="B381" s="2" t="s">
        <v>652</v>
      </c>
      <c r="C381" s="3" t="s">
        <v>28</v>
      </c>
      <c r="D381" s="3" t="s">
        <v>23</v>
      </c>
      <c r="E381" s="2" t="s">
        <v>24</v>
      </c>
      <c r="F381" s="4">
        <v>0</v>
      </c>
      <c r="G381" s="8">
        <f t="shared" si="55"/>
        <v>1000000000</v>
      </c>
      <c r="H381" s="4" t="str">
        <f t="shared" si="56"/>
        <v>Ohms</v>
      </c>
      <c r="I381" s="14">
        <v>202000000</v>
      </c>
      <c r="J381" s="6" t="str">
        <f t="shared" si="57"/>
        <v>Ohms</v>
      </c>
      <c r="K381" s="2" t="str">
        <f t="shared" si="58"/>
        <v>RTG</v>
      </c>
      <c r="L381" s="7">
        <v>45728</v>
      </c>
      <c r="M381" s="7">
        <f t="shared" si="54"/>
        <v>46093</v>
      </c>
      <c r="N381" s="7" t="str">
        <f t="shared" si="59"/>
        <v>Anual</v>
      </c>
      <c r="O381" s="2" t="str">
        <f t="shared" ca="1" si="53"/>
        <v>VENCIDO</v>
      </c>
      <c r="P381" s="6" t="s">
        <v>25</v>
      </c>
      <c r="Q381" s="2" t="s">
        <v>29</v>
      </c>
    </row>
    <row r="382" spans="1:17" x14ac:dyDescent="0.25">
      <c r="A382" s="23" t="s">
        <v>454</v>
      </c>
      <c r="B382" s="2" t="s">
        <v>455</v>
      </c>
      <c r="C382" s="3" t="s">
        <v>28</v>
      </c>
      <c r="D382" s="3" t="s">
        <v>23</v>
      </c>
      <c r="E382" s="2" t="s">
        <v>24</v>
      </c>
      <c r="F382" s="4">
        <v>0</v>
      </c>
      <c r="G382" s="8">
        <f t="shared" si="55"/>
        <v>1000000000</v>
      </c>
      <c r="H382" s="4" t="str">
        <f t="shared" si="56"/>
        <v>Ohms</v>
      </c>
      <c r="I382" s="14">
        <v>1000</v>
      </c>
      <c r="J382" s="6" t="str">
        <f t="shared" si="57"/>
        <v>Ohms</v>
      </c>
      <c r="K382" s="2" t="str">
        <f t="shared" si="58"/>
        <v>RTG</v>
      </c>
      <c r="L382" s="7">
        <v>46072</v>
      </c>
      <c r="M382" s="7">
        <f t="shared" si="54"/>
        <v>46437</v>
      </c>
      <c r="N382" s="7" t="str">
        <f t="shared" si="59"/>
        <v>Anual</v>
      </c>
      <c r="O382" s="2" t="str">
        <f t="shared" ca="1" si="53"/>
        <v>VIGENTE</v>
      </c>
      <c r="P382" s="6" t="s">
        <v>25</v>
      </c>
      <c r="Q382" s="2"/>
    </row>
    <row r="383" spans="1:17" x14ac:dyDescent="0.25">
      <c r="A383" s="23" t="s">
        <v>454</v>
      </c>
      <c r="B383" s="2" t="s">
        <v>517</v>
      </c>
      <c r="C383" s="3" t="s">
        <v>28</v>
      </c>
      <c r="D383" s="3" t="s">
        <v>23</v>
      </c>
      <c r="E383" s="2" t="s">
        <v>24</v>
      </c>
      <c r="F383" s="4">
        <v>0</v>
      </c>
      <c r="G383" s="8">
        <f t="shared" si="55"/>
        <v>1000000000</v>
      </c>
      <c r="H383" s="4" t="str">
        <f t="shared" si="56"/>
        <v>Ohms</v>
      </c>
      <c r="I383" s="14">
        <v>63400000</v>
      </c>
      <c r="J383" s="6" t="str">
        <f t="shared" si="57"/>
        <v>Ohms</v>
      </c>
      <c r="K383" s="2" t="str">
        <f t="shared" si="58"/>
        <v>RTG</v>
      </c>
      <c r="L383" s="7">
        <v>46104</v>
      </c>
      <c r="M383" s="7">
        <f t="shared" si="54"/>
        <v>46284</v>
      </c>
      <c r="N383" s="7" t="str">
        <f>IF(C383="Ionizador", "Trimestral", IF(C383="Rack", "Semestral", IF(C383="Mesa", "Semestral", IF(C383="Tapete", "Semestral", IF(C383="Cautín", "Semestral", IF(C383="Silla", "Semestral", "Anual"))))))</f>
        <v>Semestral</v>
      </c>
      <c r="O383" s="2" t="str">
        <f t="shared" ca="1" si="53"/>
        <v>VIGENTE</v>
      </c>
      <c r="P383" s="6"/>
      <c r="Q383" s="2"/>
    </row>
    <row r="384" spans="1:17" x14ac:dyDescent="0.25">
      <c r="A384" s="23" t="s">
        <v>454</v>
      </c>
      <c r="B384" s="2" t="s">
        <v>518</v>
      </c>
      <c r="C384" s="3" t="s">
        <v>28</v>
      </c>
      <c r="D384" s="3" t="s">
        <v>23</v>
      </c>
      <c r="E384" s="2" t="s">
        <v>24</v>
      </c>
      <c r="F384" s="4">
        <v>0</v>
      </c>
      <c r="G384" s="8">
        <f t="shared" si="55"/>
        <v>1000000000</v>
      </c>
      <c r="H384" s="4" t="str">
        <f t="shared" si="56"/>
        <v>Ohms</v>
      </c>
      <c r="I384" s="14">
        <v>39100</v>
      </c>
      <c r="J384" s="6" t="str">
        <f t="shared" si="57"/>
        <v>Ohms</v>
      </c>
      <c r="K384" s="2" t="str">
        <f t="shared" si="58"/>
        <v>RTG</v>
      </c>
      <c r="L384" s="7">
        <v>46104</v>
      </c>
      <c r="M384" s="7">
        <f t="shared" si="54"/>
        <v>46284</v>
      </c>
      <c r="N384" s="7" t="str">
        <f>IF(C384="Ionizador", "Trimestral", IF(C384="Rack", "Semestral", IF(C384="Mesa", "Semestral", IF(C384="Tapete", "Semestral", IF(C384="Cautín", "Semestral", IF(C384="Silla", "Semestral", "Anual"))))))</f>
        <v>Semestral</v>
      </c>
      <c r="O384" s="2" t="str">
        <f t="shared" ca="1" si="53"/>
        <v>VIGENTE</v>
      </c>
      <c r="P384" s="6"/>
      <c r="Q384" s="2"/>
    </row>
    <row r="385" spans="1:17" x14ac:dyDescent="0.25">
      <c r="A385" s="23" t="s">
        <v>454</v>
      </c>
      <c r="B385" s="2" t="s">
        <v>581</v>
      </c>
      <c r="C385" s="3" t="s">
        <v>28</v>
      </c>
      <c r="D385" s="3" t="s">
        <v>23</v>
      </c>
      <c r="E385" s="2" t="s">
        <v>24</v>
      </c>
      <c r="F385" s="4">
        <v>0</v>
      </c>
      <c r="G385" s="8">
        <f t="shared" si="55"/>
        <v>1000000000</v>
      </c>
      <c r="H385" s="4" t="str">
        <f t="shared" si="56"/>
        <v>Ohms</v>
      </c>
      <c r="I385" s="6">
        <v>121000</v>
      </c>
      <c r="J385" s="6" t="str">
        <f t="shared" si="57"/>
        <v>Ohms</v>
      </c>
      <c r="K385" s="2" t="str">
        <f t="shared" si="58"/>
        <v>RTG</v>
      </c>
      <c r="L385" s="7">
        <v>45728</v>
      </c>
      <c r="M385" s="7">
        <f t="shared" si="54"/>
        <v>46093</v>
      </c>
      <c r="N385" s="7" t="str">
        <f>IF(C385="Ionizador", "Trimestral", IF(C385="Rack", "Anual", IF(C385="Mesa", "Anual", IF(C385="Tapete", "Semestral", IF(C385="Cautín", "Semestral", IF(C385="Silla", "Semestral", "Anual"))))))</f>
        <v>Anual</v>
      </c>
      <c r="O385" s="2" t="str">
        <f t="shared" ca="1" si="53"/>
        <v>VENCIDO</v>
      </c>
      <c r="P385" s="6" t="s">
        <v>25</v>
      </c>
      <c r="Q385" s="2" t="s">
        <v>29</v>
      </c>
    </row>
    <row r="386" spans="1:17" x14ac:dyDescent="0.25">
      <c r="A386" s="23" t="s">
        <v>454</v>
      </c>
      <c r="B386" s="2" t="s">
        <v>592</v>
      </c>
      <c r="C386" s="3" t="s">
        <v>28</v>
      </c>
      <c r="D386" s="3" t="s">
        <v>23</v>
      </c>
      <c r="E386" s="2" t="s">
        <v>24</v>
      </c>
      <c r="F386" s="4">
        <v>0</v>
      </c>
      <c r="G386" s="8">
        <f t="shared" si="55"/>
        <v>1000000000</v>
      </c>
      <c r="H386" s="4" t="str">
        <f t="shared" si="56"/>
        <v>Ohms</v>
      </c>
      <c r="I386" s="14">
        <v>26900</v>
      </c>
      <c r="J386" s="6" t="str">
        <f t="shared" si="57"/>
        <v>Ohms</v>
      </c>
      <c r="K386" s="2" t="str">
        <f t="shared" si="58"/>
        <v>RTG</v>
      </c>
      <c r="L386" s="7">
        <v>45960</v>
      </c>
      <c r="M386" s="7">
        <f t="shared" si="54"/>
        <v>46325</v>
      </c>
      <c r="N386" s="7" t="str">
        <f>IF(C386="Ionizador", "Trimestral", IF(C386="Rack", "Anual", IF(C386="Mesa", "Anual", IF(C386="Tapete", "Semestral", IF(C386="Cautín", "Semestral", IF(C386="Silla", "Semestral", "Anual"))))))</f>
        <v>Anual</v>
      </c>
      <c r="O386" s="2" t="str">
        <f t="shared" ca="1" si="53"/>
        <v>VIGENTE</v>
      </c>
      <c r="P386" s="6" t="s">
        <v>25</v>
      </c>
      <c r="Q386" s="2"/>
    </row>
    <row r="387" spans="1:17" x14ac:dyDescent="0.25">
      <c r="A387" s="23" t="s">
        <v>454</v>
      </c>
      <c r="B387" s="2" t="s">
        <v>599</v>
      </c>
      <c r="C387" s="3" t="s">
        <v>28</v>
      </c>
      <c r="D387" s="3" t="s">
        <v>23</v>
      </c>
      <c r="E387" s="2" t="s">
        <v>24</v>
      </c>
      <c r="F387" s="4">
        <v>0</v>
      </c>
      <c r="G387" s="8">
        <f t="shared" si="55"/>
        <v>1000000000</v>
      </c>
      <c r="H387" s="4" t="str">
        <f t="shared" si="56"/>
        <v>Ohms</v>
      </c>
      <c r="I387" s="14">
        <v>19700</v>
      </c>
      <c r="J387" s="6" t="str">
        <f t="shared" si="57"/>
        <v>Ohms</v>
      </c>
      <c r="K387" s="2" t="str">
        <f t="shared" si="58"/>
        <v>RTG</v>
      </c>
      <c r="L387" s="7">
        <v>45960</v>
      </c>
      <c r="M387" s="7">
        <f t="shared" si="54"/>
        <v>46325</v>
      </c>
      <c r="N387" s="7" t="str">
        <f>IF(C387="Ionizador", "Trimestral", IF(C387="Rack", "Anual", IF(C387="Mesa", "Anual", IF(C387="Tapete", "Semestral", IF(C387="Cautín", "Semestral", IF(C387="Silla", "Semestral", "Anual"))))))</f>
        <v>Anual</v>
      </c>
      <c r="O387" s="2" t="str">
        <f t="shared" ca="1" si="53"/>
        <v>VIGENTE</v>
      </c>
      <c r="P387" s="6" t="s">
        <v>25</v>
      </c>
      <c r="Q387" s="2"/>
    </row>
    <row r="388" spans="1:17" x14ac:dyDescent="0.25">
      <c r="A388" s="23" t="s">
        <v>454</v>
      </c>
      <c r="B388" s="6" t="s">
        <v>653</v>
      </c>
      <c r="C388" s="3" t="s">
        <v>28</v>
      </c>
      <c r="D388" s="3" t="s">
        <v>23</v>
      </c>
      <c r="E388" s="2" t="s">
        <v>24</v>
      </c>
      <c r="F388" s="4">
        <v>0</v>
      </c>
      <c r="G388" s="8">
        <f t="shared" si="55"/>
        <v>1000000000</v>
      </c>
      <c r="H388" s="4" t="str">
        <f t="shared" si="56"/>
        <v>Ohms</v>
      </c>
      <c r="I388" s="14">
        <v>4040000</v>
      </c>
      <c r="J388" s="6" t="str">
        <f t="shared" si="57"/>
        <v>Ohms</v>
      </c>
      <c r="K388" s="2" t="str">
        <f t="shared" si="58"/>
        <v>RTG</v>
      </c>
      <c r="L388" s="7">
        <v>45728</v>
      </c>
      <c r="M388" s="7">
        <f t="shared" si="54"/>
        <v>46093</v>
      </c>
      <c r="N388" s="7" t="str">
        <f>IF(C388="Ionizador", "Trimestral", IF(C388="Rack", "Anual", IF(C388="Mesa", "Anual", IF(C388="Tapete", "Semestral", IF(C388="Cautín", "Semestral", IF(C388="Silla", "Semestral", "Anual"))))))</f>
        <v>Anual</v>
      </c>
      <c r="O388" s="2" t="str">
        <f t="shared" ca="1" si="53"/>
        <v>VENCIDO</v>
      </c>
      <c r="P388" s="6" t="s">
        <v>25</v>
      </c>
      <c r="Q388" s="2" t="s">
        <v>29</v>
      </c>
    </row>
    <row r="389" spans="1:17" x14ac:dyDescent="0.25">
      <c r="A389" s="23" t="s">
        <v>456</v>
      </c>
      <c r="B389" s="2" t="s">
        <v>457</v>
      </c>
      <c r="C389" s="3" t="s">
        <v>28</v>
      </c>
      <c r="D389" s="3" t="s">
        <v>23</v>
      </c>
      <c r="E389" s="2" t="s">
        <v>24</v>
      </c>
      <c r="F389" s="4">
        <v>0</v>
      </c>
      <c r="G389" s="8">
        <f t="shared" si="55"/>
        <v>1000000000</v>
      </c>
      <c r="H389" s="4" t="str">
        <f t="shared" si="56"/>
        <v>Ohms</v>
      </c>
      <c r="I389" s="14">
        <v>1000</v>
      </c>
      <c r="J389" s="6" t="str">
        <f t="shared" si="57"/>
        <v>Ohms</v>
      </c>
      <c r="K389" s="2" t="str">
        <f t="shared" si="58"/>
        <v>RTG</v>
      </c>
      <c r="L389" s="7">
        <v>46072</v>
      </c>
      <c r="M389" s="7">
        <f t="shared" si="54"/>
        <v>46437</v>
      </c>
      <c r="N389" s="7" t="str">
        <f>IF(C389="Ionizador", "Trimestral", IF(C389="Rack", "Anual", IF(C389="Mesa", "Anual", IF(C389="Tapete", "Semestral", IF(C389="Cautín", "Semestral", IF(C389="Silla", "Semestral", "Anual"))))))</f>
        <v>Anual</v>
      </c>
      <c r="O389" s="2" t="str">
        <f t="shared" ca="1" si="53"/>
        <v>VIGENTE</v>
      </c>
      <c r="P389" s="6" t="s">
        <v>25</v>
      </c>
      <c r="Q389" s="2"/>
    </row>
    <row r="390" spans="1:17" x14ac:dyDescent="0.25">
      <c r="A390" s="23" t="s">
        <v>456</v>
      </c>
      <c r="B390" s="2" t="s">
        <v>521</v>
      </c>
      <c r="C390" s="3" t="s">
        <v>28</v>
      </c>
      <c r="D390" s="3" t="s">
        <v>23</v>
      </c>
      <c r="E390" s="2" t="s">
        <v>24</v>
      </c>
      <c r="F390" s="4">
        <v>0</v>
      </c>
      <c r="G390" s="8">
        <f t="shared" si="55"/>
        <v>1000000000</v>
      </c>
      <c r="H390" s="4" t="str">
        <f t="shared" si="56"/>
        <v>Ohms</v>
      </c>
      <c r="I390" s="14">
        <v>81700000</v>
      </c>
      <c r="J390" s="6" t="str">
        <f t="shared" si="57"/>
        <v>Ohms</v>
      </c>
      <c r="K390" s="2" t="str">
        <f t="shared" si="58"/>
        <v>RTG</v>
      </c>
      <c r="L390" s="7">
        <v>46104</v>
      </c>
      <c r="M390" s="7">
        <f t="shared" si="54"/>
        <v>46284</v>
      </c>
      <c r="N390" s="7" t="str">
        <f>IF(C390="Ionizador", "Trimestral", IF(C390="Rack", "Semestral", IF(C390="Mesa", "Semestral", IF(C390="Tapete", "Semestral", IF(C390="Cautín", "Semestral", IF(C390="Silla", "Semestral", "Anual"))))))</f>
        <v>Semestral</v>
      </c>
      <c r="O390" s="2" t="str">
        <f t="shared" ca="1" si="53"/>
        <v>VIGENTE</v>
      </c>
      <c r="P390" s="6"/>
      <c r="Q390" s="2"/>
    </row>
    <row r="391" spans="1:17" x14ac:dyDescent="0.25">
      <c r="A391" s="23" t="s">
        <v>456</v>
      </c>
      <c r="B391" s="2" t="s">
        <v>522</v>
      </c>
      <c r="C391" s="3" t="s">
        <v>28</v>
      </c>
      <c r="D391" s="3" t="s">
        <v>23</v>
      </c>
      <c r="E391" s="2" t="s">
        <v>24</v>
      </c>
      <c r="F391" s="4">
        <v>0</v>
      </c>
      <c r="G391" s="8">
        <f t="shared" si="55"/>
        <v>1000000000</v>
      </c>
      <c r="H391" s="4" t="str">
        <f t="shared" si="56"/>
        <v>Ohms</v>
      </c>
      <c r="I391" s="14">
        <v>7140000</v>
      </c>
      <c r="J391" s="6" t="str">
        <f t="shared" si="57"/>
        <v>Ohms</v>
      </c>
      <c r="K391" s="2" t="str">
        <f t="shared" si="58"/>
        <v>RTG</v>
      </c>
      <c r="L391" s="7">
        <v>46104</v>
      </c>
      <c r="M391" s="7">
        <f t="shared" si="54"/>
        <v>46284</v>
      </c>
      <c r="N391" s="7" t="str">
        <f>IF(C391="Ionizador", "Trimestral", IF(C391="Rack", "Semestral", IF(C391="Mesa", "Semestral", IF(C391="Tapete", "Semestral", IF(C391="Cautín", "Semestral", IF(C391="Silla", "Semestral", "Anual"))))))</f>
        <v>Semestral</v>
      </c>
      <c r="O391" s="2" t="str">
        <f t="shared" ca="1" si="53"/>
        <v>VIGENTE</v>
      </c>
      <c r="P391" s="6"/>
      <c r="Q391" s="2"/>
    </row>
    <row r="392" spans="1:17" x14ac:dyDescent="0.25">
      <c r="A392" s="23" t="s">
        <v>456</v>
      </c>
      <c r="B392" s="2" t="s">
        <v>532</v>
      </c>
      <c r="C392" s="3" t="s">
        <v>28</v>
      </c>
      <c r="D392" s="3" t="s">
        <v>23</v>
      </c>
      <c r="E392" s="2" t="s">
        <v>24</v>
      </c>
      <c r="F392" s="4">
        <v>0</v>
      </c>
      <c r="G392" s="8">
        <f t="shared" si="55"/>
        <v>1000000000</v>
      </c>
      <c r="H392" s="4" t="str">
        <f t="shared" si="56"/>
        <v>Ohms</v>
      </c>
      <c r="I392" s="6">
        <v>1000</v>
      </c>
      <c r="J392" s="6" t="str">
        <f t="shared" si="57"/>
        <v>Ohms</v>
      </c>
      <c r="K392" s="2" t="str">
        <f t="shared" si="58"/>
        <v>RTG</v>
      </c>
      <c r="L392" s="7">
        <v>45845</v>
      </c>
      <c r="M392" s="7">
        <f t="shared" si="54"/>
        <v>46210</v>
      </c>
      <c r="N392" s="7" t="str">
        <f t="shared" ref="N392:N398" si="60">IF(C392="Ionizador", "Trimestral", IF(C392="Rack", "Anual", IF(C392="Mesa", "Anual", IF(C392="Tapete", "Semestral", IF(C392="Cautín", "Semestral", IF(C392="Silla", "Semestral", "Anual"))))))</f>
        <v>Anual</v>
      </c>
      <c r="O392" s="2" t="str">
        <f t="shared" ca="1" si="53"/>
        <v>VIGENTE</v>
      </c>
      <c r="P392" s="6" t="s">
        <v>25</v>
      </c>
      <c r="Q392" s="2" t="s">
        <v>29</v>
      </c>
    </row>
    <row r="393" spans="1:17" x14ac:dyDescent="0.25">
      <c r="A393" s="23" t="s">
        <v>456</v>
      </c>
      <c r="B393" s="2" t="s">
        <v>536</v>
      </c>
      <c r="C393" s="3" t="s">
        <v>28</v>
      </c>
      <c r="D393" s="3" t="s">
        <v>23</v>
      </c>
      <c r="E393" s="2" t="s">
        <v>24</v>
      </c>
      <c r="F393" s="4">
        <v>0</v>
      </c>
      <c r="G393" s="8">
        <f t="shared" si="55"/>
        <v>1000000000</v>
      </c>
      <c r="H393" s="4" t="str">
        <f t="shared" si="56"/>
        <v>Ohms</v>
      </c>
      <c r="I393" s="6">
        <v>1000</v>
      </c>
      <c r="J393" s="6" t="str">
        <f t="shared" si="57"/>
        <v>Ohms</v>
      </c>
      <c r="K393" s="2" t="str">
        <f t="shared" si="58"/>
        <v>RTG</v>
      </c>
      <c r="L393" s="7">
        <v>45845</v>
      </c>
      <c r="M393" s="7">
        <f t="shared" si="54"/>
        <v>46210</v>
      </c>
      <c r="N393" s="7" t="str">
        <f t="shared" si="60"/>
        <v>Anual</v>
      </c>
      <c r="O393" s="2" t="str">
        <f t="shared" ca="1" si="53"/>
        <v>VIGENTE</v>
      </c>
      <c r="P393" s="6" t="s">
        <v>25</v>
      </c>
      <c r="Q393" s="2" t="s">
        <v>29</v>
      </c>
    </row>
    <row r="394" spans="1:17" x14ac:dyDescent="0.25">
      <c r="A394" s="23" t="s">
        <v>456</v>
      </c>
      <c r="B394" s="2" t="s">
        <v>540</v>
      </c>
      <c r="C394" s="3" t="s">
        <v>28</v>
      </c>
      <c r="D394" s="3" t="s">
        <v>23</v>
      </c>
      <c r="E394" s="2" t="s">
        <v>24</v>
      </c>
      <c r="F394" s="4">
        <v>0</v>
      </c>
      <c r="G394" s="8">
        <f t="shared" si="55"/>
        <v>1000000000</v>
      </c>
      <c r="H394" s="4" t="str">
        <f t="shared" si="56"/>
        <v>Ohms</v>
      </c>
      <c r="I394" s="6">
        <v>1000</v>
      </c>
      <c r="J394" s="6" t="str">
        <f t="shared" si="57"/>
        <v>Ohms</v>
      </c>
      <c r="K394" s="2" t="str">
        <f t="shared" si="58"/>
        <v>RTG</v>
      </c>
      <c r="L394" s="7">
        <v>45845</v>
      </c>
      <c r="M394" s="7">
        <f t="shared" si="54"/>
        <v>46210</v>
      </c>
      <c r="N394" s="7" t="str">
        <f t="shared" si="60"/>
        <v>Anual</v>
      </c>
      <c r="O394" s="2" t="str">
        <f t="shared" ca="1" si="53"/>
        <v>VIGENTE</v>
      </c>
      <c r="P394" s="6" t="s">
        <v>25</v>
      </c>
      <c r="Q394" s="2" t="s">
        <v>29</v>
      </c>
    </row>
    <row r="395" spans="1:17" x14ac:dyDescent="0.25">
      <c r="A395" s="23" t="s">
        <v>456</v>
      </c>
      <c r="B395" s="2" t="s">
        <v>543</v>
      </c>
      <c r="C395" s="3" t="s">
        <v>28</v>
      </c>
      <c r="D395" s="3" t="s">
        <v>23</v>
      </c>
      <c r="E395" s="2" t="s">
        <v>24</v>
      </c>
      <c r="F395" s="4">
        <v>0</v>
      </c>
      <c r="G395" s="8">
        <f t="shared" si="55"/>
        <v>1000000000</v>
      </c>
      <c r="H395" s="4" t="str">
        <f t="shared" si="56"/>
        <v>Ohms</v>
      </c>
      <c r="I395" s="6">
        <v>1000</v>
      </c>
      <c r="J395" s="6" t="str">
        <f t="shared" si="57"/>
        <v>Ohms</v>
      </c>
      <c r="K395" s="2" t="str">
        <f t="shared" si="58"/>
        <v>RTG</v>
      </c>
      <c r="L395" s="7">
        <v>45845</v>
      </c>
      <c r="M395" s="7">
        <f t="shared" si="54"/>
        <v>46210</v>
      </c>
      <c r="N395" s="7" t="str">
        <f t="shared" si="60"/>
        <v>Anual</v>
      </c>
      <c r="O395" s="2" t="str">
        <f t="shared" ca="1" si="53"/>
        <v>VIGENTE</v>
      </c>
      <c r="P395" s="6" t="s">
        <v>25</v>
      </c>
      <c r="Q395" s="2" t="s">
        <v>29</v>
      </c>
    </row>
    <row r="396" spans="1:17" x14ac:dyDescent="0.25">
      <c r="A396" s="23" t="s">
        <v>456</v>
      </c>
      <c r="B396" s="2" t="s">
        <v>582</v>
      </c>
      <c r="C396" s="3" t="s">
        <v>28</v>
      </c>
      <c r="D396" s="3" t="s">
        <v>23</v>
      </c>
      <c r="E396" s="2" t="s">
        <v>24</v>
      </c>
      <c r="F396" s="4">
        <v>0</v>
      </c>
      <c r="G396" s="8">
        <f t="shared" si="55"/>
        <v>1000000000</v>
      </c>
      <c r="H396" s="4" t="str">
        <f t="shared" si="56"/>
        <v>Ohms</v>
      </c>
      <c r="I396" s="6">
        <v>2250000</v>
      </c>
      <c r="J396" s="6" t="str">
        <f t="shared" si="57"/>
        <v>Ohms</v>
      </c>
      <c r="K396" s="2" t="str">
        <f t="shared" si="58"/>
        <v>RTG</v>
      </c>
      <c r="L396" s="7">
        <v>45728</v>
      </c>
      <c r="M396" s="7">
        <f t="shared" si="54"/>
        <v>46093</v>
      </c>
      <c r="N396" s="7" t="str">
        <f t="shared" si="60"/>
        <v>Anual</v>
      </c>
      <c r="O396" s="2" t="str">
        <f t="shared" ca="1" si="53"/>
        <v>VENCIDO</v>
      </c>
      <c r="P396" s="6" t="s">
        <v>25</v>
      </c>
      <c r="Q396" s="2" t="s">
        <v>29</v>
      </c>
    </row>
    <row r="397" spans="1:17" x14ac:dyDescent="0.25">
      <c r="A397" s="23" t="s">
        <v>456</v>
      </c>
      <c r="B397" s="2" t="s">
        <v>593</v>
      </c>
      <c r="C397" s="3" t="s">
        <v>28</v>
      </c>
      <c r="D397" s="3" t="s">
        <v>23</v>
      </c>
      <c r="E397" s="2" t="s">
        <v>24</v>
      </c>
      <c r="F397" s="4">
        <v>0</v>
      </c>
      <c r="G397" s="8">
        <f t="shared" si="55"/>
        <v>1000000000</v>
      </c>
      <c r="H397" s="4" t="str">
        <f t="shared" si="56"/>
        <v>Ohms</v>
      </c>
      <c r="I397" s="14">
        <v>96700</v>
      </c>
      <c r="J397" s="6" t="str">
        <f t="shared" si="57"/>
        <v>Ohms</v>
      </c>
      <c r="K397" s="2" t="str">
        <f t="shared" si="58"/>
        <v>RTG</v>
      </c>
      <c r="L397" s="7">
        <v>45960</v>
      </c>
      <c r="M397" s="7">
        <f t="shared" si="54"/>
        <v>46325</v>
      </c>
      <c r="N397" s="7" t="str">
        <f t="shared" si="60"/>
        <v>Anual</v>
      </c>
      <c r="O397" s="2" t="str">
        <f t="shared" ca="1" si="53"/>
        <v>VIGENTE</v>
      </c>
      <c r="P397" s="6" t="s">
        <v>25</v>
      </c>
      <c r="Q397" s="2"/>
    </row>
    <row r="398" spans="1:17" x14ac:dyDescent="0.25">
      <c r="A398" s="23" t="s">
        <v>456</v>
      </c>
      <c r="B398" s="2" t="s">
        <v>600</v>
      </c>
      <c r="C398" s="3" t="s">
        <v>28</v>
      </c>
      <c r="D398" s="3" t="s">
        <v>23</v>
      </c>
      <c r="E398" s="2" t="s">
        <v>24</v>
      </c>
      <c r="F398" s="4">
        <v>0</v>
      </c>
      <c r="G398" s="8">
        <f t="shared" si="55"/>
        <v>1000000000</v>
      </c>
      <c r="H398" s="4" t="str">
        <f t="shared" si="56"/>
        <v>Ohms</v>
      </c>
      <c r="I398" s="14">
        <v>78100</v>
      </c>
      <c r="J398" s="6" t="str">
        <f t="shared" si="57"/>
        <v>Ohms</v>
      </c>
      <c r="K398" s="2" t="str">
        <f t="shared" si="58"/>
        <v>RTG</v>
      </c>
      <c r="L398" s="7">
        <v>45960</v>
      </c>
      <c r="M398" s="7">
        <f t="shared" si="54"/>
        <v>46325</v>
      </c>
      <c r="N398" s="7" t="str">
        <f t="shared" si="60"/>
        <v>Anual</v>
      </c>
      <c r="O398" s="2" t="str">
        <f t="shared" ca="1" si="53"/>
        <v>VIGENTE</v>
      </c>
      <c r="P398" s="6" t="s">
        <v>25</v>
      </c>
      <c r="Q398" s="2"/>
    </row>
    <row r="399" spans="1:17" x14ac:dyDescent="0.25">
      <c r="A399" s="23" t="s">
        <v>456</v>
      </c>
      <c r="B399" s="2" t="s">
        <v>621</v>
      </c>
      <c r="C399" s="3" t="s">
        <v>28</v>
      </c>
      <c r="D399" s="3" t="s">
        <v>23</v>
      </c>
      <c r="E399" s="2" t="s">
        <v>24</v>
      </c>
      <c r="F399" s="4">
        <v>0</v>
      </c>
      <c r="G399" s="8">
        <f t="shared" si="55"/>
        <v>1000000000</v>
      </c>
      <c r="H399" s="4" t="str">
        <f t="shared" si="56"/>
        <v>Ohms</v>
      </c>
      <c r="I399" s="6">
        <v>96700</v>
      </c>
      <c r="J399" s="6" t="str">
        <f t="shared" si="57"/>
        <v>Ohms</v>
      </c>
      <c r="K399" s="2" t="str">
        <f t="shared" si="58"/>
        <v>RTG</v>
      </c>
      <c r="L399" s="7">
        <v>45960</v>
      </c>
      <c r="M399" s="7">
        <f t="shared" si="54"/>
        <v>46140</v>
      </c>
      <c r="N399" s="7" t="str">
        <f>IF(C399="Ionizador", "Trimestral", IF(C399="Rack", "Semestral", IF(C399="Mesa", "Semestral", IF(C399="Tapete", "Semestral", IF(C399="Cautín", "Semestral", IF(C399="Silla", "Semestral", "Anual"))))))</f>
        <v>Semestral</v>
      </c>
      <c r="O399" s="2" t="str">
        <f t="shared" ca="1" si="53"/>
        <v>VIGENTE</v>
      </c>
      <c r="P399" s="6"/>
      <c r="Q399" s="2"/>
    </row>
    <row r="400" spans="1:17" x14ac:dyDescent="0.25">
      <c r="A400" s="23" t="s">
        <v>456</v>
      </c>
      <c r="B400" s="2" t="s">
        <v>622</v>
      </c>
      <c r="C400" s="3" t="s">
        <v>28</v>
      </c>
      <c r="D400" s="3" t="s">
        <v>23</v>
      </c>
      <c r="E400" s="2" t="s">
        <v>24</v>
      </c>
      <c r="F400" s="4">
        <v>0</v>
      </c>
      <c r="G400" s="8">
        <f t="shared" si="55"/>
        <v>1000000000</v>
      </c>
      <c r="H400" s="4" t="str">
        <f t="shared" si="56"/>
        <v>Ohms</v>
      </c>
      <c r="I400" s="6">
        <v>78100</v>
      </c>
      <c r="J400" s="6" t="str">
        <f t="shared" si="57"/>
        <v>Ohms</v>
      </c>
      <c r="K400" s="2" t="str">
        <f t="shared" si="58"/>
        <v>RTG</v>
      </c>
      <c r="L400" s="7">
        <v>45960</v>
      </c>
      <c r="M400" s="7">
        <f t="shared" si="54"/>
        <v>46140</v>
      </c>
      <c r="N400" s="7" t="str">
        <f>IF(C400="Ionizador", "Trimestral", IF(C400="Rack", "Semestral", IF(C400="Mesa", "Semestral", IF(C400="Tapete", "Semestral", IF(C400="Cautín", "Semestral", IF(C400="Silla", "Semestral", "Anual"))))))</f>
        <v>Semestral</v>
      </c>
      <c r="O400" s="2" t="str">
        <f t="shared" ca="1" si="53"/>
        <v>VIGENTE</v>
      </c>
      <c r="P400" s="6"/>
      <c r="Q400" s="2"/>
    </row>
    <row r="401" spans="1:17" x14ac:dyDescent="0.25">
      <c r="A401" s="23" t="s">
        <v>456</v>
      </c>
      <c r="B401" s="2" t="s">
        <v>626</v>
      </c>
      <c r="C401" s="3" t="s">
        <v>28</v>
      </c>
      <c r="D401" s="3" t="s">
        <v>23</v>
      </c>
      <c r="E401" s="2" t="s">
        <v>24</v>
      </c>
      <c r="F401" s="4">
        <v>0</v>
      </c>
      <c r="G401" s="8">
        <f t="shared" si="55"/>
        <v>1000000000</v>
      </c>
      <c r="H401" s="4" t="str">
        <f t="shared" si="56"/>
        <v>Ohms</v>
      </c>
      <c r="I401" s="6">
        <v>34500000</v>
      </c>
      <c r="J401" s="6" t="str">
        <f t="shared" si="57"/>
        <v>Ohms</v>
      </c>
      <c r="K401" s="2" t="str">
        <f t="shared" si="58"/>
        <v>RTG</v>
      </c>
      <c r="L401" s="7">
        <v>45728</v>
      </c>
      <c r="M401" s="7">
        <f t="shared" si="54"/>
        <v>46093</v>
      </c>
      <c r="N401" s="7" t="str">
        <f>IF(C401="Ionizador", "Trimestral", IF(C401="Rack", "Anual", IF(C401="Mesa", "Anual", IF(C401="Tapete", "Semestral", IF(C401="Cautín", "Semestral", IF(C401="Silla", "Semestral", "Anual"))))))</f>
        <v>Anual</v>
      </c>
      <c r="O401" s="2" t="str">
        <f t="shared" ca="1" si="53"/>
        <v>VENCIDO</v>
      </c>
      <c r="P401" s="6" t="s">
        <v>25</v>
      </c>
      <c r="Q401" s="2" t="s">
        <v>29</v>
      </c>
    </row>
    <row r="402" spans="1:17" x14ac:dyDescent="0.25">
      <c r="A402" s="23" t="s">
        <v>456</v>
      </c>
      <c r="B402" s="2" t="s">
        <v>654</v>
      </c>
      <c r="C402" s="3" t="s">
        <v>28</v>
      </c>
      <c r="D402" s="3" t="s">
        <v>23</v>
      </c>
      <c r="E402" s="2" t="s">
        <v>24</v>
      </c>
      <c r="F402" s="4">
        <v>0</v>
      </c>
      <c r="G402" s="8">
        <f t="shared" si="55"/>
        <v>1000000000</v>
      </c>
      <c r="H402" s="4" t="str">
        <f t="shared" si="56"/>
        <v>Ohms</v>
      </c>
      <c r="I402" s="14">
        <v>290000000</v>
      </c>
      <c r="J402" s="6" t="str">
        <f t="shared" si="57"/>
        <v>Ohms</v>
      </c>
      <c r="K402" s="2" t="str">
        <f t="shared" si="58"/>
        <v>RTG</v>
      </c>
      <c r="L402" s="7">
        <v>45728</v>
      </c>
      <c r="M402" s="7">
        <f t="shared" si="54"/>
        <v>46093</v>
      </c>
      <c r="N402" s="7" t="str">
        <f>IF(C402="Ionizador", "Trimestral", IF(C402="Rack", "Anual", IF(C402="Mesa", "Anual", IF(C402="Tapete", "Semestral", IF(C402="Cautín", "Semestral", IF(C402="Silla", "Semestral", "Anual"))))))</f>
        <v>Anual</v>
      </c>
      <c r="O402" s="2" t="str">
        <f t="shared" ca="1" si="53"/>
        <v>VENCIDO</v>
      </c>
      <c r="P402" s="6" t="s">
        <v>25</v>
      </c>
      <c r="Q402" s="2" t="s">
        <v>29</v>
      </c>
    </row>
    <row r="403" spans="1:17" x14ac:dyDescent="0.25">
      <c r="A403" s="23" t="s">
        <v>523</v>
      </c>
      <c r="B403" s="2" t="s">
        <v>524</v>
      </c>
      <c r="C403" s="3" t="s">
        <v>28</v>
      </c>
      <c r="D403" s="3" t="s">
        <v>23</v>
      </c>
      <c r="E403" s="2" t="s">
        <v>24</v>
      </c>
      <c r="F403" s="4">
        <v>0</v>
      </c>
      <c r="G403" s="8">
        <f t="shared" si="55"/>
        <v>1000000000</v>
      </c>
      <c r="H403" s="4" t="str">
        <f t="shared" si="56"/>
        <v>Ohms</v>
      </c>
      <c r="I403" s="14">
        <v>34900000</v>
      </c>
      <c r="J403" s="6" t="str">
        <f t="shared" si="57"/>
        <v>Ohms</v>
      </c>
      <c r="K403" s="2" t="str">
        <f t="shared" si="58"/>
        <v>RTG</v>
      </c>
      <c r="L403" s="7">
        <v>46104</v>
      </c>
      <c r="M403" s="7">
        <f t="shared" si="54"/>
        <v>46284</v>
      </c>
      <c r="N403" s="7" t="str">
        <f>IF(C403="Ionizador", "Trimestral", IF(C403="Rack", "Semestral", IF(C403="Mesa", "Semestral", IF(C403="Tapete", "Semestral", IF(C403="Cautín", "Semestral", IF(C403="Silla", "Semestral", "Anual"))))))</f>
        <v>Semestral</v>
      </c>
      <c r="O403" s="2" t="str">
        <f t="shared" ca="1" si="53"/>
        <v>VIGENTE</v>
      </c>
      <c r="P403" s="6"/>
      <c r="Q403" s="2"/>
    </row>
    <row r="404" spans="1:17" x14ac:dyDescent="0.25">
      <c r="A404" s="23" t="s">
        <v>523</v>
      </c>
      <c r="B404" s="2" t="s">
        <v>583</v>
      </c>
      <c r="C404" s="3" t="s">
        <v>28</v>
      </c>
      <c r="D404" s="3" t="s">
        <v>23</v>
      </c>
      <c r="E404" s="2" t="s">
        <v>24</v>
      </c>
      <c r="F404" s="4">
        <v>0</v>
      </c>
      <c r="G404" s="8">
        <f t="shared" si="55"/>
        <v>1000000000</v>
      </c>
      <c r="H404" s="4" t="str">
        <f t="shared" si="56"/>
        <v>Ohms</v>
      </c>
      <c r="I404" s="6">
        <v>827000</v>
      </c>
      <c r="J404" s="6" t="str">
        <f t="shared" si="57"/>
        <v>Ohms</v>
      </c>
      <c r="K404" s="2" t="str">
        <f t="shared" si="58"/>
        <v>RTG</v>
      </c>
      <c r="L404" s="7">
        <v>45728</v>
      </c>
      <c r="M404" s="7">
        <f t="shared" si="54"/>
        <v>46093</v>
      </c>
      <c r="N404" s="7" t="str">
        <f>IF(C404="Ionizador", "Trimestral", IF(C404="Rack", "Anual", IF(C404="Mesa", "Anual", IF(C404="Tapete", "Semestral", IF(C404="Cautín", "Semestral", IF(C404="Silla", "Semestral", "Anual"))))))</f>
        <v>Anual</v>
      </c>
      <c r="O404" s="2" t="str">
        <f t="shared" ca="1" si="53"/>
        <v>VENCIDO</v>
      </c>
      <c r="P404" s="6" t="s">
        <v>25</v>
      </c>
      <c r="Q404" s="2" t="s">
        <v>29</v>
      </c>
    </row>
    <row r="405" spans="1:17" x14ac:dyDescent="0.25">
      <c r="A405" s="23" t="s">
        <v>523</v>
      </c>
      <c r="B405" s="2" t="s">
        <v>594</v>
      </c>
      <c r="C405" s="3" t="s">
        <v>28</v>
      </c>
      <c r="D405" s="3" t="s">
        <v>23</v>
      </c>
      <c r="E405" s="2" t="s">
        <v>24</v>
      </c>
      <c r="F405" s="4">
        <v>0</v>
      </c>
      <c r="G405" s="8">
        <f t="shared" si="55"/>
        <v>1000000000</v>
      </c>
      <c r="H405" s="4" t="str">
        <f t="shared" si="56"/>
        <v>Ohms</v>
      </c>
      <c r="I405" s="14">
        <v>24400</v>
      </c>
      <c r="J405" s="6" t="str">
        <f t="shared" si="57"/>
        <v>Ohms</v>
      </c>
      <c r="K405" s="2" t="str">
        <f t="shared" si="58"/>
        <v>RTG</v>
      </c>
      <c r="L405" s="7">
        <v>45960</v>
      </c>
      <c r="M405" s="7">
        <f t="shared" si="54"/>
        <v>46325</v>
      </c>
      <c r="N405" s="7" t="str">
        <f>IF(C405="Ionizador", "Trimestral", IF(C405="Rack", "Anual", IF(C405="Mesa", "Anual", IF(C405="Tapete", "Semestral", IF(C405="Cautín", "Semestral", IF(C405="Silla", "Semestral", "Anual"))))))</f>
        <v>Anual</v>
      </c>
      <c r="O405" s="2" t="str">
        <f t="shared" ca="1" si="53"/>
        <v>VIGENTE</v>
      </c>
      <c r="P405" s="6" t="s">
        <v>25</v>
      </c>
      <c r="Q405" s="2"/>
    </row>
    <row r="406" spans="1:17" x14ac:dyDescent="0.25">
      <c r="A406" s="23" t="s">
        <v>523</v>
      </c>
      <c r="B406" s="2" t="s">
        <v>601</v>
      </c>
      <c r="C406" s="3" t="s">
        <v>28</v>
      </c>
      <c r="D406" s="3" t="s">
        <v>23</v>
      </c>
      <c r="E406" s="2" t="s">
        <v>24</v>
      </c>
      <c r="F406" s="4">
        <v>0</v>
      </c>
      <c r="G406" s="8">
        <f t="shared" si="55"/>
        <v>1000000000</v>
      </c>
      <c r="H406" s="4" t="str">
        <f t="shared" si="56"/>
        <v>Ohms</v>
      </c>
      <c r="I406" s="14">
        <v>37700</v>
      </c>
      <c r="J406" s="6" t="str">
        <f t="shared" si="57"/>
        <v>Ohms</v>
      </c>
      <c r="K406" s="2" t="str">
        <f t="shared" si="58"/>
        <v>RTG</v>
      </c>
      <c r="L406" s="7">
        <v>45960</v>
      </c>
      <c r="M406" s="7">
        <f t="shared" si="54"/>
        <v>46325</v>
      </c>
      <c r="N406" s="7" t="str">
        <f>IF(C406="Ionizador", "Trimestral", IF(C406="Rack", "Anual", IF(C406="Mesa", "Anual", IF(C406="Tapete", "Semestral", IF(C406="Cautín", "Semestral", IF(C406="Silla", "Semestral", "Anual"))))))</f>
        <v>Anual</v>
      </c>
      <c r="O406" s="2" t="str">
        <f t="shared" ca="1" si="53"/>
        <v>VIGENTE</v>
      </c>
      <c r="P406" s="6" t="s">
        <v>25</v>
      </c>
      <c r="Q406" s="2"/>
    </row>
    <row r="407" spans="1:17" x14ac:dyDescent="0.25">
      <c r="A407" s="23" t="s">
        <v>523</v>
      </c>
      <c r="B407" s="2" t="s">
        <v>623</v>
      </c>
      <c r="C407" s="3" t="s">
        <v>28</v>
      </c>
      <c r="D407" s="3" t="s">
        <v>23</v>
      </c>
      <c r="E407" s="2" t="s">
        <v>24</v>
      </c>
      <c r="F407" s="4">
        <v>0</v>
      </c>
      <c r="G407" s="8">
        <f t="shared" si="55"/>
        <v>1000000000</v>
      </c>
      <c r="H407" s="4" t="str">
        <f t="shared" si="56"/>
        <v>Ohms</v>
      </c>
      <c r="I407" s="6">
        <v>24400</v>
      </c>
      <c r="J407" s="6" t="str">
        <f t="shared" si="57"/>
        <v>Ohms</v>
      </c>
      <c r="K407" s="2" t="str">
        <f t="shared" si="58"/>
        <v>RTG</v>
      </c>
      <c r="L407" s="7">
        <v>45960</v>
      </c>
      <c r="M407" s="7">
        <f t="shared" si="54"/>
        <v>46140</v>
      </c>
      <c r="N407" s="7" t="str">
        <f>IF(C407="Ionizador", "Trimestral", IF(C407="Rack", "Semestral", IF(C407="Mesa", "Semestral", IF(C407="Tapete", "Semestral", IF(C407="Cautín", "Semestral", IF(C407="Silla", "Semestral", "Anual"))))))</f>
        <v>Semestral</v>
      </c>
      <c r="O407" s="2" t="str">
        <f t="shared" ca="1" si="53"/>
        <v>VIGENTE</v>
      </c>
      <c r="P407" s="6"/>
      <c r="Q407" s="2"/>
    </row>
    <row r="408" spans="1:17" x14ac:dyDescent="0.25">
      <c r="A408" s="23" t="s">
        <v>523</v>
      </c>
      <c r="B408" s="2" t="s">
        <v>624</v>
      </c>
      <c r="C408" s="3" t="s">
        <v>28</v>
      </c>
      <c r="D408" s="3" t="s">
        <v>23</v>
      </c>
      <c r="E408" s="2" t="s">
        <v>24</v>
      </c>
      <c r="F408" s="4">
        <v>0</v>
      </c>
      <c r="G408" s="8">
        <f t="shared" si="55"/>
        <v>1000000000</v>
      </c>
      <c r="H408" s="4" t="str">
        <f t="shared" si="56"/>
        <v>Ohms</v>
      </c>
      <c r="I408" s="6">
        <v>37700</v>
      </c>
      <c r="J408" s="6" t="str">
        <f t="shared" si="57"/>
        <v>Ohms</v>
      </c>
      <c r="K408" s="2" t="str">
        <f t="shared" si="58"/>
        <v>RTG</v>
      </c>
      <c r="L408" s="7">
        <v>45960</v>
      </c>
      <c r="M408" s="7">
        <f t="shared" si="54"/>
        <v>46140</v>
      </c>
      <c r="N408" s="7" t="str">
        <f>IF(C408="Ionizador", "Trimestral", IF(C408="Rack", "Semestral", IF(C408="Mesa", "Semestral", IF(C408="Tapete", "Semestral", IF(C408="Cautín", "Semestral", IF(C408="Silla", "Semestral", "Anual"))))))</f>
        <v>Semestral</v>
      </c>
      <c r="O408" s="2" t="str">
        <f t="shared" ca="1" si="53"/>
        <v>VIGENTE</v>
      </c>
      <c r="P408" s="6"/>
      <c r="Q408" s="2"/>
    </row>
    <row r="409" spans="1:17" x14ac:dyDescent="0.25">
      <c r="A409" s="23" t="s">
        <v>523</v>
      </c>
      <c r="B409" s="2" t="s">
        <v>627</v>
      </c>
      <c r="C409" s="3" t="s">
        <v>28</v>
      </c>
      <c r="D409" s="3" t="s">
        <v>23</v>
      </c>
      <c r="E409" s="2" t="s">
        <v>24</v>
      </c>
      <c r="F409" s="4">
        <v>0</v>
      </c>
      <c r="G409" s="8">
        <f t="shared" si="55"/>
        <v>1000000000</v>
      </c>
      <c r="H409" s="4" t="str">
        <f t="shared" si="56"/>
        <v>Ohms</v>
      </c>
      <c r="I409" s="6">
        <v>789000</v>
      </c>
      <c r="J409" s="6" t="str">
        <f t="shared" si="57"/>
        <v>Ohms</v>
      </c>
      <c r="K409" s="2" t="str">
        <f t="shared" si="58"/>
        <v>RTG</v>
      </c>
      <c r="L409" s="7">
        <v>45728</v>
      </c>
      <c r="M409" s="7">
        <f t="shared" si="54"/>
        <v>46093</v>
      </c>
      <c r="N409" s="7" t="str">
        <f>IF(C409="Ionizador", "Trimestral", IF(C409="Rack", "Anual", IF(C409="Mesa", "Anual", IF(C409="Tapete", "Semestral", IF(C409="Cautín", "Semestral", IF(C409="Silla", "Semestral", "Anual"))))))</f>
        <v>Anual</v>
      </c>
      <c r="O409" s="2" t="str">
        <f t="shared" ca="1" si="53"/>
        <v>VENCIDO</v>
      </c>
      <c r="P409" s="6" t="s">
        <v>25</v>
      </c>
      <c r="Q409" s="2" t="s">
        <v>29</v>
      </c>
    </row>
    <row r="410" spans="1:17" x14ac:dyDescent="0.25">
      <c r="A410" s="23" t="s">
        <v>523</v>
      </c>
      <c r="B410" s="2" t="s">
        <v>655</v>
      </c>
      <c r="C410" s="3" t="s">
        <v>28</v>
      </c>
      <c r="D410" s="3" t="s">
        <v>23</v>
      </c>
      <c r="E410" s="2" t="s">
        <v>24</v>
      </c>
      <c r="F410" s="4">
        <v>0</v>
      </c>
      <c r="G410" s="8">
        <f t="shared" si="55"/>
        <v>1000000000</v>
      </c>
      <c r="H410" s="4" t="str">
        <f t="shared" si="56"/>
        <v>Ohms</v>
      </c>
      <c r="I410" s="14">
        <v>2150000</v>
      </c>
      <c r="J410" s="6" t="str">
        <f t="shared" si="57"/>
        <v>Ohms</v>
      </c>
      <c r="K410" s="2" t="str">
        <f t="shared" si="58"/>
        <v>RTG</v>
      </c>
      <c r="L410" s="7">
        <v>45728</v>
      </c>
      <c r="M410" s="7">
        <f t="shared" si="54"/>
        <v>46093</v>
      </c>
      <c r="N410" s="7" t="str">
        <f>IF(C410="Ionizador", "Trimestral", IF(C410="Rack", "Anual", IF(C410="Mesa", "Anual", IF(C410="Tapete", "Semestral", IF(C410="Cautín", "Semestral", IF(C410="Silla", "Semestral", "Anual"))))))</f>
        <v>Anual</v>
      </c>
      <c r="O410" s="2" t="str">
        <f t="shared" ca="1" si="53"/>
        <v>VENCIDO</v>
      </c>
      <c r="P410" s="6" t="s">
        <v>25</v>
      </c>
      <c r="Q410" s="2" t="s">
        <v>29</v>
      </c>
    </row>
    <row r="411" spans="1:17" x14ac:dyDescent="0.25">
      <c r="A411" s="23" t="s">
        <v>525</v>
      </c>
      <c r="B411" s="2" t="s">
        <v>526</v>
      </c>
      <c r="C411" s="3" t="s">
        <v>28</v>
      </c>
      <c r="D411" s="3" t="s">
        <v>23</v>
      </c>
      <c r="E411" s="2" t="s">
        <v>24</v>
      </c>
      <c r="F411" s="4">
        <v>0</v>
      </c>
      <c r="G411" s="8">
        <f t="shared" si="55"/>
        <v>1000000000</v>
      </c>
      <c r="H411" s="4" t="str">
        <f t="shared" si="56"/>
        <v>Ohms</v>
      </c>
      <c r="I411" s="14">
        <v>91100000</v>
      </c>
      <c r="J411" s="6" t="str">
        <f t="shared" si="57"/>
        <v>Ohms</v>
      </c>
      <c r="K411" s="2" t="str">
        <f t="shared" si="58"/>
        <v>RTG</v>
      </c>
      <c r="L411" s="7">
        <v>46104</v>
      </c>
      <c r="M411" s="7">
        <f t="shared" si="54"/>
        <v>46284</v>
      </c>
      <c r="N411" s="7" t="str">
        <f>IF(C411="Ionizador", "Trimestral", IF(C411="Rack", "Semestral", IF(C411="Mesa", "Semestral", IF(C411="Tapete", "Semestral", IF(C411="Cautín", "Semestral", IF(C411="Silla", "Semestral", "Anual"))))))</f>
        <v>Semestral</v>
      </c>
      <c r="O411" s="2" t="str">
        <f t="shared" ca="1" si="53"/>
        <v>VIGENTE</v>
      </c>
      <c r="P411" s="6"/>
      <c r="Q411" s="2"/>
    </row>
    <row r="412" spans="1:17" x14ac:dyDescent="0.25">
      <c r="A412" s="23" t="s">
        <v>127</v>
      </c>
      <c r="B412" s="2" t="s">
        <v>128</v>
      </c>
      <c r="C412" s="3" t="s">
        <v>89</v>
      </c>
      <c r="D412" s="3" t="s">
        <v>23</v>
      </c>
      <c r="E412" s="2" t="s">
        <v>24</v>
      </c>
      <c r="F412" s="4">
        <v>0</v>
      </c>
      <c r="G412" s="8">
        <f t="shared" si="55"/>
        <v>1000000000</v>
      </c>
      <c r="H412" s="4" t="str">
        <f t="shared" si="56"/>
        <v>Ohms</v>
      </c>
      <c r="I412" s="6">
        <v>28200000</v>
      </c>
      <c r="J412" s="6" t="str">
        <f t="shared" si="57"/>
        <v>Ohms</v>
      </c>
      <c r="K412" s="2" t="str">
        <f t="shared" si="58"/>
        <v>RTG</v>
      </c>
      <c r="L412" s="7">
        <v>45971</v>
      </c>
      <c r="M412" s="7">
        <f t="shared" si="54"/>
        <v>46336</v>
      </c>
      <c r="N412" s="7" t="str">
        <f t="shared" ref="N412:N443" si="61">IF(C412="Ionizador", "Trimestral", IF(C412="Rack", "Anual", IF(C412="Mesa", "Anual", IF(C412="Tapete", "Semestral", IF(C412="Cautín", "Semestral", IF(C412="Silla", "Semestral", "Anual"))))))</f>
        <v>Anual</v>
      </c>
      <c r="O412" s="2" t="str">
        <f t="shared" ca="1" si="53"/>
        <v>VIGENTE</v>
      </c>
      <c r="P412" s="6" t="s">
        <v>25</v>
      </c>
      <c r="Q412" s="2"/>
    </row>
    <row r="413" spans="1:17" x14ac:dyDescent="0.25">
      <c r="A413" s="23" t="s">
        <v>127</v>
      </c>
      <c r="B413" s="2" t="s">
        <v>129</v>
      </c>
      <c r="C413" s="3" t="s">
        <v>89</v>
      </c>
      <c r="D413" s="3" t="s">
        <v>23</v>
      </c>
      <c r="E413" s="2" t="s">
        <v>24</v>
      </c>
      <c r="F413" s="4">
        <v>0</v>
      </c>
      <c r="G413" s="8">
        <f t="shared" si="55"/>
        <v>1000000000</v>
      </c>
      <c r="H413" s="4" t="str">
        <f t="shared" si="56"/>
        <v>Ohms</v>
      </c>
      <c r="I413" s="6">
        <v>28400000</v>
      </c>
      <c r="J413" s="6" t="str">
        <f t="shared" si="57"/>
        <v>Ohms</v>
      </c>
      <c r="K413" s="2" t="str">
        <f t="shared" si="58"/>
        <v>RTG</v>
      </c>
      <c r="L413" s="7">
        <v>45971</v>
      </c>
      <c r="M413" s="7">
        <f t="shared" si="54"/>
        <v>46336</v>
      </c>
      <c r="N413" s="7" t="str">
        <f t="shared" si="61"/>
        <v>Anual</v>
      </c>
      <c r="O413" s="2" t="str">
        <f t="shared" ca="1" si="53"/>
        <v>VIGENTE</v>
      </c>
      <c r="P413" s="6" t="s">
        <v>25</v>
      </c>
      <c r="Q413" s="2"/>
    </row>
    <row r="414" spans="1:17" x14ac:dyDescent="0.25">
      <c r="A414" s="23" t="s">
        <v>127</v>
      </c>
      <c r="B414" s="2" t="s">
        <v>130</v>
      </c>
      <c r="C414" s="3" t="s">
        <v>89</v>
      </c>
      <c r="D414" s="3" t="s">
        <v>23</v>
      </c>
      <c r="E414" s="2" t="s">
        <v>24</v>
      </c>
      <c r="F414" s="4">
        <v>0</v>
      </c>
      <c r="G414" s="8">
        <f t="shared" si="55"/>
        <v>1000000000</v>
      </c>
      <c r="H414" s="4" t="str">
        <f t="shared" si="56"/>
        <v>Ohms</v>
      </c>
      <c r="I414" s="6">
        <v>28400000</v>
      </c>
      <c r="J414" s="6" t="str">
        <f t="shared" si="57"/>
        <v>Ohms</v>
      </c>
      <c r="K414" s="2" t="str">
        <f t="shared" si="58"/>
        <v>RTG</v>
      </c>
      <c r="L414" s="7">
        <v>45971</v>
      </c>
      <c r="M414" s="7">
        <f t="shared" si="54"/>
        <v>46336</v>
      </c>
      <c r="N414" s="7" t="str">
        <f t="shared" si="61"/>
        <v>Anual</v>
      </c>
      <c r="O414" s="2" t="str">
        <f t="shared" ca="1" si="53"/>
        <v>VIGENTE</v>
      </c>
      <c r="P414" s="6" t="s">
        <v>25</v>
      </c>
      <c r="Q414" s="2"/>
    </row>
    <row r="415" spans="1:17" x14ac:dyDescent="0.25">
      <c r="A415" s="23" t="s">
        <v>127</v>
      </c>
      <c r="B415" s="2" t="s">
        <v>254</v>
      </c>
      <c r="C415" s="3" t="s">
        <v>22</v>
      </c>
      <c r="D415" s="3" t="s">
        <v>23</v>
      </c>
      <c r="E415" s="2" t="s">
        <v>24</v>
      </c>
      <c r="F415" s="4">
        <v>0</v>
      </c>
      <c r="G415" s="8">
        <f t="shared" si="55"/>
        <v>1000000000</v>
      </c>
      <c r="H415" s="4" t="str">
        <f t="shared" si="56"/>
        <v>Ohms</v>
      </c>
      <c r="I415" s="6">
        <v>209000000</v>
      </c>
      <c r="J415" s="6" t="str">
        <f t="shared" si="57"/>
        <v>Ohms</v>
      </c>
      <c r="K415" s="2" t="str">
        <f t="shared" si="58"/>
        <v>RTG</v>
      </c>
      <c r="L415" s="7">
        <v>45971</v>
      </c>
      <c r="M415" s="7">
        <f t="shared" si="54"/>
        <v>46336</v>
      </c>
      <c r="N415" s="7" t="str">
        <f t="shared" si="61"/>
        <v>Anual</v>
      </c>
      <c r="O415" s="2" t="str">
        <f t="shared" ca="1" si="53"/>
        <v>VIGENTE</v>
      </c>
      <c r="P415" s="6" t="s">
        <v>25</v>
      </c>
      <c r="Q415" s="2"/>
    </row>
    <row r="416" spans="1:17" x14ac:dyDescent="0.25">
      <c r="A416" s="23" t="s">
        <v>127</v>
      </c>
      <c r="B416" s="2" t="s">
        <v>255</v>
      </c>
      <c r="C416" s="3" t="s">
        <v>22</v>
      </c>
      <c r="D416" s="3" t="s">
        <v>23</v>
      </c>
      <c r="E416" s="2" t="s">
        <v>24</v>
      </c>
      <c r="F416" s="4">
        <v>0</v>
      </c>
      <c r="G416" s="8">
        <f t="shared" si="55"/>
        <v>1000000000</v>
      </c>
      <c r="H416" s="4" t="str">
        <f t="shared" si="56"/>
        <v>Ohms</v>
      </c>
      <c r="I416" s="6">
        <v>203000000</v>
      </c>
      <c r="J416" s="6" t="str">
        <f t="shared" si="57"/>
        <v>Ohms</v>
      </c>
      <c r="K416" s="2" t="str">
        <f t="shared" si="58"/>
        <v>RTG</v>
      </c>
      <c r="L416" s="7">
        <v>45971</v>
      </c>
      <c r="M416" s="7">
        <f t="shared" si="54"/>
        <v>46336</v>
      </c>
      <c r="N416" s="7" t="str">
        <f t="shared" si="61"/>
        <v>Anual</v>
      </c>
      <c r="O416" s="2" t="str">
        <f t="shared" ca="1" si="53"/>
        <v>VIGENTE</v>
      </c>
      <c r="P416" s="6" t="s">
        <v>25</v>
      </c>
      <c r="Q416" s="2"/>
    </row>
    <row r="417" spans="1:17" x14ac:dyDescent="0.25">
      <c r="A417" s="23" t="s">
        <v>127</v>
      </c>
      <c r="B417" s="2" t="s">
        <v>256</v>
      </c>
      <c r="C417" s="3" t="s">
        <v>22</v>
      </c>
      <c r="D417" s="3" t="s">
        <v>23</v>
      </c>
      <c r="E417" s="2" t="s">
        <v>24</v>
      </c>
      <c r="F417" s="4">
        <v>0</v>
      </c>
      <c r="G417" s="8">
        <f t="shared" si="55"/>
        <v>1000000000</v>
      </c>
      <c r="H417" s="4" t="str">
        <f t="shared" si="56"/>
        <v>Ohms</v>
      </c>
      <c r="I417" s="6">
        <v>260000</v>
      </c>
      <c r="J417" s="6" t="str">
        <f t="shared" si="57"/>
        <v>Ohms</v>
      </c>
      <c r="K417" s="2" t="str">
        <f t="shared" si="58"/>
        <v>RTG</v>
      </c>
      <c r="L417" s="7">
        <v>45936</v>
      </c>
      <c r="M417" s="7">
        <f t="shared" si="54"/>
        <v>46301</v>
      </c>
      <c r="N417" s="7" t="str">
        <f t="shared" si="61"/>
        <v>Anual</v>
      </c>
      <c r="O417" s="2" t="str">
        <f t="shared" ca="1" si="53"/>
        <v>VIGENTE</v>
      </c>
      <c r="P417" s="6" t="s">
        <v>25</v>
      </c>
      <c r="Q417" s="2"/>
    </row>
    <row r="418" spans="1:17" x14ac:dyDescent="0.25">
      <c r="A418" s="23" t="s">
        <v>127</v>
      </c>
      <c r="B418" s="2" t="s">
        <v>551</v>
      </c>
      <c r="C418" s="3" t="s">
        <v>28</v>
      </c>
      <c r="D418" s="3" t="s">
        <v>23</v>
      </c>
      <c r="E418" s="2" t="s">
        <v>24</v>
      </c>
      <c r="F418" s="4">
        <v>0</v>
      </c>
      <c r="G418" s="8">
        <f t="shared" si="55"/>
        <v>1000000000</v>
      </c>
      <c r="H418" s="4" t="str">
        <f t="shared" si="56"/>
        <v>Ohms</v>
      </c>
      <c r="I418" s="6">
        <v>685000</v>
      </c>
      <c r="J418" s="6" t="str">
        <f t="shared" si="57"/>
        <v>Ohms</v>
      </c>
      <c r="K418" s="2" t="str">
        <f t="shared" si="58"/>
        <v>RTG</v>
      </c>
      <c r="L418" s="7">
        <v>45936</v>
      </c>
      <c r="M418" s="7">
        <f t="shared" si="54"/>
        <v>46301</v>
      </c>
      <c r="N418" s="7" t="str">
        <f t="shared" si="61"/>
        <v>Anual</v>
      </c>
      <c r="O418" s="2" t="str">
        <f t="shared" ca="1" si="53"/>
        <v>VIGENTE</v>
      </c>
      <c r="P418" s="6" t="s">
        <v>25</v>
      </c>
      <c r="Q418" s="2"/>
    </row>
    <row r="419" spans="1:17" x14ac:dyDescent="0.25">
      <c r="A419" s="23" t="s">
        <v>127</v>
      </c>
      <c r="B419" s="2" t="s">
        <v>554</v>
      </c>
      <c r="C419" s="3" t="s">
        <v>28</v>
      </c>
      <c r="D419" s="3" t="s">
        <v>23</v>
      </c>
      <c r="E419" s="2" t="s">
        <v>24</v>
      </c>
      <c r="F419" s="4">
        <v>0</v>
      </c>
      <c r="G419" s="8">
        <f t="shared" si="55"/>
        <v>1000000000</v>
      </c>
      <c r="H419" s="4" t="str">
        <f t="shared" si="56"/>
        <v>Ohms</v>
      </c>
      <c r="I419" s="6">
        <v>540000</v>
      </c>
      <c r="J419" s="6" t="str">
        <f t="shared" si="57"/>
        <v>Ohms</v>
      </c>
      <c r="K419" s="2" t="str">
        <f t="shared" si="58"/>
        <v>RTG</v>
      </c>
      <c r="L419" s="7">
        <v>45936</v>
      </c>
      <c r="M419" s="7">
        <f t="shared" si="54"/>
        <v>46301</v>
      </c>
      <c r="N419" s="7" t="str">
        <f t="shared" si="61"/>
        <v>Anual</v>
      </c>
      <c r="O419" s="2" t="str">
        <f t="shared" ca="1" si="53"/>
        <v>VIGENTE</v>
      </c>
      <c r="P419" s="6" t="s">
        <v>25</v>
      </c>
      <c r="Q419" s="2"/>
    </row>
    <row r="420" spans="1:17" x14ac:dyDescent="0.25">
      <c r="A420" s="23" t="s">
        <v>127</v>
      </c>
      <c r="B420" s="2" t="s">
        <v>556</v>
      </c>
      <c r="C420" s="3" t="s">
        <v>557</v>
      </c>
      <c r="D420" s="3" t="s">
        <v>23</v>
      </c>
      <c r="E420" s="2" t="s">
        <v>24</v>
      </c>
      <c r="F420" s="4">
        <v>0</v>
      </c>
      <c r="G420" s="8">
        <f t="shared" si="55"/>
        <v>1</v>
      </c>
      <c r="H420" s="4" t="str">
        <f t="shared" si="56"/>
        <v>Ohms</v>
      </c>
      <c r="I420" s="6">
        <v>43500000</v>
      </c>
      <c r="J420" s="6" t="str">
        <f t="shared" si="57"/>
        <v>Ohms</v>
      </c>
      <c r="K420" s="2" t="str">
        <f t="shared" si="58"/>
        <v>RTG</v>
      </c>
      <c r="L420" s="7">
        <v>45964</v>
      </c>
      <c r="M420" s="7">
        <f t="shared" si="54"/>
        <v>46329</v>
      </c>
      <c r="N420" s="7" t="str">
        <f t="shared" si="61"/>
        <v>Anual</v>
      </c>
      <c r="O420" s="2" t="str">
        <f t="shared" ca="1" si="53"/>
        <v>VIGENTE</v>
      </c>
      <c r="P420" s="6" t="s">
        <v>25</v>
      </c>
      <c r="Q420" s="2"/>
    </row>
    <row r="421" spans="1:17" x14ac:dyDescent="0.25">
      <c r="A421" s="23" t="s">
        <v>127</v>
      </c>
      <c r="B421" s="2" t="s">
        <v>558</v>
      </c>
      <c r="C421" s="3" t="s">
        <v>557</v>
      </c>
      <c r="D421" s="3" t="s">
        <v>23</v>
      </c>
      <c r="E421" s="2" t="s">
        <v>24</v>
      </c>
      <c r="F421" s="4">
        <v>0</v>
      </c>
      <c r="G421" s="8">
        <f t="shared" si="55"/>
        <v>1</v>
      </c>
      <c r="H421" s="4" t="str">
        <f t="shared" si="56"/>
        <v>Ohms</v>
      </c>
      <c r="I421" s="6">
        <v>35500000</v>
      </c>
      <c r="J421" s="6" t="str">
        <f t="shared" si="57"/>
        <v>Ohms</v>
      </c>
      <c r="K421" s="2" t="str">
        <f t="shared" si="58"/>
        <v>RTG</v>
      </c>
      <c r="L421" s="7">
        <v>45964</v>
      </c>
      <c r="M421" s="7">
        <f t="shared" si="54"/>
        <v>46329</v>
      </c>
      <c r="N421" s="7" t="str">
        <f t="shared" si="61"/>
        <v>Anual</v>
      </c>
      <c r="O421" s="2" t="str">
        <f t="shared" ca="1" si="53"/>
        <v>VIGENTE</v>
      </c>
      <c r="P421" s="6" t="s">
        <v>25</v>
      </c>
      <c r="Q421" s="2"/>
    </row>
    <row r="422" spans="1:17" x14ac:dyDescent="0.25">
      <c r="A422" s="23" t="s">
        <v>127</v>
      </c>
      <c r="B422" s="2" t="s">
        <v>559</v>
      </c>
      <c r="C422" s="3" t="s">
        <v>557</v>
      </c>
      <c r="D422" s="3" t="s">
        <v>23</v>
      </c>
      <c r="E422" s="2" t="s">
        <v>24</v>
      </c>
      <c r="F422" s="4">
        <v>0</v>
      </c>
      <c r="G422" s="8">
        <f t="shared" si="55"/>
        <v>1</v>
      </c>
      <c r="H422" s="4" t="str">
        <f t="shared" si="56"/>
        <v>Ohms</v>
      </c>
      <c r="I422" s="6">
        <v>699000</v>
      </c>
      <c r="J422" s="6" t="str">
        <f t="shared" si="57"/>
        <v>Ohms</v>
      </c>
      <c r="K422" s="2" t="str">
        <f t="shared" si="58"/>
        <v>RTG</v>
      </c>
      <c r="L422" s="7">
        <v>45964</v>
      </c>
      <c r="M422" s="7">
        <f t="shared" si="54"/>
        <v>46329</v>
      </c>
      <c r="N422" s="7" t="str">
        <f t="shared" si="61"/>
        <v>Anual</v>
      </c>
      <c r="O422" s="2" t="str">
        <f t="shared" ref="O422:O481" ca="1" si="62">IF(M422&lt;TODAY(),"VENCIDO",IF(M422=TODAY(),"VIGENTE",IF(M422&gt;TODAY(),"VIGENTE")))</f>
        <v>VIGENTE</v>
      </c>
      <c r="P422" s="6" t="s">
        <v>25</v>
      </c>
      <c r="Q422" s="2"/>
    </row>
    <row r="423" spans="1:17" x14ac:dyDescent="0.25">
      <c r="A423" s="23" t="s">
        <v>127</v>
      </c>
      <c r="B423" s="2" t="s">
        <v>560</v>
      </c>
      <c r="C423" s="3" t="s">
        <v>557</v>
      </c>
      <c r="D423" s="3" t="s">
        <v>23</v>
      </c>
      <c r="E423" s="2" t="s">
        <v>24</v>
      </c>
      <c r="F423" s="4">
        <v>0</v>
      </c>
      <c r="G423" s="8">
        <f t="shared" si="55"/>
        <v>1</v>
      </c>
      <c r="H423" s="4" t="str">
        <f t="shared" si="56"/>
        <v>Ohms</v>
      </c>
      <c r="I423" s="6">
        <v>1030000</v>
      </c>
      <c r="J423" s="6" t="str">
        <f t="shared" si="57"/>
        <v>Ohms</v>
      </c>
      <c r="K423" s="2" t="str">
        <f t="shared" si="58"/>
        <v>RTG</v>
      </c>
      <c r="L423" s="7">
        <v>45964</v>
      </c>
      <c r="M423" s="7">
        <f t="shared" si="54"/>
        <v>46329</v>
      </c>
      <c r="N423" s="7" t="str">
        <f t="shared" si="61"/>
        <v>Anual</v>
      </c>
      <c r="O423" s="2" t="str">
        <f t="shared" ca="1" si="62"/>
        <v>VIGENTE</v>
      </c>
      <c r="P423" s="6" t="s">
        <v>25</v>
      </c>
      <c r="Q423" s="2"/>
    </row>
    <row r="424" spans="1:17" x14ac:dyDescent="0.25">
      <c r="A424" s="23" t="s">
        <v>127</v>
      </c>
      <c r="B424" s="2" t="s">
        <v>561</v>
      </c>
      <c r="C424" s="3" t="s">
        <v>557</v>
      </c>
      <c r="D424" s="3" t="s">
        <v>23</v>
      </c>
      <c r="E424" s="2" t="s">
        <v>24</v>
      </c>
      <c r="F424" s="4">
        <v>0</v>
      </c>
      <c r="G424" s="8">
        <f t="shared" si="55"/>
        <v>1</v>
      </c>
      <c r="H424" s="4" t="str">
        <f t="shared" si="56"/>
        <v>Ohms</v>
      </c>
      <c r="I424" s="6">
        <v>570000</v>
      </c>
      <c r="J424" s="6" t="str">
        <f t="shared" si="57"/>
        <v>Ohms</v>
      </c>
      <c r="K424" s="2" t="str">
        <f t="shared" si="58"/>
        <v>RTG</v>
      </c>
      <c r="L424" s="7">
        <v>45964</v>
      </c>
      <c r="M424" s="7">
        <f t="shared" si="54"/>
        <v>46329</v>
      </c>
      <c r="N424" s="7" t="str">
        <f t="shared" si="61"/>
        <v>Anual</v>
      </c>
      <c r="O424" s="2" t="str">
        <f t="shared" ca="1" si="62"/>
        <v>VIGENTE</v>
      </c>
      <c r="P424" s="6" t="s">
        <v>25</v>
      </c>
      <c r="Q424" s="2"/>
    </row>
    <row r="425" spans="1:17" x14ac:dyDescent="0.25">
      <c r="A425" s="23" t="s">
        <v>127</v>
      </c>
      <c r="B425" s="2" t="s">
        <v>562</v>
      </c>
      <c r="C425" s="3" t="s">
        <v>557</v>
      </c>
      <c r="D425" s="3" t="s">
        <v>23</v>
      </c>
      <c r="E425" s="2" t="s">
        <v>24</v>
      </c>
      <c r="F425" s="4">
        <v>0</v>
      </c>
      <c r="G425" s="8">
        <f t="shared" si="55"/>
        <v>1</v>
      </c>
      <c r="H425" s="4" t="str">
        <f t="shared" si="56"/>
        <v>Ohms</v>
      </c>
      <c r="I425" s="6">
        <v>350000</v>
      </c>
      <c r="J425" s="6" t="str">
        <f t="shared" si="57"/>
        <v>Ohms</v>
      </c>
      <c r="K425" s="2" t="str">
        <f t="shared" si="58"/>
        <v>RTG</v>
      </c>
      <c r="L425" s="7">
        <v>45971</v>
      </c>
      <c r="M425" s="7">
        <f t="shared" si="54"/>
        <v>46336</v>
      </c>
      <c r="N425" s="7" t="str">
        <f t="shared" si="61"/>
        <v>Anual</v>
      </c>
      <c r="O425" s="2" t="str">
        <f t="shared" ca="1" si="62"/>
        <v>VIGENTE</v>
      </c>
      <c r="P425" s="6" t="s">
        <v>25</v>
      </c>
      <c r="Q425" s="2"/>
    </row>
    <row r="426" spans="1:17" x14ac:dyDescent="0.25">
      <c r="A426" s="23" t="s">
        <v>127</v>
      </c>
      <c r="B426" s="2" t="s">
        <v>563</v>
      </c>
      <c r="C426" s="3" t="s">
        <v>557</v>
      </c>
      <c r="D426" s="3" t="s">
        <v>23</v>
      </c>
      <c r="E426" s="2" t="s">
        <v>24</v>
      </c>
      <c r="F426" s="4">
        <v>0</v>
      </c>
      <c r="G426" s="8">
        <f t="shared" si="55"/>
        <v>1</v>
      </c>
      <c r="H426" s="4" t="str">
        <f t="shared" si="56"/>
        <v>Ohms</v>
      </c>
      <c r="I426" s="6">
        <v>224000</v>
      </c>
      <c r="J426" s="6" t="str">
        <f t="shared" si="57"/>
        <v>Ohms</v>
      </c>
      <c r="K426" s="2" t="str">
        <f t="shared" si="58"/>
        <v>RTG</v>
      </c>
      <c r="L426" s="7">
        <v>45971</v>
      </c>
      <c r="M426" s="7">
        <f t="shared" si="54"/>
        <v>46336</v>
      </c>
      <c r="N426" s="7" t="str">
        <f t="shared" si="61"/>
        <v>Anual</v>
      </c>
      <c r="O426" s="2" t="str">
        <f t="shared" ca="1" si="62"/>
        <v>VIGENTE</v>
      </c>
      <c r="P426" s="6" t="s">
        <v>25</v>
      </c>
      <c r="Q426" s="2"/>
    </row>
    <row r="427" spans="1:17" x14ac:dyDescent="0.25">
      <c r="A427" s="23" t="s">
        <v>127</v>
      </c>
      <c r="B427" s="2" t="s">
        <v>564</v>
      </c>
      <c r="C427" s="3" t="s">
        <v>557</v>
      </c>
      <c r="D427" s="3" t="s">
        <v>23</v>
      </c>
      <c r="E427" s="2" t="s">
        <v>24</v>
      </c>
      <c r="F427" s="4">
        <v>0</v>
      </c>
      <c r="G427" s="8">
        <f t="shared" si="55"/>
        <v>1</v>
      </c>
      <c r="H427" s="4" t="str">
        <f t="shared" si="56"/>
        <v>Ohms</v>
      </c>
      <c r="I427" s="6">
        <v>713000</v>
      </c>
      <c r="J427" s="6" t="str">
        <f t="shared" si="57"/>
        <v>Ohms</v>
      </c>
      <c r="K427" s="2" t="str">
        <f t="shared" si="58"/>
        <v>RTG</v>
      </c>
      <c r="L427" s="7">
        <v>45971</v>
      </c>
      <c r="M427" s="7">
        <f t="shared" si="54"/>
        <v>46336</v>
      </c>
      <c r="N427" s="7" t="str">
        <f t="shared" si="61"/>
        <v>Anual</v>
      </c>
      <c r="O427" s="2" t="str">
        <f t="shared" ca="1" si="62"/>
        <v>VIGENTE</v>
      </c>
      <c r="P427" s="6" t="s">
        <v>25</v>
      </c>
      <c r="Q427" s="2"/>
    </row>
    <row r="428" spans="1:17" x14ac:dyDescent="0.25">
      <c r="A428" s="23" t="s">
        <v>127</v>
      </c>
      <c r="B428" s="2" t="s">
        <v>609</v>
      </c>
      <c r="C428" s="3" t="s">
        <v>28</v>
      </c>
      <c r="D428" s="3" t="s">
        <v>23</v>
      </c>
      <c r="E428" s="2" t="s">
        <v>24</v>
      </c>
      <c r="F428" s="4">
        <v>0</v>
      </c>
      <c r="G428" s="8">
        <f t="shared" si="55"/>
        <v>1000000000</v>
      </c>
      <c r="H428" s="4" t="str">
        <f t="shared" si="56"/>
        <v>Ohms</v>
      </c>
      <c r="I428" s="6">
        <v>63100000</v>
      </c>
      <c r="J428" s="6" t="str">
        <f t="shared" si="57"/>
        <v>Ohms</v>
      </c>
      <c r="K428" s="2" t="str">
        <f t="shared" si="58"/>
        <v>RTG</v>
      </c>
      <c r="L428" s="7">
        <v>45950</v>
      </c>
      <c r="M428" s="7">
        <f t="shared" si="54"/>
        <v>46315</v>
      </c>
      <c r="N428" s="7" t="str">
        <f t="shared" si="61"/>
        <v>Anual</v>
      </c>
      <c r="O428" s="2" t="str">
        <f t="shared" ca="1" si="62"/>
        <v>VIGENTE</v>
      </c>
      <c r="P428" s="6" t="s">
        <v>25</v>
      </c>
      <c r="Q428" s="2"/>
    </row>
    <row r="429" spans="1:17" x14ac:dyDescent="0.25">
      <c r="A429" s="23" t="s">
        <v>127</v>
      </c>
      <c r="B429" s="2" t="s">
        <v>610</v>
      </c>
      <c r="C429" s="3" t="s">
        <v>28</v>
      </c>
      <c r="D429" s="3" t="s">
        <v>23</v>
      </c>
      <c r="E429" s="2" t="s">
        <v>24</v>
      </c>
      <c r="F429" s="4">
        <v>0</v>
      </c>
      <c r="G429" s="8">
        <f t="shared" si="55"/>
        <v>1000000000</v>
      </c>
      <c r="H429" s="4" t="str">
        <f t="shared" si="56"/>
        <v>Ohms</v>
      </c>
      <c r="I429" s="6">
        <v>50100000</v>
      </c>
      <c r="J429" s="6" t="str">
        <f t="shared" si="57"/>
        <v>Ohms</v>
      </c>
      <c r="K429" s="2" t="str">
        <f t="shared" si="58"/>
        <v>RTG</v>
      </c>
      <c r="L429" s="7">
        <v>45950</v>
      </c>
      <c r="M429" s="7">
        <f t="shared" si="54"/>
        <v>46315</v>
      </c>
      <c r="N429" s="7" t="str">
        <f t="shared" si="61"/>
        <v>Anual</v>
      </c>
      <c r="O429" s="2" t="str">
        <f t="shared" ca="1" si="62"/>
        <v>VIGENTE</v>
      </c>
      <c r="P429" s="6" t="s">
        <v>25</v>
      </c>
      <c r="Q429" s="2"/>
    </row>
    <row r="430" spans="1:17" x14ac:dyDescent="0.25">
      <c r="A430" s="23" t="s">
        <v>127</v>
      </c>
      <c r="B430" s="2" t="s">
        <v>611</v>
      </c>
      <c r="C430" s="3" t="s">
        <v>28</v>
      </c>
      <c r="D430" s="3" t="s">
        <v>23</v>
      </c>
      <c r="E430" s="2" t="s">
        <v>24</v>
      </c>
      <c r="F430" s="4">
        <v>0</v>
      </c>
      <c r="G430" s="8">
        <f t="shared" si="55"/>
        <v>1000000000</v>
      </c>
      <c r="H430" s="4" t="str">
        <f t="shared" si="56"/>
        <v>Ohms</v>
      </c>
      <c r="I430" s="6">
        <v>52500000</v>
      </c>
      <c r="J430" s="6" t="str">
        <f t="shared" si="57"/>
        <v>Ohms</v>
      </c>
      <c r="K430" s="2" t="str">
        <f t="shared" si="58"/>
        <v>RTG</v>
      </c>
      <c r="L430" s="7">
        <v>45950</v>
      </c>
      <c r="M430" s="7">
        <f t="shared" ref="M430:M481" si="63">IF(N430="Trimestral", L430+90, IF(N430="Semestral", L430+180, IF(N430="Mensual", L430+30, L430+365)))</f>
        <v>46315</v>
      </c>
      <c r="N430" s="7" t="str">
        <f t="shared" si="61"/>
        <v>Anual</v>
      </c>
      <c r="O430" s="2" t="str">
        <f t="shared" ca="1" si="62"/>
        <v>VIGENTE</v>
      </c>
      <c r="P430" s="6" t="s">
        <v>25</v>
      </c>
      <c r="Q430" s="2"/>
    </row>
    <row r="431" spans="1:17" x14ac:dyDescent="0.25">
      <c r="A431" s="23" t="s">
        <v>127</v>
      </c>
      <c r="B431" s="2" t="s">
        <v>612</v>
      </c>
      <c r="C431" s="3" t="s">
        <v>28</v>
      </c>
      <c r="D431" s="3" t="s">
        <v>23</v>
      </c>
      <c r="E431" s="2" t="s">
        <v>24</v>
      </c>
      <c r="F431" s="4">
        <v>0</v>
      </c>
      <c r="G431" s="8">
        <f t="shared" si="55"/>
        <v>1000000000</v>
      </c>
      <c r="H431" s="4" t="str">
        <f t="shared" si="56"/>
        <v>Ohms</v>
      </c>
      <c r="I431" s="6">
        <v>29000000</v>
      </c>
      <c r="J431" s="6" t="str">
        <f t="shared" si="57"/>
        <v>Ohms</v>
      </c>
      <c r="K431" s="2" t="str">
        <f t="shared" si="58"/>
        <v>RTG</v>
      </c>
      <c r="L431" s="7">
        <v>45950</v>
      </c>
      <c r="M431" s="7">
        <f t="shared" si="63"/>
        <v>46315</v>
      </c>
      <c r="N431" s="7" t="str">
        <f t="shared" si="61"/>
        <v>Anual</v>
      </c>
      <c r="O431" s="2" t="str">
        <f t="shared" ca="1" si="62"/>
        <v>VIGENTE</v>
      </c>
      <c r="P431" s="6" t="s">
        <v>25</v>
      </c>
      <c r="Q431" s="2"/>
    </row>
    <row r="432" spans="1:17" x14ac:dyDescent="0.25">
      <c r="A432" s="23" t="s">
        <v>127</v>
      </c>
      <c r="B432" s="2" t="s">
        <v>613</v>
      </c>
      <c r="C432" s="3" t="s">
        <v>28</v>
      </c>
      <c r="D432" s="3" t="s">
        <v>23</v>
      </c>
      <c r="E432" s="2" t="s">
        <v>24</v>
      </c>
      <c r="F432" s="4">
        <v>0</v>
      </c>
      <c r="G432" s="8">
        <f t="shared" si="55"/>
        <v>1000000000</v>
      </c>
      <c r="H432" s="4" t="str">
        <f t="shared" si="56"/>
        <v>Ohms</v>
      </c>
      <c r="I432" s="6">
        <v>36500000</v>
      </c>
      <c r="J432" s="6" t="str">
        <f t="shared" si="57"/>
        <v>Ohms</v>
      </c>
      <c r="K432" s="2" t="str">
        <f t="shared" si="58"/>
        <v>RTG</v>
      </c>
      <c r="L432" s="7">
        <v>45950</v>
      </c>
      <c r="M432" s="7">
        <f t="shared" si="63"/>
        <v>46315</v>
      </c>
      <c r="N432" s="7" t="str">
        <f t="shared" si="61"/>
        <v>Anual</v>
      </c>
      <c r="O432" s="2" t="str">
        <f t="shared" ca="1" si="62"/>
        <v>VIGENTE</v>
      </c>
      <c r="P432" s="6" t="s">
        <v>25</v>
      </c>
      <c r="Q432" s="2"/>
    </row>
    <row r="433" spans="1:17" x14ac:dyDescent="0.25">
      <c r="A433" s="23" t="s">
        <v>127</v>
      </c>
      <c r="B433" s="2" t="s">
        <v>614</v>
      </c>
      <c r="C433" s="3" t="s">
        <v>28</v>
      </c>
      <c r="D433" s="3" t="s">
        <v>23</v>
      </c>
      <c r="E433" s="2" t="s">
        <v>24</v>
      </c>
      <c r="F433" s="4">
        <v>0</v>
      </c>
      <c r="G433" s="8">
        <f t="shared" si="55"/>
        <v>1000000000</v>
      </c>
      <c r="H433" s="4" t="str">
        <f t="shared" si="56"/>
        <v>Ohms</v>
      </c>
      <c r="I433" s="6">
        <v>29200000</v>
      </c>
      <c r="J433" s="6" t="str">
        <f t="shared" si="57"/>
        <v>Ohms</v>
      </c>
      <c r="K433" s="2" t="str">
        <f t="shared" si="58"/>
        <v>RTG</v>
      </c>
      <c r="L433" s="7">
        <v>45950</v>
      </c>
      <c r="M433" s="7">
        <f t="shared" si="63"/>
        <v>46315</v>
      </c>
      <c r="N433" s="7" t="str">
        <f t="shared" si="61"/>
        <v>Anual</v>
      </c>
      <c r="O433" s="2" t="str">
        <f t="shared" ca="1" si="62"/>
        <v>VIGENTE</v>
      </c>
      <c r="P433" s="6" t="s">
        <v>25</v>
      </c>
      <c r="Q433" s="2"/>
    </row>
    <row r="434" spans="1:17" x14ac:dyDescent="0.25">
      <c r="A434" s="23" t="s">
        <v>127</v>
      </c>
      <c r="B434" s="2" t="s">
        <v>615</v>
      </c>
      <c r="C434" s="3" t="s">
        <v>28</v>
      </c>
      <c r="D434" s="3" t="s">
        <v>23</v>
      </c>
      <c r="E434" s="2" t="s">
        <v>24</v>
      </c>
      <c r="F434" s="4">
        <v>0</v>
      </c>
      <c r="G434" s="8">
        <f t="shared" si="55"/>
        <v>1000000000</v>
      </c>
      <c r="H434" s="4" t="str">
        <f t="shared" si="56"/>
        <v>Ohms</v>
      </c>
      <c r="I434" s="6">
        <v>31800000</v>
      </c>
      <c r="J434" s="6" t="str">
        <f t="shared" si="57"/>
        <v>Ohms</v>
      </c>
      <c r="K434" s="2" t="str">
        <f t="shared" si="58"/>
        <v>RTG</v>
      </c>
      <c r="L434" s="7">
        <v>45950</v>
      </c>
      <c r="M434" s="7">
        <f t="shared" si="63"/>
        <v>46315</v>
      </c>
      <c r="N434" s="7" t="str">
        <f t="shared" si="61"/>
        <v>Anual</v>
      </c>
      <c r="O434" s="2" t="str">
        <f t="shared" ca="1" si="62"/>
        <v>VIGENTE</v>
      </c>
      <c r="P434" s="6" t="s">
        <v>25</v>
      </c>
      <c r="Q434" s="2"/>
    </row>
    <row r="435" spans="1:17" x14ac:dyDescent="0.25">
      <c r="A435" s="23" t="s">
        <v>127</v>
      </c>
      <c r="B435" s="2" t="s">
        <v>1064</v>
      </c>
      <c r="C435" s="3" t="s">
        <v>22</v>
      </c>
      <c r="D435" s="3" t="s">
        <v>23</v>
      </c>
      <c r="E435" s="2" t="s">
        <v>24</v>
      </c>
      <c r="F435" s="4">
        <v>0</v>
      </c>
      <c r="G435" s="8">
        <f t="shared" si="55"/>
        <v>1000000000</v>
      </c>
      <c r="H435" s="4" t="str">
        <f t="shared" si="56"/>
        <v>Ohms</v>
      </c>
      <c r="I435" s="6">
        <v>86200000</v>
      </c>
      <c r="J435" s="6" t="str">
        <f t="shared" si="57"/>
        <v>Ohms</v>
      </c>
      <c r="K435" s="2" t="str">
        <f t="shared" si="58"/>
        <v>RTG</v>
      </c>
      <c r="L435" s="7">
        <v>45936</v>
      </c>
      <c r="M435" s="7">
        <f t="shared" si="63"/>
        <v>46301</v>
      </c>
      <c r="N435" s="7" t="str">
        <f t="shared" si="61"/>
        <v>Anual</v>
      </c>
      <c r="O435" s="2" t="str">
        <f t="shared" ca="1" si="62"/>
        <v>VIGENTE</v>
      </c>
      <c r="P435" s="6" t="s">
        <v>25</v>
      </c>
      <c r="Q435" s="2"/>
    </row>
    <row r="436" spans="1:17" x14ac:dyDescent="0.25">
      <c r="A436" s="23" t="s">
        <v>510</v>
      </c>
      <c r="B436" s="2" t="s">
        <v>511</v>
      </c>
      <c r="C436" s="3" t="s">
        <v>28</v>
      </c>
      <c r="D436" s="3" t="s">
        <v>23</v>
      </c>
      <c r="E436" s="2" t="s">
        <v>24</v>
      </c>
      <c r="F436" s="4">
        <v>0</v>
      </c>
      <c r="G436" s="8">
        <f t="shared" si="55"/>
        <v>1000000000</v>
      </c>
      <c r="H436" s="4" t="str">
        <f t="shared" si="56"/>
        <v>Ohms</v>
      </c>
      <c r="I436" s="14">
        <v>51600</v>
      </c>
      <c r="J436" s="6" t="str">
        <f t="shared" si="57"/>
        <v>Ohms</v>
      </c>
      <c r="K436" s="2" t="str">
        <f t="shared" si="58"/>
        <v>RTG</v>
      </c>
      <c r="L436" s="7">
        <v>45897</v>
      </c>
      <c r="M436" s="7">
        <f t="shared" si="63"/>
        <v>46262</v>
      </c>
      <c r="N436" s="7" t="str">
        <f t="shared" si="61"/>
        <v>Anual</v>
      </c>
      <c r="O436" s="2" t="str">
        <f t="shared" ca="1" si="62"/>
        <v>VIGENTE</v>
      </c>
      <c r="P436" s="6" t="s">
        <v>25</v>
      </c>
      <c r="Q436" s="2"/>
    </row>
    <row r="437" spans="1:17" x14ac:dyDescent="0.25">
      <c r="A437" s="23" t="s">
        <v>510</v>
      </c>
      <c r="B437" s="2" t="s">
        <v>512</v>
      </c>
      <c r="C437" s="3" t="s">
        <v>28</v>
      </c>
      <c r="D437" s="3" t="s">
        <v>23</v>
      </c>
      <c r="E437" s="2" t="s">
        <v>24</v>
      </c>
      <c r="F437" s="4">
        <v>0</v>
      </c>
      <c r="G437" s="8">
        <f t="shared" si="55"/>
        <v>1000000000</v>
      </c>
      <c r="H437" s="4" t="str">
        <f t="shared" si="56"/>
        <v>Ohms</v>
      </c>
      <c r="I437" s="14">
        <v>41300</v>
      </c>
      <c r="J437" s="6" t="str">
        <f t="shared" si="57"/>
        <v>Ohms</v>
      </c>
      <c r="K437" s="2" t="str">
        <f t="shared" si="58"/>
        <v>RTG</v>
      </c>
      <c r="L437" s="7">
        <v>45897</v>
      </c>
      <c r="M437" s="7">
        <f t="shared" si="63"/>
        <v>46262</v>
      </c>
      <c r="N437" s="7" t="str">
        <f t="shared" si="61"/>
        <v>Anual</v>
      </c>
      <c r="O437" s="2" t="str">
        <f t="shared" ca="1" si="62"/>
        <v>VIGENTE</v>
      </c>
      <c r="P437" s="6" t="s">
        <v>25</v>
      </c>
      <c r="Q437" s="2"/>
    </row>
    <row r="438" spans="1:17" x14ac:dyDescent="0.25">
      <c r="A438" s="23" t="s">
        <v>510</v>
      </c>
      <c r="B438" s="2" t="s">
        <v>513</v>
      </c>
      <c r="C438" s="3" t="s">
        <v>28</v>
      </c>
      <c r="D438" s="3" t="s">
        <v>23</v>
      </c>
      <c r="E438" s="2" t="s">
        <v>24</v>
      </c>
      <c r="F438" s="4">
        <v>0</v>
      </c>
      <c r="G438" s="8">
        <f t="shared" ref="G438:G501" si="64">IF(C438="Ionizador", 10, IF(C438="Mesa", 1000000000, IF(C438="Rack", 1000000000, IF(C438="Piso", 1000000000, IF(C438="Tapete", 1000000000, IF(C438="Carrito", 1000000000, IF(C438="Cautín", 10, 1)))))))</f>
        <v>1000000000</v>
      </c>
      <c r="H438" s="4" t="str">
        <f t="shared" ref="H438:H501" si="65">IF(C438="Ionizador", "Segundos", "Ohms")</f>
        <v>Ohms</v>
      </c>
      <c r="I438" s="14">
        <v>108000</v>
      </c>
      <c r="J438" s="6" t="str">
        <f t="shared" ref="J438:J501" si="66">H438</f>
        <v>Ohms</v>
      </c>
      <c r="K438" s="2" t="str">
        <f t="shared" ref="K438:K501" si="67">IF(C438="Ionizador", "Plato de carga", IF(C438="Cautín", "PTG", IF(C438="ESD Tester", "PTP Deviation", "RTG")))</f>
        <v>RTG</v>
      </c>
      <c r="L438" s="7">
        <v>45897</v>
      </c>
      <c r="M438" s="7">
        <f t="shared" si="63"/>
        <v>46262</v>
      </c>
      <c r="N438" s="7" t="str">
        <f t="shared" si="61"/>
        <v>Anual</v>
      </c>
      <c r="O438" s="2" t="str">
        <f t="shared" ca="1" si="62"/>
        <v>VIGENTE</v>
      </c>
      <c r="P438" s="6" t="s">
        <v>25</v>
      </c>
      <c r="Q438" s="2"/>
    </row>
    <row r="439" spans="1:17" x14ac:dyDescent="0.25">
      <c r="A439" s="23" t="s">
        <v>510</v>
      </c>
      <c r="B439" s="2" t="s">
        <v>514</v>
      </c>
      <c r="C439" s="3" t="s">
        <v>28</v>
      </c>
      <c r="D439" s="3" t="s">
        <v>23</v>
      </c>
      <c r="E439" s="2" t="s">
        <v>24</v>
      </c>
      <c r="F439" s="4">
        <v>0</v>
      </c>
      <c r="G439" s="8">
        <f t="shared" si="64"/>
        <v>1000000000</v>
      </c>
      <c r="H439" s="4" t="str">
        <f t="shared" si="65"/>
        <v>Ohms</v>
      </c>
      <c r="I439" s="14">
        <v>3040000</v>
      </c>
      <c r="J439" s="6" t="str">
        <f t="shared" si="66"/>
        <v>Ohms</v>
      </c>
      <c r="K439" s="2" t="str">
        <f t="shared" si="67"/>
        <v>RTG</v>
      </c>
      <c r="L439" s="7">
        <v>45897</v>
      </c>
      <c r="M439" s="7">
        <f t="shared" si="63"/>
        <v>46262</v>
      </c>
      <c r="N439" s="7" t="str">
        <f t="shared" si="61"/>
        <v>Anual</v>
      </c>
      <c r="O439" s="2" t="str">
        <f t="shared" ca="1" si="62"/>
        <v>VIGENTE</v>
      </c>
      <c r="P439" s="6" t="s">
        <v>25</v>
      </c>
      <c r="Q439" s="2"/>
    </row>
    <row r="440" spans="1:17" x14ac:dyDescent="0.25">
      <c r="A440" s="23" t="s">
        <v>510</v>
      </c>
      <c r="B440" s="2" t="s">
        <v>515</v>
      </c>
      <c r="C440" s="3" t="s">
        <v>28</v>
      </c>
      <c r="D440" s="3" t="s">
        <v>23</v>
      </c>
      <c r="E440" s="2" t="s">
        <v>24</v>
      </c>
      <c r="F440" s="4">
        <v>0</v>
      </c>
      <c r="G440" s="8">
        <f t="shared" si="64"/>
        <v>1000000000</v>
      </c>
      <c r="H440" s="4" t="str">
        <f t="shared" si="65"/>
        <v>Ohms</v>
      </c>
      <c r="I440" s="14">
        <v>2160000</v>
      </c>
      <c r="J440" s="6" t="str">
        <f t="shared" si="66"/>
        <v>Ohms</v>
      </c>
      <c r="K440" s="2" t="str">
        <f t="shared" si="67"/>
        <v>RTG</v>
      </c>
      <c r="L440" s="7">
        <v>45897</v>
      </c>
      <c r="M440" s="7">
        <f t="shared" si="63"/>
        <v>46262</v>
      </c>
      <c r="N440" s="7" t="str">
        <f t="shared" si="61"/>
        <v>Anual</v>
      </c>
      <c r="O440" s="2" t="str">
        <f t="shared" ca="1" si="62"/>
        <v>VIGENTE</v>
      </c>
      <c r="P440" s="6" t="s">
        <v>25</v>
      </c>
      <c r="Q440" s="2"/>
    </row>
    <row r="441" spans="1:17" x14ac:dyDescent="0.25">
      <c r="A441" s="23" t="s">
        <v>510</v>
      </c>
      <c r="B441" s="2" t="s">
        <v>516</v>
      </c>
      <c r="C441" s="3" t="s">
        <v>28</v>
      </c>
      <c r="D441" s="3" t="s">
        <v>23</v>
      </c>
      <c r="E441" s="2" t="s">
        <v>24</v>
      </c>
      <c r="F441" s="4">
        <v>0</v>
      </c>
      <c r="G441" s="8">
        <f t="shared" si="64"/>
        <v>1000000000</v>
      </c>
      <c r="H441" s="4" t="str">
        <f t="shared" si="65"/>
        <v>Ohms</v>
      </c>
      <c r="I441" s="14">
        <v>2980000</v>
      </c>
      <c r="J441" s="6" t="str">
        <f t="shared" si="66"/>
        <v>Ohms</v>
      </c>
      <c r="K441" s="2" t="str">
        <f t="shared" si="67"/>
        <v>RTG</v>
      </c>
      <c r="L441" s="7">
        <v>45897</v>
      </c>
      <c r="M441" s="7">
        <f t="shared" si="63"/>
        <v>46262</v>
      </c>
      <c r="N441" s="7" t="str">
        <f t="shared" si="61"/>
        <v>Anual</v>
      </c>
      <c r="O441" s="2" t="str">
        <f t="shared" ca="1" si="62"/>
        <v>VIGENTE</v>
      </c>
      <c r="P441" s="6" t="s">
        <v>25</v>
      </c>
      <c r="Q441" s="2"/>
    </row>
    <row r="442" spans="1:17" x14ac:dyDescent="0.25">
      <c r="A442" s="23" t="s">
        <v>647</v>
      </c>
      <c r="B442" s="2" t="s">
        <v>648</v>
      </c>
      <c r="C442" s="3" t="s">
        <v>28</v>
      </c>
      <c r="D442" s="3" t="s">
        <v>23</v>
      </c>
      <c r="E442" s="2" t="s">
        <v>24</v>
      </c>
      <c r="F442" s="4">
        <v>0</v>
      </c>
      <c r="G442" s="8">
        <f t="shared" si="64"/>
        <v>1000000000</v>
      </c>
      <c r="H442" s="4" t="str">
        <f t="shared" si="65"/>
        <v>Ohms</v>
      </c>
      <c r="I442" s="14">
        <v>312000000</v>
      </c>
      <c r="J442" s="6" t="str">
        <f t="shared" si="66"/>
        <v>Ohms</v>
      </c>
      <c r="K442" s="2" t="str">
        <f t="shared" si="67"/>
        <v>RTG</v>
      </c>
      <c r="L442" s="7">
        <v>45838</v>
      </c>
      <c r="M442" s="7">
        <f t="shared" si="63"/>
        <v>46203</v>
      </c>
      <c r="N442" s="7" t="str">
        <f t="shared" si="61"/>
        <v>Anual</v>
      </c>
      <c r="O442" s="2" t="str">
        <f t="shared" ca="1" si="62"/>
        <v>VIGENTE</v>
      </c>
      <c r="P442" s="6" t="s">
        <v>25</v>
      </c>
      <c r="Q442" s="2" t="s">
        <v>29</v>
      </c>
    </row>
    <row r="443" spans="1:17" x14ac:dyDescent="0.25">
      <c r="A443" s="23" t="s">
        <v>647</v>
      </c>
      <c r="B443" s="2" t="s">
        <v>649</v>
      </c>
      <c r="C443" s="3" t="s">
        <v>28</v>
      </c>
      <c r="D443" s="3" t="s">
        <v>23</v>
      </c>
      <c r="E443" s="2" t="s">
        <v>24</v>
      </c>
      <c r="F443" s="4">
        <v>0</v>
      </c>
      <c r="G443" s="8">
        <f t="shared" si="64"/>
        <v>1000000000</v>
      </c>
      <c r="H443" s="4" t="str">
        <f t="shared" si="65"/>
        <v>Ohms</v>
      </c>
      <c r="I443" s="14">
        <v>4300000</v>
      </c>
      <c r="J443" s="6" t="str">
        <f t="shared" si="66"/>
        <v>Ohms</v>
      </c>
      <c r="K443" s="2" t="str">
        <f t="shared" si="67"/>
        <v>RTG</v>
      </c>
      <c r="L443" s="7">
        <v>45838</v>
      </c>
      <c r="M443" s="7">
        <f t="shared" si="63"/>
        <v>46203</v>
      </c>
      <c r="N443" s="7" t="str">
        <f t="shared" si="61"/>
        <v>Anual</v>
      </c>
      <c r="O443" s="2" t="str">
        <f t="shared" ca="1" si="62"/>
        <v>VIGENTE</v>
      </c>
      <c r="P443" s="6" t="s">
        <v>25</v>
      </c>
      <c r="Q443" s="2" t="s">
        <v>29</v>
      </c>
    </row>
    <row r="444" spans="1:17" x14ac:dyDescent="0.25">
      <c r="A444" s="23" t="s">
        <v>647</v>
      </c>
      <c r="B444" s="2" t="s">
        <v>650</v>
      </c>
      <c r="C444" s="3" t="s">
        <v>28</v>
      </c>
      <c r="D444" s="3" t="s">
        <v>23</v>
      </c>
      <c r="E444" s="2" t="s">
        <v>24</v>
      </c>
      <c r="F444" s="4">
        <v>0</v>
      </c>
      <c r="G444" s="8">
        <f t="shared" si="64"/>
        <v>1000000000</v>
      </c>
      <c r="H444" s="4" t="str">
        <f t="shared" si="65"/>
        <v>Ohms</v>
      </c>
      <c r="I444" s="14">
        <v>213000000</v>
      </c>
      <c r="J444" s="6" t="str">
        <f t="shared" si="66"/>
        <v>Ohms</v>
      </c>
      <c r="K444" s="2" t="str">
        <f t="shared" si="67"/>
        <v>RTG</v>
      </c>
      <c r="L444" s="7">
        <v>45838</v>
      </c>
      <c r="M444" s="7">
        <f t="shared" si="63"/>
        <v>46203</v>
      </c>
      <c r="N444" s="7" t="str">
        <f t="shared" ref="N444:N479" si="68">IF(C444="Ionizador", "Trimestral", IF(C444="Rack", "Anual", IF(C444="Mesa", "Anual", IF(C444="Tapete", "Semestral", IF(C444="Cautín", "Semestral", IF(C444="Silla", "Semestral", "Anual"))))))</f>
        <v>Anual</v>
      </c>
      <c r="O444" s="2" t="str">
        <f t="shared" ca="1" si="62"/>
        <v>VIGENTE</v>
      </c>
      <c r="P444" s="6" t="s">
        <v>25</v>
      </c>
      <c r="Q444" s="2" t="s">
        <v>29</v>
      </c>
    </row>
    <row r="445" spans="1:17" x14ac:dyDescent="0.25">
      <c r="A445" s="23" t="s">
        <v>147</v>
      </c>
      <c r="B445" s="2" t="s">
        <v>148</v>
      </c>
      <c r="C445" s="3" t="s">
        <v>149</v>
      </c>
      <c r="D445" s="3" t="s">
        <v>23</v>
      </c>
      <c r="E445" s="2" t="s">
        <v>24</v>
      </c>
      <c r="F445" s="4">
        <v>0</v>
      </c>
      <c r="G445" s="8">
        <f t="shared" si="64"/>
        <v>10</v>
      </c>
      <c r="H445" s="4" t="str">
        <f t="shared" si="65"/>
        <v>Ohms</v>
      </c>
      <c r="I445" s="6">
        <v>1.7</v>
      </c>
      <c r="J445" s="6" t="str">
        <f t="shared" si="66"/>
        <v>Ohms</v>
      </c>
      <c r="K445" s="2" t="str">
        <f t="shared" si="67"/>
        <v>PTG</v>
      </c>
      <c r="L445" s="7">
        <v>45846</v>
      </c>
      <c r="M445" s="7">
        <f t="shared" si="63"/>
        <v>46026</v>
      </c>
      <c r="N445" s="7" t="str">
        <f t="shared" si="68"/>
        <v>Semestral</v>
      </c>
      <c r="O445" s="2" t="str">
        <f t="shared" ca="1" si="62"/>
        <v>VENCIDO</v>
      </c>
      <c r="P445" s="6" t="s">
        <v>25</v>
      </c>
      <c r="Q445" s="2" t="s">
        <v>150</v>
      </c>
    </row>
    <row r="446" spans="1:17" x14ac:dyDescent="0.25">
      <c r="A446" s="23" t="s">
        <v>147</v>
      </c>
      <c r="B446" s="2" t="s">
        <v>158</v>
      </c>
      <c r="C446" s="3" t="s">
        <v>149</v>
      </c>
      <c r="D446" s="3" t="s">
        <v>23</v>
      </c>
      <c r="E446" s="2" t="s">
        <v>24</v>
      </c>
      <c r="F446" s="4">
        <v>0</v>
      </c>
      <c r="G446" s="8">
        <f t="shared" si="64"/>
        <v>10</v>
      </c>
      <c r="H446" s="4" t="str">
        <f t="shared" si="65"/>
        <v>Ohms</v>
      </c>
      <c r="I446" s="6">
        <v>0.8</v>
      </c>
      <c r="J446" s="6" t="str">
        <f t="shared" si="66"/>
        <v>Ohms</v>
      </c>
      <c r="K446" s="2" t="str">
        <f t="shared" si="67"/>
        <v>PTG</v>
      </c>
      <c r="L446" s="7">
        <v>45846</v>
      </c>
      <c r="M446" s="7">
        <f t="shared" si="63"/>
        <v>46026</v>
      </c>
      <c r="N446" s="7" t="str">
        <f t="shared" si="68"/>
        <v>Semestral</v>
      </c>
      <c r="O446" s="2" t="str">
        <f t="shared" ca="1" si="62"/>
        <v>VENCIDO</v>
      </c>
      <c r="P446" s="6" t="s">
        <v>25</v>
      </c>
      <c r="Q446" s="2" t="s">
        <v>159</v>
      </c>
    </row>
    <row r="447" spans="1:17" x14ac:dyDescent="0.25">
      <c r="A447" s="23" t="s">
        <v>147</v>
      </c>
      <c r="B447" s="2" t="s">
        <v>160</v>
      </c>
      <c r="C447" s="3" t="s">
        <v>149</v>
      </c>
      <c r="D447" s="3" t="s">
        <v>23</v>
      </c>
      <c r="E447" s="2" t="s">
        <v>24</v>
      </c>
      <c r="F447" s="4">
        <v>0</v>
      </c>
      <c r="G447" s="8">
        <f t="shared" si="64"/>
        <v>10</v>
      </c>
      <c r="H447" s="4" t="str">
        <f t="shared" si="65"/>
        <v>Ohms</v>
      </c>
      <c r="I447" s="6">
        <v>0.4</v>
      </c>
      <c r="J447" s="6" t="str">
        <f t="shared" si="66"/>
        <v>Ohms</v>
      </c>
      <c r="K447" s="2" t="str">
        <f t="shared" si="67"/>
        <v>PTG</v>
      </c>
      <c r="L447" s="7">
        <v>45846</v>
      </c>
      <c r="M447" s="7">
        <f t="shared" si="63"/>
        <v>46026</v>
      </c>
      <c r="N447" s="7" t="str">
        <f t="shared" si="68"/>
        <v>Semestral</v>
      </c>
      <c r="O447" s="2" t="str">
        <f t="shared" ca="1" si="62"/>
        <v>VENCIDO</v>
      </c>
      <c r="P447" s="6" t="s">
        <v>25</v>
      </c>
      <c r="Q447" s="2" t="s">
        <v>161</v>
      </c>
    </row>
    <row r="448" spans="1:17" x14ac:dyDescent="0.25">
      <c r="A448" s="23" t="s">
        <v>147</v>
      </c>
      <c r="B448" s="2" t="s">
        <v>162</v>
      </c>
      <c r="C448" s="3" t="s">
        <v>149</v>
      </c>
      <c r="D448" s="3" t="s">
        <v>23</v>
      </c>
      <c r="E448" s="2" t="s">
        <v>24</v>
      </c>
      <c r="F448" s="4">
        <v>0</v>
      </c>
      <c r="G448" s="8">
        <f t="shared" si="64"/>
        <v>10</v>
      </c>
      <c r="H448" s="4" t="str">
        <f t="shared" si="65"/>
        <v>Ohms</v>
      </c>
      <c r="I448" s="6">
        <v>1.1000000000000001</v>
      </c>
      <c r="J448" s="6" t="str">
        <f t="shared" si="66"/>
        <v>Ohms</v>
      </c>
      <c r="K448" s="2" t="str">
        <f t="shared" si="67"/>
        <v>PTG</v>
      </c>
      <c r="L448" s="7">
        <v>45846</v>
      </c>
      <c r="M448" s="7">
        <f t="shared" si="63"/>
        <v>46026</v>
      </c>
      <c r="N448" s="7" t="str">
        <f t="shared" si="68"/>
        <v>Semestral</v>
      </c>
      <c r="O448" s="2" t="str">
        <f t="shared" ca="1" si="62"/>
        <v>VENCIDO</v>
      </c>
      <c r="P448" s="6" t="s">
        <v>25</v>
      </c>
      <c r="Q448" s="2" t="s">
        <v>163</v>
      </c>
    </row>
    <row r="449" spans="1:17" x14ac:dyDescent="0.25">
      <c r="A449" s="23" t="s">
        <v>147</v>
      </c>
      <c r="B449" s="2" t="s">
        <v>445</v>
      </c>
      <c r="C449" s="3" t="s">
        <v>22</v>
      </c>
      <c r="D449" s="3" t="s">
        <v>23</v>
      </c>
      <c r="E449" s="2" t="s">
        <v>24</v>
      </c>
      <c r="F449" s="4">
        <v>0</v>
      </c>
      <c r="G449" s="8">
        <f t="shared" si="64"/>
        <v>1000000000</v>
      </c>
      <c r="H449" s="4" t="str">
        <f t="shared" si="65"/>
        <v>Ohms</v>
      </c>
      <c r="I449" s="6">
        <v>187000000</v>
      </c>
      <c r="J449" s="6" t="str">
        <f t="shared" si="66"/>
        <v>Ohms</v>
      </c>
      <c r="K449" s="2" t="str">
        <f t="shared" si="67"/>
        <v>RTG</v>
      </c>
      <c r="L449" s="7">
        <v>46007</v>
      </c>
      <c r="M449" s="7">
        <f t="shared" si="63"/>
        <v>46372</v>
      </c>
      <c r="N449" s="7" t="str">
        <f t="shared" si="68"/>
        <v>Anual</v>
      </c>
      <c r="O449" s="2" t="str">
        <f t="shared" ca="1" si="62"/>
        <v>VIGENTE</v>
      </c>
      <c r="P449" s="6" t="s">
        <v>25</v>
      </c>
      <c r="Q449" s="2"/>
    </row>
    <row r="450" spans="1:17" x14ac:dyDescent="0.25">
      <c r="A450" s="23" t="s">
        <v>147</v>
      </c>
      <c r="B450" s="2" t="s">
        <v>446</v>
      </c>
      <c r="C450" s="3" t="s">
        <v>22</v>
      </c>
      <c r="D450" s="3" t="s">
        <v>23</v>
      </c>
      <c r="E450" s="2" t="s">
        <v>24</v>
      </c>
      <c r="F450" s="4">
        <v>0</v>
      </c>
      <c r="G450" s="8">
        <f t="shared" si="64"/>
        <v>1000000000</v>
      </c>
      <c r="H450" s="4" t="str">
        <f t="shared" si="65"/>
        <v>Ohms</v>
      </c>
      <c r="I450" s="6">
        <v>21100000</v>
      </c>
      <c r="J450" s="6" t="str">
        <f t="shared" si="66"/>
        <v>Ohms</v>
      </c>
      <c r="K450" s="2" t="str">
        <f t="shared" si="67"/>
        <v>RTG</v>
      </c>
      <c r="L450" s="7">
        <v>46007</v>
      </c>
      <c r="M450" s="7">
        <f t="shared" si="63"/>
        <v>46372</v>
      </c>
      <c r="N450" s="7" t="str">
        <f t="shared" si="68"/>
        <v>Anual</v>
      </c>
      <c r="O450" s="2" t="str">
        <f t="shared" ca="1" si="62"/>
        <v>VIGENTE</v>
      </c>
      <c r="P450" s="6" t="s">
        <v>25</v>
      </c>
      <c r="Q450" s="2"/>
    </row>
    <row r="451" spans="1:17" x14ac:dyDescent="0.25">
      <c r="A451" s="23" t="s">
        <v>147</v>
      </c>
      <c r="B451" s="2" t="s">
        <v>447</v>
      </c>
      <c r="C451" s="3" t="s">
        <v>22</v>
      </c>
      <c r="D451" s="3" t="s">
        <v>23</v>
      </c>
      <c r="E451" s="2" t="s">
        <v>24</v>
      </c>
      <c r="F451" s="4">
        <v>0</v>
      </c>
      <c r="G451" s="8">
        <f t="shared" si="64"/>
        <v>1000000000</v>
      </c>
      <c r="H451" s="4" t="str">
        <f t="shared" si="65"/>
        <v>Ohms</v>
      </c>
      <c r="I451" s="6">
        <v>549000000</v>
      </c>
      <c r="J451" s="6" t="str">
        <f t="shared" si="66"/>
        <v>Ohms</v>
      </c>
      <c r="K451" s="2" t="str">
        <f t="shared" si="67"/>
        <v>RTG</v>
      </c>
      <c r="L451" s="7">
        <v>45846</v>
      </c>
      <c r="M451" s="7">
        <f t="shared" si="63"/>
        <v>46211</v>
      </c>
      <c r="N451" s="7" t="str">
        <f t="shared" si="68"/>
        <v>Anual</v>
      </c>
      <c r="O451" s="2" t="str">
        <f t="shared" ca="1" si="62"/>
        <v>VIGENTE</v>
      </c>
      <c r="P451" s="6" t="s">
        <v>25</v>
      </c>
      <c r="Q451" s="2"/>
    </row>
    <row r="452" spans="1:17" x14ac:dyDescent="0.25">
      <c r="A452" s="23" t="s">
        <v>147</v>
      </c>
      <c r="B452" s="2" t="s">
        <v>448</v>
      </c>
      <c r="C452" s="3" t="s">
        <v>22</v>
      </c>
      <c r="D452" s="3" t="s">
        <v>23</v>
      </c>
      <c r="E452" s="2" t="s">
        <v>24</v>
      </c>
      <c r="F452" s="4">
        <v>0</v>
      </c>
      <c r="G452" s="8">
        <f t="shared" si="64"/>
        <v>1000000000</v>
      </c>
      <c r="H452" s="4" t="str">
        <f t="shared" si="65"/>
        <v>Ohms</v>
      </c>
      <c r="I452" s="6">
        <v>73800000</v>
      </c>
      <c r="J452" s="6" t="str">
        <f t="shared" si="66"/>
        <v>Ohms</v>
      </c>
      <c r="K452" s="2" t="str">
        <f t="shared" si="67"/>
        <v>RTG</v>
      </c>
      <c r="L452" s="7">
        <v>45866</v>
      </c>
      <c r="M452" s="7">
        <f t="shared" si="63"/>
        <v>46231</v>
      </c>
      <c r="N452" s="7" t="str">
        <f t="shared" si="68"/>
        <v>Anual</v>
      </c>
      <c r="O452" s="2" t="str">
        <f t="shared" ca="1" si="62"/>
        <v>VIGENTE</v>
      </c>
      <c r="P452" s="6" t="s">
        <v>25</v>
      </c>
      <c r="Q452" s="2"/>
    </row>
    <row r="453" spans="1:17" x14ac:dyDescent="0.25">
      <c r="A453" s="23" t="s">
        <v>147</v>
      </c>
      <c r="B453" s="2" t="s">
        <v>863</v>
      </c>
      <c r="C453" s="3" t="s">
        <v>45</v>
      </c>
      <c r="D453" s="3" t="s">
        <v>23</v>
      </c>
      <c r="E453" s="2" t="s">
        <v>24</v>
      </c>
      <c r="F453" s="4">
        <v>0</v>
      </c>
      <c r="G453" s="8">
        <f t="shared" si="64"/>
        <v>1</v>
      </c>
      <c r="H453" s="4" t="str">
        <f t="shared" si="65"/>
        <v>Ohms</v>
      </c>
      <c r="I453" s="6">
        <v>894000000</v>
      </c>
      <c r="J453" s="6" t="str">
        <f t="shared" si="66"/>
        <v>Ohms</v>
      </c>
      <c r="K453" s="2" t="str">
        <f t="shared" si="67"/>
        <v>RTG</v>
      </c>
      <c r="L453" s="7">
        <v>45980</v>
      </c>
      <c r="M453" s="7">
        <f t="shared" si="63"/>
        <v>46160</v>
      </c>
      <c r="N453" s="7" t="str">
        <f t="shared" si="68"/>
        <v>Semestral</v>
      </c>
      <c r="O453" s="2" t="str">
        <f t="shared" ca="1" si="62"/>
        <v>VIGENTE</v>
      </c>
      <c r="P453" s="6" t="s">
        <v>25</v>
      </c>
      <c r="Q453" s="2" t="s">
        <v>46</v>
      </c>
    </row>
    <row r="454" spans="1:17" x14ac:dyDescent="0.25">
      <c r="A454" s="23" t="s">
        <v>147</v>
      </c>
      <c r="B454" s="2" t="s">
        <v>864</v>
      </c>
      <c r="C454" s="3" t="s">
        <v>45</v>
      </c>
      <c r="D454" s="3" t="s">
        <v>23</v>
      </c>
      <c r="E454" s="2" t="s">
        <v>24</v>
      </c>
      <c r="F454" s="4">
        <v>0</v>
      </c>
      <c r="G454" s="8">
        <f t="shared" si="64"/>
        <v>1</v>
      </c>
      <c r="H454" s="4" t="str">
        <f t="shared" si="65"/>
        <v>Ohms</v>
      </c>
      <c r="I454" s="6">
        <v>894000000</v>
      </c>
      <c r="J454" s="6" t="str">
        <f t="shared" si="66"/>
        <v>Ohms</v>
      </c>
      <c r="K454" s="2" t="str">
        <f t="shared" si="67"/>
        <v>RTG</v>
      </c>
      <c r="L454" s="7">
        <v>45980</v>
      </c>
      <c r="M454" s="7">
        <f t="shared" si="63"/>
        <v>46160</v>
      </c>
      <c r="N454" s="7" t="str">
        <f t="shared" si="68"/>
        <v>Semestral</v>
      </c>
      <c r="O454" s="2" t="str">
        <f t="shared" ca="1" si="62"/>
        <v>VIGENTE</v>
      </c>
      <c r="P454" s="6" t="s">
        <v>25</v>
      </c>
      <c r="Q454" s="2" t="s">
        <v>46</v>
      </c>
    </row>
    <row r="455" spans="1:17" x14ac:dyDescent="0.25">
      <c r="A455" s="23" t="s">
        <v>147</v>
      </c>
      <c r="B455" s="2" t="s">
        <v>865</v>
      </c>
      <c r="C455" s="3" t="s">
        <v>45</v>
      </c>
      <c r="D455" s="3" t="s">
        <v>23</v>
      </c>
      <c r="E455" s="2" t="s">
        <v>24</v>
      </c>
      <c r="F455" s="4">
        <v>0</v>
      </c>
      <c r="G455" s="8">
        <f t="shared" si="64"/>
        <v>1</v>
      </c>
      <c r="H455" s="4" t="str">
        <f t="shared" si="65"/>
        <v>Ohms</v>
      </c>
      <c r="I455" s="6">
        <v>910000000</v>
      </c>
      <c r="J455" s="6" t="str">
        <f t="shared" si="66"/>
        <v>Ohms</v>
      </c>
      <c r="K455" s="2" t="str">
        <f t="shared" si="67"/>
        <v>RTG</v>
      </c>
      <c r="L455" s="7">
        <v>45980</v>
      </c>
      <c r="M455" s="7">
        <f t="shared" si="63"/>
        <v>46160</v>
      </c>
      <c r="N455" s="7" t="str">
        <f t="shared" si="68"/>
        <v>Semestral</v>
      </c>
      <c r="O455" s="2" t="str">
        <f t="shared" ca="1" si="62"/>
        <v>VIGENTE</v>
      </c>
      <c r="P455" s="6" t="s">
        <v>25</v>
      </c>
      <c r="Q455" s="2" t="s">
        <v>46</v>
      </c>
    </row>
    <row r="456" spans="1:17" x14ac:dyDescent="0.25">
      <c r="A456" s="23" t="s">
        <v>147</v>
      </c>
      <c r="B456" s="2" t="s">
        <v>866</v>
      </c>
      <c r="C456" s="3" t="s">
        <v>45</v>
      </c>
      <c r="D456" s="3" t="s">
        <v>23</v>
      </c>
      <c r="E456" s="2" t="s">
        <v>24</v>
      </c>
      <c r="F456" s="4">
        <v>0</v>
      </c>
      <c r="G456" s="8">
        <f t="shared" si="64"/>
        <v>1</v>
      </c>
      <c r="H456" s="4" t="str">
        <f t="shared" si="65"/>
        <v>Ohms</v>
      </c>
      <c r="I456" s="6">
        <v>427000000</v>
      </c>
      <c r="J456" s="6" t="str">
        <f t="shared" si="66"/>
        <v>Ohms</v>
      </c>
      <c r="K456" s="2" t="str">
        <f t="shared" si="67"/>
        <v>RTG</v>
      </c>
      <c r="L456" s="7">
        <v>45980</v>
      </c>
      <c r="M456" s="7">
        <f t="shared" si="63"/>
        <v>46160</v>
      </c>
      <c r="N456" s="7" t="str">
        <f t="shared" si="68"/>
        <v>Semestral</v>
      </c>
      <c r="O456" s="2" t="str">
        <f t="shared" ca="1" si="62"/>
        <v>VIGENTE</v>
      </c>
      <c r="P456" s="6" t="s">
        <v>25</v>
      </c>
      <c r="Q456" s="2" t="s">
        <v>46</v>
      </c>
    </row>
    <row r="457" spans="1:17" x14ac:dyDescent="0.25">
      <c r="A457" s="23" t="s">
        <v>147</v>
      </c>
      <c r="B457" s="2" t="s">
        <v>867</v>
      </c>
      <c r="C457" s="3" t="s">
        <v>45</v>
      </c>
      <c r="D457" s="3" t="s">
        <v>23</v>
      </c>
      <c r="E457" s="2" t="s">
        <v>24</v>
      </c>
      <c r="F457" s="4">
        <v>0</v>
      </c>
      <c r="G457" s="8">
        <f t="shared" si="64"/>
        <v>1</v>
      </c>
      <c r="H457" s="4" t="str">
        <f t="shared" si="65"/>
        <v>Ohms</v>
      </c>
      <c r="I457" s="6">
        <v>655000000</v>
      </c>
      <c r="J457" s="6" t="str">
        <f t="shared" si="66"/>
        <v>Ohms</v>
      </c>
      <c r="K457" s="2" t="str">
        <f t="shared" si="67"/>
        <v>RTG</v>
      </c>
      <c r="L457" s="7">
        <v>45980</v>
      </c>
      <c r="M457" s="7">
        <f t="shared" si="63"/>
        <v>46160</v>
      </c>
      <c r="N457" s="7" t="str">
        <f t="shared" si="68"/>
        <v>Semestral</v>
      </c>
      <c r="O457" s="2" t="str">
        <f t="shared" ca="1" si="62"/>
        <v>VIGENTE</v>
      </c>
      <c r="P457" s="6" t="s">
        <v>25</v>
      </c>
      <c r="Q457" s="2" t="s">
        <v>46</v>
      </c>
    </row>
    <row r="458" spans="1:17" x14ac:dyDescent="0.25">
      <c r="A458" s="23" t="s">
        <v>147</v>
      </c>
      <c r="B458" s="2" t="s">
        <v>868</v>
      </c>
      <c r="C458" s="3" t="s">
        <v>45</v>
      </c>
      <c r="D458" s="3" t="s">
        <v>23</v>
      </c>
      <c r="E458" s="2" t="s">
        <v>24</v>
      </c>
      <c r="F458" s="4">
        <v>0</v>
      </c>
      <c r="G458" s="8">
        <f t="shared" si="64"/>
        <v>1</v>
      </c>
      <c r="H458" s="4" t="str">
        <f t="shared" si="65"/>
        <v>Ohms</v>
      </c>
      <c r="I458" s="6">
        <v>706000000</v>
      </c>
      <c r="J458" s="6" t="str">
        <f t="shared" si="66"/>
        <v>Ohms</v>
      </c>
      <c r="K458" s="2" t="str">
        <f t="shared" si="67"/>
        <v>RTG</v>
      </c>
      <c r="L458" s="7">
        <v>45980</v>
      </c>
      <c r="M458" s="7">
        <f t="shared" si="63"/>
        <v>46160</v>
      </c>
      <c r="N458" s="7" t="str">
        <f t="shared" si="68"/>
        <v>Semestral</v>
      </c>
      <c r="O458" s="2" t="str">
        <f t="shared" ca="1" si="62"/>
        <v>VIGENTE</v>
      </c>
      <c r="P458" s="6" t="s">
        <v>25</v>
      </c>
      <c r="Q458" s="2" t="s">
        <v>869</v>
      </c>
    </row>
    <row r="459" spans="1:17" x14ac:dyDescent="0.25">
      <c r="A459" s="23" t="s">
        <v>677</v>
      </c>
      <c r="B459" s="2" t="s">
        <v>678</v>
      </c>
      <c r="C459" s="3" t="s">
        <v>28</v>
      </c>
      <c r="D459" s="3" t="s">
        <v>23</v>
      </c>
      <c r="E459" s="2" t="s">
        <v>24</v>
      </c>
      <c r="F459" s="4">
        <v>0</v>
      </c>
      <c r="G459" s="8">
        <f t="shared" si="64"/>
        <v>1000000000</v>
      </c>
      <c r="H459" s="4" t="str">
        <f t="shared" si="65"/>
        <v>Ohms</v>
      </c>
      <c r="I459" s="14">
        <v>3840000</v>
      </c>
      <c r="J459" s="6" t="str">
        <f t="shared" si="66"/>
        <v>Ohms</v>
      </c>
      <c r="K459" s="2" t="str">
        <f t="shared" si="67"/>
        <v>RTG</v>
      </c>
      <c r="L459" s="7">
        <v>45843</v>
      </c>
      <c r="M459" s="7">
        <f t="shared" si="63"/>
        <v>46208</v>
      </c>
      <c r="N459" s="7" t="str">
        <f t="shared" si="68"/>
        <v>Anual</v>
      </c>
      <c r="O459" s="2" t="str">
        <f t="shared" ca="1" si="62"/>
        <v>VIGENTE</v>
      </c>
      <c r="P459" s="6" t="s">
        <v>25</v>
      </c>
      <c r="Q459" s="2" t="s">
        <v>29</v>
      </c>
    </row>
    <row r="460" spans="1:17" x14ac:dyDescent="0.25">
      <c r="A460" s="23" t="s">
        <v>677</v>
      </c>
      <c r="B460" s="2" t="s">
        <v>679</v>
      </c>
      <c r="C460" s="3" t="s">
        <v>28</v>
      </c>
      <c r="D460" s="3" t="s">
        <v>23</v>
      </c>
      <c r="E460" s="2" t="s">
        <v>24</v>
      </c>
      <c r="F460" s="4">
        <v>0</v>
      </c>
      <c r="G460" s="8">
        <f t="shared" si="64"/>
        <v>1000000000</v>
      </c>
      <c r="H460" s="4" t="str">
        <f t="shared" si="65"/>
        <v>Ohms</v>
      </c>
      <c r="I460" s="14">
        <v>411000000</v>
      </c>
      <c r="J460" s="6" t="str">
        <f t="shared" si="66"/>
        <v>Ohms</v>
      </c>
      <c r="K460" s="2" t="str">
        <f t="shared" si="67"/>
        <v>RTG</v>
      </c>
      <c r="L460" s="7">
        <v>45843</v>
      </c>
      <c r="M460" s="7">
        <f t="shared" si="63"/>
        <v>46208</v>
      </c>
      <c r="N460" s="7" t="str">
        <f t="shared" si="68"/>
        <v>Anual</v>
      </c>
      <c r="O460" s="2" t="str">
        <f t="shared" ca="1" si="62"/>
        <v>VIGENTE</v>
      </c>
      <c r="P460" s="6" t="s">
        <v>25</v>
      </c>
      <c r="Q460" s="2" t="s">
        <v>29</v>
      </c>
    </row>
    <row r="461" spans="1:17" x14ac:dyDescent="0.25">
      <c r="A461" s="23" t="s">
        <v>677</v>
      </c>
      <c r="B461" s="2" t="s">
        <v>680</v>
      </c>
      <c r="C461" s="3" t="s">
        <v>28</v>
      </c>
      <c r="D461" s="3" t="s">
        <v>23</v>
      </c>
      <c r="E461" s="2" t="s">
        <v>24</v>
      </c>
      <c r="F461" s="4">
        <v>0</v>
      </c>
      <c r="G461" s="8">
        <f t="shared" si="64"/>
        <v>1000000000</v>
      </c>
      <c r="H461" s="4" t="str">
        <f t="shared" si="65"/>
        <v>Ohms</v>
      </c>
      <c r="I461" s="14">
        <v>2470000</v>
      </c>
      <c r="J461" s="6" t="str">
        <f t="shared" si="66"/>
        <v>Ohms</v>
      </c>
      <c r="K461" s="2" t="str">
        <f t="shared" si="67"/>
        <v>RTG</v>
      </c>
      <c r="L461" s="7">
        <v>45843</v>
      </c>
      <c r="M461" s="7">
        <f t="shared" si="63"/>
        <v>46208</v>
      </c>
      <c r="N461" s="7" t="str">
        <f t="shared" si="68"/>
        <v>Anual</v>
      </c>
      <c r="O461" s="2" t="str">
        <f t="shared" ca="1" si="62"/>
        <v>VIGENTE</v>
      </c>
      <c r="P461" s="6" t="s">
        <v>25</v>
      </c>
      <c r="Q461" s="2" t="s">
        <v>29</v>
      </c>
    </row>
    <row r="462" spans="1:17" x14ac:dyDescent="0.25">
      <c r="A462" s="23" t="s">
        <v>677</v>
      </c>
      <c r="B462" s="2" t="s">
        <v>681</v>
      </c>
      <c r="C462" s="3" t="s">
        <v>28</v>
      </c>
      <c r="D462" s="3" t="s">
        <v>23</v>
      </c>
      <c r="E462" s="2" t="s">
        <v>24</v>
      </c>
      <c r="F462" s="4">
        <v>0</v>
      </c>
      <c r="G462" s="8">
        <f t="shared" si="64"/>
        <v>1000000000</v>
      </c>
      <c r="H462" s="4" t="str">
        <f t="shared" si="65"/>
        <v>Ohms</v>
      </c>
      <c r="I462" s="14">
        <v>122000000</v>
      </c>
      <c r="J462" s="6" t="str">
        <f t="shared" si="66"/>
        <v>Ohms</v>
      </c>
      <c r="K462" s="2" t="str">
        <f t="shared" si="67"/>
        <v>RTG</v>
      </c>
      <c r="L462" s="7">
        <v>45843</v>
      </c>
      <c r="M462" s="7">
        <f t="shared" si="63"/>
        <v>46208</v>
      </c>
      <c r="N462" s="7" t="str">
        <f t="shared" si="68"/>
        <v>Anual</v>
      </c>
      <c r="O462" s="2" t="str">
        <f t="shared" ca="1" si="62"/>
        <v>VIGENTE</v>
      </c>
      <c r="P462" s="6" t="s">
        <v>25</v>
      </c>
      <c r="Q462" s="2" t="s">
        <v>29</v>
      </c>
    </row>
    <row r="463" spans="1:17" x14ac:dyDescent="0.25">
      <c r="A463" s="23" t="s">
        <v>677</v>
      </c>
      <c r="B463" s="2" t="s">
        <v>682</v>
      </c>
      <c r="C463" s="3" t="s">
        <v>28</v>
      </c>
      <c r="D463" s="3" t="s">
        <v>23</v>
      </c>
      <c r="E463" s="2" t="s">
        <v>24</v>
      </c>
      <c r="F463" s="4">
        <v>0</v>
      </c>
      <c r="G463" s="8">
        <f t="shared" si="64"/>
        <v>1000000000</v>
      </c>
      <c r="H463" s="4" t="str">
        <f t="shared" si="65"/>
        <v>Ohms</v>
      </c>
      <c r="I463" s="14">
        <v>294000000</v>
      </c>
      <c r="J463" s="6" t="str">
        <f t="shared" si="66"/>
        <v>Ohms</v>
      </c>
      <c r="K463" s="2" t="str">
        <f t="shared" si="67"/>
        <v>RTG</v>
      </c>
      <c r="L463" s="7">
        <v>45843</v>
      </c>
      <c r="M463" s="7">
        <f t="shared" si="63"/>
        <v>46208</v>
      </c>
      <c r="N463" s="7" t="str">
        <f t="shared" si="68"/>
        <v>Anual</v>
      </c>
      <c r="O463" s="2" t="str">
        <f t="shared" ca="1" si="62"/>
        <v>VIGENTE</v>
      </c>
      <c r="P463" s="6" t="s">
        <v>25</v>
      </c>
      <c r="Q463" s="2" t="s">
        <v>29</v>
      </c>
    </row>
    <row r="464" spans="1:17" x14ac:dyDescent="0.25">
      <c r="A464" s="23" t="s">
        <v>677</v>
      </c>
      <c r="B464" s="2" t="s">
        <v>683</v>
      </c>
      <c r="C464" s="3" t="s">
        <v>28</v>
      </c>
      <c r="D464" s="3" t="s">
        <v>23</v>
      </c>
      <c r="E464" s="2" t="s">
        <v>24</v>
      </c>
      <c r="F464" s="4">
        <v>0</v>
      </c>
      <c r="G464" s="8">
        <f t="shared" si="64"/>
        <v>1000000000</v>
      </c>
      <c r="H464" s="4" t="str">
        <f t="shared" si="65"/>
        <v>Ohms</v>
      </c>
      <c r="I464" s="14">
        <v>304000000</v>
      </c>
      <c r="J464" s="6" t="str">
        <f t="shared" si="66"/>
        <v>Ohms</v>
      </c>
      <c r="K464" s="2" t="str">
        <f t="shared" si="67"/>
        <v>RTG</v>
      </c>
      <c r="L464" s="7">
        <v>45843</v>
      </c>
      <c r="M464" s="7">
        <f t="shared" si="63"/>
        <v>46208</v>
      </c>
      <c r="N464" s="7" t="str">
        <f t="shared" si="68"/>
        <v>Anual</v>
      </c>
      <c r="O464" s="2" t="str">
        <f t="shared" ca="1" si="62"/>
        <v>VIGENTE</v>
      </c>
      <c r="P464" s="6" t="s">
        <v>25</v>
      </c>
      <c r="Q464" s="2" t="s">
        <v>29</v>
      </c>
    </row>
    <row r="465" spans="1:17" x14ac:dyDescent="0.25">
      <c r="A465" s="23" t="s">
        <v>677</v>
      </c>
      <c r="B465" s="2" t="s">
        <v>684</v>
      </c>
      <c r="C465" s="3" t="s">
        <v>28</v>
      </c>
      <c r="D465" s="3" t="s">
        <v>23</v>
      </c>
      <c r="E465" s="2" t="s">
        <v>24</v>
      </c>
      <c r="F465" s="4">
        <v>0</v>
      </c>
      <c r="G465" s="8">
        <f t="shared" si="64"/>
        <v>1000000000</v>
      </c>
      <c r="H465" s="4" t="str">
        <f t="shared" si="65"/>
        <v>Ohms</v>
      </c>
      <c r="I465" s="14">
        <v>481000000</v>
      </c>
      <c r="J465" s="6" t="str">
        <f t="shared" si="66"/>
        <v>Ohms</v>
      </c>
      <c r="K465" s="2" t="str">
        <f t="shared" si="67"/>
        <v>RTG</v>
      </c>
      <c r="L465" s="7">
        <v>45843</v>
      </c>
      <c r="M465" s="7">
        <f t="shared" si="63"/>
        <v>46208</v>
      </c>
      <c r="N465" s="7" t="str">
        <f t="shared" si="68"/>
        <v>Anual</v>
      </c>
      <c r="O465" s="2" t="str">
        <f t="shared" ca="1" si="62"/>
        <v>VIGENTE</v>
      </c>
      <c r="P465" s="6" t="s">
        <v>25</v>
      </c>
      <c r="Q465" s="2" t="s">
        <v>29</v>
      </c>
    </row>
    <row r="466" spans="1:17" x14ac:dyDescent="0.25">
      <c r="A466" s="23" t="s">
        <v>677</v>
      </c>
      <c r="B466" s="2" t="s">
        <v>685</v>
      </c>
      <c r="C466" s="3" t="s">
        <v>22</v>
      </c>
      <c r="D466" s="3" t="s">
        <v>23</v>
      </c>
      <c r="E466" s="2" t="s">
        <v>24</v>
      </c>
      <c r="F466" s="4">
        <v>0</v>
      </c>
      <c r="G466" s="8">
        <f t="shared" si="64"/>
        <v>1000000000</v>
      </c>
      <c r="H466" s="4" t="str">
        <f t="shared" si="65"/>
        <v>Ohms</v>
      </c>
      <c r="I466" s="6">
        <v>929000000</v>
      </c>
      <c r="J466" s="6" t="str">
        <f t="shared" si="66"/>
        <v>Ohms</v>
      </c>
      <c r="K466" s="2" t="str">
        <f t="shared" si="67"/>
        <v>RTG</v>
      </c>
      <c r="L466" s="7">
        <v>45832</v>
      </c>
      <c r="M466" s="7">
        <f t="shared" si="63"/>
        <v>46197</v>
      </c>
      <c r="N466" s="7" t="str">
        <f t="shared" si="68"/>
        <v>Anual</v>
      </c>
      <c r="O466" s="2" t="str">
        <f t="shared" ca="1" si="62"/>
        <v>VIGENTE</v>
      </c>
      <c r="P466" s="6" t="s">
        <v>25</v>
      </c>
      <c r="Q466" s="2"/>
    </row>
    <row r="467" spans="1:17" x14ac:dyDescent="0.25">
      <c r="A467" s="23" t="s">
        <v>677</v>
      </c>
      <c r="B467" s="2" t="s">
        <v>686</v>
      </c>
      <c r="C467" s="3" t="s">
        <v>28</v>
      </c>
      <c r="D467" s="3" t="s">
        <v>23</v>
      </c>
      <c r="E467" s="2" t="s">
        <v>24</v>
      </c>
      <c r="F467" s="4">
        <v>0</v>
      </c>
      <c r="G467" s="8">
        <f t="shared" si="64"/>
        <v>1000000000</v>
      </c>
      <c r="H467" s="4" t="str">
        <f t="shared" si="65"/>
        <v>Ohms</v>
      </c>
      <c r="I467" s="14">
        <v>3910000</v>
      </c>
      <c r="J467" s="6" t="str">
        <f t="shared" si="66"/>
        <v>Ohms</v>
      </c>
      <c r="K467" s="2" t="str">
        <f t="shared" si="67"/>
        <v>RTG</v>
      </c>
      <c r="L467" s="7">
        <v>45839</v>
      </c>
      <c r="M467" s="7">
        <f t="shared" si="63"/>
        <v>46204</v>
      </c>
      <c r="N467" s="7" t="str">
        <f t="shared" si="68"/>
        <v>Anual</v>
      </c>
      <c r="O467" s="2" t="str">
        <f t="shared" ca="1" si="62"/>
        <v>VIGENTE</v>
      </c>
      <c r="P467" s="6" t="s">
        <v>25</v>
      </c>
      <c r="Q467" s="2" t="s">
        <v>29</v>
      </c>
    </row>
    <row r="468" spans="1:17" x14ac:dyDescent="0.25">
      <c r="A468" s="23" t="s">
        <v>677</v>
      </c>
      <c r="B468" s="2" t="s">
        <v>687</v>
      </c>
      <c r="C468" s="3" t="s">
        <v>28</v>
      </c>
      <c r="D468" s="3" t="s">
        <v>23</v>
      </c>
      <c r="E468" s="2" t="s">
        <v>24</v>
      </c>
      <c r="F468" s="4">
        <v>0</v>
      </c>
      <c r="G468" s="8">
        <f t="shared" si="64"/>
        <v>1000000000</v>
      </c>
      <c r="H468" s="4" t="str">
        <f t="shared" si="65"/>
        <v>Ohms</v>
      </c>
      <c r="I468" s="14">
        <v>195000000</v>
      </c>
      <c r="J468" s="6" t="str">
        <f t="shared" si="66"/>
        <v>Ohms</v>
      </c>
      <c r="K468" s="2" t="str">
        <f t="shared" si="67"/>
        <v>RTG</v>
      </c>
      <c r="L468" s="7">
        <v>45839</v>
      </c>
      <c r="M468" s="7">
        <f t="shared" si="63"/>
        <v>46204</v>
      </c>
      <c r="N468" s="7" t="str">
        <f t="shared" si="68"/>
        <v>Anual</v>
      </c>
      <c r="O468" s="2" t="str">
        <f t="shared" ca="1" si="62"/>
        <v>VIGENTE</v>
      </c>
      <c r="P468" s="6" t="s">
        <v>25</v>
      </c>
      <c r="Q468" s="2"/>
    </row>
    <row r="469" spans="1:17" x14ac:dyDescent="0.25">
      <c r="A469" s="23" t="s">
        <v>131</v>
      </c>
      <c r="B469" s="2" t="s">
        <v>132</v>
      </c>
      <c r="C469" s="3" t="s">
        <v>133</v>
      </c>
      <c r="D469" s="3" t="s">
        <v>23</v>
      </c>
      <c r="E469" s="2" t="s">
        <v>24</v>
      </c>
      <c r="F469" s="4">
        <v>0</v>
      </c>
      <c r="G469" s="8">
        <f t="shared" si="64"/>
        <v>1</v>
      </c>
      <c r="H469" s="4" t="str">
        <f t="shared" si="65"/>
        <v>Ohms</v>
      </c>
      <c r="I469" s="6">
        <v>61400000</v>
      </c>
      <c r="J469" s="6" t="str">
        <f t="shared" si="66"/>
        <v>Ohms</v>
      </c>
      <c r="K469" s="2" t="str">
        <f t="shared" si="67"/>
        <v>RTG</v>
      </c>
      <c r="L469" s="7">
        <v>45715</v>
      </c>
      <c r="M469" s="7">
        <f t="shared" si="63"/>
        <v>46080</v>
      </c>
      <c r="N469" s="7" t="str">
        <f t="shared" si="68"/>
        <v>Anual</v>
      </c>
      <c r="O469" s="2" t="str">
        <f t="shared" ca="1" si="62"/>
        <v>VENCIDO</v>
      </c>
      <c r="P469" s="6" t="s">
        <v>25</v>
      </c>
      <c r="Q469" s="2" t="s">
        <v>126</v>
      </c>
    </row>
    <row r="470" spans="1:17" x14ac:dyDescent="0.25">
      <c r="A470" s="23" t="s">
        <v>131</v>
      </c>
      <c r="B470" s="2" t="s">
        <v>658</v>
      </c>
      <c r="C470" s="3" t="s">
        <v>22</v>
      </c>
      <c r="D470" s="3" t="s">
        <v>23</v>
      </c>
      <c r="E470" s="2" t="s">
        <v>24</v>
      </c>
      <c r="F470" s="4">
        <v>0</v>
      </c>
      <c r="G470" s="8">
        <f t="shared" si="64"/>
        <v>1000000000</v>
      </c>
      <c r="H470" s="4" t="str">
        <f t="shared" si="65"/>
        <v>Ohms</v>
      </c>
      <c r="I470" s="14">
        <v>3710000</v>
      </c>
      <c r="J470" s="6" t="str">
        <f t="shared" si="66"/>
        <v>Ohms</v>
      </c>
      <c r="K470" s="2" t="str">
        <f t="shared" si="67"/>
        <v>RTG</v>
      </c>
      <c r="L470" s="7">
        <v>45843</v>
      </c>
      <c r="M470" s="7">
        <f t="shared" si="63"/>
        <v>46208</v>
      </c>
      <c r="N470" s="7" t="str">
        <f t="shared" si="68"/>
        <v>Anual</v>
      </c>
      <c r="O470" s="2" t="str">
        <f t="shared" ca="1" si="62"/>
        <v>VIGENTE</v>
      </c>
      <c r="P470" s="6" t="s">
        <v>25</v>
      </c>
      <c r="Q470" s="2"/>
    </row>
    <row r="471" spans="1:17" x14ac:dyDescent="0.25">
      <c r="A471" s="23" t="s">
        <v>131</v>
      </c>
      <c r="B471" s="2" t="s">
        <v>659</v>
      </c>
      <c r="C471" s="3" t="s">
        <v>28</v>
      </c>
      <c r="D471" s="3" t="s">
        <v>23</v>
      </c>
      <c r="E471" s="2" t="s">
        <v>24</v>
      </c>
      <c r="F471" s="4">
        <v>0</v>
      </c>
      <c r="G471" s="8">
        <f t="shared" si="64"/>
        <v>1000000000</v>
      </c>
      <c r="H471" s="4" t="str">
        <f t="shared" si="65"/>
        <v>Ohms</v>
      </c>
      <c r="I471" s="14">
        <v>218000000</v>
      </c>
      <c r="J471" s="6" t="str">
        <f t="shared" si="66"/>
        <v>Ohms</v>
      </c>
      <c r="K471" s="2" t="str">
        <f t="shared" si="67"/>
        <v>RTG</v>
      </c>
      <c r="L471" s="7">
        <v>45843</v>
      </c>
      <c r="M471" s="7">
        <f t="shared" si="63"/>
        <v>46208</v>
      </c>
      <c r="N471" s="7" t="str">
        <f t="shared" si="68"/>
        <v>Anual</v>
      </c>
      <c r="O471" s="2" t="str">
        <f t="shared" ca="1" si="62"/>
        <v>VIGENTE</v>
      </c>
      <c r="P471" s="6" t="s">
        <v>25</v>
      </c>
      <c r="Q471" s="2" t="s">
        <v>29</v>
      </c>
    </row>
    <row r="472" spans="1:17" x14ac:dyDescent="0.25">
      <c r="A472" s="23" t="s">
        <v>131</v>
      </c>
      <c r="B472" s="2" t="s">
        <v>660</v>
      </c>
      <c r="C472" s="3" t="s">
        <v>28</v>
      </c>
      <c r="D472" s="3" t="s">
        <v>23</v>
      </c>
      <c r="E472" s="2" t="s">
        <v>24</v>
      </c>
      <c r="F472" s="4">
        <v>0</v>
      </c>
      <c r="G472" s="8">
        <f t="shared" si="64"/>
        <v>1000000000</v>
      </c>
      <c r="H472" s="4" t="str">
        <f t="shared" si="65"/>
        <v>Ohms</v>
      </c>
      <c r="I472" s="14">
        <v>426000000</v>
      </c>
      <c r="J472" s="6" t="str">
        <f t="shared" si="66"/>
        <v>Ohms</v>
      </c>
      <c r="K472" s="2" t="str">
        <f t="shared" si="67"/>
        <v>RTG</v>
      </c>
      <c r="L472" s="7">
        <v>45843</v>
      </c>
      <c r="M472" s="7">
        <f t="shared" si="63"/>
        <v>46208</v>
      </c>
      <c r="N472" s="7" t="str">
        <f t="shared" si="68"/>
        <v>Anual</v>
      </c>
      <c r="O472" s="2" t="str">
        <f t="shared" ca="1" si="62"/>
        <v>VIGENTE</v>
      </c>
      <c r="P472" s="6" t="s">
        <v>25</v>
      </c>
      <c r="Q472" s="2" t="s">
        <v>29</v>
      </c>
    </row>
    <row r="473" spans="1:17" x14ac:dyDescent="0.25">
      <c r="A473" s="23" t="s">
        <v>131</v>
      </c>
      <c r="B473" s="2" t="s">
        <v>661</v>
      </c>
      <c r="C473" s="3" t="s">
        <v>28</v>
      </c>
      <c r="D473" s="3" t="s">
        <v>23</v>
      </c>
      <c r="E473" s="2" t="s">
        <v>24</v>
      </c>
      <c r="F473" s="4">
        <v>0</v>
      </c>
      <c r="G473" s="8">
        <f t="shared" si="64"/>
        <v>1000000000</v>
      </c>
      <c r="H473" s="4" t="str">
        <f t="shared" si="65"/>
        <v>Ohms</v>
      </c>
      <c r="I473" s="14">
        <v>126000000</v>
      </c>
      <c r="J473" s="6" t="str">
        <f t="shared" si="66"/>
        <v>Ohms</v>
      </c>
      <c r="K473" s="2" t="str">
        <f t="shared" si="67"/>
        <v>RTG</v>
      </c>
      <c r="L473" s="7">
        <v>45843</v>
      </c>
      <c r="M473" s="7">
        <f t="shared" si="63"/>
        <v>46208</v>
      </c>
      <c r="N473" s="7" t="str">
        <f t="shared" si="68"/>
        <v>Anual</v>
      </c>
      <c r="O473" s="2" t="str">
        <f t="shared" ca="1" si="62"/>
        <v>VIGENTE</v>
      </c>
      <c r="P473" s="6" t="s">
        <v>25</v>
      </c>
      <c r="Q473" s="2" t="s">
        <v>29</v>
      </c>
    </row>
    <row r="474" spans="1:17" x14ac:dyDescent="0.25">
      <c r="A474" s="23" t="s">
        <v>131</v>
      </c>
      <c r="B474" s="2" t="s">
        <v>662</v>
      </c>
      <c r="C474" s="3" t="s">
        <v>28</v>
      </c>
      <c r="D474" s="3" t="s">
        <v>23</v>
      </c>
      <c r="E474" s="2" t="s">
        <v>24</v>
      </c>
      <c r="F474" s="4">
        <v>0</v>
      </c>
      <c r="G474" s="8">
        <f t="shared" si="64"/>
        <v>1000000000</v>
      </c>
      <c r="H474" s="4" t="str">
        <f t="shared" si="65"/>
        <v>Ohms</v>
      </c>
      <c r="I474" s="14">
        <v>184000000</v>
      </c>
      <c r="J474" s="6" t="str">
        <f t="shared" si="66"/>
        <v>Ohms</v>
      </c>
      <c r="K474" s="2" t="str">
        <f t="shared" si="67"/>
        <v>RTG</v>
      </c>
      <c r="L474" s="7">
        <v>45843</v>
      </c>
      <c r="M474" s="7">
        <f t="shared" si="63"/>
        <v>46208</v>
      </c>
      <c r="N474" s="7" t="str">
        <f t="shared" si="68"/>
        <v>Anual</v>
      </c>
      <c r="O474" s="2" t="str">
        <f t="shared" ca="1" si="62"/>
        <v>VIGENTE</v>
      </c>
      <c r="P474" s="6" t="s">
        <v>25</v>
      </c>
      <c r="Q474" s="2" t="s">
        <v>29</v>
      </c>
    </row>
    <row r="475" spans="1:17" x14ac:dyDescent="0.25">
      <c r="A475" s="23" t="s">
        <v>131</v>
      </c>
      <c r="B475" s="2" t="s">
        <v>663</v>
      </c>
      <c r="C475" s="3" t="s">
        <v>28</v>
      </c>
      <c r="D475" s="3" t="s">
        <v>23</v>
      </c>
      <c r="E475" s="2" t="s">
        <v>24</v>
      </c>
      <c r="F475" s="4">
        <v>0</v>
      </c>
      <c r="G475" s="8">
        <f t="shared" si="64"/>
        <v>1000000000</v>
      </c>
      <c r="H475" s="4" t="str">
        <f t="shared" si="65"/>
        <v>Ohms</v>
      </c>
      <c r="I475" s="14">
        <v>313000000</v>
      </c>
      <c r="J475" s="6" t="str">
        <f t="shared" si="66"/>
        <v>Ohms</v>
      </c>
      <c r="K475" s="2" t="str">
        <f t="shared" si="67"/>
        <v>RTG</v>
      </c>
      <c r="L475" s="7">
        <v>45843</v>
      </c>
      <c r="M475" s="7">
        <f t="shared" si="63"/>
        <v>46208</v>
      </c>
      <c r="N475" s="7" t="str">
        <f t="shared" si="68"/>
        <v>Anual</v>
      </c>
      <c r="O475" s="2" t="str">
        <f t="shared" ca="1" si="62"/>
        <v>VIGENTE</v>
      </c>
      <c r="P475" s="6" t="s">
        <v>25</v>
      </c>
      <c r="Q475" s="2" t="s">
        <v>29</v>
      </c>
    </row>
    <row r="476" spans="1:17" x14ac:dyDescent="0.25">
      <c r="A476" s="23" t="s">
        <v>131</v>
      </c>
      <c r="B476" s="2" t="s">
        <v>664</v>
      </c>
      <c r="C476" s="3" t="s">
        <v>133</v>
      </c>
      <c r="D476" s="3" t="s">
        <v>23</v>
      </c>
      <c r="E476" s="2" t="s">
        <v>24</v>
      </c>
      <c r="F476" s="4">
        <v>0</v>
      </c>
      <c r="G476" s="8">
        <f t="shared" si="64"/>
        <v>1</v>
      </c>
      <c r="H476" s="4" t="str">
        <f t="shared" si="65"/>
        <v>Ohms</v>
      </c>
      <c r="I476" s="14">
        <v>19000000</v>
      </c>
      <c r="J476" s="6" t="str">
        <f t="shared" si="66"/>
        <v>Ohms</v>
      </c>
      <c r="K476" s="2" t="str">
        <f t="shared" si="67"/>
        <v>RTG</v>
      </c>
      <c r="L476" s="7">
        <v>45843</v>
      </c>
      <c r="M476" s="7">
        <f t="shared" si="63"/>
        <v>46208</v>
      </c>
      <c r="N476" s="7" t="str">
        <f t="shared" si="68"/>
        <v>Anual</v>
      </c>
      <c r="O476" s="2" t="str">
        <f t="shared" ca="1" si="62"/>
        <v>VIGENTE</v>
      </c>
      <c r="P476" s="6" t="s">
        <v>25</v>
      </c>
      <c r="Q476" s="2" t="s">
        <v>126</v>
      </c>
    </row>
    <row r="477" spans="1:17" x14ac:dyDescent="0.25">
      <c r="A477" s="23" t="s">
        <v>131</v>
      </c>
      <c r="B477" s="2" t="s">
        <v>665</v>
      </c>
      <c r="C477" s="3" t="s">
        <v>133</v>
      </c>
      <c r="D477" s="3" t="s">
        <v>23</v>
      </c>
      <c r="E477" s="2" t="s">
        <v>24</v>
      </c>
      <c r="F477" s="4">
        <v>0</v>
      </c>
      <c r="G477" s="8">
        <f t="shared" si="64"/>
        <v>1</v>
      </c>
      <c r="H477" s="4" t="str">
        <f t="shared" si="65"/>
        <v>Ohms</v>
      </c>
      <c r="I477" s="14">
        <v>3660000</v>
      </c>
      <c r="J477" s="6" t="str">
        <f t="shared" si="66"/>
        <v>Ohms</v>
      </c>
      <c r="K477" s="2" t="str">
        <f t="shared" si="67"/>
        <v>RTG</v>
      </c>
      <c r="L477" s="7">
        <v>45843</v>
      </c>
      <c r="M477" s="7">
        <f t="shared" si="63"/>
        <v>46208</v>
      </c>
      <c r="N477" s="7" t="str">
        <f t="shared" si="68"/>
        <v>Anual</v>
      </c>
      <c r="O477" s="2" t="str">
        <f t="shared" ca="1" si="62"/>
        <v>VIGENTE</v>
      </c>
      <c r="P477" s="6" t="s">
        <v>25</v>
      </c>
      <c r="Q477" s="2" t="s">
        <v>126</v>
      </c>
    </row>
    <row r="478" spans="1:17" x14ac:dyDescent="0.25">
      <c r="A478" s="23" t="s">
        <v>131</v>
      </c>
      <c r="B478" s="2" t="s">
        <v>666</v>
      </c>
      <c r="C478" s="3" t="s">
        <v>557</v>
      </c>
      <c r="D478" s="3" t="s">
        <v>23</v>
      </c>
      <c r="E478" s="2" t="s">
        <v>24</v>
      </c>
      <c r="F478" s="4">
        <v>0</v>
      </c>
      <c r="G478" s="8">
        <f t="shared" si="64"/>
        <v>1</v>
      </c>
      <c r="H478" s="4" t="str">
        <f t="shared" si="65"/>
        <v>Ohms</v>
      </c>
      <c r="I478" s="14">
        <v>1690000</v>
      </c>
      <c r="J478" s="6" t="str">
        <f t="shared" si="66"/>
        <v>Ohms</v>
      </c>
      <c r="K478" s="2" t="str">
        <f t="shared" si="67"/>
        <v>RTG</v>
      </c>
      <c r="L478" s="7">
        <v>46000</v>
      </c>
      <c r="M478" s="7">
        <f t="shared" si="63"/>
        <v>46365</v>
      </c>
      <c r="N478" s="7" t="str">
        <f t="shared" si="68"/>
        <v>Anual</v>
      </c>
      <c r="O478" s="2" t="str">
        <f t="shared" ca="1" si="62"/>
        <v>VIGENTE</v>
      </c>
      <c r="P478" s="6" t="s">
        <v>25</v>
      </c>
      <c r="Q478" s="2" t="s">
        <v>126</v>
      </c>
    </row>
    <row r="479" spans="1:17" x14ac:dyDescent="0.25">
      <c r="A479" s="23" t="s">
        <v>131</v>
      </c>
      <c r="B479" s="2" t="s">
        <v>692</v>
      </c>
      <c r="C479" s="3" t="s">
        <v>28</v>
      </c>
      <c r="D479" s="3" t="s">
        <v>23</v>
      </c>
      <c r="E479" s="2" t="s">
        <v>24</v>
      </c>
      <c r="F479" s="4">
        <v>0</v>
      </c>
      <c r="G479" s="8">
        <f t="shared" si="64"/>
        <v>1000000000</v>
      </c>
      <c r="H479" s="4" t="str">
        <f t="shared" si="65"/>
        <v>Ohms</v>
      </c>
      <c r="I479" s="6">
        <v>4720000</v>
      </c>
      <c r="J479" s="6" t="str">
        <f t="shared" si="66"/>
        <v>Ohms</v>
      </c>
      <c r="K479" s="2" t="str">
        <f t="shared" si="67"/>
        <v>RTG</v>
      </c>
      <c r="L479" s="7">
        <v>45843</v>
      </c>
      <c r="M479" s="7">
        <f t="shared" si="63"/>
        <v>46208</v>
      </c>
      <c r="N479" s="7" t="str">
        <f t="shared" si="68"/>
        <v>Anual</v>
      </c>
      <c r="O479" s="2" t="str">
        <f t="shared" ca="1" si="62"/>
        <v>VIGENTE</v>
      </c>
      <c r="P479" s="6" t="s">
        <v>25</v>
      </c>
      <c r="Q479" s="2" t="s">
        <v>29</v>
      </c>
    </row>
    <row r="480" spans="1:17" x14ac:dyDescent="0.25">
      <c r="A480" s="23" t="s">
        <v>688</v>
      </c>
      <c r="B480" s="2" t="s">
        <v>689</v>
      </c>
      <c r="C480" s="3" t="s">
        <v>28</v>
      </c>
      <c r="D480" s="3" t="s">
        <v>23</v>
      </c>
      <c r="E480" s="2" t="s">
        <v>24</v>
      </c>
      <c r="F480" s="4">
        <v>0</v>
      </c>
      <c r="G480" s="8">
        <f t="shared" si="64"/>
        <v>1000000000</v>
      </c>
      <c r="H480" s="4" t="str">
        <f t="shared" si="65"/>
        <v>Ohms</v>
      </c>
      <c r="I480" s="14">
        <v>635000</v>
      </c>
      <c r="J480" s="6" t="str">
        <f t="shared" si="66"/>
        <v>Ohms</v>
      </c>
      <c r="K480" s="2" t="str">
        <f t="shared" si="67"/>
        <v>RTG</v>
      </c>
      <c r="L480" s="7">
        <v>46104</v>
      </c>
      <c r="M480" s="7">
        <f t="shared" si="63"/>
        <v>46284</v>
      </c>
      <c r="N480" s="7" t="str">
        <f>IF(C480="Ionizador", "Trimestral", IF(C480="Rack", "Semestral", IF(C480="Mesa", "Semestral", IF(C480="Tapete", "Semestral", IF(C480="Cautín", "Semestral", IF(C480="Silla", "Semestral", "Anual"))))))</f>
        <v>Semestral</v>
      </c>
      <c r="O480" s="2" t="str">
        <f t="shared" ca="1" si="62"/>
        <v>VIGENTE</v>
      </c>
      <c r="P480" s="6"/>
      <c r="Q480" s="2"/>
    </row>
    <row r="481" spans="1:17" x14ac:dyDescent="0.25">
      <c r="A481" s="23" t="s">
        <v>436</v>
      </c>
      <c r="B481" s="2" t="s">
        <v>437</v>
      </c>
      <c r="C481" s="3" t="s">
        <v>22</v>
      </c>
      <c r="D481" s="3" t="s">
        <v>23</v>
      </c>
      <c r="E481" s="2" t="s">
        <v>24</v>
      </c>
      <c r="F481" s="4">
        <v>0</v>
      </c>
      <c r="G481" s="8">
        <f t="shared" si="64"/>
        <v>1000000000</v>
      </c>
      <c r="H481" s="4" t="str">
        <f t="shared" si="65"/>
        <v>Ohms</v>
      </c>
      <c r="I481" s="6">
        <v>1000</v>
      </c>
      <c r="J481" s="6" t="str">
        <f t="shared" si="66"/>
        <v>Ohms</v>
      </c>
      <c r="K481" s="2" t="str">
        <f t="shared" si="67"/>
        <v>RTG</v>
      </c>
      <c r="L481" s="7">
        <v>45833</v>
      </c>
      <c r="M481" s="7">
        <f t="shared" si="63"/>
        <v>46198</v>
      </c>
      <c r="N481" s="7" t="str">
        <f>IF(C481="Ionizador", "Trimestral", IF(C481="Rack", "Anual", IF(C481="Mesa", "Anual", IF(C481="Tapete", "Semestral", IF(C481="Cautín", "Semestral", IF(C481="Silla", "Semestral", "Anual"))))))</f>
        <v>Anual</v>
      </c>
      <c r="O481" s="2" t="str">
        <f t="shared" ca="1" si="62"/>
        <v>VIGENTE</v>
      </c>
      <c r="P481" s="6" t="s">
        <v>25</v>
      </c>
      <c r="Q481" s="2"/>
    </row>
    <row r="482" spans="1:17" x14ac:dyDescent="0.25">
      <c r="A482" s="23" t="s">
        <v>436</v>
      </c>
      <c r="B482" s="2" t="s">
        <v>690</v>
      </c>
      <c r="C482" s="3" t="s">
        <v>28</v>
      </c>
      <c r="D482" s="3" t="s">
        <v>23</v>
      </c>
      <c r="E482" s="2" t="s">
        <v>24</v>
      </c>
      <c r="F482" s="4">
        <v>0</v>
      </c>
      <c r="G482" s="8">
        <f t="shared" si="64"/>
        <v>1000000000</v>
      </c>
      <c r="H482" s="4" t="str">
        <f t="shared" si="65"/>
        <v>Ohms</v>
      </c>
      <c r="I482" s="14">
        <v>528000</v>
      </c>
      <c r="J482" s="6" t="str">
        <f t="shared" si="66"/>
        <v>Ohms</v>
      </c>
      <c r="K482" s="2" t="str">
        <f t="shared" si="67"/>
        <v>RTG</v>
      </c>
      <c r="L482" s="7">
        <v>46104</v>
      </c>
      <c r="M482" s="7"/>
      <c r="N482" s="7" t="str">
        <f>IF(C482="Ionizador", "Trimestral", IF(C482="Rack", "Semestral", IF(C482="Mesa", "Semestral", IF(C482="Tapete", "Semestral", IF(C482="Cautín", "Semestral", IF(C482="Silla", "Semestral", "Anual"))))))</f>
        <v>Semestral</v>
      </c>
      <c r="O482" s="2"/>
      <c r="P482" s="6"/>
      <c r="Q482" s="2"/>
    </row>
    <row r="483" spans="1:17" x14ac:dyDescent="0.25">
      <c r="A483" s="23" t="s">
        <v>134</v>
      </c>
      <c r="B483" s="2" t="s">
        <v>135</v>
      </c>
      <c r="C483" s="3" t="s">
        <v>133</v>
      </c>
      <c r="D483" s="3" t="s">
        <v>23</v>
      </c>
      <c r="E483" s="2" t="s">
        <v>24</v>
      </c>
      <c r="F483" s="4">
        <v>0</v>
      </c>
      <c r="G483" s="8">
        <f t="shared" si="64"/>
        <v>1</v>
      </c>
      <c r="H483" s="4" t="str">
        <f t="shared" si="65"/>
        <v>Ohms</v>
      </c>
      <c r="I483" s="6">
        <v>40400000</v>
      </c>
      <c r="J483" s="6" t="str">
        <f t="shared" si="66"/>
        <v>Ohms</v>
      </c>
      <c r="K483" s="2" t="str">
        <f t="shared" si="67"/>
        <v>RTG</v>
      </c>
      <c r="L483" s="7">
        <v>45715</v>
      </c>
      <c r="M483" s="7">
        <f t="shared" ref="M483:M546" si="69">IF(N483="Trimestral", L483+90, IF(N483="Semestral", L483+180, IF(N483="Mensual", L483+30, L483+365)))</f>
        <v>46080</v>
      </c>
      <c r="N483" s="7" t="str">
        <f t="shared" ref="N483:N546" si="70">IF(C483="Ionizador", "Trimestral", IF(C483="Rack", "Anual", IF(C483="Mesa", "Anual", IF(C483="Tapete", "Semestral", IF(C483="Cautín", "Semestral", IF(C483="Silla", "Semestral", "Anual"))))))</f>
        <v>Anual</v>
      </c>
      <c r="O483" s="2" t="str">
        <f t="shared" ref="O483:O546" ca="1" si="71">IF(M483&lt;TODAY(),"VENCIDO",IF(M483=TODAY(),"VIGENTE",IF(M483&gt;TODAY(),"VIGENTE")))</f>
        <v>VENCIDO</v>
      </c>
      <c r="P483" s="6" t="s">
        <v>25</v>
      </c>
      <c r="Q483" s="2" t="s">
        <v>126</v>
      </c>
    </row>
    <row r="484" spans="1:17" x14ac:dyDescent="0.25">
      <c r="A484" s="23" t="s">
        <v>134</v>
      </c>
      <c r="B484" s="2" t="s">
        <v>667</v>
      </c>
      <c r="C484" s="3" t="s">
        <v>22</v>
      </c>
      <c r="D484" s="3" t="s">
        <v>23</v>
      </c>
      <c r="E484" s="2" t="s">
        <v>24</v>
      </c>
      <c r="F484" s="4">
        <v>0</v>
      </c>
      <c r="G484" s="8">
        <f t="shared" si="64"/>
        <v>1000000000</v>
      </c>
      <c r="H484" s="4" t="str">
        <f t="shared" si="65"/>
        <v>Ohms</v>
      </c>
      <c r="I484" s="14">
        <v>95700000</v>
      </c>
      <c r="J484" s="6" t="str">
        <f t="shared" si="66"/>
        <v>Ohms</v>
      </c>
      <c r="K484" s="2" t="str">
        <f t="shared" si="67"/>
        <v>RTG</v>
      </c>
      <c r="L484" s="7">
        <v>45843</v>
      </c>
      <c r="M484" s="7">
        <f t="shared" si="69"/>
        <v>46208</v>
      </c>
      <c r="N484" s="7" t="str">
        <f t="shared" si="70"/>
        <v>Anual</v>
      </c>
      <c r="O484" s="2" t="str">
        <f t="shared" ca="1" si="71"/>
        <v>VIGENTE</v>
      </c>
      <c r="P484" s="6" t="s">
        <v>25</v>
      </c>
      <c r="Q484" s="2"/>
    </row>
    <row r="485" spans="1:17" x14ac:dyDescent="0.25">
      <c r="A485" s="23" t="s">
        <v>134</v>
      </c>
      <c r="B485" s="2" t="s">
        <v>668</v>
      </c>
      <c r="C485" s="3" t="s">
        <v>22</v>
      </c>
      <c r="D485" s="3" t="s">
        <v>23</v>
      </c>
      <c r="E485" s="2" t="s">
        <v>24</v>
      </c>
      <c r="F485" s="4">
        <v>0</v>
      </c>
      <c r="G485" s="8">
        <f t="shared" si="64"/>
        <v>1000000000</v>
      </c>
      <c r="H485" s="4" t="str">
        <f t="shared" si="65"/>
        <v>Ohms</v>
      </c>
      <c r="I485" s="14">
        <v>236000000</v>
      </c>
      <c r="J485" s="6" t="str">
        <f t="shared" si="66"/>
        <v>Ohms</v>
      </c>
      <c r="K485" s="2" t="str">
        <f t="shared" si="67"/>
        <v>RTG</v>
      </c>
      <c r="L485" s="7">
        <v>45843</v>
      </c>
      <c r="M485" s="7">
        <f t="shared" si="69"/>
        <v>46208</v>
      </c>
      <c r="N485" s="7" t="str">
        <f t="shared" si="70"/>
        <v>Anual</v>
      </c>
      <c r="O485" s="2" t="str">
        <f t="shared" ca="1" si="71"/>
        <v>VIGENTE</v>
      </c>
      <c r="P485" s="6" t="s">
        <v>25</v>
      </c>
      <c r="Q485" s="2"/>
    </row>
    <row r="486" spans="1:17" x14ac:dyDescent="0.25">
      <c r="A486" s="23" t="s">
        <v>134</v>
      </c>
      <c r="B486" s="2" t="s">
        <v>669</v>
      </c>
      <c r="C486" s="3" t="s">
        <v>28</v>
      </c>
      <c r="D486" s="3" t="s">
        <v>23</v>
      </c>
      <c r="E486" s="2" t="s">
        <v>24</v>
      </c>
      <c r="F486" s="4">
        <v>0</v>
      </c>
      <c r="G486" s="8">
        <f t="shared" si="64"/>
        <v>1000000000</v>
      </c>
      <c r="H486" s="4" t="str">
        <f t="shared" si="65"/>
        <v>Ohms</v>
      </c>
      <c r="I486" s="14">
        <v>377000000</v>
      </c>
      <c r="J486" s="6" t="str">
        <f t="shared" si="66"/>
        <v>Ohms</v>
      </c>
      <c r="K486" s="2" t="str">
        <f t="shared" si="67"/>
        <v>RTG</v>
      </c>
      <c r="L486" s="7">
        <v>45843</v>
      </c>
      <c r="M486" s="7">
        <f t="shared" si="69"/>
        <v>46208</v>
      </c>
      <c r="N486" s="7" t="str">
        <f t="shared" si="70"/>
        <v>Anual</v>
      </c>
      <c r="O486" s="2" t="str">
        <f t="shared" ca="1" si="71"/>
        <v>VIGENTE</v>
      </c>
      <c r="P486" s="6" t="s">
        <v>25</v>
      </c>
      <c r="Q486" s="2" t="s">
        <v>29</v>
      </c>
    </row>
    <row r="487" spans="1:17" x14ac:dyDescent="0.25">
      <c r="A487" s="23" t="s">
        <v>134</v>
      </c>
      <c r="B487" s="2" t="s">
        <v>670</v>
      </c>
      <c r="C487" s="3" t="s">
        <v>133</v>
      </c>
      <c r="D487" s="3" t="s">
        <v>23</v>
      </c>
      <c r="E487" s="2" t="s">
        <v>24</v>
      </c>
      <c r="F487" s="4">
        <v>0</v>
      </c>
      <c r="G487" s="8">
        <f t="shared" si="64"/>
        <v>1</v>
      </c>
      <c r="H487" s="4" t="str">
        <f t="shared" si="65"/>
        <v>Ohms</v>
      </c>
      <c r="I487" s="14">
        <v>294000000</v>
      </c>
      <c r="J487" s="6" t="str">
        <f t="shared" si="66"/>
        <v>Ohms</v>
      </c>
      <c r="K487" s="2" t="str">
        <f t="shared" si="67"/>
        <v>RTG</v>
      </c>
      <c r="L487" s="7">
        <v>45843</v>
      </c>
      <c r="M487" s="7">
        <f t="shared" si="69"/>
        <v>46208</v>
      </c>
      <c r="N487" s="7" t="str">
        <f t="shared" si="70"/>
        <v>Anual</v>
      </c>
      <c r="O487" s="2" t="str">
        <f t="shared" ca="1" si="71"/>
        <v>VIGENTE</v>
      </c>
      <c r="P487" s="6" t="s">
        <v>25</v>
      </c>
      <c r="Q487" s="2" t="s">
        <v>126</v>
      </c>
    </row>
    <row r="488" spans="1:17" x14ac:dyDescent="0.25">
      <c r="A488" s="23" t="s">
        <v>134</v>
      </c>
      <c r="B488" s="2" t="s">
        <v>671</v>
      </c>
      <c r="C488" s="3" t="s">
        <v>43</v>
      </c>
      <c r="D488" s="3" t="s">
        <v>23</v>
      </c>
      <c r="E488" s="2" t="s">
        <v>24</v>
      </c>
      <c r="F488" s="4">
        <v>0</v>
      </c>
      <c r="G488" s="8">
        <f t="shared" si="64"/>
        <v>1000000000</v>
      </c>
      <c r="H488" s="4" t="str">
        <f t="shared" si="65"/>
        <v>Ohms</v>
      </c>
      <c r="I488" s="14">
        <v>132000000</v>
      </c>
      <c r="J488" s="6" t="str">
        <f t="shared" si="66"/>
        <v>Ohms</v>
      </c>
      <c r="K488" s="2" t="str">
        <f t="shared" si="67"/>
        <v>RTG</v>
      </c>
      <c r="L488" s="7">
        <v>45843</v>
      </c>
      <c r="M488" s="7">
        <f t="shared" si="69"/>
        <v>46023</v>
      </c>
      <c r="N488" s="7" t="str">
        <f t="shared" si="70"/>
        <v>Semestral</v>
      </c>
      <c r="O488" s="2" t="str">
        <f t="shared" ca="1" si="71"/>
        <v>VENCIDO</v>
      </c>
      <c r="P488" s="6" t="s">
        <v>25</v>
      </c>
      <c r="Q488" s="2"/>
    </row>
    <row r="489" spans="1:17" x14ac:dyDescent="0.25">
      <c r="A489" s="23" t="s">
        <v>134</v>
      </c>
      <c r="B489" s="2" t="s">
        <v>672</v>
      </c>
      <c r="C489" s="3" t="s">
        <v>133</v>
      </c>
      <c r="D489" s="3" t="s">
        <v>23</v>
      </c>
      <c r="E489" s="2" t="s">
        <v>24</v>
      </c>
      <c r="F489" s="4">
        <v>0</v>
      </c>
      <c r="G489" s="8">
        <f t="shared" si="64"/>
        <v>1</v>
      </c>
      <c r="H489" s="4" t="str">
        <f t="shared" si="65"/>
        <v>Ohms</v>
      </c>
      <c r="I489" s="6">
        <v>20100000</v>
      </c>
      <c r="J489" s="6" t="str">
        <f t="shared" si="66"/>
        <v>Ohms</v>
      </c>
      <c r="K489" s="2" t="str">
        <f t="shared" si="67"/>
        <v>RTG</v>
      </c>
      <c r="L489" s="7">
        <v>45835</v>
      </c>
      <c r="M489" s="7">
        <f t="shared" si="69"/>
        <v>46200</v>
      </c>
      <c r="N489" s="7" t="str">
        <f t="shared" si="70"/>
        <v>Anual</v>
      </c>
      <c r="O489" s="2" t="str">
        <f t="shared" ca="1" si="71"/>
        <v>VIGENTE</v>
      </c>
      <c r="P489" s="6" t="s">
        <v>25</v>
      </c>
      <c r="Q489" s="2" t="s">
        <v>126</v>
      </c>
    </row>
    <row r="490" spans="1:17" x14ac:dyDescent="0.25">
      <c r="A490" s="23" t="s">
        <v>134</v>
      </c>
      <c r="B490" s="2" t="s">
        <v>673</v>
      </c>
      <c r="C490" s="3" t="s">
        <v>133</v>
      </c>
      <c r="D490" s="3" t="s">
        <v>23</v>
      </c>
      <c r="E490" s="2" t="s">
        <v>24</v>
      </c>
      <c r="F490" s="4">
        <v>0</v>
      </c>
      <c r="G490" s="8">
        <f t="shared" si="64"/>
        <v>1</v>
      </c>
      <c r="H490" s="4" t="str">
        <f t="shared" si="65"/>
        <v>Ohms</v>
      </c>
      <c r="I490" s="6">
        <v>16100000</v>
      </c>
      <c r="J490" s="6" t="str">
        <f t="shared" si="66"/>
        <v>Ohms</v>
      </c>
      <c r="K490" s="2" t="str">
        <f t="shared" si="67"/>
        <v>RTG</v>
      </c>
      <c r="L490" s="7">
        <v>45835</v>
      </c>
      <c r="M490" s="7">
        <f t="shared" si="69"/>
        <v>46200</v>
      </c>
      <c r="N490" s="7" t="str">
        <f t="shared" si="70"/>
        <v>Anual</v>
      </c>
      <c r="O490" s="2" t="str">
        <f t="shared" ca="1" si="71"/>
        <v>VIGENTE</v>
      </c>
      <c r="P490" s="6" t="s">
        <v>25</v>
      </c>
      <c r="Q490" s="2" t="s">
        <v>126</v>
      </c>
    </row>
    <row r="491" spans="1:17" x14ac:dyDescent="0.25">
      <c r="A491" s="23" t="s">
        <v>134</v>
      </c>
      <c r="B491" s="2" t="s">
        <v>693</v>
      </c>
      <c r="C491" s="3" t="s">
        <v>28</v>
      </c>
      <c r="D491" s="3" t="s">
        <v>23</v>
      </c>
      <c r="E491" s="2" t="s">
        <v>24</v>
      </c>
      <c r="F491" s="4">
        <v>0</v>
      </c>
      <c r="G491" s="8">
        <f t="shared" si="64"/>
        <v>1000000000</v>
      </c>
      <c r="H491" s="4" t="str">
        <f t="shared" si="65"/>
        <v>Ohms</v>
      </c>
      <c r="I491" s="6">
        <v>130000</v>
      </c>
      <c r="J491" s="6" t="str">
        <f t="shared" si="66"/>
        <v>Ohms</v>
      </c>
      <c r="K491" s="2" t="str">
        <f t="shared" si="67"/>
        <v>RTG</v>
      </c>
      <c r="L491" s="7">
        <v>45843</v>
      </c>
      <c r="M491" s="7">
        <f t="shared" si="69"/>
        <v>46208</v>
      </c>
      <c r="N491" s="7" t="str">
        <f t="shared" si="70"/>
        <v>Anual</v>
      </c>
      <c r="O491" s="2" t="str">
        <f t="shared" ca="1" si="71"/>
        <v>VIGENTE</v>
      </c>
      <c r="P491" s="6" t="s">
        <v>25</v>
      </c>
      <c r="Q491" s="2" t="s">
        <v>29</v>
      </c>
    </row>
    <row r="492" spans="1:17" x14ac:dyDescent="0.25">
      <c r="A492" s="23" t="s">
        <v>136</v>
      </c>
      <c r="B492" s="2" t="s">
        <v>137</v>
      </c>
      <c r="C492" s="3" t="s">
        <v>133</v>
      </c>
      <c r="D492" s="3" t="s">
        <v>23</v>
      </c>
      <c r="E492" s="2" t="s">
        <v>24</v>
      </c>
      <c r="F492" s="4">
        <v>0</v>
      </c>
      <c r="G492" s="8">
        <f t="shared" si="64"/>
        <v>1</v>
      </c>
      <c r="H492" s="4" t="str">
        <f t="shared" si="65"/>
        <v>Ohms</v>
      </c>
      <c r="I492" s="6">
        <v>319000000</v>
      </c>
      <c r="J492" s="6" t="str">
        <f t="shared" si="66"/>
        <v>Ohms</v>
      </c>
      <c r="K492" s="2" t="str">
        <f t="shared" si="67"/>
        <v>RTG</v>
      </c>
      <c r="L492" s="7">
        <v>45677</v>
      </c>
      <c r="M492" s="7">
        <f t="shared" si="69"/>
        <v>46042</v>
      </c>
      <c r="N492" s="7" t="str">
        <f t="shared" si="70"/>
        <v>Anual</v>
      </c>
      <c r="O492" s="2" t="str">
        <f t="shared" ca="1" si="71"/>
        <v>VENCIDO</v>
      </c>
      <c r="P492" s="6" t="s">
        <v>25</v>
      </c>
      <c r="Q492" s="2" t="s">
        <v>126</v>
      </c>
    </row>
    <row r="493" spans="1:17" x14ac:dyDescent="0.25">
      <c r="A493" s="23" t="s">
        <v>136</v>
      </c>
      <c r="B493" s="2" t="s">
        <v>674</v>
      </c>
      <c r="C493" s="3" t="s">
        <v>22</v>
      </c>
      <c r="D493" s="3" t="s">
        <v>23</v>
      </c>
      <c r="E493" s="2" t="s">
        <v>24</v>
      </c>
      <c r="F493" s="4">
        <v>0</v>
      </c>
      <c r="G493" s="8">
        <f t="shared" si="64"/>
        <v>1000000000</v>
      </c>
      <c r="H493" s="4" t="str">
        <f t="shared" si="65"/>
        <v>Ohms</v>
      </c>
      <c r="I493" s="14">
        <v>479000000</v>
      </c>
      <c r="J493" s="6" t="str">
        <f t="shared" si="66"/>
        <v>Ohms</v>
      </c>
      <c r="K493" s="2" t="str">
        <f t="shared" si="67"/>
        <v>RTG</v>
      </c>
      <c r="L493" s="7">
        <v>45843</v>
      </c>
      <c r="M493" s="7">
        <f t="shared" si="69"/>
        <v>46208</v>
      </c>
      <c r="N493" s="7" t="str">
        <f t="shared" si="70"/>
        <v>Anual</v>
      </c>
      <c r="O493" s="2" t="str">
        <f t="shared" ca="1" si="71"/>
        <v>VIGENTE</v>
      </c>
      <c r="P493" s="6" t="s">
        <v>25</v>
      </c>
      <c r="Q493" s="2"/>
    </row>
    <row r="494" spans="1:17" x14ac:dyDescent="0.25">
      <c r="A494" s="23" t="s">
        <v>136</v>
      </c>
      <c r="B494" s="2" t="s">
        <v>675</v>
      </c>
      <c r="C494" s="3" t="s">
        <v>22</v>
      </c>
      <c r="D494" s="3" t="s">
        <v>23</v>
      </c>
      <c r="E494" s="2" t="s">
        <v>24</v>
      </c>
      <c r="F494" s="4">
        <v>0</v>
      </c>
      <c r="G494" s="8">
        <f t="shared" si="64"/>
        <v>1000000000</v>
      </c>
      <c r="H494" s="4" t="str">
        <f t="shared" si="65"/>
        <v>Ohms</v>
      </c>
      <c r="I494" s="14">
        <v>32900000</v>
      </c>
      <c r="J494" s="6" t="str">
        <f t="shared" si="66"/>
        <v>Ohms</v>
      </c>
      <c r="K494" s="2" t="str">
        <f t="shared" si="67"/>
        <v>RTG</v>
      </c>
      <c r="L494" s="7">
        <v>45898</v>
      </c>
      <c r="M494" s="7">
        <f t="shared" si="69"/>
        <v>46263</v>
      </c>
      <c r="N494" s="7" t="str">
        <f t="shared" si="70"/>
        <v>Anual</v>
      </c>
      <c r="O494" s="2" t="str">
        <f t="shared" ca="1" si="71"/>
        <v>VIGENTE</v>
      </c>
      <c r="P494" s="6" t="s">
        <v>25</v>
      </c>
      <c r="Q494" s="2"/>
    </row>
    <row r="495" spans="1:17" x14ac:dyDescent="0.25">
      <c r="A495" s="23" t="s">
        <v>136</v>
      </c>
      <c r="B495" s="2" t="s">
        <v>676</v>
      </c>
      <c r="C495" s="3" t="s">
        <v>28</v>
      </c>
      <c r="D495" s="3" t="s">
        <v>23</v>
      </c>
      <c r="E495" s="2" t="s">
        <v>24</v>
      </c>
      <c r="F495" s="4">
        <v>0</v>
      </c>
      <c r="G495" s="8">
        <f t="shared" si="64"/>
        <v>1000000000</v>
      </c>
      <c r="H495" s="4" t="str">
        <f t="shared" si="65"/>
        <v>Ohms</v>
      </c>
      <c r="I495" s="14">
        <v>1930000</v>
      </c>
      <c r="J495" s="6" t="str">
        <f t="shared" si="66"/>
        <v>Ohms</v>
      </c>
      <c r="K495" s="2" t="str">
        <f t="shared" si="67"/>
        <v>RTG</v>
      </c>
      <c r="L495" s="7">
        <v>45843</v>
      </c>
      <c r="M495" s="7">
        <f t="shared" si="69"/>
        <v>46208</v>
      </c>
      <c r="N495" s="7" t="str">
        <f t="shared" si="70"/>
        <v>Anual</v>
      </c>
      <c r="O495" s="2" t="str">
        <f t="shared" ca="1" si="71"/>
        <v>VIGENTE</v>
      </c>
      <c r="P495" s="6" t="s">
        <v>25</v>
      </c>
      <c r="Q495" s="2" t="s">
        <v>29</v>
      </c>
    </row>
    <row r="496" spans="1:17" x14ac:dyDescent="0.25">
      <c r="A496" s="23" t="s">
        <v>136</v>
      </c>
      <c r="B496" s="2" t="s">
        <v>694</v>
      </c>
      <c r="C496" s="3" t="s">
        <v>28</v>
      </c>
      <c r="D496" s="3" t="s">
        <v>23</v>
      </c>
      <c r="E496" s="2" t="s">
        <v>24</v>
      </c>
      <c r="F496" s="4">
        <v>0</v>
      </c>
      <c r="G496" s="8">
        <f t="shared" si="64"/>
        <v>1000000000</v>
      </c>
      <c r="H496" s="4" t="str">
        <f t="shared" si="65"/>
        <v>Ohms</v>
      </c>
      <c r="I496" s="6">
        <v>63900</v>
      </c>
      <c r="J496" s="6" t="str">
        <f t="shared" si="66"/>
        <v>Ohms</v>
      </c>
      <c r="K496" s="2" t="str">
        <f t="shared" si="67"/>
        <v>RTG</v>
      </c>
      <c r="L496" s="7">
        <v>45843</v>
      </c>
      <c r="M496" s="7">
        <f t="shared" si="69"/>
        <v>46208</v>
      </c>
      <c r="N496" s="7" t="str">
        <f t="shared" si="70"/>
        <v>Anual</v>
      </c>
      <c r="O496" s="2" t="str">
        <f t="shared" ca="1" si="71"/>
        <v>VIGENTE</v>
      </c>
      <c r="P496" s="6" t="s">
        <v>25</v>
      </c>
      <c r="Q496" s="2" t="s">
        <v>29</v>
      </c>
    </row>
    <row r="497" spans="1:17" x14ac:dyDescent="0.25">
      <c r="A497" s="23" t="s">
        <v>656</v>
      </c>
      <c r="B497" s="2" t="s">
        <v>657</v>
      </c>
      <c r="C497" s="3" t="s">
        <v>28</v>
      </c>
      <c r="D497" s="3" t="s">
        <v>23</v>
      </c>
      <c r="E497" s="2" t="s">
        <v>24</v>
      </c>
      <c r="F497" s="4">
        <v>0</v>
      </c>
      <c r="G497" s="8">
        <f t="shared" si="64"/>
        <v>1000000000</v>
      </c>
      <c r="H497" s="4" t="str">
        <f t="shared" si="65"/>
        <v>Ohms</v>
      </c>
      <c r="I497" s="14">
        <v>248000000</v>
      </c>
      <c r="J497" s="6" t="str">
        <f t="shared" si="66"/>
        <v>Ohms</v>
      </c>
      <c r="K497" s="2" t="str">
        <f t="shared" si="67"/>
        <v>RTG</v>
      </c>
      <c r="L497" s="7">
        <v>46077</v>
      </c>
      <c r="M497" s="7">
        <f t="shared" si="69"/>
        <v>46442</v>
      </c>
      <c r="N497" s="7" t="str">
        <f t="shared" si="70"/>
        <v>Anual</v>
      </c>
      <c r="O497" s="2" t="str">
        <f t="shared" ca="1" si="71"/>
        <v>VIGENTE</v>
      </c>
      <c r="P497" s="6" t="s">
        <v>25</v>
      </c>
      <c r="Q497" s="2" t="s">
        <v>29</v>
      </c>
    </row>
    <row r="498" spans="1:17" x14ac:dyDescent="0.25">
      <c r="A498" s="23" t="s">
        <v>656</v>
      </c>
      <c r="B498" s="2" t="s">
        <v>2567</v>
      </c>
      <c r="C498" s="3" t="s">
        <v>28</v>
      </c>
      <c r="D498" s="3" t="s">
        <v>23</v>
      </c>
      <c r="E498" s="2" t="s">
        <v>24</v>
      </c>
      <c r="F498" s="4">
        <v>0</v>
      </c>
      <c r="G498" s="8">
        <f t="shared" si="64"/>
        <v>1000000000</v>
      </c>
      <c r="H498" s="4" t="str">
        <f t="shared" si="65"/>
        <v>Ohms</v>
      </c>
      <c r="I498" s="14">
        <v>40300000</v>
      </c>
      <c r="J498" s="6" t="str">
        <f t="shared" si="66"/>
        <v>Ohms</v>
      </c>
      <c r="K498" s="2" t="str">
        <f t="shared" si="67"/>
        <v>RTG</v>
      </c>
      <c r="L498" s="7">
        <v>46077</v>
      </c>
      <c r="M498" s="7">
        <f t="shared" si="69"/>
        <v>46442</v>
      </c>
      <c r="N498" s="7" t="str">
        <f t="shared" si="70"/>
        <v>Anual</v>
      </c>
      <c r="O498" s="2" t="str">
        <f t="shared" ca="1" si="71"/>
        <v>VIGENTE</v>
      </c>
      <c r="P498" s="6" t="s">
        <v>25</v>
      </c>
      <c r="Q498" s="2" t="s">
        <v>29</v>
      </c>
    </row>
    <row r="499" spans="1:17" x14ac:dyDescent="0.25">
      <c r="A499" s="23" t="s">
        <v>484</v>
      </c>
      <c r="B499" s="2" t="s">
        <v>485</v>
      </c>
      <c r="C499" s="3" t="s">
        <v>22</v>
      </c>
      <c r="D499" s="3" t="s">
        <v>23</v>
      </c>
      <c r="E499" s="2" t="s">
        <v>24</v>
      </c>
      <c r="F499" s="4">
        <v>0</v>
      </c>
      <c r="G499" s="8">
        <f t="shared" si="64"/>
        <v>1000000000</v>
      </c>
      <c r="H499" s="4" t="str">
        <f t="shared" si="65"/>
        <v>Ohms</v>
      </c>
      <c r="I499" s="6">
        <v>791000000</v>
      </c>
      <c r="J499" s="6" t="str">
        <f t="shared" si="66"/>
        <v>Ohms</v>
      </c>
      <c r="K499" s="2" t="str">
        <f t="shared" si="67"/>
        <v>RTG</v>
      </c>
      <c r="L499" s="7">
        <v>45684</v>
      </c>
      <c r="M499" s="7">
        <f t="shared" si="69"/>
        <v>46049</v>
      </c>
      <c r="N499" s="7" t="str">
        <f t="shared" si="70"/>
        <v>Anual</v>
      </c>
      <c r="O499" s="2" t="str">
        <f t="shared" ca="1" si="71"/>
        <v>VENCIDO</v>
      </c>
      <c r="P499" s="6" t="s">
        <v>25</v>
      </c>
      <c r="Q499" s="2"/>
    </row>
    <row r="500" spans="1:17" x14ac:dyDescent="0.25">
      <c r="A500" s="23" t="s">
        <v>484</v>
      </c>
      <c r="B500" s="2" t="s">
        <v>698</v>
      </c>
      <c r="C500" s="3" t="s">
        <v>28</v>
      </c>
      <c r="D500" s="3" t="s">
        <v>23</v>
      </c>
      <c r="E500" s="2" t="s">
        <v>24</v>
      </c>
      <c r="F500" s="4">
        <v>0</v>
      </c>
      <c r="G500" s="8">
        <f t="shared" si="64"/>
        <v>1000000000</v>
      </c>
      <c r="H500" s="4" t="str">
        <f t="shared" si="65"/>
        <v>Ohms</v>
      </c>
      <c r="I500" s="14">
        <v>313000000</v>
      </c>
      <c r="J500" s="6" t="str">
        <f t="shared" si="66"/>
        <v>Ohms</v>
      </c>
      <c r="K500" s="2" t="str">
        <f t="shared" si="67"/>
        <v>RTG</v>
      </c>
      <c r="L500" s="7">
        <v>45843</v>
      </c>
      <c r="M500" s="7">
        <f t="shared" si="69"/>
        <v>46208</v>
      </c>
      <c r="N500" s="7" t="str">
        <f t="shared" si="70"/>
        <v>Anual</v>
      </c>
      <c r="O500" s="2" t="str">
        <f t="shared" ca="1" si="71"/>
        <v>VIGENTE</v>
      </c>
      <c r="P500" s="6" t="s">
        <v>25</v>
      </c>
      <c r="Q500" s="2" t="s">
        <v>29</v>
      </c>
    </row>
    <row r="501" spans="1:17" x14ac:dyDescent="0.25">
      <c r="A501" s="23" t="s">
        <v>484</v>
      </c>
      <c r="B501" s="2" t="s">
        <v>699</v>
      </c>
      <c r="C501" s="3" t="s">
        <v>28</v>
      </c>
      <c r="D501" s="3" t="s">
        <v>23</v>
      </c>
      <c r="E501" s="2" t="s">
        <v>24</v>
      </c>
      <c r="F501" s="4">
        <v>0</v>
      </c>
      <c r="G501" s="8">
        <f t="shared" si="64"/>
        <v>1000000000</v>
      </c>
      <c r="H501" s="4" t="str">
        <f t="shared" si="65"/>
        <v>Ohms</v>
      </c>
      <c r="I501" s="14">
        <v>218000000</v>
      </c>
      <c r="J501" s="6" t="str">
        <f t="shared" si="66"/>
        <v>Ohms</v>
      </c>
      <c r="K501" s="2" t="str">
        <f t="shared" si="67"/>
        <v>RTG</v>
      </c>
      <c r="L501" s="7">
        <v>45843</v>
      </c>
      <c r="M501" s="7">
        <f t="shared" si="69"/>
        <v>46208</v>
      </c>
      <c r="N501" s="7" t="str">
        <f t="shared" si="70"/>
        <v>Anual</v>
      </c>
      <c r="O501" s="2" t="str">
        <f t="shared" ca="1" si="71"/>
        <v>VIGENTE</v>
      </c>
      <c r="P501" s="6" t="s">
        <v>25</v>
      </c>
      <c r="Q501" s="2" t="s">
        <v>29</v>
      </c>
    </row>
    <row r="502" spans="1:17" x14ac:dyDescent="0.25">
      <c r="A502" s="23" t="s">
        <v>484</v>
      </c>
      <c r="B502" s="2" t="s">
        <v>700</v>
      </c>
      <c r="C502" s="3" t="s">
        <v>28</v>
      </c>
      <c r="D502" s="3" t="s">
        <v>23</v>
      </c>
      <c r="E502" s="2" t="s">
        <v>24</v>
      </c>
      <c r="F502" s="4">
        <v>0</v>
      </c>
      <c r="G502" s="8">
        <f t="shared" ref="G502:G565" si="72">IF(C502="Ionizador", 10, IF(C502="Mesa", 1000000000, IF(C502="Rack", 1000000000, IF(C502="Piso", 1000000000, IF(C502="Tapete", 1000000000, IF(C502="Carrito", 1000000000, IF(C502="Cautín", 10, 1)))))))</f>
        <v>1000000000</v>
      </c>
      <c r="H502" s="4" t="str">
        <f t="shared" ref="H502:H565" si="73">IF(C502="Ionizador", "Segundos", "Ohms")</f>
        <v>Ohms</v>
      </c>
      <c r="I502" s="14">
        <v>236000000</v>
      </c>
      <c r="J502" s="6" t="str">
        <f t="shared" ref="J502:J565" si="74">H502</f>
        <v>Ohms</v>
      </c>
      <c r="K502" s="2" t="str">
        <f t="shared" ref="K502:K565" si="75">IF(C502="Ionizador", "Plato de carga", IF(C502="Cautín", "PTG", IF(C502="ESD Tester", "PTP Deviation", "RTG")))</f>
        <v>RTG</v>
      </c>
      <c r="L502" s="7">
        <v>45843</v>
      </c>
      <c r="M502" s="7">
        <f t="shared" si="69"/>
        <v>46208</v>
      </c>
      <c r="N502" s="7" t="str">
        <f t="shared" si="70"/>
        <v>Anual</v>
      </c>
      <c r="O502" s="2" t="str">
        <f t="shared" ca="1" si="71"/>
        <v>VIGENTE</v>
      </c>
      <c r="P502" s="6" t="s">
        <v>25</v>
      </c>
      <c r="Q502" s="2" t="s">
        <v>29</v>
      </c>
    </row>
    <row r="503" spans="1:17" x14ac:dyDescent="0.25">
      <c r="A503" s="23" t="s">
        <v>484</v>
      </c>
      <c r="B503" s="2" t="s">
        <v>701</v>
      </c>
      <c r="C503" s="3" t="s">
        <v>28</v>
      </c>
      <c r="D503" s="3" t="s">
        <v>23</v>
      </c>
      <c r="E503" s="2" t="s">
        <v>24</v>
      </c>
      <c r="F503" s="4">
        <v>0</v>
      </c>
      <c r="G503" s="8">
        <f t="shared" si="72"/>
        <v>1000000000</v>
      </c>
      <c r="H503" s="4" t="str">
        <f t="shared" si="73"/>
        <v>Ohms</v>
      </c>
      <c r="I503" s="14">
        <v>13800000</v>
      </c>
      <c r="J503" s="6" t="str">
        <f t="shared" si="74"/>
        <v>Ohms</v>
      </c>
      <c r="K503" s="2" t="str">
        <f t="shared" si="75"/>
        <v>RTG</v>
      </c>
      <c r="L503" s="7">
        <v>45843</v>
      </c>
      <c r="M503" s="7">
        <f t="shared" si="69"/>
        <v>46208</v>
      </c>
      <c r="N503" s="7" t="str">
        <f t="shared" si="70"/>
        <v>Anual</v>
      </c>
      <c r="O503" s="2" t="str">
        <f t="shared" ca="1" si="71"/>
        <v>VIGENTE</v>
      </c>
      <c r="P503" s="6" t="s">
        <v>25</v>
      </c>
      <c r="Q503" s="2" t="s">
        <v>29</v>
      </c>
    </row>
    <row r="504" spans="1:17" x14ac:dyDescent="0.25">
      <c r="A504" s="23" t="s">
        <v>484</v>
      </c>
      <c r="B504" s="2" t="s">
        <v>702</v>
      </c>
      <c r="C504" s="3" t="s">
        <v>28</v>
      </c>
      <c r="D504" s="3" t="s">
        <v>23</v>
      </c>
      <c r="E504" s="2" t="s">
        <v>24</v>
      </c>
      <c r="F504" s="4">
        <v>0</v>
      </c>
      <c r="G504" s="8">
        <f t="shared" si="72"/>
        <v>1000000000</v>
      </c>
      <c r="H504" s="4" t="str">
        <f t="shared" si="73"/>
        <v>Ohms</v>
      </c>
      <c r="I504" s="14">
        <v>462000000</v>
      </c>
      <c r="J504" s="6" t="str">
        <f t="shared" si="74"/>
        <v>Ohms</v>
      </c>
      <c r="K504" s="2" t="str">
        <f t="shared" si="75"/>
        <v>RTG</v>
      </c>
      <c r="L504" s="7">
        <v>45843</v>
      </c>
      <c r="M504" s="7">
        <f t="shared" si="69"/>
        <v>46208</v>
      </c>
      <c r="N504" s="7" t="str">
        <f t="shared" si="70"/>
        <v>Anual</v>
      </c>
      <c r="O504" s="2" t="str">
        <f t="shared" ca="1" si="71"/>
        <v>VIGENTE</v>
      </c>
      <c r="P504" s="6" t="s">
        <v>25</v>
      </c>
      <c r="Q504" s="2" t="s">
        <v>29</v>
      </c>
    </row>
    <row r="505" spans="1:17" x14ac:dyDescent="0.25">
      <c r="A505" s="23" t="s">
        <v>484</v>
      </c>
      <c r="B505" s="2" t="s">
        <v>703</v>
      </c>
      <c r="C505" s="3" t="s">
        <v>28</v>
      </c>
      <c r="D505" s="3" t="s">
        <v>23</v>
      </c>
      <c r="E505" s="2" t="s">
        <v>24</v>
      </c>
      <c r="F505" s="4">
        <v>0</v>
      </c>
      <c r="G505" s="8">
        <f t="shared" si="72"/>
        <v>1000000000</v>
      </c>
      <c r="H505" s="4" t="str">
        <f t="shared" si="73"/>
        <v>Ohms</v>
      </c>
      <c r="I505" s="14">
        <v>49300000</v>
      </c>
      <c r="J505" s="6" t="str">
        <f t="shared" si="74"/>
        <v>Ohms</v>
      </c>
      <c r="K505" s="2" t="str">
        <f t="shared" si="75"/>
        <v>RTG</v>
      </c>
      <c r="L505" s="7">
        <v>45843</v>
      </c>
      <c r="M505" s="7">
        <f t="shared" si="69"/>
        <v>46208</v>
      </c>
      <c r="N505" s="7" t="str">
        <f t="shared" si="70"/>
        <v>Anual</v>
      </c>
      <c r="O505" s="2" t="str">
        <f t="shared" ca="1" si="71"/>
        <v>VIGENTE</v>
      </c>
      <c r="P505" s="6" t="s">
        <v>25</v>
      </c>
      <c r="Q505" s="2" t="s">
        <v>29</v>
      </c>
    </row>
    <row r="506" spans="1:17" x14ac:dyDescent="0.25">
      <c r="A506" s="23" t="s">
        <v>484</v>
      </c>
      <c r="B506" s="2" t="s">
        <v>704</v>
      </c>
      <c r="C506" s="3" t="s">
        <v>705</v>
      </c>
      <c r="D506" s="3" t="s">
        <v>23</v>
      </c>
      <c r="E506" s="2" t="s">
        <v>24</v>
      </c>
      <c r="F506" s="4">
        <v>0</v>
      </c>
      <c r="G506" s="8">
        <f t="shared" si="72"/>
        <v>1</v>
      </c>
      <c r="H506" s="4" t="str">
        <f t="shared" si="73"/>
        <v>Ohms</v>
      </c>
      <c r="I506" s="14">
        <v>3170000</v>
      </c>
      <c r="J506" s="6" t="str">
        <f t="shared" si="74"/>
        <v>Ohms</v>
      </c>
      <c r="K506" s="2" t="str">
        <f t="shared" si="75"/>
        <v>RTG</v>
      </c>
      <c r="L506" s="7">
        <v>45843</v>
      </c>
      <c r="M506" s="7">
        <f t="shared" si="69"/>
        <v>46208</v>
      </c>
      <c r="N506" s="7" t="str">
        <f t="shared" si="70"/>
        <v>Anual</v>
      </c>
      <c r="O506" s="2" t="str">
        <f t="shared" ca="1" si="71"/>
        <v>VIGENTE</v>
      </c>
      <c r="P506" s="6" t="s">
        <v>25</v>
      </c>
      <c r="Q506" s="2" t="s">
        <v>29</v>
      </c>
    </row>
    <row r="507" spans="1:17" x14ac:dyDescent="0.25">
      <c r="A507" s="23" t="s">
        <v>484</v>
      </c>
      <c r="B507" s="2" t="s">
        <v>706</v>
      </c>
      <c r="C507" s="3" t="s">
        <v>705</v>
      </c>
      <c r="D507" s="3" t="s">
        <v>23</v>
      </c>
      <c r="E507" s="2" t="s">
        <v>24</v>
      </c>
      <c r="F507" s="4">
        <v>0</v>
      </c>
      <c r="G507" s="8">
        <f t="shared" si="72"/>
        <v>1</v>
      </c>
      <c r="H507" s="4" t="str">
        <f t="shared" si="73"/>
        <v>Ohms</v>
      </c>
      <c r="I507" s="14">
        <v>299000000</v>
      </c>
      <c r="J507" s="6" t="str">
        <f t="shared" si="74"/>
        <v>Ohms</v>
      </c>
      <c r="K507" s="2" t="str">
        <f t="shared" si="75"/>
        <v>RTG</v>
      </c>
      <c r="L507" s="7">
        <v>45843</v>
      </c>
      <c r="M507" s="7">
        <f t="shared" si="69"/>
        <v>46208</v>
      </c>
      <c r="N507" s="7" t="str">
        <f t="shared" si="70"/>
        <v>Anual</v>
      </c>
      <c r="O507" s="2" t="str">
        <f t="shared" ca="1" si="71"/>
        <v>VIGENTE</v>
      </c>
      <c r="P507" s="6" t="s">
        <v>25</v>
      </c>
      <c r="Q507" s="2" t="s">
        <v>29</v>
      </c>
    </row>
    <row r="508" spans="1:17" x14ac:dyDescent="0.25">
      <c r="A508" s="23" t="s">
        <v>484</v>
      </c>
      <c r="B508" s="2" t="s">
        <v>707</v>
      </c>
      <c r="C508" s="3" t="s">
        <v>22</v>
      </c>
      <c r="D508" s="3" t="s">
        <v>23</v>
      </c>
      <c r="E508" s="2" t="s">
        <v>24</v>
      </c>
      <c r="F508" s="4">
        <v>0</v>
      </c>
      <c r="G508" s="8">
        <f t="shared" si="72"/>
        <v>1000000000</v>
      </c>
      <c r="H508" s="4" t="str">
        <f t="shared" si="73"/>
        <v>Ohms</v>
      </c>
      <c r="I508" s="14">
        <v>3840000</v>
      </c>
      <c r="J508" s="6" t="str">
        <f t="shared" si="74"/>
        <v>Ohms</v>
      </c>
      <c r="K508" s="2" t="str">
        <f t="shared" si="75"/>
        <v>RTG</v>
      </c>
      <c r="L508" s="7">
        <v>45843</v>
      </c>
      <c r="M508" s="7">
        <f t="shared" si="69"/>
        <v>46208</v>
      </c>
      <c r="N508" s="7" t="str">
        <f t="shared" si="70"/>
        <v>Anual</v>
      </c>
      <c r="O508" s="2" t="str">
        <f t="shared" ca="1" si="71"/>
        <v>VIGENTE</v>
      </c>
      <c r="P508" s="6" t="s">
        <v>25</v>
      </c>
      <c r="Q508" s="2"/>
    </row>
    <row r="509" spans="1:17" x14ac:dyDescent="0.25">
      <c r="A509" s="23" t="s">
        <v>484</v>
      </c>
      <c r="B509" s="2" t="s">
        <v>708</v>
      </c>
      <c r="C509" s="3" t="s">
        <v>22</v>
      </c>
      <c r="D509" s="3" t="s">
        <v>23</v>
      </c>
      <c r="E509" s="2" t="s">
        <v>24</v>
      </c>
      <c r="F509" s="4">
        <v>0</v>
      </c>
      <c r="G509" s="8">
        <f t="shared" si="72"/>
        <v>1000000000</v>
      </c>
      <c r="H509" s="4" t="str">
        <f t="shared" si="73"/>
        <v>Ohms</v>
      </c>
      <c r="I509" s="14">
        <v>479000000</v>
      </c>
      <c r="J509" s="6" t="str">
        <f t="shared" si="74"/>
        <v>Ohms</v>
      </c>
      <c r="K509" s="2" t="str">
        <f t="shared" si="75"/>
        <v>RTG</v>
      </c>
      <c r="L509" s="7">
        <v>45843</v>
      </c>
      <c r="M509" s="7">
        <f t="shared" si="69"/>
        <v>46208</v>
      </c>
      <c r="N509" s="7" t="str">
        <f t="shared" si="70"/>
        <v>Anual</v>
      </c>
      <c r="O509" s="2" t="str">
        <f t="shared" ca="1" si="71"/>
        <v>VIGENTE</v>
      </c>
      <c r="P509" s="6" t="s">
        <v>25</v>
      </c>
      <c r="Q509" s="2"/>
    </row>
    <row r="510" spans="1:17" x14ac:dyDescent="0.25">
      <c r="A510" s="23" t="s">
        <v>484</v>
      </c>
      <c r="B510" s="2" t="s">
        <v>709</v>
      </c>
      <c r="C510" s="3" t="s">
        <v>28</v>
      </c>
      <c r="D510" s="3" t="s">
        <v>23</v>
      </c>
      <c r="E510" s="2" t="s">
        <v>24</v>
      </c>
      <c r="F510" s="4">
        <v>0</v>
      </c>
      <c r="G510" s="8">
        <f t="shared" si="72"/>
        <v>1000000000</v>
      </c>
      <c r="H510" s="4" t="str">
        <f t="shared" si="73"/>
        <v>Ohms</v>
      </c>
      <c r="I510" s="14">
        <v>129000</v>
      </c>
      <c r="J510" s="6" t="str">
        <f t="shared" si="74"/>
        <v>Ohms</v>
      </c>
      <c r="K510" s="2" t="str">
        <f t="shared" si="75"/>
        <v>RTG</v>
      </c>
      <c r="L510" s="7">
        <v>45958</v>
      </c>
      <c r="M510" s="7">
        <f t="shared" si="69"/>
        <v>46323</v>
      </c>
      <c r="N510" s="7" t="str">
        <f t="shared" si="70"/>
        <v>Anual</v>
      </c>
      <c r="O510" s="2" t="str">
        <f t="shared" ca="1" si="71"/>
        <v>VIGENTE</v>
      </c>
      <c r="P510" s="6" t="s">
        <v>25</v>
      </c>
      <c r="Q510" s="2"/>
    </row>
    <row r="511" spans="1:17" x14ac:dyDescent="0.25">
      <c r="A511" s="23" t="s">
        <v>484</v>
      </c>
      <c r="B511" s="2" t="s">
        <v>710</v>
      </c>
      <c r="C511" s="3" t="s">
        <v>28</v>
      </c>
      <c r="D511" s="3" t="s">
        <v>23</v>
      </c>
      <c r="E511" s="2" t="s">
        <v>24</v>
      </c>
      <c r="F511" s="4">
        <v>0</v>
      </c>
      <c r="G511" s="8">
        <f t="shared" si="72"/>
        <v>1000000000</v>
      </c>
      <c r="H511" s="4" t="str">
        <f t="shared" si="73"/>
        <v>Ohms</v>
      </c>
      <c r="I511" s="14">
        <v>138000</v>
      </c>
      <c r="J511" s="6" t="str">
        <f t="shared" si="74"/>
        <v>Ohms</v>
      </c>
      <c r="K511" s="2" t="str">
        <f t="shared" si="75"/>
        <v>RTG</v>
      </c>
      <c r="L511" s="7">
        <v>45958</v>
      </c>
      <c r="M511" s="7">
        <f t="shared" si="69"/>
        <v>46323</v>
      </c>
      <c r="N511" s="7" t="str">
        <f t="shared" si="70"/>
        <v>Anual</v>
      </c>
      <c r="O511" s="2" t="str">
        <f t="shared" ca="1" si="71"/>
        <v>VIGENTE</v>
      </c>
      <c r="P511" s="6" t="s">
        <v>25</v>
      </c>
      <c r="Q511" s="2"/>
    </row>
    <row r="512" spans="1:17" x14ac:dyDescent="0.25">
      <c r="A512" s="23" t="s">
        <v>484</v>
      </c>
      <c r="B512" s="2" t="s">
        <v>711</v>
      </c>
      <c r="C512" s="3" t="s">
        <v>22</v>
      </c>
      <c r="D512" s="3" t="s">
        <v>23</v>
      </c>
      <c r="E512" s="2" t="s">
        <v>24</v>
      </c>
      <c r="F512" s="4">
        <v>0</v>
      </c>
      <c r="G512" s="8">
        <f t="shared" si="72"/>
        <v>1000000000</v>
      </c>
      <c r="H512" s="4" t="str">
        <f t="shared" si="73"/>
        <v>Ohms</v>
      </c>
      <c r="I512" s="14">
        <v>587000000</v>
      </c>
      <c r="J512" s="6" t="str">
        <f t="shared" si="74"/>
        <v>Ohms</v>
      </c>
      <c r="K512" s="2" t="str">
        <f t="shared" si="75"/>
        <v>RTG</v>
      </c>
      <c r="L512" s="7">
        <v>45958</v>
      </c>
      <c r="M512" s="7">
        <f t="shared" si="69"/>
        <v>46323</v>
      </c>
      <c r="N512" s="7" t="str">
        <f t="shared" si="70"/>
        <v>Anual</v>
      </c>
      <c r="O512" s="2" t="str">
        <f t="shared" ca="1" si="71"/>
        <v>VIGENTE</v>
      </c>
      <c r="P512" s="6" t="s">
        <v>25</v>
      </c>
      <c r="Q512" s="2"/>
    </row>
    <row r="513" spans="1:17" x14ac:dyDescent="0.25">
      <c r="A513" s="23" t="s">
        <v>484</v>
      </c>
      <c r="B513" s="2" t="s">
        <v>712</v>
      </c>
      <c r="C513" s="3" t="s">
        <v>28</v>
      </c>
      <c r="D513" s="3" t="s">
        <v>23</v>
      </c>
      <c r="E513" s="2" t="s">
        <v>24</v>
      </c>
      <c r="F513" s="4">
        <v>0</v>
      </c>
      <c r="G513" s="8">
        <f t="shared" si="72"/>
        <v>1000000000</v>
      </c>
      <c r="H513" s="4" t="str">
        <f t="shared" si="73"/>
        <v>Ohms</v>
      </c>
      <c r="I513" s="14">
        <v>4280000</v>
      </c>
      <c r="J513" s="6" t="str">
        <f t="shared" si="74"/>
        <v>Ohms</v>
      </c>
      <c r="K513" s="2" t="str">
        <f t="shared" si="75"/>
        <v>RTG</v>
      </c>
      <c r="L513" s="7">
        <v>45843</v>
      </c>
      <c r="M513" s="7">
        <f t="shared" si="69"/>
        <v>46208</v>
      </c>
      <c r="N513" s="7" t="str">
        <f t="shared" si="70"/>
        <v>Anual</v>
      </c>
      <c r="O513" s="2" t="str">
        <f t="shared" ca="1" si="71"/>
        <v>VIGENTE</v>
      </c>
      <c r="P513" s="6" t="s">
        <v>25</v>
      </c>
      <c r="Q513" s="2" t="s">
        <v>29</v>
      </c>
    </row>
    <row r="514" spans="1:17" x14ac:dyDescent="0.25">
      <c r="A514" s="23" t="s">
        <v>484</v>
      </c>
      <c r="B514" s="2" t="s">
        <v>1115</v>
      </c>
      <c r="C514" s="3" t="s">
        <v>28</v>
      </c>
      <c r="D514" s="3" t="s">
        <v>23</v>
      </c>
      <c r="E514" s="2" t="s">
        <v>24</v>
      </c>
      <c r="F514" s="4">
        <v>0</v>
      </c>
      <c r="G514" s="8">
        <f t="shared" si="72"/>
        <v>1000000000</v>
      </c>
      <c r="H514" s="4" t="str">
        <f t="shared" si="73"/>
        <v>Ohms</v>
      </c>
      <c r="I514" s="6">
        <v>357000000</v>
      </c>
      <c r="J514" s="6" t="str">
        <f t="shared" si="74"/>
        <v>Ohms</v>
      </c>
      <c r="K514" s="2" t="str">
        <f t="shared" si="75"/>
        <v>RTG</v>
      </c>
      <c r="L514" s="7">
        <v>45843</v>
      </c>
      <c r="M514" s="7">
        <f t="shared" si="69"/>
        <v>46208</v>
      </c>
      <c r="N514" s="7" t="str">
        <f t="shared" si="70"/>
        <v>Anual</v>
      </c>
      <c r="O514" s="2" t="str">
        <f t="shared" ca="1" si="71"/>
        <v>VIGENTE</v>
      </c>
      <c r="P514" s="6" t="s">
        <v>25</v>
      </c>
      <c r="Q514" s="2" t="s">
        <v>29</v>
      </c>
    </row>
    <row r="515" spans="1:17" x14ac:dyDescent="0.25">
      <c r="A515" s="23" t="s">
        <v>484</v>
      </c>
      <c r="B515" s="2" t="s">
        <v>1118</v>
      </c>
      <c r="C515" s="3" t="s">
        <v>28</v>
      </c>
      <c r="D515" s="3" t="s">
        <v>23</v>
      </c>
      <c r="E515" s="2" t="s">
        <v>24</v>
      </c>
      <c r="F515" s="4">
        <v>0</v>
      </c>
      <c r="G515" s="8">
        <f t="shared" si="72"/>
        <v>1000000000</v>
      </c>
      <c r="H515" s="4" t="str">
        <f t="shared" si="73"/>
        <v>Ohms</v>
      </c>
      <c r="I515" s="6">
        <v>69800000</v>
      </c>
      <c r="J515" s="6" t="str">
        <f t="shared" si="74"/>
        <v>Ohms</v>
      </c>
      <c r="K515" s="2" t="str">
        <f t="shared" si="75"/>
        <v>RTG</v>
      </c>
      <c r="L515" s="7">
        <v>45843</v>
      </c>
      <c r="M515" s="7">
        <f t="shared" si="69"/>
        <v>46208</v>
      </c>
      <c r="N515" s="7" t="str">
        <f t="shared" si="70"/>
        <v>Anual</v>
      </c>
      <c r="O515" s="2" t="str">
        <f t="shared" ca="1" si="71"/>
        <v>VIGENTE</v>
      </c>
      <c r="P515" s="6" t="s">
        <v>25</v>
      </c>
      <c r="Q515" s="2" t="s">
        <v>29</v>
      </c>
    </row>
    <row r="516" spans="1:17" x14ac:dyDescent="0.25">
      <c r="A516" s="23" t="s">
        <v>484</v>
      </c>
      <c r="B516" s="2" t="s">
        <v>1119</v>
      </c>
      <c r="C516" s="3" t="s">
        <v>28</v>
      </c>
      <c r="D516" s="3" t="s">
        <v>23</v>
      </c>
      <c r="E516" s="2" t="s">
        <v>24</v>
      </c>
      <c r="F516" s="4">
        <v>0</v>
      </c>
      <c r="G516" s="8">
        <f t="shared" si="72"/>
        <v>1000000000</v>
      </c>
      <c r="H516" s="4" t="str">
        <f t="shared" si="73"/>
        <v>Ohms</v>
      </c>
      <c r="I516" s="6">
        <v>167000000</v>
      </c>
      <c r="J516" s="6" t="str">
        <f t="shared" si="74"/>
        <v>Ohms</v>
      </c>
      <c r="K516" s="2" t="str">
        <f t="shared" si="75"/>
        <v>RTG</v>
      </c>
      <c r="L516" s="7">
        <v>45843</v>
      </c>
      <c r="M516" s="7">
        <f t="shared" si="69"/>
        <v>46208</v>
      </c>
      <c r="N516" s="7" t="str">
        <f t="shared" si="70"/>
        <v>Anual</v>
      </c>
      <c r="O516" s="2" t="str">
        <f t="shared" ca="1" si="71"/>
        <v>VIGENTE</v>
      </c>
      <c r="P516" s="6" t="s">
        <v>25</v>
      </c>
      <c r="Q516" s="2" t="s">
        <v>29</v>
      </c>
    </row>
    <row r="517" spans="1:17" x14ac:dyDescent="0.25">
      <c r="A517" s="23" t="s">
        <v>484</v>
      </c>
      <c r="B517" s="2" t="s">
        <v>1120</v>
      </c>
      <c r="C517" s="3" t="s">
        <v>28</v>
      </c>
      <c r="D517" s="3" t="s">
        <v>23</v>
      </c>
      <c r="E517" s="2" t="s">
        <v>24</v>
      </c>
      <c r="F517" s="4">
        <v>0</v>
      </c>
      <c r="G517" s="8">
        <f t="shared" si="72"/>
        <v>1000000000</v>
      </c>
      <c r="H517" s="4" t="str">
        <f t="shared" si="73"/>
        <v>Ohms</v>
      </c>
      <c r="I517" s="6">
        <v>572000000</v>
      </c>
      <c r="J517" s="6" t="str">
        <f t="shared" si="74"/>
        <v>Ohms</v>
      </c>
      <c r="K517" s="2" t="str">
        <f t="shared" si="75"/>
        <v>RTG</v>
      </c>
      <c r="L517" s="7">
        <v>45843</v>
      </c>
      <c r="M517" s="7">
        <f t="shared" si="69"/>
        <v>46208</v>
      </c>
      <c r="N517" s="7" t="str">
        <f t="shared" si="70"/>
        <v>Anual</v>
      </c>
      <c r="O517" s="2" t="str">
        <f t="shared" ca="1" si="71"/>
        <v>VIGENTE</v>
      </c>
      <c r="P517" s="6" t="s">
        <v>25</v>
      </c>
      <c r="Q517" s="2" t="s">
        <v>29</v>
      </c>
    </row>
    <row r="518" spans="1:17" x14ac:dyDescent="0.25">
      <c r="A518" s="23" t="s">
        <v>484</v>
      </c>
      <c r="B518" s="2" t="s">
        <v>1121</v>
      </c>
      <c r="C518" s="3" t="s">
        <v>28</v>
      </c>
      <c r="D518" s="3" t="s">
        <v>23</v>
      </c>
      <c r="E518" s="2" t="s">
        <v>24</v>
      </c>
      <c r="F518" s="4">
        <v>0</v>
      </c>
      <c r="G518" s="8">
        <f t="shared" si="72"/>
        <v>1000000000</v>
      </c>
      <c r="H518" s="4" t="str">
        <f t="shared" si="73"/>
        <v>Ohms</v>
      </c>
      <c r="I518" s="6">
        <v>268000000</v>
      </c>
      <c r="J518" s="6" t="str">
        <f t="shared" si="74"/>
        <v>Ohms</v>
      </c>
      <c r="K518" s="2" t="str">
        <f t="shared" si="75"/>
        <v>RTG</v>
      </c>
      <c r="L518" s="7">
        <v>45843</v>
      </c>
      <c r="M518" s="7">
        <f t="shared" si="69"/>
        <v>46208</v>
      </c>
      <c r="N518" s="7" t="str">
        <f t="shared" si="70"/>
        <v>Anual</v>
      </c>
      <c r="O518" s="2" t="str">
        <f t="shared" ca="1" si="71"/>
        <v>VIGENTE</v>
      </c>
      <c r="P518" s="6" t="s">
        <v>25</v>
      </c>
      <c r="Q518" s="2" t="s">
        <v>29</v>
      </c>
    </row>
    <row r="519" spans="1:17" x14ac:dyDescent="0.25">
      <c r="A519" s="23" t="s">
        <v>484</v>
      </c>
      <c r="B519" s="2" t="s">
        <v>1122</v>
      </c>
      <c r="C519" s="3" t="s">
        <v>28</v>
      </c>
      <c r="D519" s="3" t="s">
        <v>23</v>
      </c>
      <c r="E519" s="2" t="s">
        <v>24</v>
      </c>
      <c r="F519" s="4">
        <v>0</v>
      </c>
      <c r="G519" s="8">
        <f t="shared" si="72"/>
        <v>1000000000</v>
      </c>
      <c r="H519" s="4" t="str">
        <f t="shared" si="73"/>
        <v>Ohms</v>
      </c>
      <c r="I519" s="6">
        <v>659000000</v>
      </c>
      <c r="J519" s="6" t="str">
        <f t="shared" si="74"/>
        <v>Ohms</v>
      </c>
      <c r="K519" s="2" t="str">
        <f t="shared" si="75"/>
        <v>RTG</v>
      </c>
      <c r="L519" s="7">
        <v>45843</v>
      </c>
      <c r="M519" s="7">
        <f t="shared" si="69"/>
        <v>46208</v>
      </c>
      <c r="N519" s="7" t="str">
        <f t="shared" si="70"/>
        <v>Anual</v>
      </c>
      <c r="O519" s="2" t="str">
        <f t="shared" ca="1" si="71"/>
        <v>VIGENTE</v>
      </c>
      <c r="P519" s="6" t="s">
        <v>25</v>
      </c>
      <c r="Q519" s="2" t="s">
        <v>29</v>
      </c>
    </row>
    <row r="520" spans="1:17" x14ac:dyDescent="0.25">
      <c r="A520" s="23" t="s">
        <v>484</v>
      </c>
      <c r="B520" s="2" t="s">
        <v>1123</v>
      </c>
      <c r="C520" s="3" t="s">
        <v>28</v>
      </c>
      <c r="D520" s="3" t="s">
        <v>23</v>
      </c>
      <c r="E520" s="2" t="s">
        <v>24</v>
      </c>
      <c r="F520" s="4">
        <v>0</v>
      </c>
      <c r="G520" s="8">
        <f t="shared" si="72"/>
        <v>1000000000</v>
      </c>
      <c r="H520" s="4" t="str">
        <f t="shared" si="73"/>
        <v>Ohms</v>
      </c>
      <c r="I520" s="6">
        <v>820000000</v>
      </c>
      <c r="J520" s="6" t="str">
        <f t="shared" si="74"/>
        <v>Ohms</v>
      </c>
      <c r="K520" s="2" t="str">
        <f t="shared" si="75"/>
        <v>RTG</v>
      </c>
      <c r="L520" s="7">
        <v>45843</v>
      </c>
      <c r="M520" s="7">
        <f t="shared" si="69"/>
        <v>46208</v>
      </c>
      <c r="N520" s="7" t="str">
        <f t="shared" si="70"/>
        <v>Anual</v>
      </c>
      <c r="O520" s="2" t="str">
        <f t="shared" ca="1" si="71"/>
        <v>VIGENTE</v>
      </c>
      <c r="P520" s="6" t="s">
        <v>25</v>
      </c>
      <c r="Q520" s="2" t="s">
        <v>29</v>
      </c>
    </row>
    <row r="521" spans="1:17" x14ac:dyDescent="0.25">
      <c r="A521" s="23" t="s">
        <v>484</v>
      </c>
      <c r="B521" s="2" t="s">
        <v>1124</v>
      </c>
      <c r="C521" s="3" t="s">
        <v>28</v>
      </c>
      <c r="D521" s="3" t="s">
        <v>23</v>
      </c>
      <c r="E521" s="2" t="s">
        <v>24</v>
      </c>
      <c r="F521" s="4">
        <v>0</v>
      </c>
      <c r="G521" s="8">
        <f t="shared" si="72"/>
        <v>1000000000</v>
      </c>
      <c r="H521" s="4" t="str">
        <f t="shared" si="73"/>
        <v>Ohms</v>
      </c>
      <c r="I521" s="6">
        <v>264000000</v>
      </c>
      <c r="J521" s="6" t="str">
        <f t="shared" si="74"/>
        <v>Ohms</v>
      </c>
      <c r="K521" s="2" t="str">
        <f t="shared" si="75"/>
        <v>RTG</v>
      </c>
      <c r="L521" s="7">
        <v>45843</v>
      </c>
      <c r="M521" s="7">
        <f t="shared" si="69"/>
        <v>46208</v>
      </c>
      <c r="N521" s="7" t="str">
        <f t="shared" si="70"/>
        <v>Anual</v>
      </c>
      <c r="O521" s="2" t="str">
        <f t="shared" ca="1" si="71"/>
        <v>VIGENTE</v>
      </c>
      <c r="P521" s="6" t="s">
        <v>25</v>
      </c>
      <c r="Q521" s="2" t="s">
        <v>29</v>
      </c>
    </row>
    <row r="522" spans="1:17" x14ac:dyDescent="0.25">
      <c r="A522" s="23" t="s">
        <v>484</v>
      </c>
      <c r="B522" s="2" t="s">
        <v>1125</v>
      </c>
      <c r="C522" s="3" t="s">
        <v>28</v>
      </c>
      <c r="D522" s="3" t="s">
        <v>23</v>
      </c>
      <c r="E522" s="2" t="s">
        <v>24</v>
      </c>
      <c r="F522" s="4">
        <v>0</v>
      </c>
      <c r="G522" s="8">
        <f t="shared" si="72"/>
        <v>1000000000</v>
      </c>
      <c r="H522" s="4" t="str">
        <f t="shared" si="73"/>
        <v>Ohms</v>
      </c>
      <c r="I522" s="6">
        <v>649000000</v>
      </c>
      <c r="J522" s="6" t="str">
        <f t="shared" si="74"/>
        <v>Ohms</v>
      </c>
      <c r="K522" s="2" t="str">
        <f t="shared" si="75"/>
        <v>RTG</v>
      </c>
      <c r="L522" s="7">
        <v>45843</v>
      </c>
      <c r="M522" s="7">
        <f t="shared" si="69"/>
        <v>46208</v>
      </c>
      <c r="N522" s="7" t="str">
        <f t="shared" si="70"/>
        <v>Anual</v>
      </c>
      <c r="O522" s="2" t="str">
        <f t="shared" ca="1" si="71"/>
        <v>VIGENTE</v>
      </c>
      <c r="P522" s="6" t="s">
        <v>25</v>
      </c>
      <c r="Q522" s="2" t="s">
        <v>29</v>
      </c>
    </row>
    <row r="523" spans="1:17" x14ac:dyDescent="0.25">
      <c r="A523" s="23" t="s">
        <v>584</v>
      </c>
      <c r="B523" s="2" t="s">
        <v>585</v>
      </c>
      <c r="C523" s="3" t="s">
        <v>28</v>
      </c>
      <c r="D523" s="3" t="s">
        <v>23</v>
      </c>
      <c r="E523" s="2" t="s">
        <v>24</v>
      </c>
      <c r="F523" s="4">
        <v>0</v>
      </c>
      <c r="G523" s="8">
        <f t="shared" si="72"/>
        <v>1000000000</v>
      </c>
      <c r="H523" s="4" t="str">
        <f t="shared" si="73"/>
        <v>Ohms</v>
      </c>
      <c r="I523" s="6">
        <v>91000000</v>
      </c>
      <c r="J523" s="6" t="str">
        <f t="shared" si="74"/>
        <v>Ohms</v>
      </c>
      <c r="K523" s="2" t="str">
        <f t="shared" si="75"/>
        <v>RTG</v>
      </c>
      <c r="L523" s="7">
        <v>45838</v>
      </c>
      <c r="M523" s="7">
        <f t="shared" si="69"/>
        <v>46203</v>
      </c>
      <c r="N523" s="7" t="str">
        <f t="shared" si="70"/>
        <v>Anual</v>
      </c>
      <c r="O523" s="2" t="str">
        <f t="shared" ca="1" si="71"/>
        <v>VIGENTE</v>
      </c>
      <c r="P523" s="6" t="s">
        <v>25</v>
      </c>
      <c r="Q523" s="2" t="s">
        <v>29</v>
      </c>
    </row>
    <row r="524" spans="1:17" x14ac:dyDescent="0.25">
      <c r="A524" s="23" t="s">
        <v>584</v>
      </c>
      <c r="B524" s="2" t="s">
        <v>713</v>
      </c>
      <c r="C524" s="3" t="s">
        <v>28</v>
      </c>
      <c r="D524" s="3" t="s">
        <v>23</v>
      </c>
      <c r="E524" s="2" t="s">
        <v>24</v>
      </c>
      <c r="F524" s="4">
        <v>0</v>
      </c>
      <c r="G524" s="8">
        <f t="shared" si="72"/>
        <v>1000000000</v>
      </c>
      <c r="H524" s="4" t="str">
        <f t="shared" si="73"/>
        <v>Ohms</v>
      </c>
      <c r="I524" s="6">
        <v>595000000</v>
      </c>
      <c r="J524" s="6" t="str">
        <f t="shared" si="74"/>
        <v>Ohms</v>
      </c>
      <c r="K524" s="2" t="str">
        <f t="shared" si="75"/>
        <v>RTG</v>
      </c>
      <c r="L524" s="7">
        <v>45838</v>
      </c>
      <c r="M524" s="7">
        <f t="shared" si="69"/>
        <v>46203</v>
      </c>
      <c r="N524" s="7" t="str">
        <f t="shared" si="70"/>
        <v>Anual</v>
      </c>
      <c r="O524" s="2" t="str">
        <f t="shared" ca="1" si="71"/>
        <v>VIGENTE</v>
      </c>
      <c r="P524" s="6" t="s">
        <v>25</v>
      </c>
      <c r="Q524" s="2" t="s">
        <v>29</v>
      </c>
    </row>
    <row r="525" spans="1:17" x14ac:dyDescent="0.25">
      <c r="A525" s="23" t="s">
        <v>584</v>
      </c>
      <c r="B525" s="2" t="s">
        <v>714</v>
      </c>
      <c r="C525" s="3" t="s">
        <v>28</v>
      </c>
      <c r="D525" s="3" t="s">
        <v>23</v>
      </c>
      <c r="E525" s="2" t="s">
        <v>24</v>
      </c>
      <c r="F525" s="4">
        <v>0</v>
      </c>
      <c r="G525" s="8">
        <f t="shared" si="72"/>
        <v>1000000000</v>
      </c>
      <c r="H525" s="4" t="str">
        <f t="shared" si="73"/>
        <v>Ohms</v>
      </c>
      <c r="I525" s="6">
        <v>1020000</v>
      </c>
      <c r="J525" s="6" t="str">
        <f t="shared" si="74"/>
        <v>Ohms</v>
      </c>
      <c r="K525" s="2" t="str">
        <f t="shared" si="75"/>
        <v>RTG</v>
      </c>
      <c r="L525" s="7">
        <v>45838</v>
      </c>
      <c r="M525" s="7">
        <f t="shared" si="69"/>
        <v>46203</v>
      </c>
      <c r="N525" s="7" t="str">
        <f t="shared" si="70"/>
        <v>Anual</v>
      </c>
      <c r="O525" s="2" t="str">
        <f t="shared" ca="1" si="71"/>
        <v>VIGENTE</v>
      </c>
      <c r="P525" s="6" t="s">
        <v>25</v>
      </c>
      <c r="Q525" s="2" t="s">
        <v>29</v>
      </c>
    </row>
    <row r="526" spans="1:17" x14ac:dyDescent="0.25">
      <c r="A526" s="23" t="s">
        <v>584</v>
      </c>
      <c r="B526" s="2" t="s">
        <v>715</v>
      </c>
      <c r="C526" s="3" t="s">
        <v>28</v>
      </c>
      <c r="D526" s="3" t="s">
        <v>23</v>
      </c>
      <c r="E526" s="2" t="s">
        <v>24</v>
      </c>
      <c r="F526" s="4">
        <v>0</v>
      </c>
      <c r="G526" s="8">
        <f t="shared" si="72"/>
        <v>1000000000</v>
      </c>
      <c r="H526" s="4" t="str">
        <f t="shared" si="73"/>
        <v>Ohms</v>
      </c>
      <c r="I526" s="6">
        <v>129000</v>
      </c>
      <c r="J526" s="6" t="str">
        <f t="shared" si="74"/>
        <v>Ohms</v>
      </c>
      <c r="K526" s="2" t="str">
        <f t="shared" si="75"/>
        <v>RTG</v>
      </c>
      <c r="L526" s="7">
        <v>45838</v>
      </c>
      <c r="M526" s="7">
        <f t="shared" si="69"/>
        <v>46203</v>
      </c>
      <c r="N526" s="7" t="str">
        <f t="shared" si="70"/>
        <v>Anual</v>
      </c>
      <c r="O526" s="2" t="str">
        <f t="shared" ca="1" si="71"/>
        <v>VIGENTE</v>
      </c>
      <c r="P526" s="6" t="s">
        <v>25</v>
      </c>
      <c r="Q526" s="2" t="s">
        <v>29</v>
      </c>
    </row>
    <row r="527" spans="1:17" x14ac:dyDescent="0.25">
      <c r="A527" s="23" t="s">
        <v>584</v>
      </c>
      <c r="B527" s="2" t="s">
        <v>716</v>
      </c>
      <c r="C527" s="3" t="s">
        <v>28</v>
      </c>
      <c r="D527" s="3" t="s">
        <v>23</v>
      </c>
      <c r="E527" s="2" t="s">
        <v>24</v>
      </c>
      <c r="F527" s="4">
        <v>0</v>
      </c>
      <c r="G527" s="8">
        <f t="shared" si="72"/>
        <v>1000000000</v>
      </c>
      <c r="H527" s="4" t="str">
        <f t="shared" si="73"/>
        <v>Ohms</v>
      </c>
      <c r="I527" s="6">
        <v>318000</v>
      </c>
      <c r="J527" s="6" t="str">
        <f t="shared" si="74"/>
        <v>Ohms</v>
      </c>
      <c r="K527" s="2" t="str">
        <f t="shared" si="75"/>
        <v>RTG</v>
      </c>
      <c r="L527" s="7">
        <v>45838</v>
      </c>
      <c r="M527" s="7">
        <f t="shared" si="69"/>
        <v>46203</v>
      </c>
      <c r="N527" s="7" t="str">
        <f t="shared" si="70"/>
        <v>Anual</v>
      </c>
      <c r="O527" s="2" t="str">
        <f t="shared" ca="1" si="71"/>
        <v>VIGENTE</v>
      </c>
      <c r="P527" s="6" t="s">
        <v>25</v>
      </c>
      <c r="Q527" s="2" t="s">
        <v>29</v>
      </c>
    </row>
    <row r="528" spans="1:17" x14ac:dyDescent="0.25">
      <c r="A528" s="23" t="s">
        <v>584</v>
      </c>
      <c r="B528" s="2" t="s">
        <v>717</v>
      </c>
      <c r="C528" s="3" t="s">
        <v>28</v>
      </c>
      <c r="D528" s="3" t="s">
        <v>23</v>
      </c>
      <c r="E528" s="2" t="s">
        <v>24</v>
      </c>
      <c r="F528" s="4">
        <v>0</v>
      </c>
      <c r="G528" s="8">
        <f t="shared" si="72"/>
        <v>1000000000</v>
      </c>
      <c r="H528" s="4" t="str">
        <f t="shared" si="73"/>
        <v>Ohms</v>
      </c>
      <c r="I528" s="6">
        <v>1860000</v>
      </c>
      <c r="J528" s="6" t="str">
        <f t="shared" si="74"/>
        <v>Ohms</v>
      </c>
      <c r="K528" s="2" t="str">
        <f t="shared" si="75"/>
        <v>RTG</v>
      </c>
      <c r="L528" s="7">
        <v>45838</v>
      </c>
      <c r="M528" s="7">
        <f t="shared" si="69"/>
        <v>46203</v>
      </c>
      <c r="N528" s="7" t="str">
        <f t="shared" si="70"/>
        <v>Anual</v>
      </c>
      <c r="O528" s="2" t="str">
        <f t="shared" ca="1" si="71"/>
        <v>VIGENTE</v>
      </c>
      <c r="P528" s="6" t="s">
        <v>25</v>
      </c>
      <c r="Q528" s="2" t="s">
        <v>29</v>
      </c>
    </row>
    <row r="529" spans="1:17" x14ac:dyDescent="0.25">
      <c r="A529" s="23" t="s">
        <v>584</v>
      </c>
      <c r="B529" s="2" t="s">
        <v>718</v>
      </c>
      <c r="C529" s="3" t="s">
        <v>28</v>
      </c>
      <c r="D529" s="3" t="s">
        <v>23</v>
      </c>
      <c r="E529" s="2" t="s">
        <v>24</v>
      </c>
      <c r="F529" s="4">
        <v>0</v>
      </c>
      <c r="G529" s="8">
        <f t="shared" si="72"/>
        <v>1000000000</v>
      </c>
      <c r="H529" s="4" t="str">
        <f t="shared" si="73"/>
        <v>Ohms</v>
      </c>
      <c r="I529" s="6">
        <v>120000</v>
      </c>
      <c r="J529" s="6" t="str">
        <f t="shared" si="74"/>
        <v>Ohms</v>
      </c>
      <c r="K529" s="2" t="str">
        <f t="shared" si="75"/>
        <v>RTG</v>
      </c>
      <c r="L529" s="7">
        <v>45838</v>
      </c>
      <c r="M529" s="7">
        <f t="shared" si="69"/>
        <v>46203</v>
      </c>
      <c r="N529" s="7" t="str">
        <f t="shared" si="70"/>
        <v>Anual</v>
      </c>
      <c r="O529" s="2" t="str">
        <f t="shared" ca="1" si="71"/>
        <v>VIGENTE</v>
      </c>
      <c r="P529" s="6" t="s">
        <v>25</v>
      </c>
      <c r="Q529" s="2" t="s">
        <v>29</v>
      </c>
    </row>
    <row r="530" spans="1:17" x14ac:dyDescent="0.25">
      <c r="A530" s="23" t="s">
        <v>584</v>
      </c>
      <c r="B530" s="2" t="s">
        <v>719</v>
      </c>
      <c r="C530" s="3" t="s">
        <v>22</v>
      </c>
      <c r="D530" s="3" t="s">
        <v>23</v>
      </c>
      <c r="E530" s="2" t="s">
        <v>24</v>
      </c>
      <c r="F530" s="4">
        <v>0</v>
      </c>
      <c r="G530" s="8">
        <f t="shared" si="72"/>
        <v>1000000000</v>
      </c>
      <c r="H530" s="4" t="str">
        <f t="shared" si="73"/>
        <v>Ohms</v>
      </c>
      <c r="I530" s="6">
        <v>197000</v>
      </c>
      <c r="J530" s="6" t="str">
        <f t="shared" si="74"/>
        <v>Ohms</v>
      </c>
      <c r="K530" s="2" t="str">
        <f t="shared" si="75"/>
        <v>RTG</v>
      </c>
      <c r="L530" s="7">
        <v>45838</v>
      </c>
      <c r="M530" s="7">
        <f t="shared" si="69"/>
        <v>46203</v>
      </c>
      <c r="N530" s="7" t="str">
        <f t="shared" si="70"/>
        <v>Anual</v>
      </c>
      <c r="O530" s="2" t="str">
        <f t="shared" ca="1" si="71"/>
        <v>VIGENTE</v>
      </c>
      <c r="P530" s="6" t="s">
        <v>25</v>
      </c>
      <c r="Q530" s="2"/>
    </row>
    <row r="531" spans="1:17" x14ac:dyDescent="0.25">
      <c r="A531" s="23" t="s">
        <v>584</v>
      </c>
      <c r="B531" s="2" t="s">
        <v>720</v>
      </c>
      <c r="C531" s="3" t="s">
        <v>22</v>
      </c>
      <c r="D531" s="3" t="s">
        <v>23</v>
      </c>
      <c r="E531" s="2" t="s">
        <v>24</v>
      </c>
      <c r="F531" s="4">
        <v>0</v>
      </c>
      <c r="G531" s="8">
        <f t="shared" si="72"/>
        <v>1000000000</v>
      </c>
      <c r="H531" s="4" t="str">
        <f t="shared" si="73"/>
        <v>Ohms</v>
      </c>
      <c r="I531" s="6">
        <v>11400000</v>
      </c>
      <c r="J531" s="6" t="str">
        <f t="shared" si="74"/>
        <v>Ohms</v>
      </c>
      <c r="K531" s="2" t="str">
        <f t="shared" si="75"/>
        <v>RTG</v>
      </c>
      <c r="L531" s="7">
        <v>45838</v>
      </c>
      <c r="M531" s="7">
        <f t="shared" si="69"/>
        <v>46203</v>
      </c>
      <c r="N531" s="7" t="str">
        <f t="shared" si="70"/>
        <v>Anual</v>
      </c>
      <c r="O531" s="2" t="str">
        <f t="shared" ca="1" si="71"/>
        <v>VIGENTE</v>
      </c>
      <c r="P531" s="6" t="s">
        <v>25</v>
      </c>
      <c r="Q531" s="2"/>
    </row>
    <row r="532" spans="1:17" x14ac:dyDescent="0.25">
      <c r="A532" s="23" t="s">
        <v>584</v>
      </c>
      <c r="B532" s="2" t="s">
        <v>721</v>
      </c>
      <c r="C532" s="3" t="s">
        <v>22</v>
      </c>
      <c r="D532" s="3" t="s">
        <v>23</v>
      </c>
      <c r="E532" s="2" t="s">
        <v>24</v>
      </c>
      <c r="F532" s="4">
        <v>0</v>
      </c>
      <c r="G532" s="8">
        <f t="shared" si="72"/>
        <v>1000000000</v>
      </c>
      <c r="H532" s="4" t="str">
        <f t="shared" si="73"/>
        <v>Ohms</v>
      </c>
      <c r="I532" s="6">
        <v>922000</v>
      </c>
      <c r="J532" s="6" t="str">
        <f t="shared" si="74"/>
        <v>Ohms</v>
      </c>
      <c r="K532" s="2" t="str">
        <f t="shared" si="75"/>
        <v>RTG</v>
      </c>
      <c r="L532" s="7">
        <v>45838</v>
      </c>
      <c r="M532" s="7">
        <f t="shared" si="69"/>
        <v>46203</v>
      </c>
      <c r="N532" s="7" t="str">
        <f t="shared" si="70"/>
        <v>Anual</v>
      </c>
      <c r="O532" s="2" t="str">
        <f t="shared" ca="1" si="71"/>
        <v>VIGENTE</v>
      </c>
      <c r="P532" s="6" t="s">
        <v>25</v>
      </c>
      <c r="Q532" s="2"/>
    </row>
    <row r="533" spans="1:17" x14ac:dyDescent="0.25">
      <c r="A533" s="23" t="s">
        <v>584</v>
      </c>
      <c r="B533" s="2" t="s">
        <v>722</v>
      </c>
      <c r="C533" s="3" t="s">
        <v>22</v>
      </c>
      <c r="D533" s="3" t="s">
        <v>23</v>
      </c>
      <c r="E533" s="2" t="s">
        <v>24</v>
      </c>
      <c r="F533" s="4">
        <v>0</v>
      </c>
      <c r="G533" s="8">
        <f t="shared" si="72"/>
        <v>1000000000</v>
      </c>
      <c r="H533" s="4" t="str">
        <f t="shared" si="73"/>
        <v>Ohms</v>
      </c>
      <c r="I533" s="6">
        <v>276000</v>
      </c>
      <c r="J533" s="6" t="str">
        <f t="shared" si="74"/>
        <v>Ohms</v>
      </c>
      <c r="K533" s="2" t="str">
        <f t="shared" si="75"/>
        <v>RTG</v>
      </c>
      <c r="L533" s="7">
        <v>45838</v>
      </c>
      <c r="M533" s="7">
        <f t="shared" si="69"/>
        <v>46203</v>
      </c>
      <c r="N533" s="7" t="str">
        <f t="shared" si="70"/>
        <v>Anual</v>
      </c>
      <c r="O533" s="2" t="str">
        <f t="shared" ca="1" si="71"/>
        <v>VIGENTE</v>
      </c>
      <c r="P533" s="6" t="s">
        <v>25</v>
      </c>
      <c r="Q533" s="2"/>
    </row>
    <row r="534" spans="1:17" x14ac:dyDescent="0.25">
      <c r="A534" s="23" t="s">
        <v>584</v>
      </c>
      <c r="B534" s="2" t="s">
        <v>723</v>
      </c>
      <c r="C534" s="3" t="s">
        <v>28</v>
      </c>
      <c r="D534" s="3" t="s">
        <v>23</v>
      </c>
      <c r="E534" s="2" t="s">
        <v>24</v>
      </c>
      <c r="F534" s="4">
        <v>0</v>
      </c>
      <c r="G534" s="8">
        <f t="shared" si="72"/>
        <v>1000000000</v>
      </c>
      <c r="H534" s="4" t="str">
        <f t="shared" si="73"/>
        <v>Ohms</v>
      </c>
      <c r="I534" s="6">
        <v>496000000</v>
      </c>
      <c r="J534" s="6" t="str">
        <f t="shared" si="74"/>
        <v>Ohms</v>
      </c>
      <c r="K534" s="2" t="str">
        <f t="shared" si="75"/>
        <v>RTG</v>
      </c>
      <c r="L534" s="7">
        <v>45838</v>
      </c>
      <c r="M534" s="7">
        <f t="shared" si="69"/>
        <v>46203</v>
      </c>
      <c r="N534" s="7" t="str">
        <f t="shared" si="70"/>
        <v>Anual</v>
      </c>
      <c r="O534" s="2" t="str">
        <f t="shared" ca="1" si="71"/>
        <v>VIGENTE</v>
      </c>
      <c r="P534" s="6" t="s">
        <v>25</v>
      </c>
      <c r="Q534" s="2" t="s">
        <v>29</v>
      </c>
    </row>
    <row r="535" spans="1:17" x14ac:dyDescent="0.25">
      <c r="A535" s="23" t="s">
        <v>584</v>
      </c>
      <c r="B535" s="2" t="s">
        <v>724</v>
      </c>
      <c r="C535" s="3" t="s">
        <v>28</v>
      </c>
      <c r="D535" s="3" t="s">
        <v>23</v>
      </c>
      <c r="E535" s="2" t="s">
        <v>24</v>
      </c>
      <c r="F535" s="4">
        <v>0</v>
      </c>
      <c r="G535" s="8">
        <f t="shared" si="72"/>
        <v>1000000000</v>
      </c>
      <c r="H535" s="4" t="str">
        <f t="shared" si="73"/>
        <v>Ohms</v>
      </c>
      <c r="I535" s="6">
        <v>486000000</v>
      </c>
      <c r="J535" s="6" t="str">
        <f t="shared" si="74"/>
        <v>Ohms</v>
      </c>
      <c r="K535" s="2" t="str">
        <f t="shared" si="75"/>
        <v>RTG</v>
      </c>
      <c r="L535" s="7">
        <v>45838</v>
      </c>
      <c r="M535" s="7">
        <f t="shared" si="69"/>
        <v>46203</v>
      </c>
      <c r="N535" s="7" t="str">
        <f t="shared" si="70"/>
        <v>Anual</v>
      </c>
      <c r="O535" s="2" t="str">
        <f t="shared" ca="1" si="71"/>
        <v>VIGENTE</v>
      </c>
      <c r="P535" s="6" t="s">
        <v>25</v>
      </c>
      <c r="Q535" s="2" t="s">
        <v>29</v>
      </c>
    </row>
    <row r="536" spans="1:17" x14ac:dyDescent="0.25">
      <c r="A536" s="23" t="s">
        <v>584</v>
      </c>
      <c r="B536" s="2" t="s">
        <v>725</v>
      </c>
      <c r="C536" s="3" t="s">
        <v>28</v>
      </c>
      <c r="D536" s="3" t="s">
        <v>23</v>
      </c>
      <c r="E536" s="2" t="s">
        <v>24</v>
      </c>
      <c r="F536" s="4">
        <v>0</v>
      </c>
      <c r="G536" s="8">
        <f t="shared" si="72"/>
        <v>1000000000</v>
      </c>
      <c r="H536" s="4" t="str">
        <f t="shared" si="73"/>
        <v>Ohms</v>
      </c>
      <c r="I536" s="6">
        <v>528000000</v>
      </c>
      <c r="J536" s="6" t="str">
        <f t="shared" si="74"/>
        <v>Ohms</v>
      </c>
      <c r="K536" s="2" t="str">
        <f t="shared" si="75"/>
        <v>RTG</v>
      </c>
      <c r="L536" s="7">
        <v>45838</v>
      </c>
      <c r="M536" s="7">
        <f t="shared" si="69"/>
        <v>46203</v>
      </c>
      <c r="N536" s="7" t="str">
        <f t="shared" si="70"/>
        <v>Anual</v>
      </c>
      <c r="O536" s="2" t="str">
        <f t="shared" ca="1" si="71"/>
        <v>VIGENTE</v>
      </c>
      <c r="P536" s="6" t="s">
        <v>25</v>
      </c>
      <c r="Q536" s="2" t="s">
        <v>29</v>
      </c>
    </row>
    <row r="537" spans="1:17" x14ac:dyDescent="0.25">
      <c r="A537" s="23" t="s">
        <v>584</v>
      </c>
      <c r="B537" s="2" t="s">
        <v>726</v>
      </c>
      <c r="C537" s="3" t="s">
        <v>28</v>
      </c>
      <c r="D537" s="3" t="s">
        <v>23</v>
      </c>
      <c r="E537" s="2" t="s">
        <v>24</v>
      </c>
      <c r="F537" s="4">
        <v>0</v>
      </c>
      <c r="G537" s="8">
        <f t="shared" si="72"/>
        <v>1000000000</v>
      </c>
      <c r="H537" s="4" t="str">
        <f t="shared" si="73"/>
        <v>Ohms</v>
      </c>
      <c r="I537" s="6">
        <v>487000000</v>
      </c>
      <c r="J537" s="6" t="str">
        <f t="shared" si="74"/>
        <v>Ohms</v>
      </c>
      <c r="K537" s="2" t="str">
        <f t="shared" si="75"/>
        <v>RTG</v>
      </c>
      <c r="L537" s="7">
        <v>45838</v>
      </c>
      <c r="M537" s="7">
        <f t="shared" si="69"/>
        <v>46203</v>
      </c>
      <c r="N537" s="7" t="str">
        <f t="shared" si="70"/>
        <v>Anual</v>
      </c>
      <c r="O537" s="2" t="str">
        <f t="shared" ca="1" si="71"/>
        <v>VIGENTE</v>
      </c>
      <c r="P537" s="6" t="s">
        <v>25</v>
      </c>
      <c r="Q537" s="2" t="s">
        <v>29</v>
      </c>
    </row>
    <row r="538" spans="1:17" x14ac:dyDescent="0.25">
      <c r="A538" s="23" t="s">
        <v>584</v>
      </c>
      <c r="B538" s="2" t="s">
        <v>727</v>
      </c>
      <c r="C538" s="3" t="s">
        <v>28</v>
      </c>
      <c r="D538" s="3" t="s">
        <v>23</v>
      </c>
      <c r="E538" s="2" t="s">
        <v>24</v>
      </c>
      <c r="F538" s="4">
        <v>0</v>
      </c>
      <c r="G538" s="8">
        <f t="shared" si="72"/>
        <v>1000000000</v>
      </c>
      <c r="H538" s="4" t="str">
        <f t="shared" si="73"/>
        <v>Ohms</v>
      </c>
      <c r="I538" s="6">
        <v>212000000</v>
      </c>
      <c r="J538" s="6" t="str">
        <f t="shared" si="74"/>
        <v>Ohms</v>
      </c>
      <c r="K538" s="2" t="str">
        <f t="shared" si="75"/>
        <v>RTG</v>
      </c>
      <c r="L538" s="7">
        <v>45838</v>
      </c>
      <c r="M538" s="7">
        <f t="shared" si="69"/>
        <v>46203</v>
      </c>
      <c r="N538" s="7" t="str">
        <f t="shared" si="70"/>
        <v>Anual</v>
      </c>
      <c r="O538" s="2" t="str">
        <f t="shared" ca="1" si="71"/>
        <v>VIGENTE</v>
      </c>
      <c r="P538" s="6" t="s">
        <v>25</v>
      </c>
      <c r="Q538" s="2" t="s">
        <v>29</v>
      </c>
    </row>
    <row r="539" spans="1:17" x14ac:dyDescent="0.25">
      <c r="A539" s="23" t="s">
        <v>584</v>
      </c>
      <c r="B539" s="2" t="s">
        <v>728</v>
      </c>
      <c r="C539" s="3" t="s">
        <v>28</v>
      </c>
      <c r="D539" s="3" t="s">
        <v>23</v>
      </c>
      <c r="E539" s="2" t="s">
        <v>24</v>
      </c>
      <c r="F539" s="4">
        <v>0</v>
      </c>
      <c r="G539" s="8">
        <f t="shared" si="72"/>
        <v>1000000000</v>
      </c>
      <c r="H539" s="4" t="str">
        <f t="shared" si="73"/>
        <v>Ohms</v>
      </c>
      <c r="I539" s="6">
        <v>800000000</v>
      </c>
      <c r="J539" s="6" t="str">
        <f t="shared" si="74"/>
        <v>Ohms</v>
      </c>
      <c r="K539" s="2" t="str">
        <f t="shared" si="75"/>
        <v>RTG</v>
      </c>
      <c r="L539" s="7">
        <v>45838</v>
      </c>
      <c r="M539" s="7">
        <f t="shared" si="69"/>
        <v>46203</v>
      </c>
      <c r="N539" s="7" t="str">
        <f t="shared" si="70"/>
        <v>Anual</v>
      </c>
      <c r="O539" s="2" t="str">
        <f t="shared" ca="1" si="71"/>
        <v>VIGENTE</v>
      </c>
      <c r="P539" s="6" t="s">
        <v>25</v>
      </c>
      <c r="Q539" s="2" t="s">
        <v>29</v>
      </c>
    </row>
    <row r="540" spans="1:17" x14ac:dyDescent="0.25">
      <c r="A540" s="23" t="s">
        <v>584</v>
      </c>
      <c r="B540" s="2" t="s">
        <v>729</v>
      </c>
      <c r="C540" s="3" t="s">
        <v>28</v>
      </c>
      <c r="D540" s="3" t="s">
        <v>23</v>
      </c>
      <c r="E540" s="2" t="s">
        <v>24</v>
      </c>
      <c r="F540" s="4">
        <v>0</v>
      </c>
      <c r="G540" s="8">
        <f t="shared" si="72"/>
        <v>1000000000</v>
      </c>
      <c r="H540" s="4" t="str">
        <f t="shared" si="73"/>
        <v>Ohms</v>
      </c>
      <c r="I540" s="6">
        <v>788000000</v>
      </c>
      <c r="J540" s="6" t="str">
        <f t="shared" si="74"/>
        <v>Ohms</v>
      </c>
      <c r="K540" s="2" t="str">
        <f t="shared" si="75"/>
        <v>RTG</v>
      </c>
      <c r="L540" s="7">
        <v>45838</v>
      </c>
      <c r="M540" s="7">
        <f t="shared" si="69"/>
        <v>46203</v>
      </c>
      <c r="N540" s="7" t="str">
        <f t="shared" si="70"/>
        <v>Anual</v>
      </c>
      <c r="O540" s="2" t="str">
        <f t="shared" ca="1" si="71"/>
        <v>VIGENTE</v>
      </c>
      <c r="P540" s="6" t="s">
        <v>25</v>
      </c>
      <c r="Q540" s="2" t="s">
        <v>29</v>
      </c>
    </row>
    <row r="541" spans="1:17" x14ac:dyDescent="0.25">
      <c r="A541" s="23" t="s">
        <v>584</v>
      </c>
      <c r="B541" s="2" t="s">
        <v>730</v>
      </c>
      <c r="C541" s="3" t="s">
        <v>28</v>
      </c>
      <c r="D541" s="3" t="s">
        <v>23</v>
      </c>
      <c r="E541" s="2" t="s">
        <v>24</v>
      </c>
      <c r="F541" s="4">
        <v>0</v>
      </c>
      <c r="G541" s="8">
        <f t="shared" si="72"/>
        <v>1000000000</v>
      </c>
      <c r="H541" s="4" t="str">
        <f t="shared" si="73"/>
        <v>Ohms</v>
      </c>
      <c r="I541" s="6">
        <v>511000000</v>
      </c>
      <c r="J541" s="6" t="str">
        <f t="shared" si="74"/>
        <v>Ohms</v>
      </c>
      <c r="K541" s="2" t="str">
        <f t="shared" si="75"/>
        <v>RTG</v>
      </c>
      <c r="L541" s="7">
        <v>45838</v>
      </c>
      <c r="M541" s="7">
        <f t="shared" si="69"/>
        <v>46203</v>
      </c>
      <c r="N541" s="7" t="str">
        <f t="shared" si="70"/>
        <v>Anual</v>
      </c>
      <c r="O541" s="2" t="str">
        <f t="shared" ca="1" si="71"/>
        <v>VIGENTE</v>
      </c>
      <c r="P541" s="6" t="s">
        <v>25</v>
      </c>
      <c r="Q541" s="2" t="s">
        <v>29</v>
      </c>
    </row>
    <row r="542" spans="1:17" x14ac:dyDescent="0.25">
      <c r="A542" s="23" t="s">
        <v>584</v>
      </c>
      <c r="B542" s="2" t="s">
        <v>731</v>
      </c>
      <c r="C542" s="3" t="s">
        <v>28</v>
      </c>
      <c r="D542" s="3" t="s">
        <v>23</v>
      </c>
      <c r="E542" s="2" t="s">
        <v>24</v>
      </c>
      <c r="F542" s="4">
        <v>0</v>
      </c>
      <c r="G542" s="8">
        <f t="shared" si="72"/>
        <v>1000000000</v>
      </c>
      <c r="H542" s="4" t="str">
        <f t="shared" si="73"/>
        <v>Ohms</v>
      </c>
      <c r="I542" s="6">
        <v>667000000</v>
      </c>
      <c r="J542" s="6" t="str">
        <f t="shared" si="74"/>
        <v>Ohms</v>
      </c>
      <c r="K542" s="2" t="str">
        <f t="shared" si="75"/>
        <v>RTG</v>
      </c>
      <c r="L542" s="7">
        <v>45873</v>
      </c>
      <c r="M542" s="7">
        <f t="shared" si="69"/>
        <v>46238</v>
      </c>
      <c r="N542" s="7" t="str">
        <f t="shared" si="70"/>
        <v>Anual</v>
      </c>
      <c r="O542" s="2" t="str">
        <f t="shared" ca="1" si="71"/>
        <v>VIGENTE</v>
      </c>
      <c r="P542" s="6" t="s">
        <v>25</v>
      </c>
      <c r="Q542" s="2" t="s">
        <v>29</v>
      </c>
    </row>
    <row r="543" spans="1:17" x14ac:dyDescent="0.25">
      <c r="A543" s="23" t="s">
        <v>584</v>
      </c>
      <c r="B543" s="2" t="s">
        <v>732</v>
      </c>
      <c r="C543" s="3" t="s">
        <v>28</v>
      </c>
      <c r="D543" s="3" t="s">
        <v>23</v>
      </c>
      <c r="E543" s="2" t="s">
        <v>24</v>
      </c>
      <c r="F543" s="4">
        <v>0</v>
      </c>
      <c r="G543" s="8">
        <f t="shared" si="72"/>
        <v>1000000000</v>
      </c>
      <c r="H543" s="4" t="str">
        <f t="shared" si="73"/>
        <v>Ohms</v>
      </c>
      <c r="I543" s="6">
        <v>981000000</v>
      </c>
      <c r="J543" s="6" t="str">
        <f t="shared" si="74"/>
        <v>Ohms</v>
      </c>
      <c r="K543" s="2" t="str">
        <f t="shared" si="75"/>
        <v>RTG</v>
      </c>
      <c r="L543" s="7">
        <v>45838</v>
      </c>
      <c r="M543" s="7">
        <f t="shared" si="69"/>
        <v>46203</v>
      </c>
      <c r="N543" s="7" t="str">
        <f t="shared" si="70"/>
        <v>Anual</v>
      </c>
      <c r="O543" s="2" t="str">
        <f t="shared" ca="1" si="71"/>
        <v>VIGENTE</v>
      </c>
      <c r="P543" s="6" t="s">
        <v>25</v>
      </c>
      <c r="Q543" s="2" t="s">
        <v>29</v>
      </c>
    </row>
    <row r="544" spans="1:17" x14ac:dyDescent="0.25">
      <c r="A544" s="23" t="s">
        <v>584</v>
      </c>
      <c r="B544" s="2" t="s">
        <v>733</v>
      </c>
      <c r="C544" s="3" t="s">
        <v>28</v>
      </c>
      <c r="D544" s="3" t="s">
        <v>23</v>
      </c>
      <c r="E544" s="2" t="s">
        <v>24</v>
      </c>
      <c r="F544" s="4">
        <v>0</v>
      </c>
      <c r="G544" s="8">
        <f t="shared" si="72"/>
        <v>1000000000</v>
      </c>
      <c r="H544" s="4" t="str">
        <f t="shared" si="73"/>
        <v>Ohms</v>
      </c>
      <c r="I544" s="6">
        <v>131000000</v>
      </c>
      <c r="J544" s="6" t="str">
        <f t="shared" si="74"/>
        <v>Ohms</v>
      </c>
      <c r="K544" s="2" t="str">
        <f t="shared" si="75"/>
        <v>RTG</v>
      </c>
      <c r="L544" s="7">
        <v>45838</v>
      </c>
      <c r="M544" s="7">
        <f t="shared" si="69"/>
        <v>46203</v>
      </c>
      <c r="N544" s="7" t="str">
        <f t="shared" si="70"/>
        <v>Anual</v>
      </c>
      <c r="O544" s="2" t="str">
        <f t="shared" ca="1" si="71"/>
        <v>VIGENTE</v>
      </c>
      <c r="P544" s="6" t="s">
        <v>25</v>
      </c>
      <c r="Q544" s="2" t="s">
        <v>29</v>
      </c>
    </row>
    <row r="545" spans="1:17" x14ac:dyDescent="0.25">
      <c r="A545" s="23" t="s">
        <v>584</v>
      </c>
      <c r="B545" s="2" t="s">
        <v>734</v>
      </c>
      <c r="C545" s="3" t="s">
        <v>28</v>
      </c>
      <c r="D545" s="3" t="s">
        <v>23</v>
      </c>
      <c r="E545" s="2" t="s">
        <v>24</v>
      </c>
      <c r="F545" s="4">
        <v>0</v>
      </c>
      <c r="G545" s="8">
        <f t="shared" si="72"/>
        <v>1000000000</v>
      </c>
      <c r="H545" s="4" t="str">
        <f t="shared" si="73"/>
        <v>Ohms</v>
      </c>
      <c r="I545" s="6">
        <v>556000000</v>
      </c>
      <c r="J545" s="6" t="str">
        <f t="shared" si="74"/>
        <v>Ohms</v>
      </c>
      <c r="K545" s="2" t="str">
        <f t="shared" si="75"/>
        <v>RTG</v>
      </c>
      <c r="L545" s="7">
        <v>45873</v>
      </c>
      <c r="M545" s="7">
        <f t="shared" si="69"/>
        <v>46238</v>
      </c>
      <c r="N545" s="7" t="str">
        <f t="shared" si="70"/>
        <v>Anual</v>
      </c>
      <c r="O545" s="2" t="str">
        <f t="shared" ca="1" si="71"/>
        <v>VIGENTE</v>
      </c>
      <c r="P545" s="6" t="s">
        <v>25</v>
      </c>
      <c r="Q545" s="2" t="s">
        <v>29</v>
      </c>
    </row>
    <row r="546" spans="1:17" x14ac:dyDescent="0.25">
      <c r="A546" s="23" t="s">
        <v>584</v>
      </c>
      <c r="B546" s="2" t="s">
        <v>735</v>
      </c>
      <c r="C546" s="3" t="s">
        <v>28</v>
      </c>
      <c r="D546" s="3" t="s">
        <v>23</v>
      </c>
      <c r="E546" s="2" t="s">
        <v>24</v>
      </c>
      <c r="F546" s="4">
        <v>0</v>
      </c>
      <c r="G546" s="8">
        <f t="shared" si="72"/>
        <v>1000000000</v>
      </c>
      <c r="H546" s="4" t="str">
        <f t="shared" si="73"/>
        <v>Ohms</v>
      </c>
      <c r="I546" s="6">
        <v>356000000</v>
      </c>
      <c r="J546" s="6" t="str">
        <f t="shared" si="74"/>
        <v>Ohms</v>
      </c>
      <c r="K546" s="2" t="str">
        <f t="shared" si="75"/>
        <v>RTG</v>
      </c>
      <c r="L546" s="7">
        <v>45873</v>
      </c>
      <c r="M546" s="7">
        <f t="shared" si="69"/>
        <v>46238</v>
      </c>
      <c r="N546" s="7" t="str">
        <f t="shared" si="70"/>
        <v>Anual</v>
      </c>
      <c r="O546" s="2" t="str">
        <f t="shared" ca="1" si="71"/>
        <v>VIGENTE</v>
      </c>
      <c r="P546" s="6" t="s">
        <v>25</v>
      </c>
      <c r="Q546" s="2" t="s">
        <v>29</v>
      </c>
    </row>
    <row r="547" spans="1:17" x14ac:dyDescent="0.25">
      <c r="A547" s="23" t="s">
        <v>584</v>
      </c>
      <c r="B547" s="2" t="s">
        <v>736</v>
      </c>
      <c r="C547" s="3" t="s">
        <v>28</v>
      </c>
      <c r="D547" s="3" t="s">
        <v>23</v>
      </c>
      <c r="E547" s="2" t="s">
        <v>24</v>
      </c>
      <c r="F547" s="4">
        <v>0</v>
      </c>
      <c r="G547" s="8">
        <f t="shared" si="72"/>
        <v>1000000000</v>
      </c>
      <c r="H547" s="4" t="str">
        <f t="shared" si="73"/>
        <v>Ohms</v>
      </c>
      <c r="I547" s="6">
        <v>4980000</v>
      </c>
      <c r="J547" s="6" t="str">
        <f t="shared" si="74"/>
        <v>Ohms</v>
      </c>
      <c r="K547" s="2" t="str">
        <f t="shared" si="75"/>
        <v>RTG</v>
      </c>
      <c r="L547" s="7">
        <v>45838</v>
      </c>
      <c r="M547" s="7">
        <f t="shared" ref="M547:M610" si="76">IF(N547="Trimestral", L547+90, IF(N547="Semestral", L547+180, IF(N547="Mensual", L547+30, L547+365)))</f>
        <v>46203</v>
      </c>
      <c r="N547" s="7" t="str">
        <f t="shared" ref="N547:N610" si="77">IF(C547="Ionizador", "Trimestral", IF(C547="Rack", "Anual", IF(C547="Mesa", "Anual", IF(C547="Tapete", "Semestral", IF(C547="Cautín", "Semestral", IF(C547="Silla", "Semestral", "Anual"))))))</f>
        <v>Anual</v>
      </c>
      <c r="O547" s="2" t="str">
        <f t="shared" ref="O547:O610" ca="1" si="78">IF(M547&lt;TODAY(),"VENCIDO",IF(M547=TODAY(),"VIGENTE",IF(M547&gt;TODAY(),"VIGENTE")))</f>
        <v>VIGENTE</v>
      </c>
      <c r="P547" s="6" t="s">
        <v>25</v>
      </c>
      <c r="Q547" s="2" t="s">
        <v>29</v>
      </c>
    </row>
    <row r="548" spans="1:17" x14ac:dyDescent="0.25">
      <c r="A548" s="23" t="s">
        <v>584</v>
      </c>
      <c r="B548" s="2" t="s">
        <v>737</v>
      </c>
      <c r="C548" s="3" t="s">
        <v>28</v>
      </c>
      <c r="D548" s="3" t="s">
        <v>23</v>
      </c>
      <c r="E548" s="2" t="s">
        <v>24</v>
      </c>
      <c r="F548" s="4">
        <v>0</v>
      </c>
      <c r="G548" s="8">
        <f t="shared" si="72"/>
        <v>1000000000</v>
      </c>
      <c r="H548" s="4" t="str">
        <f t="shared" si="73"/>
        <v>Ohms</v>
      </c>
      <c r="I548" s="6">
        <v>104000000</v>
      </c>
      <c r="J548" s="6" t="str">
        <f t="shared" si="74"/>
        <v>Ohms</v>
      </c>
      <c r="K548" s="2" t="str">
        <f t="shared" si="75"/>
        <v>RTG</v>
      </c>
      <c r="L548" s="7">
        <v>45838</v>
      </c>
      <c r="M548" s="7">
        <f t="shared" si="76"/>
        <v>46203</v>
      </c>
      <c r="N548" s="7" t="str">
        <f t="shared" si="77"/>
        <v>Anual</v>
      </c>
      <c r="O548" s="2" t="str">
        <f t="shared" ca="1" si="78"/>
        <v>VIGENTE</v>
      </c>
      <c r="P548" s="6" t="s">
        <v>25</v>
      </c>
      <c r="Q548" s="2" t="s">
        <v>29</v>
      </c>
    </row>
    <row r="549" spans="1:17" x14ac:dyDescent="0.25">
      <c r="A549" s="23" t="s">
        <v>584</v>
      </c>
      <c r="B549" s="2" t="s">
        <v>738</v>
      </c>
      <c r="C549" s="3" t="s">
        <v>28</v>
      </c>
      <c r="D549" s="3" t="s">
        <v>23</v>
      </c>
      <c r="E549" s="2" t="s">
        <v>24</v>
      </c>
      <c r="F549" s="4">
        <v>0</v>
      </c>
      <c r="G549" s="8">
        <f t="shared" si="72"/>
        <v>1000000000</v>
      </c>
      <c r="H549" s="4" t="str">
        <f t="shared" si="73"/>
        <v>Ohms</v>
      </c>
      <c r="I549" s="6">
        <v>33900000</v>
      </c>
      <c r="J549" s="6" t="str">
        <f t="shared" si="74"/>
        <v>Ohms</v>
      </c>
      <c r="K549" s="2" t="str">
        <f t="shared" si="75"/>
        <v>RTG</v>
      </c>
      <c r="L549" s="7">
        <v>45873</v>
      </c>
      <c r="M549" s="7">
        <f t="shared" si="76"/>
        <v>46238</v>
      </c>
      <c r="N549" s="7" t="str">
        <f t="shared" si="77"/>
        <v>Anual</v>
      </c>
      <c r="O549" s="2" t="str">
        <f t="shared" ca="1" si="78"/>
        <v>VIGENTE</v>
      </c>
      <c r="P549" s="6" t="s">
        <v>25</v>
      </c>
      <c r="Q549" s="2" t="s">
        <v>29</v>
      </c>
    </row>
    <row r="550" spans="1:17" x14ac:dyDescent="0.25">
      <c r="A550" s="23" t="s">
        <v>584</v>
      </c>
      <c r="B550" s="2" t="s">
        <v>739</v>
      </c>
      <c r="C550" s="3" t="s">
        <v>28</v>
      </c>
      <c r="D550" s="3" t="s">
        <v>23</v>
      </c>
      <c r="E550" s="2" t="s">
        <v>24</v>
      </c>
      <c r="F550" s="4">
        <v>0</v>
      </c>
      <c r="G550" s="8">
        <f t="shared" si="72"/>
        <v>1000000000</v>
      </c>
      <c r="H550" s="4" t="str">
        <f t="shared" si="73"/>
        <v>Ohms</v>
      </c>
      <c r="I550" s="6">
        <v>811000</v>
      </c>
      <c r="J550" s="6" t="str">
        <f t="shared" si="74"/>
        <v>Ohms</v>
      </c>
      <c r="K550" s="2" t="str">
        <f t="shared" si="75"/>
        <v>RTG</v>
      </c>
      <c r="L550" s="7">
        <v>45838</v>
      </c>
      <c r="M550" s="7">
        <f t="shared" si="76"/>
        <v>46203</v>
      </c>
      <c r="N550" s="7" t="str">
        <f t="shared" si="77"/>
        <v>Anual</v>
      </c>
      <c r="O550" s="2" t="str">
        <f t="shared" ca="1" si="78"/>
        <v>VIGENTE</v>
      </c>
      <c r="P550" s="6" t="s">
        <v>25</v>
      </c>
      <c r="Q550" s="2" t="s">
        <v>29</v>
      </c>
    </row>
    <row r="551" spans="1:17" x14ac:dyDescent="0.25">
      <c r="A551" s="23" t="s">
        <v>584</v>
      </c>
      <c r="B551" s="2" t="s">
        <v>740</v>
      </c>
      <c r="C551" s="3" t="s">
        <v>28</v>
      </c>
      <c r="D551" s="3" t="s">
        <v>23</v>
      </c>
      <c r="E551" s="2" t="s">
        <v>24</v>
      </c>
      <c r="F551" s="4">
        <v>0</v>
      </c>
      <c r="G551" s="8">
        <f t="shared" si="72"/>
        <v>1000000000</v>
      </c>
      <c r="H551" s="4" t="str">
        <f t="shared" si="73"/>
        <v>Ohms</v>
      </c>
      <c r="I551" s="6">
        <v>8800000</v>
      </c>
      <c r="J551" s="6" t="str">
        <f t="shared" si="74"/>
        <v>Ohms</v>
      </c>
      <c r="K551" s="2" t="str">
        <f t="shared" si="75"/>
        <v>RTG</v>
      </c>
      <c r="L551" s="7">
        <v>45838</v>
      </c>
      <c r="M551" s="7">
        <f t="shared" si="76"/>
        <v>46203</v>
      </c>
      <c r="N551" s="7" t="str">
        <f t="shared" si="77"/>
        <v>Anual</v>
      </c>
      <c r="O551" s="2" t="str">
        <f t="shared" ca="1" si="78"/>
        <v>VIGENTE</v>
      </c>
      <c r="P551" s="6" t="s">
        <v>25</v>
      </c>
      <c r="Q551" s="2" t="s">
        <v>29</v>
      </c>
    </row>
    <row r="552" spans="1:17" x14ac:dyDescent="0.25">
      <c r="A552" s="23" t="s">
        <v>584</v>
      </c>
      <c r="B552" s="2" t="s">
        <v>741</v>
      </c>
      <c r="C552" s="3" t="s">
        <v>28</v>
      </c>
      <c r="D552" s="3" t="s">
        <v>23</v>
      </c>
      <c r="E552" s="2" t="s">
        <v>24</v>
      </c>
      <c r="F552" s="4">
        <v>0</v>
      </c>
      <c r="G552" s="8">
        <f t="shared" si="72"/>
        <v>1000000000</v>
      </c>
      <c r="H552" s="4" t="str">
        <f t="shared" si="73"/>
        <v>Ohms</v>
      </c>
      <c r="I552" s="6">
        <v>789000</v>
      </c>
      <c r="J552" s="6" t="str">
        <f t="shared" si="74"/>
        <v>Ohms</v>
      </c>
      <c r="K552" s="2" t="str">
        <f t="shared" si="75"/>
        <v>RTG</v>
      </c>
      <c r="L552" s="7">
        <v>45873</v>
      </c>
      <c r="M552" s="7">
        <f t="shared" si="76"/>
        <v>46238</v>
      </c>
      <c r="N552" s="7" t="str">
        <f t="shared" si="77"/>
        <v>Anual</v>
      </c>
      <c r="O552" s="2" t="str">
        <f t="shared" ca="1" si="78"/>
        <v>VIGENTE</v>
      </c>
      <c r="P552" s="6" t="s">
        <v>25</v>
      </c>
      <c r="Q552" s="2" t="s">
        <v>29</v>
      </c>
    </row>
    <row r="553" spans="1:17" x14ac:dyDescent="0.25">
      <c r="A553" s="23" t="s">
        <v>584</v>
      </c>
      <c r="B553" s="2" t="s">
        <v>742</v>
      </c>
      <c r="C553" s="3" t="s">
        <v>28</v>
      </c>
      <c r="D553" s="3" t="s">
        <v>23</v>
      </c>
      <c r="E553" s="2" t="s">
        <v>24</v>
      </c>
      <c r="F553" s="4">
        <v>0</v>
      </c>
      <c r="G553" s="8">
        <f t="shared" si="72"/>
        <v>1000000000</v>
      </c>
      <c r="H553" s="4" t="str">
        <f t="shared" si="73"/>
        <v>Ohms</v>
      </c>
      <c r="I553" s="6">
        <v>4.2</v>
      </c>
      <c r="J553" s="6" t="str">
        <f t="shared" si="74"/>
        <v>Ohms</v>
      </c>
      <c r="K553" s="2" t="str">
        <f t="shared" si="75"/>
        <v>RTG</v>
      </c>
      <c r="L553" s="7">
        <v>45838</v>
      </c>
      <c r="M553" s="7">
        <f t="shared" si="76"/>
        <v>46203</v>
      </c>
      <c r="N553" s="7" t="str">
        <f t="shared" si="77"/>
        <v>Anual</v>
      </c>
      <c r="O553" s="2" t="str">
        <f t="shared" ca="1" si="78"/>
        <v>VIGENTE</v>
      </c>
      <c r="P553" s="6" t="s">
        <v>25</v>
      </c>
      <c r="Q553" s="2" t="s">
        <v>29</v>
      </c>
    </row>
    <row r="554" spans="1:17" x14ac:dyDescent="0.25">
      <c r="A554" s="23" t="s">
        <v>584</v>
      </c>
      <c r="B554" s="2" t="s">
        <v>743</v>
      </c>
      <c r="C554" s="3" t="s">
        <v>43</v>
      </c>
      <c r="D554" s="3" t="s">
        <v>23</v>
      </c>
      <c r="E554" s="2" t="s">
        <v>24</v>
      </c>
      <c r="F554" s="4">
        <v>0</v>
      </c>
      <c r="G554" s="8">
        <f t="shared" si="72"/>
        <v>1000000000</v>
      </c>
      <c r="H554" s="4" t="str">
        <f t="shared" si="73"/>
        <v>Ohms</v>
      </c>
      <c r="I554" s="6">
        <v>935000</v>
      </c>
      <c r="J554" s="6" t="str">
        <f t="shared" si="74"/>
        <v>Ohms</v>
      </c>
      <c r="K554" s="2" t="str">
        <f t="shared" si="75"/>
        <v>RTG</v>
      </c>
      <c r="L554" s="7">
        <v>45838</v>
      </c>
      <c r="M554" s="7">
        <f t="shared" si="76"/>
        <v>46018</v>
      </c>
      <c r="N554" s="7" t="str">
        <f t="shared" si="77"/>
        <v>Semestral</v>
      </c>
      <c r="O554" s="2" t="str">
        <f t="shared" ca="1" si="78"/>
        <v>VENCIDO</v>
      </c>
      <c r="P554" s="6" t="s">
        <v>25</v>
      </c>
      <c r="Q554" s="2"/>
    </row>
    <row r="555" spans="1:17" x14ac:dyDescent="0.25">
      <c r="A555" s="23" t="s">
        <v>584</v>
      </c>
      <c r="B555" s="2" t="s">
        <v>744</v>
      </c>
      <c r="C555" s="3" t="s">
        <v>43</v>
      </c>
      <c r="D555" s="3" t="s">
        <v>23</v>
      </c>
      <c r="E555" s="2" t="s">
        <v>24</v>
      </c>
      <c r="F555" s="4">
        <v>0</v>
      </c>
      <c r="G555" s="8">
        <f t="shared" si="72"/>
        <v>1000000000</v>
      </c>
      <c r="H555" s="4" t="str">
        <f t="shared" si="73"/>
        <v>Ohms</v>
      </c>
      <c r="I555" s="6">
        <v>125000</v>
      </c>
      <c r="J555" s="6" t="str">
        <f t="shared" si="74"/>
        <v>Ohms</v>
      </c>
      <c r="K555" s="2" t="str">
        <f t="shared" si="75"/>
        <v>RTG</v>
      </c>
      <c r="L555" s="7">
        <v>45838</v>
      </c>
      <c r="M555" s="7">
        <f t="shared" si="76"/>
        <v>46018</v>
      </c>
      <c r="N555" s="7" t="str">
        <f t="shared" si="77"/>
        <v>Semestral</v>
      </c>
      <c r="O555" s="2" t="str">
        <f t="shared" ca="1" si="78"/>
        <v>VENCIDO</v>
      </c>
      <c r="P555" s="6" t="s">
        <v>25</v>
      </c>
      <c r="Q555" s="2"/>
    </row>
    <row r="556" spans="1:17" x14ac:dyDescent="0.25">
      <c r="A556" s="23" t="s">
        <v>584</v>
      </c>
      <c r="B556" s="2" t="s">
        <v>745</v>
      </c>
      <c r="C556" s="3" t="s">
        <v>43</v>
      </c>
      <c r="D556" s="3" t="s">
        <v>23</v>
      </c>
      <c r="E556" s="2" t="s">
        <v>24</v>
      </c>
      <c r="F556" s="4">
        <v>0</v>
      </c>
      <c r="G556" s="8">
        <f t="shared" si="72"/>
        <v>1000000000</v>
      </c>
      <c r="H556" s="4" t="str">
        <f t="shared" si="73"/>
        <v>Ohms</v>
      </c>
      <c r="I556" s="6">
        <v>544000</v>
      </c>
      <c r="J556" s="6" t="str">
        <f t="shared" si="74"/>
        <v>Ohms</v>
      </c>
      <c r="K556" s="2" t="str">
        <f t="shared" si="75"/>
        <v>RTG</v>
      </c>
      <c r="L556" s="7">
        <v>45838</v>
      </c>
      <c r="M556" s="7">
        <f t="shared" si="76"/>
        <v>46018</v>
      </c>
      <c r="N556" s="7" t="str">
        <f t="shared" si="77"/>
        <v>Semestral</v>
      </c>
      <c r="O556" s="2" t="str">
        <f t="shared" ca="1" si="78"/>
        <v>VENCIDO</v>
      </c>
      <c r="P556" s="6" t="s">
        <v>25</v>
      </c>
      <c r="Q556" s="2"/>
    </row>
    <row r="557" spans="1:17" x14ac:dyDescent="0.25">
      <c r="A557" s="23" t="s">
        <v>584</v>
      </c>
      <c r="B557" s="2" t="s">
        <v>746</v>
      </c>
      <c r="C557" s="3" t="s">
        <v>747</v>
      </c>
      <c r="D557" s="3" t="s">
        <v>23</v>
      </c>
      <c r="E557" s="2" t="s">
        <v>24</v>
      </c>
      <c r="F557" s="4">
        <v>1</v>
      </c>
      <c r="G557" s="8">
        <f t="shared" si="72"/>
        <v>1</v>
      </c>
      <c r="H557" s="4" t="str">
        <f t="shared" si="73"/>
        <v>Ohms</v>
      </c>
      <c r="I557" s="6">
        <v>0.28000000000000003</v>
      </c>
      <c r="J557" s="6" t="str">
        <f t="shared" si="74"/>
        <v>Ohms</v>
      </c>
      <c r="K557" s="2" t="str">
        <f t="shared" si="75"/>
        <v>RTG</v>
      </c>
      <c r="L557" s="7">
        <v>45838</v>
      </c>
      <c r="M557" s="7">
        <f t="shared" si="76"/>
        <v>46203</v>
      </c>
      <c r="N557" s="7" t="str">
        <f t="shared" si="77"/>
        <v>Anual</v>
      </c>
      <c r="O557" s="2" t="str">
        <f t="shared" ca="1" si="78"/>
        <v>VIGENTE</v>
      </c>
      <c r="P557" s="6" t="s">
        <v>25</v>
      </c>
      <c r="Q557" s="2"/>
    </row>
    <row r="558" spans="1:17" x14ac:dyDescent="0.25">
      <c r="A558" s="23" t="s">
        <v>584</v>
      </c>
      <c r="B558" s="2" t="s">
        <v>748</v>
      </c>
      <c r="C558" s="3" t="s">
        <v>747</v>
      </c>
      <c r="D558" s="3" t="s">
        <v>23</v>
      </c>
      <c r="E558" s="2" t="s">
        <v>24</v>
      </c>
      <c r="F558" s="4">
        <v>1</v>
      </c>
      <c r="G558" s="8">
        <f t="shared" si="72"/>
        <v>1</v>
      </c>
      <c r="H558" s="4" t="str">
        <f t="shared" si="73"/>
        <v>Ohms</v>
      </c>
      <c r="I558" s="6">
        <v>0.47799999999999998</v>
      </c>
      <c r="J558" s="6" t="str">
        <f t="shared" si="74"/>
        <v>Ohms</v>
      </c>
      <c r="K558" s="2" t="str">
        <f t="shared" si="75"/>
        <v>RTG</v>
      </c>
      <c r="L558" s="7">
        <v>45838</v>
      </c>
      <c r="M558" s="7">
        <f t="shared" si="76"/>
        <v>46203</v>
      </c>
      <c r="N558" s="7" t="str">
        <f t="shared" si="77"/>
        <v>Anual</v>
      </c>
      <c r="O558" s="2" t="str">
        <f t="shared" ca="1" si="78"/>
        <v>VIGENTE</v>
      </c>
      <c r="P558" s="6" t="s">
        <v>25</v>
      </c>
      <c r="Q558" s="2"/>
    </row>
    <row r="559" spans="1:17" x14ac:dyDescent="0.25">
      <c r="A559" s="23" t="s">
        <v>584</v>
      </c>
      <c r="B559" s="2" t="s">
        <v>749</v>
      </c>
      <c r="C559" s="3" t="s">
        <v>747</v>
      </c>
      <c r="D559" s="3" t="s">
        <v>23</v>
      </c>
      <c r="E559" s="2" t="s">
        <v>24</v>
      </c>
      <c r="F559" s="4">
        <v>1</v>
      </c>
      <c r="G559" s="8">
        <f t="shared" si="72"/>
        <v>1</v>
      </c>
      <c r="H559" s="4" t="str">
        <f t="shared" si="73"/>
        <v>Ohms</v>
      </c>
      <c r="I559" s="6">
        <v>0.51300000000000001</v>
      </c>
      <c r="J559" s="6" t="str">
        <f t="shared" si="74"/>
        <v>Ohms</v>
      </c>
      <c r="K559" s="2" t="str">
        <f t="shared" si="75"/>
        <v>RTG</v>
      </c>
      <c r="L559" s="7">
        <v>45839</v>
      </c>
      <c r="M559" s="7">
        <f t="shared" si="76"/>
        <v>46204</v>
      </c>
      <c r="N559" s="7" t="str">
        <f t="shared" si="77"/>
        <v>Anual</v>
      </c>
      <c r="O559" s="2" t="str">
        <f t="shared" ca="1" si="78"/>
        <v>VIGENTE</v>
      </c>
      <c r="P559" s="6" t="s">
        <v>25</v>
      </c>
      <c r="Q559" s="2"/>
    </row>
    <row r="560" spans="1:17" x14ac:dyDescent="0.25">
      <c r="A560" s="23" t="s">
        <v>151</v>
      </c>
      <c r="B560" s="2" t="s">
        <v>152</v>
      </c>
      <c r="C560" s="3" t="s">
        <v>149</v>
      </c>
      <c r="D560" s="3" t="s">
        <v>23</v>
      </c>
      <c r="E560" s="2" t="s">
        <v>153</v>
      </c>
      <c r="F560" s="4">
        <v>0</v>
      </c>
      <c r="G560" s="8">
        <f t="shared" si="72"/>
        <v>10</v>
      </c>
      <c r="H560" s="4" t="str">
        <f t="shared" si="73"/>
        <v>Ohms</v>
      </c>
      <c r="I560" s="6">
        <v>0.98299999999999998</v>
      </c>
      <c r="J560" s="6" t="str">
        <f t="shared" si="74"/>
        <v>Ohms</v>
      </c>
      <c r="K560" s="2" t="str">
        <f t="shared" si="75"/>
        <v>PTG</v>
      </c>
      <c r="L560" s="7">
        <v>45838</v>
      </c>
      <c r="M560" s="7">
        <f t="shared" si="76"/>
        <v>46018</v>
      </c>
      <c r="N560" s="7" t="str">
        <f t="shared" si="77"/>
        <v>Semestral</v>
      </c>
      <c r="O560" s="2" t="str">
        <f t="shared" ca="1" si="78"/>
        <v>VENCIDO</v>
      </c>
      <c r="P560" s="6" t="s">
        <v>25</v>
      </c>
      <c r="Q560" s="2" t="s">
        <v>154</v>
      </c>
    </row>
    <row r="561" spans="1:17" x14ac:dyDescent="0.25">
      <c r="A561" s="23" t="s">
        <v>151</v>
      </c>
      <c r="B561" s="2" t="s">
        <v>750</v>
      </c>
      <c r="C561" s="3" t="s">
        <v>89</v>
      </c>
      <c r="D561" s="3" t="s">
        <v>23</v>
      </c>
      <c r="E561" s="2" t="s">
        <v>24</v>
      </c>
      <c r="F561" s="4">
        <v>0</v>
      </c>
      <c r="G561" s="8">
        <f t="shared" si="72"/>
        <v>1000000000</v>
      </c>
      <c r="H561" s="4" t="str">
        <f t="shared" si="73"/>
        <v>Ohms</v>
      </c>
      <c r="I561" s="6">
        <v>40100000</v>
      </c>
      <c r="J561" s="6" t="str">
        <f t="shared" si="74"/>
        <v>Ohms</v>
      </c>
      <c r="K561" s="2" t="str">
        <f t="shared" si="75"/>
        <v>RTG</v>
      </c>
      <c r="L561" s="7">
        <v>45755</v>
      </c>
      <c r="M561" s="7">
        <f t="shared" si="76"/>
        <v>46120</v>
      </c>
      <c r="N561" s="7" t="str">
        <f t="shared" si="77"/>
        <v>Anual</v>
      </c>
      <c r="O561" s="2" t="str">
        <f t="shared" ca="1" si="78"/>
        <v>VIGENTE</v>
      </c>
      <c r="P561" s="6" t="s">
        <v>25</v>
      </c>
      <c r="Q561" s="2" t="s">
        <v>126</v>
      </c>
    </row>
    <row r="562" spans="1:17" x14ac:dyDescent="0.25">
      <c r="A562" s="23" t="s">
        <v>151</v>
      </c>
      <c r="B562" s="2" t="s">
        <v>751</v>
      </c>
      <c r="C562" s="3" t="s">
        <v>28</v>
      </c>
      <c r="D562" s="3" t="s">
        <v>23</v>
      </c>
      <c r="E562" s="2" t="s">
        <v>24</v>
      </c>
      <c r="F562" s="4">
        <v>0</v>
      </c>
      <c r="G562" s="8">
        <f t="shared" si="72"/>
        <v>1000000000</v>
      </c>
      <c r="H562" s="4" t="str">
        <f t="shared" si="73"/>
        <v>Ohms</v>
      </c>
      <c r="I562" s="6">
        <v>590000</v>
      </c>
      <c r="J562" s="6" t="str">
        <f t="shared" si="74"/>
        <v>Ohms</v>
      </c>
      <c r="K562" s="2" t="str">
        <f t="shared" si="75"/>
        <v>RTG</v>
      </c>
      <c r="L562" s="7">
        <v>45838</v>
      </c>
      <c r="M562" s="7">
        <f t="shared" si="76"/>
        <v>46203</v>
      </c>
      <c r="N562" s="7" t="str">
        <f t="shared" si="77"/>
        <v>Anual</v>
      </c>
      <c r="O562" s="2" t="str">
        <f t="shared" ca="1" si="78"/>
        <v>VIGENTE</v>
      </c>
      <c r="P562" s="6" t="s">
        <v>25</v>
      </c>
      <c r="Q562" s="2" t="s">
        <v>29</v>
      </c>
    </row>
    <row r="563" spans="1:17" x14ac:dyDescent="0.25">
      <c r="A563" s="23" t="s">
        <v>151</v>
      </c>
      <c r="B563" s="2" t="s">
        <v>752</v>
      </c>
      <c r="C563" s="3" t="s">
        <v>28</v>
      </c>
      <c r="D563" s="3" t="s">
        <v>23</v>
      </c>
      <c r="E563" s="2" t="s">
        <v>24</v>
      </c>
      <c r="F563" s="4">
        <v>0</v>
      </c>
      <c r="G563" s="8">
        <f t="shared" si="72"/>
        <v>1000000000</v>
      </c>
      <c r="H563" s="4" t="str">
        <f t="shared" si="73"/>
        <v>Ohms</v>
      </c>
      <c r="I563" s="6">
        <v>460000000</v>
      </c>
      <c r="J563" s="6" t="str">
        <f t="shared" si="74"/>
        <v>Ohms</v>
      </c>
      <c r="K563" s="2" t="str">
        <f t="shared" si="75"/>
        <v>RTG</v>
      </c>
      <c r="L563" s="7">
        <v>45838</v>
      </c>
      <c r="M563" s="7">
        <f t="shared" si="76"/>
        <v>46203</v>
      </c>
      <c r="N563" s="7" t="str">
        <f t="shared" si="77"/>
        <v>Anual</v>
      </c>
      <c r="O563" s="2" t="str">
        <f t="shared" ca="1" si="78"/>
        <v>VIGENTE</v>
      </c>
      <c r="P563" s="6" t="s">
        <v>25</v>
      </c>
      <c r="Q563" s="2" t="s">
        <v>29</v>
      </c>
    </row>
    <row r="564" spans="1:17" x14ac:dyDescent="0.25">
      <c r="A564" s="23" t="s">
        <v>151</v>
      </c>
      <c r="B564" s="2" t="s">
        <v>753</v>
      </c>
      <c r="C564" s="3" t="s">
        <v>28</v>
      </c>
      <c r="D564" s="3" t="s">
        <v>23</v>
      </c>
      <c r="E564" s="2" t="s">
        <v>24</v>
      </c>
      <c r="F564" s="4">
        <v>0</v>
      </c>
      <c r="G564" s="8">
        <f t="shared" si="72"/>
        <v>1000000000</v>
      </c>
      <c r="H564" s="4" t="str">
        <f t="shared" si="73"/>
        <v>Ohms</v>
      </c>
      <c r="I564" s="6">
        <v>10800</v>
      </c>
      <c r="J564" s="6" t="str">
        <f t="shared" si="74"/>
        <v>Ohms</v>
      </c>
      <c r="K564" s="2" t="str">
        <f t="shared" si="75"/>
        <v>RTG</v>
      </c>
      <c r="L564" s="7">
        <v>45838</v>
      </c>
      <c r="M564" s="7">
        <f t="shared" si="76"/>
        <v>46203</v>
      </c>
      <c r="N564" s="7" t="str">
        <f t="shared" si="77"/>
        <v>Anual</v>
      </c>
      <c r="O564" s="2" t="str">
        <f t="shared" ca="1" si="78"/>
        <v>VIGENTE</v>
      </c>
      <c r="P564" s="6" t="s">
        <v>25</v>
      </c>
      <c r="Q564" s="2" t="s">
        <v>29</v>
      </c>
    </row>
    <row r="565" spans="1:17" x14ac:dyDescent="0.25">
      <c r="A565" s="23" t="s">
        <v>151</v>
      </c>
      <c r="B565" s="2" t="s">
        <v>754</v>
      </c>
      <c r="C565" s="3" t="s">
        <v>89</v>
      </c>
      <c r="D565" s="3" t="s">
        <v>23</v>
      </c>
      <c r="E565" s="2" t="s">
        <v>24</v>
      </c>
      <c r="F565" s="4">
        <v>0</v>
      </c>
      <c r="G565" s="8">
        <f t="shared" si="72"/>
        <v>1000000000</v>
      </c>
      <c r="H565" s="4" t="str">
        <f t="shared" si="73"/>
        <v>Ohms</v>
      </c>
      <c r="I565" s="6">
        <v>93400000</v>
      </c>
      <c r="J565" s="6" t="str">
        <f t="shared" si="74"/>
        <v>Ohms</v>
      </c>
      <c r="K565" s="2" t="str">
        <f t="shared" si="75"/>
        <v>RTG</v>
      </c>
      <c r="L565" s="7">
        <v>45755</v>
      </c>
      <c r="M565" s="7">
        <f t="shared" si="76"/>
        <v>46120</v>
      </c>
      <c r="N565" s="7" t="str">
        <f t="shared" si="77"/>
        <v>Anual</v>
      </c>
      <c r="O565" s="2" t="str">
        <f t="shared" ca="1" si="78"/>
        <v>VIGENTE</v>
      </c>
      <c r="P565" s="6" t="s">
        <v>25</v>
      </c>
      <c r="Q565" s="2" t="s">
        <v>126</v>
      </c>
    </row>
    <row r="566" spans="1:17" x14ac:dyDescent="0.25">
      <c r="A566" s="23" t="s">
        <v>151</v>
      </c>
      <c r="B566" s="2" t="s">
        <v>755</v>
      </c>
      <c r="C566" s="3" t="s">
        <v>28</v>
      </c>
      <c r="D566" s="3" t="s">
        <v>23</v>
      </c>
      <c r="E566" s="2" t="s">
        <v>24</v>
      </c>
      <c r="F566" s="4">
        <v>0</v>
      </c>
      <c r="G566" s="8">
        <f t="shared" ref="G566:G629" si="79">IF(C566="Ionizador", 10, IF(C566="Mesa", 1000000000, IF(C566="Rack", 1000000000, IF(C566="Piso", 1000000000, IF(C566="Tapete", 1000000000, IF(C566="Carrito", 1000000000, IF(C566="Cautín", 10, 1)))))))</f>
        <v>1000000000</v>
      </c>
      <c r="H566" s="4" t="str">
        <f t="shared" ref="H566:H629" si="80">IF(C566="Ionizador", "Segundos", "Ohms")</f>
        <v>Ohms</v>
      </c>
      <c r="I566" s="6">
        <v>2840000</v>
      </c>
      <c r="J566" s="6" t="str">
        <f t="shared" ref="J566:J629" si="81">H566</f>
        <v>Ohms</v>
      </c>
      <c r="K566" s="2" t="str">
        <f t="shared" ref="K566:K629" si="82">IF(C566="Ionizador", "Plato de carga", IF(C566="Cautín", "PTG", IF(C566="ESD Tester", "PTP Deviation", "RTG")))</f>
        <v>RTG</v>
      </c>
      <c r="L566" s="7">
        <v>45838</v>
      </c>
      <c r="M566" s="7">
        <f t="shared" si="76"/>
        <v>46203</v>
      </c>
      <c r="N566" s="7" t="str">
        <f t="shared" si="77"/>
        <v>Anual</v>
      </c>
      <c r="O566" s="2" t="str">
        <f t="shared" ca="1" si="78"/>
        <v>VIGENTE</v>
      </c>
      <c r="P566" s="6" t="s">
        <v>25</v>
      </c>
      <c r="Q566" s="2" t="s">
        <v>29</v>
      </c>
    </row>
    <row r="567" spans="1:17" x14ac:dyDescent="0.25">
      <c r="A567" s="23" t="s">
        <v>151</v>
      </c>
      <c r="B567" s="2" t="s">
        <v>756</v>
      </c>
      <c r="C567" s="3" t="s">
        <v>28</v>
      </c>
      <c r="D567" s="3" t="s">
        <v>23</v>
      </c>
      <c r="E567" s="2" t="s">
        <v>24</v>
      </c>
      <c r="F567" s="4">
        <v>0</v>
      </c>
      <c r="G567" s="8">
        <f t="shared" si="79"/>
        <v>1000000000</v>
      </c>
      <c r="H567" s="4" t="str">
        <f t="shared" si="80"/>
        <v>Ohms</v>
      </c>
      <c r="I567" s="6">
        <v>12000000</v>
      </c>
      <c r="J567" s="6" t="str">
        <f t="shared" si="81"/>
        <v>Ohms</v>
      </c>
      <c r="K567" s="2" t="str">
        <f t="shared" si="82"/>
        <v>RTG</v>
      </c>
      <c r="L567" s="7">
        <v>45873</v>
      </c>
      <c r="M567" s="7">
        <f t="shared" si="76"/>
        <v>46238</v>
      </c>
      <c r="N567" s="7" t="str">
        <f t="shared" si="77"/>
        <v>Anual</v>
      </c>
      <c r="O567" s="2" t="str">
        <f t="shared" ca="1" si="78"/>
        <v>VIGENTE</v>
      </c>
      <c r="P567" s="6" t="s">
        <v>25</v>
      </c>
      <c r="Q567" s="2" t="s">
        <v>29</v>
      </c>
    </row>
    <row r="568" spans="1:17" x14ac:dyDescent="0.25">
      <c r="A568" s="23" t="s">
        <v>151</v>
      </c>
      <c r="B568" s="2" t="s">
        <v>757</v>
      </c>
      <c r="C568" s="3" t="s">
        <v>22</v>
      </c>
      <c r="D568" s="3" t="s">
        <v>23</v>
      </c>
      <c r="E568" s="2" t="s">
        <v>24</v>
      </c>
      <c r="F568" s="4">
        <v>0</v>
      </c>
      <c r="G568" s="8">
        <f t="shared" si="79"/>
        <v>1000000000</v>
      </c>
      <c r="H568" s="4" t="str">
        <f t="shared" si="80"/>
        <v>Ohms</v>
      </c>
      <c r="I568" s="6">
        <v>218000</v>
      </c>
      <c r="J568" s="6" t="str">
        <f t="shared" si="81"/>
        <v>Ohms</v>
      </c>
      <c r="K568" s="2" t="str">
        <f t="shared" si="82"/>
        <v>RTG</v>
      </c>
      <c r="L568" s="7">
        <v>45838</v>
      </c>
      <c r="M568" s="7">
        <f t="shared" si="76"/>
        <v>46203</v>
      </c>
      <c r="N568" s="7" t="str">
        <f t="shared" si="77"/>
        <v>Anual</v>
      </c>
      <c r="O568" s="2" t="str">
        <f t="shared" ca="1" si="78"/>
        <v>VIGENTE</v>
      </c>
      <c r="P568" s="6" t="s">
        <v>25</v>
      </c>
      <c r="Q568" s="2"/>
    </row>
    <row r="569" spans="1:17" x14ac:dyDescent="0.25">
      <c r="A569" s="23" t="s">
        <v>151</v>
      </c>
      <c r="B569" s="2" t="s">
        <v>758</v>
      </c>
      <c r="C569" s="3" t="s">
        <v>22</v>
      </c>
      <c r="D569" s="3" t="s">
        <v>23</v>
      </c>
      <c r="E569" s="2" t="s">
        <v>24</v>
      </c>
      <c r="F569" s="4">
        <v>0</v>
      </c>
      <c r="G569" s="8">
        <f t="shared" si="79"/>
        <v>1000000000</v>
      </c>
      <c r="H569" s="4" t="str">
        <f t="shared" si="80"/>
        <v>Ohms</v>
      </c>
      <c r="I569" s="6">
        <v>3100000</v>
      </c>
      <c r="J569" s="6" t="str">
        <f t="shared" si="81"/>
        <v>Ohms</v>
      </c>
      <c r="K569" s="2" t="str">
        <f t="shared" si="82"/>
        <v>RTG</v>
      </c>
      <c r="L569" s="7">
        <v>45838</v>
      </c>
      <c r="M569" s="7">
        <f t="shared" si="76"/>
        <v>46203</v>
      </c>
      <c r="N569" s="7" t="str">
        <f t="shared" si="77"/>
        <v>Anual</v>
      </c>
      <c r="O569" s="2" t="str">
        <f t="shared" ca="1" si="78"/>
        <v>VIGENTE</v>
      </c>
      <c r="P569" s="6" t="s">
        <v>25</v>
      </c>
      <c r="Q569" s="2"/>
    </row>
    <row r="570" spans="1:17" x14ac:dyDescent="0.25">
      <c r="A570" s="23" t="s">
        <v>151</v>
      </c>
      <c r="B570" s="2" t="s">
        <v>759</v>
      </c>
      <c r="C570" s="3" t="s">
        <v>43</v>
      </c>
      <c r="D570" s="3" t="s">
        <v>23</v>
      </c>
      <c r="E570" s="2" t="s">
        <v>24</v>
      </c>
      <c r="F570" s="4">
        <v>0</v>
      </c>
      <c r="G570" s="8">
        <f t="shared" si="79"/>
        <v>1000000000</v>
      </c>
      <c r="H570" s="4" t="str">
        <f t="shared" si="80"/>
        <v>Ohms</v>
      </c>
      <c r="I570" s="6">
        <v>52900000</v>
      </c>
      <c r="J570" s="6" t="str">
        <f t="shared" si="81"/>
        <v>Ohms</v>
      </c>
      <c r="K570" s="2" t="str">
        <f t="shared" si="82"/>
        <v>RTG</v>
      </c>
      <c r="L570" s="7">
        <v>45838</v>
      </c>
      <c r="M570" s="7">
        <f t="shared" si="76"/>
        <v>46018</v>
      </c>
      <c r="N570" s="7" t="str">
        <f t="shared" si="77"/>
        <v>Semestral</v>
      </c>
      <c r="O570" s="2" t="str">
        <f t="shared" ca="1" si="78"/>
        <v>VENCIDO</v>
      </c>
      <c r="P570" s="6" t="s">
        <v>25</v>
      </c>
      <c r="Q570" s="2"/>
    </row>
    <row r="571" spans="1:17" x14ac:dyDescent="0.25">
      <c r="A571" s="23" t="s">
        <v>151</v>
      </c>
      <c r="B571" s="2" t="s">
        <v>760</v>
      </c>
      <c r="C571" s="3" t="s">
        <v>43</v>
      </c>
      <c r="D571" s="3" t="s">
        <v>23</v>
      </c>
      <c r="E571" s="2" t="s">
        <v>24</v>
      </c>
      <c r="F571" s="4">
        <v>0</v>
      </c>
      <c r="G571" s="8">
        <f t="shared" si="79"/>
        <v>1000000000</v>
      </c>
      <c r="H571" s="4" t="str">
        <f t="shared" si="80"/>
        <v>Ohms</v>
      </c>
      <c r="I571" s="6">
        <v>151000</v>
      </c>
      <c r="J571" s="6" t="str">
        <f t="shared" si="81"/>
        <v>Ohms</v>
      </c>
      <c r="K571" s="2" t="str">
        <f t="shared" si="82"/>
        <v>RTG</v>
      </c>
      <c r="L571" s="7">
        <v>45838</v>
      </c>
      <c r="M571" s="7">
        <f t="shared" si="76"/>
        <v>46018</v>
      </c>
      <c r="N571" s="7" t="str">
        <f t="shared" si="77"/>
        <v>Semestral</v>
      </c>
      <c r="O571" s="2" t="str">
        <f t="shared" ca="1" si="78"/>
        <v>VENCIDO</v>
      </c>
      <c r="P571" s="6" t="s">
        <v>25</v>
      </c>
      <c r="Q571" s="2"/>
    </row>
    <row r="572" spans="1:17" x14ac:dyDescent="0.25">
      <c r="A572" s="23" t="s">
        <v>151</v>
      </c>
      <c r="B572" s="2" t="s">
        <v>761</v>
      </c>
      <c r="C572" s="3" t="s">
        <v>43</v>
      </c>
      <c r="D572" s="3" t="s">
        <v>23</v>
      </c>
      <c r="E572" s="2" t="s">
        <v>24</v>
      </c>
      <c r="F572" s="4">
        <v>0</v>
      </c>
      <c r="G572" s="8">
        <f t="shared" si="79"/>
        <v>1000000000</v>
      </c>
      <c r="H572" s="4" t="str">
        <f t="shared" si="80"/>
        <v>Ohms</v>
      </c>
      <c r="I572" s="6">
        <v>881000000</v>
      </c>
      <c r="J572" s="6" t="str">
        <f t="shared" si="81"/>
        <v>Ohms</v>
      </c>
      <c r="K572" s="2" t="str">
        <f t="shared" si="82"/>
        <v>RTG</v>
      </c>
      <c r="L572" s="7">
        <v>45838</v>
      </c>
      <c r="M572" s="7">
        <f t="shared" si="76"/>
        <v>46018</v>
      </c>
      <c r="N572" s="7" t="str">
        <f t="shared" si="77"/>
        <v>Semestral</v>
      </c>
      <c r="O572" s="2" t="str">
        <f t="shared" ca="1" si="78"/>
        <v>VENCIDO</v>
      </c>
      <c r="P572" s="6" t="s">
        <v>25</v>
      </c>
      <c r="Q572" s="2"/>
    </row>
    <row r="573" spans="1:17" x14ac:dyDescent="0.25">
      <c r="A573" s="23" t="s">
        <v>151</v>
      </c>
      <c r="B573" s="2" t="s">
        <v>762</v>
      </c>
      <c r="C573" s="3"/>
      <c r="D573" s="3" t="s">
        <v>23</v>
      </c>
      <c r="E573" s="2" t="s">
        <v>24</v>
      </c>
      <c r="F573" s="4">
        <v>0</v>
      </c>
      <c r="G573" s="8">
        <f t="shared" si="79"/>
        <v>1</v>
      </c>
      <c r="H573" s="4" t="str">
        <f t="shared" si="80"/>
        <v>Ohms</v>
      </c>
      <c r="I573" s="6">
        <v>0.219</v>
      </c>
      <c r="J573" s="6" t="str">
        <f t="shared" si="81"/>
        <v>Ohms</v>
      </c>
      <c r="K573" s="2" t="str">
        <f t="shared" si="82"/>
        <v>RTG</v>
      </c>
      <c r="L573" s="7">
        <v>45838</v>
      </c>
      <c r="M573" s="7">
        <f t="shared" si="76"/>
        <v>46203</v>
      </c>
      <c r="N573" s="7" t="str">
        <f t="shared" si="77"/>
        <v>Anual</v>
      </c>
      <c r="O573" s="2" t="str">
        <f t="shared" ca="1" si="78"/>
        <v>VIGENTE</v>
      </c>
      <c r="P573" s="6" t="s">
        <v>25</v>
      </c>
      <c r="Q573" s="2"/>
    </row>
    <row r="574" spans="1:17" x14ac:dyDescent="0.25">
      <c r="A574" s="23" t="s">
        <v>151</v>
      </c>
      <c r="B574" s="2" t="s">
        <v>763</v>
      </c>
      <c r="C574" s="3" t="s">
        <v>43</v>
      </c>
      <c r="D574" s="3" t="s">
        <v>23</v>
      </c>
      <c r="E574" s="2" t="s">
        <v>24</v>
      </c>
      <c r="F574" s="4">
        <v>0</v>
      </c>
      <c r="G574" s="8">
        <f t="shared" si="79"/>
        <v>1000000000</v>
      </c>
      <c r="H574" s="4" t="str">
        <f t="shared" si="80"/>
        <v>Ohms</v>
      </c>
      <c r="I574" s="6">
        <v>438000</v>
      </c>
      <c r="J574" s="6" t="str">
        <f t="shared" si="81"/>
        <v>Ohms</v>
      </c>
      <c r="K574" s="2" t="str">
        <f t="shared" si="82"/>
        <v>RTG</v>
      </c>
      <c r="L574" s="7">
        <v>45838</v>
      </c>
      <c r="M574" s="7">
        <f t="shared" si="76"/>
        <v>46018</v>
      </c>
      <c r="N574" s="7" t="str">
        <f t="shared" si="77"/>
        <v>Semestral</v>
      </c>
      <c r="O574" s="2" t="str">
        <f t="shared" ca="1" si="78"/>
        <v>VENCIDO</v>
      </c>
      <c r="P574" s="6" t="s">
        <v>25</v>
      </c>
      <c r="Q574" s="2"/>
    </row>
    <row r="575" spans="1:17" x14ac:dyDescent="0.25">
      <c r="A575" s="23" t="s">
        <v>151</v>
      </c>
      <c r="B575" s="2" t="s">
        <v>2568</v>
      </c>
      <c r="C575" s="3"/>
      <c r="D575" s="3" t="s">
        <v>23</v>
      </c>
      <c r="E575" s="2" t="s">
        <v>24</v>
      </c>
      <c r="F575" s="4">
        <v>0</v>
      </c>
      <c r="G575" s="8">
        <f t="shared" si="79"/>
        <v>1</v>
      </c>
      <c r="H575" s="4" t="str">
        <f t="shared" si="80"/>
        <v>Ohms</v>
      </c>
      <c r="I575" s="6">
        <v>0.32400000000000001</v>
      </c>
      <c r="J575" s="6" t="str">
        <f t="shared" si="81"/>
        <v>Ohms</v>
      </c>
      <c r="K575" s="2" t="str">
        <f t="shared" si="82"/>
        <v>RTG</v>
      </c>
      <c r="L575" s="7">
        <v>45838</v>
      </c>
      <c r="M575" s="7">
        <f t="shared" si="76"/>
        <v>46203</v>
      </c>
      <c r="N575" s="7" t="str">
        <f t="shared" si="77"/>
        <v>Anual</v>
      </c>
      <c r="O575" s="2" t="str">
        <f t="shared" ca="1" si="78"/>
        <v>VIGENTE</v>
      </c>
      <c r="P575" s="6" t="s">
        <v>25</v>
      </c>
      <c r="Q575" s="2"/>
    </row>
    <row r="576" spans="1:17" x14ac:dyDescent="0.25">
      <c r="A576" s="23" t="s">
        <v>142</v>
      </c>
      <c r="B576" s="2" t="s">
        <v>143</v>
      </c>
      <c r="C576" s="3" t="s">
        <v>28</v>
      </c>
      <c r="D576" s="3" t="s">
        <v>23</v>
      </c>
      <c r="E576" s="2" t="s">
        <v>24</v>
      </c>
      <c r="F576" s="4">
        <v>0</v>
      </c>
      <c r="G576" s="8">
        <f t="shared" si="79"/>
        <v>1000000000</v>
      </c>
      <c r="H576" s="4" t="str">
        <f t="shared" si="80"/>
        <v>Ohms</v>
      </c>
      <c r="I576" s="14">
        <v>202000000</v>
      </c>
      <c r="J576" s="6" t="str">
        <f t="shared" si="81"/>
        <v>Ohms</v>
      </c>
      <c r="K576" s="2" t="str">
        <f t="shared" si="82"/>
        <v>RTG</v>
      </c>
      <c r="L576" s="7">
        <v>45838</v>
      </c>
      <c r="M576" s="7">
        <f t="shared" si="76"/>
        <v>46203</v>
      </c>
      <c r="N576" s="7" t="str">
        <f t="shared" si="77"/>
        <v>Anual</v>
      </c>
      <c r="O576" s="2" t="str">
        <f t="shared" ca="1" si="78"/>
        <v>VIGENTE</v>
      </c>
      <c r="P576" s="6" t="s">
        <v>25</v>
      </c>
      <c r="Q576" s="2" t="s">
        <v>29</v>
      </c>
    </row>
    <row r="577" spans="1:17" x14ac:dyDescent="0.25">
      <c r="A577" s="23" t="s">
        <v>142</v>
      </c>
      <c r="B577" s="2" t="s">
        <v>144</v>
      </c>
      <c r="C577" s="3" t="s">
        <v>133</v>
      </c>
      <c r="D577" s="3" t="s">
        <v>23</v>
      </c>
      <c r="E577" s="2" t="s">
        <v>24</v>
      </c>
      <c r="F577" s="4">
        <v>0</v>
      </c>
      <c r="G577" s="8">
        <f t="shared" si="79"/>
        <v>1</v>
      </c>
      <c r="H577" s="4" t="str">
        <f t="shared" si="80"/>
        <v>Ohms</v>
      </c>
      <c r="I577" s="14">
        <v>349000000</v>
      </c>
      <c r="J577" s="6" t="str">
        <f t="shared" si="81"/>
        <v>Ohms</v>
      </c>
      <c r="K577" s="2" t="str">
        <f t="shared" si="82"/>
        <v>RTG</v>
      </c>
      <c r="L577" s="7">
        <v>45706</v>
      </c>
      <c r="M577" s="7">
        <f t="shared" si="76"/>
        <v>46071</v>
      </c>
      <c r="N577" s="7" t="str">
        <f t="shared" si="77"/>
        <v>Anual</v>
      </c>
      <c r="O577" s="2" t="str">
        <f t="shared" ca="1" si="78"/>
        <v>VENCIDO</v>
      </c>
      <c r="P577" s="6" t="s">
        <v>25</v>
      </c>
      <c r="Q577" s="2" t="s">
        <v>126</v>
      </c>
    </row>
    <row r="578" spans="1:17" x14ac:dyDescent="0.25">
      <c r="A578" s="23" t="s">
        <v>142</v>
      </c>
      <c r="B578" s="2" t="s">
        <v>469</v>
      </c>
      <c r="C578" s="3" t="s">
        <v>22</v>
      </c>
      <c r="D578" s="3" t="s">
        <v>23</v>
      </c>
      <c r="E578" s="2" t="s">
        <v>24</v>
      </c>
      <c r="F578" s="4">
        <v>0</v>
      </c>
      <c r="G578" s="8">
        <f t="shared" si="79"/>
        <v>1000000000</v>
      </c>
      <c r="H578" s="4" t="str">
        <f t="shared" si="80"/>
        <v>Ohms</v>
      </c>
      <c r="I578" s="6">
        <v>26500000</v>
      </c>
      <c r="J578" s="6" t="str">
        <f t="shared" si="81"/>
        <v>Ohms</v>
      </c>
      <c r="K578" s="2" t="str">
        <f t="shared" si="82"/>
        <v>RTG</v>
      </c>
      <c r="L578" s="7">
        <v>45838</v>
      </c>
      <c r="M578" s="7">
        <f t="shared" si="76"/>
        <v>46203</v>
      </c>
      <c r="N578" s="7" t="str">
        <f t="shared" si="77"/>
        <v>Anual</v>
      </c>
      <c r="O578" s="2" t="str">
        <f t="shared" ca="1" si="78"/>
        <v>VIGENTE</v>
      </c>
      <c r="P578" s="6" t="s">
        <v>25</v>
      </c>
      <c r="Q578" s="2"/>
    </row>
    <row r="579" spans="1:17" x14ac:dyDescent="0.25">
      <c r="A579" s="23" t="s">
        <v>142</v>
      </c>
      <c r="B579" s="2" t="s">
        <v>506</v>
      </c>
      <c r="C579" s="3" t="s">
        <v>22</v>
      </c>
      <c r="D579" s="3" t="s">
        <v>23</v>
      </c>
      <c r="E579" s="2" t="s">
        <v>24</v>
      </c>
      <c r="F579" s="4">
        <v>0</v>
      </c>
      <c r="G579" s="8">
        <f t="shared" si="79"/>
        <v>1000000000</v>
      </c>
      <c r="H579" s="4" t="str">
        <f t="shared" si="80"/>
        <v>Ohms</v>
      </c>
      <c r="I579" s="6">
        <v>2040000</v>
      </c>
      <c r="J579" s="6" t="str">
        <f t="shared" si="81"/>
        <v>Ohms</v>
      </c>
      <c r="K579" s="2" t="str">
        <f t="shared" si="82"/>
        <v>RTG</v>
      </c>
      <c r="L579" s="7">
        <v>45838</v>
      </c>
      <c r="M579" s="7">
        <f t="shared" si="76"/>
        <v>46203</v>
      </c>
      <c r="N579" s="7" t="str">
        <f t="shared" si="77"/>
        <v>Anual</v>
      </c>
      <c r="O579" s="2" t="str">
        <f t="shared" ca="1" si="78"/>
        <v>VIGENTE</v>
      </c>
      <c r="P579" s="6" t="s">
        <v>25</v>
      </c>
      <c r="Q579" s="2"/>
    </row>
    <row r="580" spans="1:17" x14ac:dyDescent="0.25">
      <c r="A580" s="23" t="s">
        <v>142</v>
      </c>
      <c r="B580" s="2" t="s">
        <v>639</v>
      </c>
      <c r="C580" s="3" t="s">
        <v>28</v>
      </c>
      <c r="D580" s="3" t="s">
        <v>23</v>
      </c>
      <c r="E580" s="2" t="s">
        <v>24</v>
      </c>
      <c r="F580" s="4">
        <v>0</v>
      </c>
      <c r="G580" s="8">
        <f t="shared" si="79"/>
        <v>1000000000</v>
      </c>
      <c r="H580" s="4" t="str">
        <f t="shared" si="80"/>
        <v>Ohms</v>
      </c>
      <c r="I580" s="14">
        <v>268000000</v>
      </c>
      <c r="J580" s="6" t="str">
        <f t="shared" si="81"/>
        <v>Ohms</v>
      </c>
      <c r="K580" s="2" t="str">
        <f t="shared" si="82"/>
        <v>RTG</v>
      </c>
      <c r="L580" s="7">
        <v>45838</v>
      </c>
      <c r="M580" s="7">
        <f t="shared" si="76"/>
        <v>46203</v>
      </c>
      <c r="N580" s="7" t="str">
        <f t="shared" si="77"/>
        <v>Anual</v>
      </c>
      <c r="O580" s="2" t="str">
        <f t="shared" ca="1" si="78"/>
        <v>VIGENTE</v>
      </c>
      <c r="P580" s="6" t="s">
        <v>25</v>
      </c>
      <c r="Q580" s="2" t="s">
        <v>29</v>
      </c>
    </row>
    <row r="581" spans="1:17" x14ac:dyDescent="0.25">
      <c r="A581" s="23" t="s">
        <v>142</v>
      </c>
      <c r="B581" s="2" t="s">
        <v>641</v>
      </c>
      <c r="C581" s="3" t="s">
        <v>28</v>
      </c>
      <c r="D581" s="3" t="s">
        <v>23</v>
      </c>
      <c r="E581" s="2" t="s">
        <v>24</v>
      </c>
      <c r="F581" s="4">
        <v>0</v>
      </c>
      <c r="G581" s="8">
        <f t="shared" si="79"/>
        <v>1000000000</v>
      </c>
      <c r="H581" s="4" t="str">
        <f t="shared" si="80"/>
        <v>Ohms</v>
      </c>
      <c r="I581" s="14">
        <v>321000000</v>
      </c>
      <c r="J581" s="6" t="str">
        <f t="shared" si="81"/>
        <v>Ohms</v>
      </c>
      <c r="K581" s="2" t="str">
        <f t="shared" si="82"/>
        <v>RTG</v>
      </c>
      <c r="L581" s="7">
        <v>45838</v>
      </c>
      <c r="M581" s="7">
        <f t="shared" si="76"/>
        <v>46203</v>
      </c>
      <c r="N581" s="7" t="str">
        <f t="shared" si="77"/>
        <v>Anual</v>
      </c>
      <c r="O581" s="2" t="str">
        <f t="shared" ca="1" si="78"/>
        <v>VIGENTE</v>
      </c>
      <c r="P581" s="6" t="s">
        <v>25</v>
      </c>
      <c r="Q581" s="2" t="s">
        <v>29</v>
      </c>
    </row>
    <row r="582" spans="1:17" x14ac:dyDescent="0.25">
      <c r="A582" s="23" t="s">
        <v>142</v>
      </c>
      <c r="B582" s="2" t="s">
        <v>695</v>
      </c>
      <c r="C582" s="3" t="s">
        <v>28</v>
      </c>
      <c r="D582" s="3" t="s">
        <v>23</v>
      </c>
      <c r="E582" s="2" t="s">
        <v>24</v>
      </c>
      <c r="F582" s="4">
        <v>0</v>
      </c>
      <c r="G582" s="8">
        <f t="shared" si="79"/>
        <v>1000000000</v>
      </c>
      <c r="H582" s="4" t="str">
        <f t="shared" si="80"/>
        <v>Ohms</v>
      </c>
      <c r="I582" s="6">
        <v>387000000</v>
      </c>
      <c r="J582" s="6" t="str">
        <f t="shared" si="81"/>
        <v>Ohms</v>
      </c>
      <c r="K582" s="2" t="str">
        <f t="shared" si="82"/>
        <v>RTG</v>
      </c>
      <c r="L582" s="7">
        <v>45838</v>
      </c>
      <c r="M582" s="7">
        <f t="shared" si="76"/>
        <v>46203</v>
      </c>
      <c r="N582" s="7" t="str">
        <f t="shared" si="77"/>
        <v>Anual</v>
      </c>
      <c r="O582" s="2" t="str">
        <f t="shared" ca="1" si="78"/>
        <v>VIGENTE</v>
      </c>
      <c r="P582" s="6" t="s">
        <v>25</v>
      </c>
      <c r="Q582" s="2" t="s">
        <v>29</v>
      </c>
    </row>
    <row r="583" spans="1:17" x14ac:dyDescent="0.25">
      <c r="A583" s="23" t="s">
        <v>142</v>
      </c>
      <c r="B583" s="2" t="s">
        <v>697</v>
      </c>
      <c r="C583" s="3" t="s">
        <v>28</v>
      </c>
      <c r="D583" s="3" t="s">
        <v>23</v>
      </c>
      <c r="E583" s="2" t="s">
        <v>24</v>
      </c>
      <c r="F583" s="4">
        <v>0</v>
      </c>
      <c r="G583" s="8">
        <f t="shared" si="79"/>
        <v>1000000000</v>
      </c>
      <c r="H583" s="4" t="str">
        <f t="shared" si="80"/>
        <v>Ohms</v>
      </c>
      <c r="I583" s="6">
        <v>215000</v>
      </c>
      <c r="J583" s="6" t="str">
        <f t="shared" si="81"/>
        <v>Ohms</v>
      </c>
      <c r="K583" s="2" t="str">
        <f t="shared" si="82"/>
        <v>RTG</v>
      </c>
      <c r="L583" s="7">
        <v>45838</v>
      </c>
      <c r="M583" s="7">
        <f t="shared" si="76"/>
        <v>46203</v>
      </c>
      <c r="N583" s="7" t="str">
        <f t="shared" si="77"/>
        <v>Anual</v>
      </c>
      <c r="O583" s="2" t="str">
        <f t="shared" ca="1" si="78"/>
        <v>VIGENTE</v>
      </c>
      <c r="P583" s="6" t="s">
        <v>25</v>
      </c>
      <c r="Q583" s="2" t="s">
        <v>29</v>
      </c>
    </row>
    <row r="584" spans="1:17" x14ac:dyDescent="0.25">
      <c r="A584" s="23" t="s">
        <v>142</v>
      </c>
      <c r="B584" s="2" t="s">
        <v>764</v>
      </c>
      <c r="C584" s="3" t="s">
        <v>22</v>
      </c>
      <c r="D584" s="3" t="s">
        <v>23</v>
      </c>
      <c r="E584" s="2" t="s">
        <v>24</v>
      </c>
      <c r="F584" s="4">
        <v>0</v>
      </c>
      <c r="G584" s="8">
        <f t="shared" si="79"/>
        <v>1000000000</v>
      </c>
      <c r="H584" s="4" t="str">
        <f t="shared" si="80"/>
        <v>Ohms</v>
      </c>
      <c r="I584" s="14">
        <v>382000000</v>
      </c>
      <c r="J584" s="6" t="str">
        <f t="shared" si="81"/>
        <v>Ohms</v>
      </c>
      <c r="K584" s="2" t="str">
        <f t="shared" si="82"/>
        <v>RTG</v>
      </c>
      <c r="L584" s="7">
        <v>45843</v>
      </c>
      <c r="M584" s="7">
        <f t="shared" si="76"/>
        <v>46208</v>
      </c>
      <c r="N584" s="7" t="str">
        <f t="shared" si="77"/>
        <v>Anual</v>
      </c>
      <c r="O584" s="2" t="str">
        <f t="shared" ca="1" si="78"/>
        <v>VIGENTE</v>
      </c>
      <c r="P584" s="6" t="s">
        <v>25</v>
      </c>
      <c r="Q584" s="2"/>
    </row>
    <row r="585" spans="1:17" x14ac:dyDescent="0.25">
      <c r="A585" s="23" t="s">
        <v>142</v>
      </c>
      <c r="B585" s="2" t="s">
        <v>765</v>
      </c>
      <c r="C585" s="3" t="s">
        <v>28</v>
      </c>
      <c r="D585" s="3" t="s">
        <v>23</v>
      </c>
      <c r="E585" s="2" t="s">
        <v>24</v>
      </c>
      <c r="F585" s="4">
        <v>0</v>
      </c>
      <c r="G585" s="8">
        <f t="shared" si="79"/>
        <v>1000000000</v>
      </c>
      <c r="H585" s="4" t="str">
        <f t="shared" si="80"/>
        <v>Ohms</v>
      </c>
      <c r="I585" s="14">
        <v>178000000</v>
      </c>
      <c r="J585" s="6" t="str">
        <f t="shared" si="81"/>
        <v>Ohms</v>
      </c>
      <c r="K585" s="2" t="str">
        <f t="shared" si="82"/>
        <v>RTG</v>
      </c>
      <c r="L585" s="7">
        <v>45843</v>
      </c>
      <c r="M585" s="7">
        <f t="shared" si="76"/>
        <v>46208</v>
      </c>
      <c r="N585" s="7" t="str">
        <f t="shared" si="77"/>
        <v>Anual</v>
      </c>
      <c r="O585" s="2" t="str">
        <f t="shared" ca="1" si="78"/>
        <v>VIGENTE</v>
      </c>
      <c r="P585" s="6" t="s">
        <v>25</v>
      </c>
      <c r="Q585" s="2" t="s">
        <v>29</v>
      </c>
    </row>
    <row r="586" spans="1:17" x14ac:dyDescent="0.25">
      <c r="A586" s="23" t="s">
        <v>142</v>
      </c>
      <c r="B586" s="2" t="s">
        <v>766</v>
      </c>
      <c r="C586" s="3" t="s">
        <v>28</v>
      </c>
      <c r="D586" s="3" t="s">
        <v>23</v>
      </c>
      <c r="E586" s="2" t="s">
        <v>24</v>
      </c>
      <c r="F586" s="4">
        <v>0</v>
      </c>
      <c r="G586" s="8">
        <f t="shared" si="79"/>
        <v>1000000000</v>
      </c>
      <c r="H586" s="4" t="str">
        <f t="shared" si="80"/>
        <v>Ohms</v>
      </c>
      <c r="I586" s="14">
        <v>3350000</v>
      </c>
      <c r="J586" s="6" t="str">
        <f t="shared" si="81"/>
        <v>Ohms</v>
      </c>
      <c r="K586" s="2" t="str">
        <f t="shared" si="82"/>
        <v>RTG</v>
      </c>
      <c r="L586" s="7">
        <v>45843</v>
      </c>
      <c r="M586" s="7">
        <f t="shared" si="76"/>
        <v>46208</v>
      </c>
      <c r="N586" s="7" t="str">
        <f t="shared" si="77"/>
        <v>Anual</v>
      </c>
      <c r="O586" s="2" t="str">
        <f t="shared" ca="1" si="78"/>
        <v>VIGENTE</v>
      </c>
      <c r="P586" s="6" t="s">
        <v>25</v>
      </c>
      <c r="Q586" s="2" t="s">
        <v>29</v>
      </c>
    </row>
    <row r="587" spans="1:17" x14ac:dyDescent="0.25">
      <c r="A587" s="23" t="s">
        <v>142</v>
      </c>
      <c r="B587" s="2" t="s">
        <v>767</v>
      </c>
      <c r="C587" s="3" t="s">
        <v>28</v>
      </c>
      <c r="D587" s="3" t="s">
        <v>23</v>
      </c>
      <c r="E587" s="2" t="s">
        <v>24</v>
      </c>
      <c r="F587" s="4">
        <v>0</v>
      </c>
      <c r="G587" s="8">
        <f t="shared" si="79"/>
        <v>1000000000</v>
      </c>
      <c r="H587" s="4" t="str">
        <f t="shared" si="80"/>
        <v>Ohms</v>
      </c>
      <c r="I587" s="14">
        <v>275000000</v>
      </c>
      <c r="J587" s="6" t="str">
        <f t="shared" si="81"/>
        <v>Ohms</v>
      </c>
      <c r="K587" s="2" t="str">
        <f t="shared" si="82"/>
        <v>RTG</v>
      </c>
      <c r="L587" s="7">
        <v>45843</v>
      </c>
      <c r="M587" s="7">
        <f t="shared" si="76"/>
        <v>46208</v>
      </c>
      <c r="N587" s="7" t="str">
        <f t="shared" si="77"/>
        <v>Anual</v>
      </c>
      <c r="O587" s="2" t="str">
        <f t="shared" ca="1" si="78"/>
        <v>VIGENTE</v>
      </c>
      <c r="P587" s="6" t="s">
        <v>25</v>
      </c>
      <c r="Q587" s="2" t="s">
        <v>29</v>
      </c>
    </row>
    <row r="588" spans="1:17" x14ac:dyDescent="0.25">
      <c r="A588" s="23" t="s">
        <v>142</v>
      </c>
      <c r="B588" s="2" t="s">
        <v>768</v>
      </c>
      <c r="C588" s="3" t="s">
        <v>28</v>
      </c>
      <c r="D588" s="3" t="s">
        <v>23</v>
      </c>
      <c r="E588" s="2" t="s">
        <v>24</v>
      </c>
      <c r="F588" s="4">
        <v>0</v>
      </c>
      <c r="G588" s="8">
        <f t="shared" si="79"/>
        <v>1000000000</v>
      </c>
      <c r="H588" s="4" t="str">
        <f t="shared" si="80"/>
        <v>Ohms</v>
      </c>
      <c r="I588" s="14">
        <v>3910000</v>
      </c>
      <c r="J588" s="6" t="str">
        <f t="shared" si="81"/>
        <v>Ohms</v>
      </c>
      <c r="K588" s="2" t="str">
        <f t="shared" si="82"/>
        <v>RTG</v>
      </c>
      <c r="L588" s="7">
        <v>45843</v>
      </c>
      <c r="M588" s="7">
        <f t="shared" si="76"/>
        <v>46208</v>
      </c>
      <c r="N588" s="7" t="str">
        <f t="shared" si="77"/>
        <v>Anual</v>
      </c>
      <c r="O588" s="2" t="str">
        <f t="shared" ca="1" si="78"/>
        <v>VIGENTE</v>
      </c>
      <c r="P588" s="6" t="s">
        <v>25</v>
      </c>
      <c r="Q588" s="2" t="s">
        <v>29</v>
      </c>
    </row>
    <row r="589" spans="1:17" x14ac:dyDescent="0.25">
      <c r="A589" s="23" t="s">
        <v>142</v>
      </c>
      <c r="B589" s="2" t="s">
        <v>769</v>
      </c>
      <c r="C589" s="3" t="s">
        <v>28</v>
      </c>
      <c r="D589" s="3" t="s">
        <v>23</v>
      </c>
      <c r="E589" s="2" t="s">
        <v>24</v>
      </c>
      <c r="F589" s="4">
        <v>0</v>
      </c>
      <c r="G589" s="8">
        <f t="shared" si="79"/>
        <v>1000000000</v>
      </c>
      <c r="H589" s="4" t="str">
        <f t="shared" si="80"/>
        <v>Ohms</v>
      </c>
      <c r="I589" s="14">
        <v>195000000</v>
      </c>
      <c r="J589" s="6" t="str">
        <f t="shared" si="81"/>
        <v>Ohms</v>
      </c>
      <c r="K589" s="2" t="str">
        <f t="shared" si="82"/>
        <v>RTG</v>
      </c>
      <c r="L589" s="7">
        <v>45843</v>
      </c>
      <c r="M589" s="7">
        <f t="shared" si="76"/>
        <v>46208</v>
      </c>
      <c r="N589" s="7" t="str">
        <f t="shared" si="77"/>
        <v>Anual</v>
      </c>
      <c r="O589" s="2" t="str">
        <f t="shared" ca="1" si="78"/>
        <v>VIGENTE</v>
      </c>
      <c r="P589" s="6" t="s">
        <v>25</v>
      </c>
      <c r="Q589" s="2" t="s">
        <v>29</v>
      </c>
    </row>
    <row r="590" spans="1:17" x14ac:dyDescent="0.25">
      <c r="A590" s="23" t="s">
        <v>142</v>
      </c>
      <c r="B590" s="2" t="s">
        <v>770</v>
      </c>
      <c r="C590" s="3" t="s">
        <v>28</v>
      </c>
      <c r="D590" s="3" t="s">
        <v>23</v>
      </c>
      <c r="E590" s="2" t="s">
        <v>24</v>
      </c>
      <c r="F590" s="4">
        <v>0</v>
      </c>
      <c r="G590" s="8">
        <f t="shared" si="79"/>
        <v>1000000000</v>
      </c>
      <c r="H590" s="4" t="str">
        <f t="shared" si="80"/>
        <v>Ohms</v>
      </c>
      <c r="I590" s="14">
        <v>4030000</v>
      </c>
      <c r="J590" s="6" t="str">
        <f t="shared" si="81"/>
        <v>Ohms</v>
      </c>
      <c r="K590" s="2" t="str">
        <f t="shared" si="82"/>
        <v>RTG</v>
      </c>
      <c r="L590" s="7">
        <v>45843</v>
      </c>
      <c r="M590" s="7">
        <f t="shared" si="76"/>
        <v>46208</v>
      </c>
      <c r="N590" s="7" t="str">
        <f t="shared" si="77"/>
        <v>Anual</v>
      </c>
      <c r="O590" s="2" t="str">
        <f t="shared" ca="1" si="78"/>
        <v>VIGENTE</v>
      </c>
      <c r="P590" s="6" t="s">
        <v>25</v>
      </c>
      <c r="Q590" s="2" t="s">
        <v>29</v>
      </c>
    </row>
    <row r="591" spans="1:17" x14ac:dyDescent="0.25">
      <c r="A591" s="23" t="s">
        <v>142</v>
      </c>
      <c r="B591" s="2" t="s">
        <v>771</v>
      </c>
      <c r="C591" s="3" t="s">
        <v>28</v>
      </c>
      <c r="D591" s="3" t="s">
        <v>23</v>
      </c>
      <c r="E591" s="2" t="s">
        <v>24</v>
      </c>
      <c r="F591" s="4">
        <v>0</v>
      </c>
      <c r="G591" s="8">
        <f t="shared" si="79"/>
        <v>1000000000</v>
      </c>
      <c r="H591" s="4" t="str">
        <f t="shared" si="80"/>
        <v>Ohms</v>
      </c>
      <c r="I591" s="14">
        <v>162000000</v>
      </c>
      <c r="J591" s="6" t="str">
        <f t="shared" si="81"/>
        <v>Ohms</v>
      </c>
      <c r="K591" s="2" t="str">
        <f t="shared" si="82"/>
        <v>RTG</v>
      </c>
      <c r="L591" s="7">
        <v>45843</v>
      </c>
      <c r="M591" s="7">
        <f t="shared" si="76"/>
        <v>46208</v>
      </c>
      <c r="N591" s="7" t="str">
        <f t="shared" si="77"/>
        <v>Anual</v>
      </c>
      <c r="O591" s="2" t="str">
        <f t="shared" ca="1" si="78"/>
        <v>VIGENTE</v>
      </c>
      <c r="P591" s="6" t="s">
        <v>25</v>
      </c>
      <c r="Q591" s="2" t="s">
        <v>29</v>
      </c>
    </row>
    <row r="592" spans="1:17" x14ac:dyDescent="0.25">
      <c r="A592" s="23" t="s">
        <v>142</v>
      </c>
      <c r="B592" s="2" t="s">
        <v>772</v>
      </c>
      <c r="C592" s="3" t="s">
        <v>773</v>
      </c>
      <c r="D592" s="3" t="s">
        <v>23</v>
      </c>
      <c r="E592" s="2" t="s">
        <v>24</v>
      </c>
      <c r="F592" s="4">
        <v>0</v>
      </c>
      <c r="G592" s="8">
        <f t="shared" si="79"/>
        <v>1</v>
      </c>
      <c r="H592" s="4" t="str">
        <f t="shared" si="80"/>
        <v>Ohms</v>
      </c>
      <c r="I592" s="14">
        <v>152000000</v>
      </c>
      <c r="J592" s="6" t="str">
        <f t="shared" si="81"/>
        <v>Ohms</v>
      </c>
      <c r="K592" s="2" t="str">
        <f t="shared" si="82"/>
        <v>RTG</v>
      </c>
      <c r="L592" s="7">
        <v>45843</v>
      </c>
      <c r="M592" s="7">
        <f t="shared" si="76"/>
        <v>46208</v>
      </c>
      <c r="N592" s="7" t="str">
        <f t="shared" si="77"/>
        <v>Anual</v>
      </c>
      <c r="O592" s="2" t="str">
        <f t="shared" ca="1" si="78"/>
        <v>VIGENTE</v>
      </c>
      <c r="P592" s="6" t="s">
        <v>25</v>
      </c>
      <c r="Q592" s="2"/>
    </row>
    <row r="593" spans="1:17" x14ac:dyDescent="0.25">
      <c r="A593" s="23" t="s">
        <v>142</v>
      </c>
      <c r="B593" s="2" t="s">
        <v>774</v>
      </c>
      <c r="C593" s="3" t="s">
        <v>22</v>
      </c>
      <c r="D593" s="3" t="s">
        <v>23</v>
      </c>
      <c r="E593" s="2" t="s">
        <v>24</v>
      </c>
      <c r="F593" s="4">
        <v>0</v>
      </c>
      <c r="G593" s="8">
        <f t="shared" si="79"/>
        <v>1000000000</v>
      </c>
      <c r="H593" s="4" t="str">
        <f t="shared" si="80"/>
        <v>Ohms</v>
      </c>
      <c r="I593" s="14">
        <v>450000000</v>
      </c>
      <c r="J593" s="6" t="str">
        <f t="shared" si="81"/>
        <v>Ohms</v>
      </c>
      <c r="K593" s="2" t="str">
        <f t="shared" si="82"/>
        <v>RTG</v>
      </c>
      <c r="L593" s="7">
        <v>45843</v>
      </c>
      <c r="M593" s="7">
        <f t="shared" si="76"/>
        <v>46208</v>
      </c>
      <c r="N593" s="7" t="str">
        <f t="shared" si="77"/>
        <v>Anual</v>
      </c>
      <c r="O593" s="2" t="str">
        <f t="shared" ca="1" si="78"/>
        <v>VIGENTE</v>
      </c>
      <c r="P593" s="6" t="s">
        <v>25</v>
      </c>
      <c r="Q593" s="2"/>
    </row>
    <row r="594" spans="1:17" x14ac:dyDescent="0.25">
      <c r="A594" s="23" t="s">
        <v>142</v>
      </c>
      <c r="B594" s="2" t="s">
        <v>775</v>
      </c>
      <c r="C594" s="3" t="s">
        <v>28</v>
      </c>
      <c r="D594" s="3" t="s">
        <v>23</v>
      </c>
      <c r="E594" s="2" t="s">
        <v>24</v>
      </c>
      <c r="F594" s="4">
        <v>0</v>
      </c>
      <c r="G594" s="8">
        <f t="shared" si="79"/>
        <v>1000000000</v>
      </c>
      <c r="H594" s="4" t="str">
        <f t="shared" si="80"/>
        <v>Ohms</v>
      </c>
      <c r="I594" s="14">
        <v>323000000</v>
      </c>
      <c r="J594" s="6" t="str">
        <f t="shared" si="81"/>
        <v>Ohms</v>
      </c>
      <c r="K594" s="2" t="str">
        <f t="shared" si="82"/>
        <v>RTG</v>
      </c>
      <c r="L594" s="7">
        <v>45843</v>
      </c>
      <c r="M594" s="7">
        <f t="shared" si="76"/>
        <v>46208</v>
      </c>
      <c r="N594" s="7" t="str">
        <f t="shared" si="77"/>
        <v>Anual</v>
      </c>
      <c r="O594" s="2" t="str">
        <f t="shared" ca="1" si="78"/>
        <v>VIGENTE</v>
      </c>
      <c r="P594" s="6" t="s">
        <v>25</v>
      </c>
      <c r="Q594" s="2" t="s">
        <v>29</v>
      </c>
    </row>
    <row r="595" spans="1:17" x14ac:dyDescent="0.25">
      <c r="A595" s="23" t="s">
        <v>142</v>
      </c>
      <c r="B595" s="2" t="s">
        <v>776</v>
      </c>
      <c r="C595" s="3" t="s">
        <v>28</v>
      </c>
      <c r="D595" s="3" t="s">
        <v>23</v>
      </c>
      <c r="E595" s="2" t="s">
        <v>24</v>
      </c>
      <c r="F595" s="4">
        <v>0</v>
      </c>
      <c r="G595" s="8">
        <f t="shared" si="79"/>
        <v>1000000000</v>
      </c>
      <c r="H595" s="4" t="str">
        <f t="shared" si="80"/>
        <v>Ohms</v>
      </c>
      <c r="I595" s="14">
        <v>248000000</v>
      </c>
      <c r="J595" s="6" t="str">
        <f t="shared" si="81"/>
        <v>Ohms</v>
      </c>
      <c r="K595" s="2" t="str">
        <f t="shared" si="82"/>
        <v>RTG</v>
      </c>
      <c r="L595" s="7">
        <v>45843</v>
      </c>
      <c r="M595" s="7">
        <f t="shared" si="76"/>
        <v>46208</v>
      </c>
      <c r="N595" s="7" t="str">
        <f t="shared" si="77"/>
        <v>Anual</v>
      </c>
      <c r="O595" s="2" t="str">
        <f t="shared" ca="1" si="78"/>
        <v>VIGENTE</v>
      </c>
      <c r="P595" s="6" t="s">
        <v>25</v>
      </c>
      <c r="Q595" s="2" t="s">
        <v>29</v>
      </c>
    </row>
    <row r="596" spans="1:17" x14ac:dyDescent="0.25">
      <c r="A596" s="23" t="s">
        <v>142</v>
      </c>
      <c r="B596" s="2" t="s">
        <v>777</v>
      </c>
      <c r="C596" s="3" t="s">
        <v>43</v>
      </c>
      <c r="D596" s="3" t="s">
        <v>23</v>
      </c>
      <c r="E596" s="2" t="s">
        <v>24</v>
      </c>
      <c r="F596" s="4">
        <v>0</v>
      </c>
      <c r="G596" s="8">
        <f t="shared" si="79"/>
        <v>1000000000</v>
      </c>
      <c r="H596" s="4" t="str">
        <f t="shared" si="80"/>
        <v>Ohms</v>
      </c>
      <c r="I596" s="14">
        <v>4160000</v>
      </c>
      <c r="J596" s="6" t="str">
        <f t="shared" si="81"/>
        <v>Ohms</v>
      </c>
      <c r="K596" s="2" t="str">
        <f t="shared" si="82"/>
        <v>RTG</v>
      </c>
      <c r="L596" s="7">
        <v>45843</v>
      </c>
      <c r="M596" s="7">
        <f t="shared" si="76"/>
        <v>46023</v>
      </c>
      <c r="N596" s="7" t="str">
        <f t="shared" si="77"/>
        <v>Semestral</v>
      </c>
      <c r="O596" s="2" t="str">
        <f t="shared" ca="1" si="78"/>
        <v>VENCIDO</v>
      </c>
      <c r="P596" s="6" t="s">
        <v>25</v>
      </c>
      <c r="Q596" s="2"/>
    </row>
    <row r="597" spans="1:17" x14ac:dyDescent="0.25">
      <c r="A597" s="23" t="s">
        <v>142</v>
      </c>
      <c r="B597" s="2" t="s">
        <v>778</v>
      </c>
      <c r="C597" s="3" t="s">
        <v>43</v>
      </c>
      <c r="D597" s="3" t="s">
        <v>23</v>
      </c>
      <c r="E597" s="2" t="s">
        <v>24</v>
      </c>
      <c r="F597" s="4">
        <v>0</v>
      </c>
      <c r="G597" s="8">
        <f t="shared" si="79"/>
        <v>1000000000</v>
      </c>
      <c r="H597" s="4" t="str">
        <f t="shared" si="80"/>
        <v>Ohms</v>
      </c>
      <c r="I597" s="14">
        <v>2930000</v>
      </c>
      <c r="J597" s="6" t="str">
        <f t="shared" si="81"/>
        <v>Ohms</v>
      </c>
      <c r="K597" s="2" t="str">
        <f t="shared" si="82"/>
        <v>RTG</v>
      </c>
      <c r="L597" s="7">
        <v>45843</v>
      </c>
      <c r="M597" s="7">
        <f t="shared" si="76"/>
        <v>46023</v>
      </c>
      <c r="N597" s="7" t="str">
        <f t="shared" si="77"/>
        <v>Semestral</v>
      </c>
      <c r="O597" s="2" t="str">
        <f t="shared" ca="1" si="78"/>
        <v>VENCIDO</v>
      </c>
      <c r="P597" s="6" t="s">
        <v>25</v>
      </c>
      <c r="Q597" s="2"/>
    </row>
    <row r="598" spans="1:17" x14ac:dyDescent="0.25">
      <c r="A598" s="23" t="s">
        <v>142</v>
      </c>
      <c r="B598" s="2" t="s">
        <v>779</v>
      </c>
      <c r="C598" s="3" t="s">
        <v>43</v>
      </c>
      <c r="D598" s="3" t="s">
        <v>23</v>
      </c>
      <c r="E598" s="2" t="s">
        <v>24</v>
      </c>
      <c r="F598" s="4">
        <v>0</v>
      </c>
      <c r="G598" s="8">
        <f t="shared" si="79"/>
        <v>1000000000</v>
      </c>
      <c r="H598" s="4" t="str">
        <f t="shared" si="80"/>
        <v>Ohms</v>
      </c>
      <c r="I598" s="14">
        <v>360000000</v>
      </c>
      <c r="J598" s="6" t="str">
        <f t="shared" si="81"/>
        <v>Ohms</v>
      </c>
      <c r="K598" s="2" t="str">
        <f t="shared" si="82"/>
        <v>RTG</v>
      </c>
      <c r="L598" s="7">
        <v>45843</v>
      </c>
      <c r="M598" s="7">
        <f t="shared" si="76"/>
        <v>46023</v>
      </c>
      <c r="N598" s="7" t="str">
        <f t="shared" si="77"/>
        <v>Semestral</v>
      </c>
      <c r="O598" s="2" t="str">
        <f t="shared" ca="1" si="78"/>
        <v>VENCIDO</v>
      </c>
      <c r="P598" s="6" t="s">
        <v>25</v>
      </c>
      <c r="Q598" s="2"/>
    </row>
    <row r="599" spans="1:17" x14ac:dyDescent="0.25">
      <c r="A599" s="23" t="s">
        <v>142</v>
      </c>
      <c r="B599" s="2" t="s">
        <v>780</v>
      </c>
      <c r="C599" s="3" t="s">
        <v>43</v>
      </c>
      <c r="D599" s="3" t="s">
        <v>23</v>
      </c>
      <c r="E599" s="2" t="s">
        <v>24</v>
      </c>
      <c r="F599" s="4">
        <v>0</v>
      </c>
      <c r="G599" s="8">
        <f t="shared" si="79"/>
        <v>1000000000</v>
      </c>
      <c r="H599" s="4" t="str">
        <f t="shared" si="80"/>
        <v>Ohms</v>
      </c>
      <c r="I599" s="14">
        <v>4200000</v>
      </c>
      <c r="J599" s="6" t="str">
        <f t="shared" si="81"/>
        <v>Ohms</v>
      </c>
      <c r="K599" s="2" t="str">
        <f t="shared" si="82"/>
        <v>RTG</v>
      </c>
      <c r="L599" s="7">
        <v>45843</v>
      </c>
      <c r="M599" s="7">
        <f t="shared" si="76"/>
        <v>46023</v>
      </c>
      <c r="N599" s="7" t="str">
        <f t="shared" si="77"/>
        <v>Semestral</v>
      </c>
      <c r="O599" s="2" t="str">
        <f t="shared" ca="1" si="78"/>
        <v>VENCIDO</v>
      </c>
      <c r="P599" s="6" t="s">
        <v>25</v>
      </c>
      <c r="Q599" s="2"/>
    </row>
    <row r="600" spans="1:17" x14ac:dyDescent="0.25">
      <c r="A600" s="23" t="s">
        <v>142</v>
      </c>
      <c r="B600" s="2" t="s">
        <v>781</v>
      </c>
      <c r="C600" s="3" t="s">
        <v>43</v>
      </c>
      <c r="D600" s="3" t="s">
        <v>23</v>
      </c>
      <c r="E600" s="2" t="s">
        <v>24</v>
      </c>
      <c r="F600" s="4">
        <v>0</v>
      </c>
      <c r="G600" s="8">
        <f t="shared" si="79"/>
        <v>1000000000</v>
      </c>
      <c r="H600" s="4" t="str">
        <f t="shared" si="80"/>
        <v>Ohms</v>
      </c>
      <c r="I600" s="14">
        <v>158000000</v>
      </c>
      <c r="J600" s="6" t="str">
        <f t="shared" si="81"/>
        <v>Ohms</v>
      </c>
      <c r="K600" s="2" t="str">
        <f t="shared" si="82"/>
        <v>RTG</v>
      </c>
      <c r="L600" s="7">
        <v>45843</v>
      </c>
      <c r="M600" s="7">
        <f t="shared" si="76"/>
        <v>46023</v>
      </c>
      <c r="N600" s="7" t="str">
        <f t="shared" si="77"/>
        <v>Semestral</v>
      </c>
      <c r="O600" s="2" t="str">
        <f t="shared" ca="1" si="78"/>
        <v>VENCIDO</v>
      </c>
      <c r="P600" s="6" t="s">
        <v>25</v>
      </c>
      <c r="Q600" s="2"/>
    </row>
    <row r="601" spans="1:17" x14ac:dyDescent="0.25">
      <c r="A601" s="23" t="s">
        <v>142</v>
      </c>
      <c r="B601" s="2" t="s">
        <v>782</v>
      </c>
      <c r="C601" s="3" t="s">
        <v>43</v>
      </c>
      <c r="D601" s="3" t="s">
        <v>23</v>
      </c>
      <c r="E601" s="2" t="s">
        <v>24</v>
      </c>
      <c r="F601" s="4">
        <v>0</v>
      </c>
      <c r="G601" s="8">
        <f t="shared" si="79"/>
        <v>1000000000</v>
      </c>
      <c r="H601" s="4" t="str">
        <f t="shared" si="80"/>
        <v>Ohms</v>
      </c>
      <c r="I601" s="14">
        <v>376000000</v>
      </c>
      <c r="J601" s="6" t="str">
        <f t="shared" si="81"/>
        <v>Ohms</v>
      </c>
      <c r="K601" s="2" t="str">
        <f t="shared" si="82"/>
        <v>RTG</v>
      </c>
      <c r="L601" s="7">
        <v>45843</v>
      </c>
      <c r="M601" s="7">
        <f t="shared" si="76"/>
        <v>46023</v>
      </c>
      <c r="N601" s="7" t="str">
        <f t="shared" si="77"/>
        <v>Semestral</v>
      </c>
      <c r="O601" s="2" t="str">
        <f t="shared" ca="1" si="78"/>
        <v>VENCIDO</v>
      </c>
      <c r="P601" s="6" t="s">
        <v>25</v>
      </c>
      <c r="Q601" s="2"/>
    </row>
    <row r="602" spans="1:17" x14ac:dyDescent="0.25">
      <c r="A602" s="23" t="s">
        <v>142</v>
      </c>
      <c r="B602" s="2" t="s">
        <v>783</v>
      </c>
      <c r="C602" s="3" t="s">
        <v>43</v>
      </c>
      <c r="D602" s="3" t="s">
        <v>23</v>
      </c>
      <c r="E602" s="2" t="s">
        <v>24</v>
      </c>
      <c r="F602" s="4">
        <v>0</v>
      </c>
      <c r="G602" s="8">
        <f t="shared" si="79"/>
        <v>1000000000</v>
      </c>
      <c r="H602" s="4" t="str">
        <f t="shared" si="80"/>
        <v>Ohms</v>
      </c>
      <c r="I602" s="14">
        <v>297000000</v>
      </c>
      <c r="J602" s="6" t="str">
        <f t="shared" si="81"/>
        <v>Ohms</v>
      </c>
      <c r="K602" s="2" t="str">
        <f t="shared" si="82"/>
        <v>RTG</v>
      </c>
      <c r="L602" s="7">
        <v>45843</v>
      </c>
      <c r="M602" s="7">
        <f t="shared" si="76"/>
        <v>46023</v>
      </c>
      <c r="N602" s="7" t="str">
        <f t="shared" si="77"/>
        <v>Semestral</v>
      </c>
      <c r="O602" s="2" t="str">
        <f t="shared" ca="1" si="78"/>
        <v>VENCIDO</v>
      </c>
      <c r="P602" s="6" t="s">
        <v>25</v>
      </c>
      <c r="Q602" s="2"/>
    </row>
    <row r="603" spans="1:17" x14ac:dyDescent="0.25">
      <c r="A603" s="23" t="s">
        <v>142</v>
      </c>
      <c r="B603" s="2" t="s">
        <v>784</v>
      </c>
      <c r="C603" s="3" t="s">
        <v>43</v>
      </c>
      <c r="D603" s="3" t="s">
        <v>23</v>
      </c>
      <c r="E603" s="2" t="s">
        <v>24</v>
      </c>
      <c r="F603" s="4">
        <v>0</v>
      </c>
      <c r="G603" s="8">
        <f t="shared" si="79"/>
        <v>1000000000</v>
      </c>
      <c r="H603" s="4" t="str">
        <f t="shared" si="80"/>
        <v>Ohms</v>
      </c>
      <c r="I603" s="14">
        <v>1450000</v>
      </c>
      <c r="J603" s="6" t="str">
        <f t="shared" si="81"/>
        <v>Ohms</v>
      </c>
      <c r="K603" s="2" t="str">
        <f t="shared" si="82"/>
        <v>RTG</v>
      </c>
      <c r="L603" s="7">
        <v>45843</v>
      </c>
      <c r="M603" s="7">
        <f t="shared" si="76"/>
        <v>46023</v>
      </c>
      <c r="N603" s="7" t="str">
        <f t="shared" si="77"/>
        <v>Semestral</v>
      </c>
      <c r="O603" s="2" t="str">
        <f t="shared" ca="1" si="78"/>
        <v>VENCIDO</v>
      </c>
      <c r="P603" s="6" t="s">
        <v>25</v>
      </c>
      <c r="Q603" s="2"/>
    </row>
    <row r="604" spans="1:17" x14ac:dyDescent="0.25">
      <c r="A604" s="23" t="s">
        <v>142</v>
      </c>
      <c r="B604" s="2" t="s">
        <v>785</v>
      </c>
      <c r="C604" s="3" t="s">
        <v>43</v>
      </c>
      <c r="D604" s="3" t="s">
        <v>23</v>
      </c>
      <c r="E604" s="2" t="s">
        <v>24</v>
      </c>
      <c r="F604" s="4">
        <v>0</v>
      </c>
      <c r="G604" s="8">
        <f t="shared" si="79"/>
        <v>1000000000</v>
      </c>
      <c r="H604" s="4" t="str">
        <f t="shared" si="80"/>
        <v>Ohms</v>
      </c>
      <c r="I604" s="14">
        <v>439000000</v>
      </c>
      <c r="J604" s="6" t="str">
        <f t="shared" si="81"/>
        <v>Ohms</v>
      </c>
      <c r="K604" s="2" t="str">
        <f t="shared" si="82"/>
        <v>RTG</v>
      </c>
      <c r="L604" s="7">
        <v>45843</v>
      </c>
      <c r="M604" s="7">
        <f t="shared" si="76"/>
        <v>46023</v>
      </c>
      <c r="N604" s="7" t="str">
        <f t="shared" si="77"/>
        <v>Semestral</v>
      </c>
      <c r="O604" s="2" t="str">
        <f t="shared" ca="1" si="78"/>
        <v>VENCIDO</v>
      </c>
      <c r="P604" s="6" t="s">
        <v>25</v>
      </c>
      <c r="Q604" s="2"/>
    </row>
    <row r="605" spans="1:17" x14ac:dyDescent="0.25">
      <c r="A605" s="23" t="s">
        <v>142</v>
      </c>
      <c r="B605" s="2" t="s">
        <v>786</v>
      </c>
      <c r="C605" s="3" t="s">
        <v>43</v>
      </c>
      <c r="D605" s="3" t="s">
        <v>23</v>
      </c>
      <c r="E605" s="2" t="s">
        <v>24</v>
      </c>
      <c r="F605" s="4">
        <v>0</v>
      </c>
      <c r="G605" s="8">
        <f t="shared" si="79"/>
        <v>1000000000</v>
      </c>
      <c r="H605" s="4" t="str">
        <f t="shared" si="80"/>
        <v>Ohms</v>
      </c>
      <c r="I605" s="14">
        <v>266000000</v>
      </c>
      <c r="J605" s="6" t="str">
        <f t="shared" si="81"/>
        <v>Ohms</v>
      </c>
      <c r="K605" s="2" t="str">
        <f t="shared" si="82"/>
        <v>RTG</v>
      </c>
      <c r="L605" s="7">
        <v>45843</v>
      </c>
      <c r="M605" s="7">
        <f t="shared" si="76"/>
        <v>46023</v>
      </c>
      <c r="N605" s="7" t="str">
        <f t="shared" si="77"/>
        <v>Semestral</v>
      </c>
      <c r="O605" s="2" t="str">
        <f t="shared" ca="1" si="78"/>
        <v>VENCIDO</v>
      </c>
      <c r="P605" s="6" t="s">
        <v>25</v>
      </c>
      <c r="Q605" s="2"/>
    </row>
    <row r="606" spans="1:17" x14ac:dyDescent="0.25">
      <c r="A606" s="23" t="s">
        <v>142</v>
      </c>
      <c r="B606" s="2" t="s">
        <v>787</v>
      </c>
      <c r="C606" s="3" t="s">
        <v>28</v>
      </c>
      <c r="D606" s="3" t="s">
        <v>23</v>
      </c>
      <c r="E606" s="2" t="s">
        <v>24</v>
      </c>
      <c r="F606" s="4">
        <v>0</v>
      </c>
      <c r="G606" s="8">
        <f t="shared" si="79"/>
        <v>1000000000</v>
      </c>
      <c r="H606" s="4" t="str">
        <f t="shared" si="80"/>
        <v>Ohms</v>
      </c>
      <c r="I606" s="14">
        <v>23800000</v>
      </c>
      <c r="J606" s="6" t="str">
        <f t="shared" si="81"/>
        <v>Ohms</v>
      </c>
      <c r="K606" s="2" t="str">
        <f t="shared" si="82"/>
        <v>RTG</v>
      </c>
      <c r="L606" s="7">
        <v>45992</v>
      </c>
      <c r="M606" s="7">
        <f t="shared" si="76"/>
        <v>46357</v>
      </c>
      <c r="N606" s="7" t="str">
        <f t="shared" si="77"/>
        <v>Anual</v>
      </c>
      <c r="O606" s="2" t="str">
        <f t="shared" ca="1" si="78"/>
        <v>VIGENTE</v>
      </c>
      <c r="P606" s="6" t="s">
        <v>25</v>
      </c>
      <c r="Q606" s="2" t="s">
        <v>29</v>
      </c>
    </row>
    <row r="607" spans="1:17" x14ac:dyDescent="0.25">
      <c r="A607" s="23" t="s">
        <v>142</v>
      </c>
      <c r="B607" s="2" t="s">
        <v>788</v>
      </c>
      <c r="C607" s="3" t="s">
        <v>28</v>
      </c>
      <c r="D607" s="3" t="s">
        <v>23</v>
      </c>
      <c r="E607" s="2" t="s">
        <v>24</v>
      </c>
      <c r="F607" s="4">
        <v>0</v>
      </c>
      <c r="G607" s="8">
        <f t="shared" si="79"/>
        <v>1000000000</v>
      </c>
      <c r="H607" s="4" t="str">
        <f t="shared" si="80"/>
        <v>Ohms</v>
      </c>
      <c r="I607" s="14">
        <v>10800000</v>
      </c>
      <c r="J607" s="6" t="str">
        <f t="shared" si="81"/>
        <v>Ohms</v>
      </c>
      <c r="K607" s="2" t="str">
        <f t="shared" si="82"/>
        <v>RTG</v>
      </c>
      <c r="L607" s="7">
        <v>45992</v>
      </c>
      <c r="M607" s="7">
        <f t="shared" si="76"/>
        <v>46357</v>
      </c>
      <c r="N607" s="7" t="str">
        <f t="shared" si="77"/>
        <v>Anual</v>
      </c>
      <c r="O607" s="2" t="str">
        <f t="shared" ca="1" si="78"/>
        <v>VIGENTE</v>
      </c>
      <c r="P607" s="6" t="s">
        <v>25</v>
      </c>
      <c r="Q607" s="2" t="s">
        <v>29</v>
      </c>
    </row>
    <row r="608" spans="1:17" x14ac:dyDescent="0.25">
      <c r="A608" s="23" t="s">
        <v>142</v>
      </c>
      <c r="B608" s="2" t="s">
        <v>1098</v>
      </c>
      <c r="C608" s="3" t="s">
        <v>28</v>
      </c>
      <c r="D608" s="3" t="s">
        <v>23</v>
      </c>
      <c r="E608" s="2" t="s">
        <v>24</v>
      </c>
      <c r="F608" s="4">
        <v>0</v>
      </c>
      <c r="G608" s="8">
        <f t="shared" si="79"/>
        <v>1000000000</v>
      </c>
      <c r="H608" s="4" t="str">
        <f t="shared" si="80"/>
        <v>Ohms</v>
      </c>
      <c r="I608" s="6">
        <v>189000000</v>
      </c>
      <c r="J608" s="6" t="str">
        <f t="shared" si="81"/>
        <v>Ohms</v>
      </c>
      <c r="K608" s="2" t="str">
        <f t="shared" si="82"/>
        <v>RTG</v>
      </c>
      <c r="L608" s="7">
        <v>45838</v>
      </c>
      <c r="M608" s="7">
        <f t="shared" si="76"/>
        <v>46203</v>
      </c>
      <c r="N608" s="7" t="str">
        <f t="shared" si="77"/>
        <v>Anual</v>
      </c>
      <c r="O608" s="2" t="str">
        <f t="shared" ca="1" si="78"/>
        <v>VIGENTE</v>
      </c>
      <c r="P608" s="6" t="s">
        <v>25</v>
      </c>
      <c r="Q608" s="2" t="s">
        <v>29</v>
      </c>
    </row>
    <row r="609" spans="1:17" x14ac:dyDescent="0.25">
      <c r="A609" s="23" t="s">
        <v>142</v>
      </c>
      <c r="B609" s="2" t="s">
        <v>1102</v>
      </c>
      <c r="C609" s="3" t="s">
        <v>28</v>
      </c>
      <c r="D609" s="3" t="s">
        <v>23</v>
      </c>
      <c r="E609" s="2" t="s">
        <v>24</v>
      </c>
      <c r="F609" s="4">
        <v>0</v>
      </c>
      <c r="G609" s="8">
        <f t="shared" si="79"/>
        <v>1000000000</v>
      </c>
      <c r="H609" s="4" t="str">
        <f t="shared" si="80"/>
        <v>Ohms</v>
      </c>
      <c r="I609" s="6">
        <v>16000000</v>
      </c>
      <c r="J609" s="6" t="str">
        <f t="shared" si="81"/>
        <v>Ohms</v>
      </c>
      <c r="K609" s="2" t="str">
        <f t="shared" si="82"/>
        <v>RTG</v>
      </c>
      <c r="L609" s="7">
        <v>45838</v>
      </c>
      <c r="M609" s="7">
        <f t="shared" si="76"/>
        <v>46203</v>
      </c>
      <c r="N609" s="7" t="str">
        <f t="shared" si="77"/>
        <v>Anual</v>
      </c>
      <c r="O609" s="2" t="str">
        <f t="shared" ca="1" si="78"/>
        <v>VIGENTE</v>
      </c>
      <c r="P609" s="6" t="s">
        <v>25</v>
      </c>
      <c r="Q609" s="2" t="s">
        <v>29</v>
      </c>
    </row>
    <row r="610" spans="1:17" x14ac:dyDescent="0.25">
      <c r="A610" s="23" t="s">
        <v>142</v>
      </c>
      <c r="B610" s="2" t="s">
        <v>1108</v>
      </c>
      <c r="C610" s="3" t="s">
        <v>28</v>
      </c>
      <c r="D610" s="3" t="s">
        <v>23</v>
      </c>
      <c r="E610" s="2" t="s">
        <v>24</v>
      </c>
      <c r="F610" s="4">
        <v>0</v>
      </c>
      <c r="G610" s="8">
        <f t="shared" si="79"/>
        <v>1000000000</v>
      </c>
      <c r="H610" s="4" t="str">
        <f t="shared" si="80"/>
        <v>Ohms</v>
      </c>
      <c r="I610" s="6">
        <v>44200000</v>
      </c>
      <c r="J610" s="6" t="str">
        <f t="shared" si="81"/>
        <v>Ohms</v>
      </c>
      <c r="K610" s="2" t="str">
        <f t="shared" si="82"/>
        <v>RTG</v>
      </c>
      <c r="L610" s="7">
        <v>45838</v>
      </c>
      <c r="M610" s="7">
        <f t="shared" si="76"/>
        <v>46203</v>
      </c>
      <c r="N610" s="7" t="str">
        <f t="shared" si="77"/>
        <v>Anual</v>
      </c>
      <c r="O610" s="2" t="str">
        <f t="shared" ca="1" si="78"/>
        <v>VIGENTE</v>
      </c>
      <c r="P610" s="6" t="s">
        <v>25</v>
      </c>
      <c r="Q610" s="2" t="s">
        <v>29</v>
      </c>
    </row>
    <row r="611" spans="1:17" x14ac:dyDescent="0.25">
      <c r="A611" s="23" t="s">
        <v>142</v>
      </c>
      <c r="B611" s="2" t="s">
        <v>1110</v>
      </c>
      <c r="C611" s="3" t="s">
        <v>28</v>
      </c>
      <c r="D611" s="3" t="s">
        <v>23</v>
      </c>
      <c r="E611" s="2" t="s">
        <v>24</v>
      </c>
      <c r="F611" s="4">
        <v>0</v>
      </c>
      <c r="G611" s="8">
        <f t="shared" si="79"/>
        <v>1000000000</v>
      </c>
      <c r="H611" s="4" t="str">
        <f t="shared" si="80"/>
        <v>Ohms</v>
      </c>
      <c r="I611" s="6">
        <v>674000000</v>
      </c>
      <c r="J611" s="6" t="str">
        <f t="shared" si="81"/>
        <v>Ohms</v>
      </c>
      <c r="K611" s="2" t="str">
        <f t="shared" si="82"/>
        <v>RTG</v>
      </c>
      <c r="L611" s="7">
        <v>45838</v>
      </c>
      <c r="M611" s="7">
        <f t="shared" ref="M611:M674" si="83">IF(N611="Trimestral", L611+90, IF(N611="Semestral", L611+180, IF(N611="Mensual", L611+30, L611+365)))</f>
        <v>46203</v>
      </c>
      <c r="N611" s="7" t="str">
        <f t="shared" ref="N611:N674" si="84">IF(C611="Ionizador", "Trimestral", IF(C611="Rack", "Anual", IF(C611="Mesa", "Anual", IF(C611="Tapete", "Semestral", IF(C611="Cautín", "Semestral", IF(C611="Silla", "Semestral", "Anual"))))))</f>
        <v>Anual</v>
      </c>
      <c r="O611" s="2" t="str">
        <f t="shared" ref="O611:O674" ca="1" si="85">IF(M611&lt;TODAY(),"VENCIDO",IF(M611=TODAY(),"VIGENTE",IF(M611&gt;TODAY(),"VIGENTE")))</f>
        <v>VIGENTE</v>
      </c>
      <c r="P611" s="6" t="s">
        <v>25</v>
      </c>
      <c r="Q611" s="2" t="s">
        <v>29</v>
      </c>
    </row>
    <row r="612" spans="1:17" x14ac:dyDescent="0.25">
      <c r="A612" s="23" t="s">
        <v>142</v>
      </c>
      <c r="B612" s="2" t="s">
        <v>1114</v>
      </c>
      <c r="C612" s="3" t="s">
        <v>28</v>
      </c>
      <c r="D612" s="3" t="s">
        <v>23</v>
      </c>
      <c r="E612" s="2" t="s">
        <v>24</v>
      </c>
      <c r="F612" s="4">
        <v>0</v>
      </c>
      <c r="G612" s="8">
        <f t="shared" si="79"/>
        <v>1000000000</v>
      </c>
      <c r="H612" s="4" t="str">
        <f t="shared" si="80"/>
        <v>Ohms</v>
      </c>
      <c r="I612" s="6">
        <v>141000000</v>
      </c>
      <c r="J612" s="6" t="str">
        <f t="shared" si="81"/>
        <v>Ohms</v>
      </c>
      <c r="K612" s="2" t="str">
        <f t="shared" si="82"/>
        <v>RTG</v>
      </c>
      <c r="L612" s="7">
        <v>45838</v>
      </c>
      <c r="M612" s="7">
        <f t="shared" si="83"/>
        <v>46203</v>
      </c>
      <c r="N612" s="7" t="str">
        <f t="shared" si="84"/>
        <v>Anual</v>
      </c>
      <c r="O612" s="2" t="str">
        <f t="shared" ca="1" si="85"/>
        <v>VIGENTE</v>
      </c>
      <c r="P612" s="6" t="s">
        <v>25</v>
      </c>
      <c r="Q612" s="2" t="s">
        <v>29</v>
      </c>
    </row>
    <row r="613" spans="1:17" x14ac:dyDescent="0.25">
      <c r="A613" s="23" t="s">
        <v>145</v>
      </c>
      <c r="B613" s="2" t="s">
        <v>146</v>
      </c>
      <c r="C613" s="3" t="s">
        <v>133</v>
      </c>
      <c r="D613" s="3" t="s">
        <v>23</v>
      </c>
      <c r="E613" s="2" t="s">
        <v>24</v>
      </c>
      <c r="F613" s="4">
        <v>0</v>
      </c>
      <c r="G613" s="8">
        <f t="shared" si="79"/>
        <v>1</v>
      </c>
      <c r="H613" s="4" t="str">
        <f t="shared" si="80"/>
        <v>Ohms</v>
      </c>
      <c r="I613" s="14">
        <v>4150000</v>
      </c>
      <c r="J613" s="6" t="str">
        <f t="shared" si="81"/>
        <v>Ohms</v>
      </c>
      <c r="K613" s="2" t="str">
        <f t="shared" si="82"/>
        <v>RTG</v>
      </c>
      <c r="L613" s="7">
        <v>45707</v>
      </c>
      <c r="M613" s="7">
        <f t="shared" si="83"/>
        <v>46072</v>
      </c>
      <c r="N613" s="7" t="str">
        <f t="shared" si="84"/>
        <v>Anual</v>
      </c>
      <c r="O613" s="2" t="str">
        <f t="shared" ca="1" si="85"/>
        <v>VENCIDO</v>
      </c>
      <c r="P613" s="6" t="s">
        <v>25</v>
      </c>
      <c r="Q613" s="2" t="s">
        <v>126</v>
      </c>
    </row>
    <row r="614" spans="1:17" x14ac:dyDescent="0.25">
      <c r="A614" s="23" t="s">
        <v>145</v>
      </c>
      <c r="B614" s="2" t="s">
        <v>470</v>
      </c>
      <c r="C614" s="3" t="s">
        <v>22</v>
      </c>
      <c r="D614" s="3" t="s">
        <v>23</v>
      </c>
      <c r="E614" s="2" t="s">
        <v>24</v>
      </c>
      <c r="F614" s="4">
        <v>0</v>
      </c>
      <c r="G614" s="8">
        <f t="shared" si="79"/>
        <v>1000000000</v>
      </c>
      <c r="H614" s="4" t="str">
        <f t="shared" si="80"/>
        <v>Ohms</v>
      </c>
      <c r="I614" s="14">
        <v>472000000</v>
      </c>
      <c r="J614" s="6" t="str">
        <f t="shared" si="81"/>
        <v>Ohms</v>
      </c>
      <c r="K614" s="2" t="str">
        <f t="shared" si="82"/>
        <v>RTG</v>
      </c>
      <c r="L614" s="7">
        <v>45838</v>
      </c>
      <c r="M614" s="7">
        <f t="shared" si="83"/>
        <v>46203</v>
      </c>
      <c r="N614" s="7" t="str">
        <f t="shared" si="84"/>
        <v>Anual</v>
      </c>
      <c r="O614" s="2" t="str">
        <f t="shared" ca="1" si="85"/>
        <v>VIGENTE</v>
      </c>
      <c r="P614" s="6" t="s">
        <v>25</v>
      </c>
      <c r="Q614" s="2"/>
    </row>
    <row r="615" spans="1:17" x14ac:dyDescent="0.25">
      <c r="A615" s="23" t="s">
        <v>145</v>
      </c>
      <c r="B615" s="2" t="s">
        <v>638</v>
      </c>
      <c r="C615" s="3" t="s">
        <v>28</v>
      </c>
      <c r="D615" s="3" t="s">
        <v>23</v>
      </c>
      <c r="E615" s="2" t="s">
        <v>24</v>
      </c>
      <c r="F615" s="4">
        <v>0</v>
      </c>
      <c r="G615" s="8">
        <f t="shared" si="79"/>
        <v>1000000000</v>
      </c>
      <c r="H615" s="4" t="str">
        <f t="shared" si="80"/>
        <v>Ohms</v>
      </c>
      <c r="I615" s="14">
        <v>1330000</v>
      </c>
      <c r="J615" s="6" t="str">
        <f t="shared" si="81"/>
        <v>Ohms</v>
      </c>
      <c r="K615" s="2" t="str">
        <f t="shared" si="82"/>
        <v>RTG</v>
      </c>
      <c r="L615" s="7">
        <v>45838</v>
      </c>
      <c r="M615" s="7">
        <f t="shared" si="83"/>
        <v>46203</v>
      </c>
      <c r="N615" s="7" t="str">
        <f t="shared" si="84"/>
        <v>Anual</v>
      </c>
      <c r="O615" s="2" t="str">
        <f t="shared" ca="1" si="85"/>
        <v>VIGENTE</v>
      </c>
      <c r="P615" s="6" t="s">
        <v>25</v>
      </c>
      <c r="Q615" s="2" t="s">
        <v>29</v>
      </c>
    </row>
    <row r="616" spans="1:17" x14ac:dyDescent="0.25">
      <c r="A616" s="23" t="s">
        <v>145</v>
      </c>
      <c r="B616" s="2" t="s">
        <v>640</v>
      </c>
      <c r="C616" s="3" t="s">
        <v>28</v>
      </c>
      <c r="D616" s="3" t="s">
        <v>23</v>
      </c>
      <c r="E616" s="2" t="s">
        <v>24</v>
      </c>
      <c r="F616" s="4">
        <v>0</v>
      </c>
      <c r="G616" s="8">
        <f t="shared" si="79"/>
        <v>1000000000</v>
      </c>
      <c r="H616" s="4" t="str">
        <f t="shared" si="80"/>
        <v>Ohms</v>
      </c>
      <c r="I616" s="6">
        <v>3230000</v>
      </c>
      <c r="J616" s="6" t="str">
        <f t="shared" si="81"/>
        <v>Ohms</v>
      </c>
      <c r="K616" s="2" t="str">
        <f t="shared" si="82"/>
        <v>RTG</v>
      </c>
      <c r="L616" s="7">
        <v>45838</v>
      </c>
      <c r="M616" s="7">
        <f t="shared" si="83"/>
        <v>46203</v>
      </c>
      <c r="N616" s="7" t="str">
        <f t="shared" si="84"/>
        <v>Anual</v>
      </c>
      <c r="O616" s="2" t="str">
        <f t="shared" ca="1" si="85"/>
        <v>VIGENTE</v>
      </c>
      <c r="P616" s="6" t="s">
        <v>25</v>
      </c>
      <c r="Q616" s="2" t="s">
        <v>29</v>
      </c>
    </row>
    <row r="617" spans="1:17" x14ac:dyDescent="0.25">
      <c r="A617" s="23" t="s">
        <v>145</v>
      </c>
      <c r="B617" s="2" t="s">
        <v>696</v>
      </c>
      <c r="C617" s="3" t="s">
        <v>28</v>
      </c>
      <c r="D617" s="3" t="s">
        <v>23</v>
      </c>
      <c r="E617" s="2" t="s">
        <v>24</v>
      </c>
      <c r="F617" s="4">
        <v>0</v>
      </c>
      <c r="G617" s="8">
        <f t="shared" si="79"/>
        <v>1000000000</v>
      </c>
      <c r="H617" s="4" t="str">
        <f t="shared" si="80"/>
        <v>Ohms</v>
      </c>
      <c r="I617" s="14">
        <v>258000000</v>
      </c>
      <c r="J617" s="6" t="str">
        <f t="shared" si="81"/>
        <v>Ohms</v>
      </c>
      <c r="K617" s="2" t="str">
        <f t="shared" si="82"/>
        <v>RTG</v>
      </c>
      <c r="L617" s="7">
        <v>45838</v>
      </c>
      <c r="M617" s="7">
        <f t="shared" si="83"/>
        <v>46203</v>
      </c>
      <c r="N617" s="7" t="str">
        <f t="shared" si="84"/>
        <v>Anual</v>
      </c>
      <c r="O617" s="2" t="str">
        <f t="shared" ca="1" si="85"/>
        <v>VIGENTE</v>
      </c>
      <c r="P617" s="6" t="s">
        <v>25</v>
      </c>
      <c r="Q617" s="2" t="s">
        <v>29</v>
      </c>
    </row>
    <row r="618" spans="1:17" x14ac:dyDescent="0.25">
      <c r="A618" s="23" t="s">
        <v>145</v>
      </c>
      <c r="B618" s="2" t="s">
        <v>789</v>
      </c>
      <c r="C618" s="3" t="s">
        <v>28</v>
      </c>
      <c r="D618" s="3" t="s">
        <v>23</v>
      </c>
      <c r="E618" s="2" t="s">
        <v>24</v>
      </c>
      <c r="F618" s="4">
        <v>0</v>
      </c>
      <c r="G618" s="8">
        <f t="shared" si="79"/>
        <v>1000000000</v>
      </c>
      <c r="H618" s="4" t="str">
        <f t="shared" si="80"/>
        <v>Ohms</v>
      </c>
      <c r="I618" s="14">
        <v>132000000</v>
      </c>
      <c r="J618" s="6" t="str">
        <f t="shared" si="81"/>
        <v>Ohms</v>
      </c>
      <c r="K618" s="2" t="str">
        <f t="shared" si="82"/>
        <v>RTG</v>
      </c>
      <c r="L618" s="7">
        <v>45843</v>
      </c>
      <c r="M618" s="7">
        <f t="shared" si="83"/>
        <v>46208</v>
      </c>
      <c r="N618" s="7" t="str">
        <f t="shared" si="84"/>
        <v>Anual</v>
      </c>
      <c r="O618" s="2" t="str">
        <f t="shared" ca="1" si="85"/>
        <v>VIGENTE</v>
      </c>
      <c r="P618" s="6" t="s">
        <v>25</v>
      </c>
      <c r="Q618" s="2" t="s">
        <v>29</v>
      </c>
    </row>
    <row r="619" spans="1:17" x14ac:dyDescent="0.25">
      <c r="A619" s="23" t="s">
        <v>145</v>
      </c>
      <c r="B619" s="2" t="s">
        <v>790</v>
      </c>
      <c r="C619" s="3" t="s">
        <v>28</v>
      </c>
      <c r="D619" s="3" t="s">
        <v>23</v>
      </c>
      <c r="E619" s="2" t="s">
        <v>24</v>
      </c>
      <c r="F619" s="4">
        <v>0</v>
      </c>
      <c r="G619" s="8">
        <f t="shared" si="79"/>
        <v>1000000000</v>
      </c>
      <c r="H619" s="4" t="str">
        <f t="shared" si="80"/>
        <v>Ohms</v>
      </c>
      <c r="I619" s="14">
        <v>462000000</v>
      </c>
      <c r="J619" s="6" t="str">
        <f t="shared" si="81"/>
        <v>Ohms</v>
      </c>
      <c r="K619" s="2" t="str">
        <f t="shared" si="82"/>
        <v>RTG</v>
      </c>
      <c r="L619" s="7">
        <v>45843</v>
      </c>
      <c r="M619" s="7">
        <f t="shared" si="83"/>
        <v>46208</v>
      </c>
      <c r="N619" s="7" t="str">
        <f t="shared" si="84"/>
        <v>Anual</v>
      </c>
      <c r="O619" s="2" t="str">
        <f t="shared" ca="1" si="85"/>
        <v>VIGENTE</v>
      </c>
      <c r="P619" s="6" t="s">
        <v>25</v>
      </c>
      <c r="Q619" s="2" t="s">
        <v>29</v>
      </c>
    </row>
    <row r="620" spans="1:17" x14ac:dyDescent="0.25">
      <c r="A620" s="23" t="s">
        <v>145</v>
      </c>
      <c r="B620" s="2" t="s">
        <v>791</v>
      </c>
      <c r="C620" s="3" t="s">
        <v>28</v>
      </c>
      <c r="D620" s="3" t="s">
        <v>23</v>
      </c>
      <c r="E620" s="2" t="s">
        <v>24</v>
      </c>
      <c r="F620" s="4">
        <v>0</v>
      </c>
      <c r="G620" s="8">
        <f t="shared" si="79"/>
        <v>1000000000</v>
      </c>
      <c r="H620" s="4" t="str">
        <f t="shared" si="80"/>
        <v>Ohms</v>
      </c>
      <c r="I620" s="14">
        <v>3890000</v>
      </c>
      <c r="J620" s="6" t="str">
        <f t="shared" si="81"/>
        <v>Ohms</v>
      </c>
      <c r="K620" s="2" t="str">
        <f t="shared" si="82"/>
        <v>RTG</v>
      </c>
      <c r="L620" s="7">
        <v>45843</v>
      </c>
      <c r="M620" s="7">
        <f t="shared" si="83"/>
        <v>46208</v>
      </c>
      <c r="N620" s="7" t="str">
        <f t="shared" si="84"/>
        <v>Anual</v>
      </c>
      <c r="O620" s="2" t="str">
        <f t="shared" ca="1" si="85"/>
        <v>VIGENTE</v>
      </c>
      <c r="P620" s="6" t="s">
        <v>25</v>
      </c>
      <c r="Q620" s="2" t="s">
        <v>29</v>
      </c>
    </row>
    <row r="621" spans="1:17" x14ac:dyDescent="0.25">
      <c r="A621" s="23" t="s">
        <v>145</v>
      </c>
      <c r="B621" s="2" t="s">
        <v>792</v>
      </c>
      <c r="C621" s="3" t="s">
        <v>28</v>
      </c>
      <c r="D621" s="3" t="s">
        <v>23</v>
      </c>
      <c r="E621" s="2" t="s">
        <v>24</v>
      </c>
      <c r="F621" s="4">
        <v>0</v>
      </c>
      <c r="G621" s="8">
        <f t="shared" si="79"/>
        <v>1000000000</v>
      </c>
      <c r="H621" s="4" t="str">
        <f t="shared" si="80"/>
        <v>Ohms</v>
      </c>
      <c r="I621" s="14">
        <v>158000000</v>
      </c>
      <c r="J621" s="6" t="str">
        <f t="shared" si="81"/>
        <v>Ohms</v>
      </c>
      <c r="K621" s="2" t="str">
        <f t="shared" si="82"/>
        <v>RTG</v>
      </c>
      <c r="L621" s="7">
        <v>45843</v>
      </c>
      <c r="M621" s="7">
        <f t="shared" si="83"/>
        <v>46208</v>
      </c>
      <c r="N621" s="7" t="str">
        <f t="shared" si="84"/>
        <v>Anual</v>
      </c>
      <c r="O621" s="2" t="str">
        <f t="shared" ca="1" si="85"/>
        <v>VIGENTE</v>
      </c>
      <c r="P621" s="6" t="s">
        <v>25</v>
      </c>
      <c r="Q621" s="2" t="s">
        <v>29</v>
      </c>
    </row>
    <row r="622" spans="1:17" x14ac:dyDescent="0.25">
      <c r="A622" s="23" t="s">
        <v>145</v>
      </c>
      <c r="B622" s="2" t="s">
        <v>793</v>
      </c>
      <c r="C622" s="3" t="s">
        <v>28</v>
      </c>
      <c r="D622" s="3" t="s">
        <v>23</v>
      </c>
      <c r="E622" s="2" t="s">
        <v>24</v>
      </c>
      <c r="F622" s="4">
        <v>0</v>
      </c>
      <c r="G622" s="8">
        <f t="shared" si="79"/>
        <v>1000000000</v>
      </c>
      <c r="H622" s="4" t="str">
        <f t="shared" si="80"/>
        <v>Ohms</v>
      </c>
      <c r="I622" s="14">
        <v>122000000</v>
      </c>
      <c r="J622" s="6" t="str">
        <f t="shared" si="81"/>
        <v>Ohms</v>
      </c>
      <c r="K622" s="2" t="str">
        <f t="shared" si="82"/>
        <v>RTG</v>
      </c>
      <c r="L622" s="7">
        <v>45843</v>
      </c>
      <c r="M622" s="7">
        <f t="shared" si="83"/>
        <v>46208</v>
      </c>
      <c r="N622" s="7" t="str">
        <f t="shared" si="84"/>
        <v>Anual</v>
      </c>
      <c r="O622" s="2" t="str">
        <f t="shared" ca="1" si="85"/>
        <v>VIGENTE</v>
      </c>
      <c r="P622" s="6" t="s">
        <v>25</v>
      </c>
      <c r="Q622" s="2" t="s">
        <v>29</v>
      </c>
    </row>
    <row r="623" spans="1:17" x14ac:dyDescent="0.25">
      <c r="A623" s="23" t="s">
        <v>145</v>
      </c>
      <c r="B623" s="2" t="s">
        <v>794</v>
      </c>
      <c r="C623" s="3" t="s">
        <v>28</v>
      </c>
      <c r="D623" s="3" t="s">
        <v>23</v>
      </c>
      <c r="E623" s="2" t="s">
        <v>24</v>
      </c>
      <c r="F623" s="4">
        <v>0</v>
      </c>
      <c r="G623" s="8">
        <f t="shared" si="79"/>
        <v>1000000000</v>
      </c>
      <c r="H623" s="4" t="str">
        <f t="shared" si="80"/>
        <v>Ohms</v>
      </c>
      <c r="I623" s="14">
        <v>252000000</v>
      </c>
      <c r="J623" s="6" t="str">
        <f t="shared" si="81"/>
        <v>Ohms</v>
      </c>
      <c r="K623" s="2" t="str">
        <f t="shared" si="82"/>
        <v>RTG</v>
      </c>
      <c r="L623" s="7">
        <v>45843</v>
      </c>
      <c r="M623" s="7">
        <f t="shared" si="83"/>
        <v>46208</v>
      </c>
      <c r="N623" s="7" t="str">
        <f t="shared" si="84"/>
        <v>Anual</v>
      </c>
      <c r="O623" s="2" t="str">
        <f t="shared" ca="1" si="85"/>
        <v>VIGENTE</v>
      </c>
      <c r="P623" s="6" t="s">
        <v>25</v>
      </c>
      <c r="Q623" s="2" t="s">
        <v>29</v>
      </c>
    </row>
    <row r="624" spans="1:17" x14ac:dyDescent="0.25">
      <c r="A624" s="23" t="s">
        <v>145</v>
      </c>
      <c r="B624" s="2" t="s">
        <v>795</v>
      </c>
      <c r="C624" s="3" t="s">
        <v>28</v>
      </c>
      <c r="D624" s="3" t="s">
        <v>23</v>
      </c>
      <c r="E624" s="2" t="s">
        <v>24</v>
      </c>
      <c r="F624" s="4">
        <v>0</v>
      </c>
      <c r="G624" s="8">
        <f t="shared" si="79"/>
        <v>1000000000</v>
      </c>
      <c r="H624" s="4" t="str">
        <f t="shared" si="80"/>
        <v>Ohms</v>
      </c>
      <c r="I624" s="14">
        <v>349000000</v>
      </c>
      <c r="J624" s="6" t="str">
        <f t="shared" si="81"/>
        <v>Ohms</v>
      </c>
      <c r="K624" s="2" t="str">
        <f t="shared" si="82"/>
        <v>RTG</v>
      </c>
      <c r="L624" s="7">
        <v>45843</v>
      </c>
      <c r="M624" s="7">
        <f t="shared" si="83"/>
        <v>46208</v>
      </c>
      <c r="N624" s="7" t="str">
        <f t="shared" si="84"/>
        <v>Anual</v>
      </c>
      <c r="O624" s="2" t="str">
        <f t="shared" ca="1" si="85"/>
        <v>VIGENTE</v>
      </c>
      <c r="P624" s="6" t="s">
        <v>25</v>
      </c>
      <c r="Q624" s="2" t="s">
        <v>29</v>
      </c>
    </row>
    <row r="625" spans="1:17" x14ac:dyDescent="0.25">
      <c r="A625" s="23" t="s">
        <v>145</v>
      </c>
      <c r="B625" s="2" t="s">
        <v>796</v>
      </c>
      <c r="C625" s="3" t="s">
        <v>28</v>
      </c>
      <c r="D625" s="3" t="s">
        <v>23</v>
      </c>
      <c r="E625" s="2" t="s">
        <v>24</v>
      </c>
      <c r="F625" s="4">
        <v>0</v>
      </c>
      <c r="G625" s="8">
        <f t="shared" si="79"/>
        <v>1000000000</v>
      </c>
      <c r="H625" s="4" t="str">
        <f t="shared" si="80"/>
        <v>Ohms</v>
      </c>
      <c r="I625" s="14">
        <v>3560000</v>
      </c>
      <c r="J625" s="6" t="str">
        <f t="shared" si="81"/>
        <v>Ohms</v>
      </c>
      <c r="K625" s="2" t="str">
        <f t="shared" si="82"/>
        <v>RTG</v>
      </c>
      <c r="L625" s="7">
        <v>45843</v>
      </c>
      <c r="M625" s="7">
        <f t="shared" si="83"/>
        <v>46208</v>
      </c>
      <c r="N625" s="7" t="str">
        <f t="shared" si="84"/>
        <v>Anual</v>
      </c>
      <c r="O625" s="2" t="str">
        <f t="shared" ca="1" si="85"/>
        <v>VIGENTE</v>
      </c>
      <c r="P625" s="6" t="s">
        <v>25</v>
      </c>
      <c r="Q625" s="2" t="s">
        <v>29</v>
      </c>
    </row>
    <row r="626" spans="1:17" x14ac:dyDescent="0.25">
      <c r="A626" s="23" t="s">
        <v>145</v>
      </c>
      <c r="B626" s="2" t="s">
        <v>797</v>
      </c>
      <c r="C626" s="3" t="s">
        <v>28</v>
      </c>
      <c r="D626" s="3" t="s">
        <v>23</v>
      </c>
      <c r="E626" s="2" t="s">
        <v>24</v>
      </c>
      <c r="F626" s="4">
        <v>0</v>
      </c>
      <c r="G626" s="8">
        <f t="shared" si="79"/>
        <v>1000000000</v>
      </c>
      <c r="H626" s="4" t="str">
        <f t="shared" si="80"/>
        <v>Ohms</v>
      </c>
      <c r="I626" s="14">
        <v>4280000</v>
      </c>
      <c r="J626" s="6" t="str">
        <f t="shared" si="81"/>
        <v>Ohms</v>
      </c>
      <c r="K626" s="2" t="str">
        <f t="shared" si="82"/>
        <v>RTG</v>
      </c>
      <c r="L626" s="7">
        <v>45843</v>
      </c>
      <c r="M626" s="7">
        <f t="shared" si="83"/>
        <v>46208</v>
      </c>
      <c r="N626" s="7" t="str">
        <f t="shared" si="84"/>
        <v>Anual</v>
      </c>
      <c r="O626" s="2" t="str">
        <f t="shared" ca="1" si="85"/>
        <v>VIGENTE</v>
      </c>
      <c r="P626" s="6" t="s">
        <v>25</v>
      </c>
      <c r="Q626" s="2" t="s">
        <v>29</v>
      </c>
    </row>
    <row r="627" spans="1:17" x14ac:dyDescent="0.25">
      <c r="A627" s="23" t="s">
        <v>145</v>
      </c>
      <c r="B627" s="2" t="s">
        <v>850</v>
      </c>
      <c r="C627" s="3" t="s">
        <v>28</v>
      </c>
      <c r="D627" s="3" t="s">
        <v>23</v>
      </c>
      <c r="E627" s="2" t="s">
        <v>24</v>
      </c>
      <c r="F627" s="4">
        <v>0</v>
      </c>
      <c r="G627" s="8">
        <f t="shared" si="79"/>
        <v>1000000000</v>
      </c>
      <c r="H627" s="4" t="str">
        <f t="shared" si="80"/>
        <v>Ohms</v>
      </c>
      <c r="I627" s="14">
        <v>283000000</v>
      </c>
      <c r="J627" s="6" t="str">
        <f t="shared" si="81"/>
        <v>Ohms</v>
      </c>
      <c r="K627" s="2" t="str">
        <f t="shared" si="82"/>
        <v>RTG</v>
      </c>
      <c r="L627" s="7">
        <v>45843</v>
      </c>
      <c r="M627" s="7">
        <f t="shared" si="83"/>
        <v>46208</v>
      </c>
      <c r="N627" s="7" t="str">
        <f t="shared" si="84"/>
        <v>Anual</v>
      </c>
      <c r="O627" s="2" t="str">
        <f t="shared" ca="1" si="85"/>
        <v>VIGENTE</v>
      </c>
      <c r="P627" s="6" t="s">
        <v>25</v>
      </c>
      <c r="Q627" s="2" t="s">
        <v>29</v>
      </c>
    </row>
    <row r="628" spans="1:17" x14ac:dyDescent="0.25">
      <c r="A628" s="23" t="s">
        <v>145</v>
      </c>
      <c r="B628" s="2" t="s">
        <v>851</v>
      </c>
      <c r="C628" s="3" t="s">
        <v>28</v>
      </c>
      <c r="D628" s="3" t="s">
        <v>23</v>
      </c>
      <c r="E628" s="2" t="s">
        <v>24</v>
      </c>
      <c r="F628" s="4">
        <v>0</v>
      </c>
      <c r="G628" s="8">
        <f t="shared" si="79"/>
        <v>1000000000</v>
      </c>
      <c r="H628" s="4" t="str">
        <f t="shared" si="80"/>
        <v>Ohms</v>
      </c>
      <c r="I628" s="14">
        <v>260000000</v>
      </c>
      <c r="J628" s="6" t="str">
        <f t="shared" si="81"/>
        <v>Ohms</v>
      </c>
      <c r="K628" s="2" t="str">
        <f t="shared" si="82"/>
        <v>RTG</v>
      </c>
      <c r="L628" s="7">
        <v>45843</v>
      </c>
      <c r="M628" s="7">
        <f t="shared" si="83"/>
        <v>46208</v>
      </c>
      <c r="N628" s="7" t="str">
        <f t="shared" si="84"/>
        <v>Anual</v>
      </c>
      <c r="O628" s="2" t="str">
        <f t="shared" ca="1" si="85"/>
        <v>VIGENTE</v>
      </c>
      <c r="P628" s="6" t="s">
        <v>25</v>
      </c>
      <c r="Q628" s="2" t="s">
        <v>29</v>
      </c>
    </row>
    <row r="629" spans="1:17" x14ac:dyDescent="0.25">
      <c r="A629" s="23" t="s">
        <v>145</v>
      </c>
      <c r="B629" s="2" t="s">
        <v>852</v>
      </c>
      <c r="C629" s="3" t="s">
        <v>28</v>
      </c>
      <c r="D629" s="3" t="s">
        <v>23</v>
      </c>
      <c r="E629" s="2" t="s">
        <v>24</v>
      </c>
      <c r="F629" s="4">
        <v>0</v>
      </c>
      <c r="G629" s="8">
        <f t="shared" si="79"/>
        <v>1000000000</v>
      </c>
      <c r="H629" s="4" t="str">
        <f t="shared" si="80"/>
        <v>Ohms</v>
      </c>
      <c r="I629" s="14">
        <v>3170000</v>
      </c>
      <c r="J629" s="6" t="str">
        <f t="shared" si="81"/>
        <v>Ohms</v>
      </c>
      <c r="K629" s="2" t="str">
        <f t="shared" si="82"/>
        <v>RTG</v>
      </c>
      <c r="L629" s="7">
        <v>45843</v>
      </c>
      <c r="M629" s="7">
        <f t="shared" si="83"/>
        <v>46208</v>
      </c>
      <c r="N629" s="7" t="str">
        <f t="shared" si="84"/>
        <v>Anual</v>
      </c>
      <c r="O629" s="2" t="str">
        <f t="shared" ca="1" si="85"/>
        <v>VIGENTE</v>
      </c>
      <c r="P629" s="6" t="s">
        <v>25</v>
      </c>
      <c r="Q629" s="2" t="s">
        <v>29</v>
      </c>
    </row>
    <row r="630" spans="1:17" x14ac:dyDescent="0.25">
      <c r="A630" s="23" t="s">
        <v>145</v>
      </c>
      <c r="B630" s="2" t="s">
        <v>853</v>
      </c>
      <c r="C630" s="3" t="s">
        <v>28</v>
      </c>
      <c r="D630" s="3" t="s">
        <v>23</v>
      </c>
      <c r="E630" s="2" t="s">
        <v>24</v>
      </c>
      <c r="F630" s="4">
        <v>0</v>
      </c>
      <c r="G630" s="8">
        <f t="shared" ref="G630:G693" si="86">IF(C630="Ionizador", 10, IF(C630="Mesa", 1000000000, IF(C630="Rack", 1000000000, IF(C630="Piso", 1000000000, IF(C630="Tapete", 1000000000, IF(C630="Carrito", 1000000000, IF(C630="Cautín", 10, 1)))))))</f>
        <v>1000000000</v>
      </c>
      <c r="H630" s="4" t="str">
        <f t="shared" ref="H630:H693" si="87">IF(C630="Ionizador", "Segundos", "Ohms")</f>
        <v>Ohms</v>
      </c>
      <c r="I630" s="14">
        <v>479000000</v>
      </c>
      <c r="J630" s="6" t="str">
        <f t="shared" ref="J630:J693" si="88">H630</f>
        <v>Ohms</v>
      </c>
      <c r="K630" s="2" t="str">
        <f t="shared" ref="K630:K693" si="89">IF(C630="Ionizador", "Plato de carga", IF(C630="Cautín", "PTG", IF(C630="ESD Tester", "PTP Deviation", "RTG")))</f>
        <v>RTG</v>
      </c>
      <c r="L630" s="7">
        <v>45843</v>
      </c>
      <c r="M630" s="7">
        <f t="shared" si="83"/>
        <v>46208</v>
      </c>
      <c r="N630" s="7" t="str">
        <f t="shared" si="84"/>
        <v>Anual</v>
      </c>
      <c r="O630" s="2" t="str">
        <f t="shared" ca="1" si="85"/>
        <v>VIGENTE</v>
      </c>
      <c r="P630" s="6" t="s">
        <v>25</v>
      </c>
      <c r="Q630" s="2" t="s">
        <v>29</v>
      </c>
    </row>
    <row r="631" spans="1:17" x14ac:dyDescent="0.25">
      <c r="A631" s="23" t="s">
        <v>145</v>
      </c>
      <c r="B631" s="2" t="s">
        <v>854</v>
      </c>
      <c r="C631" s="3" t="s">
        <v>28</v>
      </c>
      <c r="D631" s="3" t="s">
        <v>23</v>
      </c>
      <c r="E631" s="2" t="s">
        <v>24</v>
      </c>
      <c r="F631" s="4">
        <v>0</v>
      </c>
      <c r="G631" s="8">
        <f t="shared" si="86"/>
        <v>1000000000</v>
      </c>
      <c r="H631" s="4" t="str">
        <f t="shared" si="87"/>
        <v>Ohms</v>
      </c>
      <c r="I631" s="14">
        <v>299000000</v>
      </c>
      <c r="J631" s="6" t="str">
        <f t="shared" si="88"/>
        <v>Ohms</v>
      </c>
      <c r="K631" s="2" t="str">
        <f t="shared" si="89"/>
        <v>RTG</v>
      </c>
      <c r="L631" s="7">
        <v>45843</v>
      </c>
      <c r="M631" s="7">
        <f t="shared" si="83"/>
        <v>46208</v>
      </c>
      <c r="N631" s="7" t="str">
        <f t="shared" si="84"/>
        <v>Anual</v>
      </c>
      <c r="O631" s="2" t="str">
        <f t="shared" ca="1" si="85"/>
        <v>VIGENTE</v>
      </c>
      <c r="P631" s="6" t="s">
        <v>25</v>
      </c>
      <c r="Q631" s="2" t="s">
        <v>29</v>
      </c>
    </row>
    <row r="632" spans="1:17" x14ac:dyDescent="0.25">
      <c r="A632" s="23" t="s">
        <v>145</v>
      </c>
      <c r="B632" s="2" t="s">
        <v>855</v>
      </c>
      <c r="C632" s="3" t="s">
        <v>28</v>
      </c>
      <c r="D632" s="3" t="s">
        <v>23</v>
      </c>
      <c r="E632" s="2" t="s">
        <v>24</v>
      </c>
      <c r="F632" s="4">
        <v>0</v>
      </c>
      <c r="G632" s="8">
        <f t="shared" si="86"/>
        <v>1000000000</v>
      </c>
      <c r="H632" s="4" t="str">
        <f t="shared" si="87"/>
        <v>Ohms</v>
      </c>
      <c r="I632" s="14">
        <v>1930000</v>
      </c>
      <c r="J632" s="6" t="str">
        <f t="shared" si="88"/>
        <v>Ohms</v>
      </c>
      <c r="K632" s="2" t="str">
        <f t="shared" si="89"/>
        <v>RTG</v>
      </c>
      <c r="L632" s="7">
        <v>45843</v>
      </c>
      <c r="M632" s="7">
        <f t="shared" si="83"/>
        <v>46208</v>
      </c>
      <c r="N632" s="7" t="str">
        <f t="shared" si="84"/>
        <v>Anual</v>
      </c>
      <c r="O632" s="2" t="str">
        <f t="shared" ca="1" si="85"/>
        <v>VIGENTE</v>
      </c>
      <c r="P632" s="6" t="s">
        <v>25</v>
      </c>
      <c r="Q632" s="2" t="s">
        <v>29</v>
      </c>
    </row>
    <row r="633" spans="1:17" x14ac:dyDescent="0.25">
      <c r="A633" s="23" t="s">
        <v>145</v>
      </c>
      <c r="B633" s="2" t="s">
        <v>856</v>
      </c>
      <c r="C633" s="3" t="s">
        <v>28</v>
      </c>
      <c r="D633" s="3" t="s">
        <v>23</v>
      </c>
      <c r="E633" s="2" t="s">
        <v>24</v>
      </c>
      <c r="F633" s="4">
        <v>0</v>
      </c>
      <c r="G633" s="8">
        <f t="shared" si="86"/>
        <v>1000000000</v>
      </c>
      <c r="H633" s="4" t="str">
        <f t="shared" si="87"/>
        <v>Ohms</v>
      </c>
      <c r="I633" s="14">
        <v>3840000</v>
      </c>
      <c r="J633" s="6" t="str">
        <f t="shared" si="88"/>
        <v>Ohms</v>
      </c>
      <c r="K633" s="2" t="str">
        <f t="shared" si="89"/>
        <v>RTG</v>
      </c>
      <c r="L633" s="7">
        <v>45843</v>
      </c>
      <c r="M633" s="7">
        <f t="shared" si="83"/>
        <v>46208</v>
      </c>
      <c r="N633" s="7" t="str">
        <f t="shared" si="84"/>
        <v>Anual</v>
      </c>
      <c r="O633" s="2" t="str">
        <f t="shared" ca="1" si="85"/>
        <v>VIGENTE</v>
      </c>
      <c r="P633" s="6" t="s">
        <v>25</v>
      </c>
      <c r="Q633" s="2" t="s">
        <v>29</v>
      </c>
    </row>
    <row r="634" spans="1:17" x14ac:dyDescent="0.25">
      <c r="A634" s="23" t="s">
        <v>145</v>
      </c>
      <c r="B634" s="2" t="s">
        <v>857</v>
      </c>
      <c r="C634" s="3" t="s">
        <v>28</v>
      </c>
      <c r="D634" s="3" t="s">
        <v>23</v>
      </c>
      <c r="E634" s="2" t="s">
        <v>24</v>
      </c>
      <c r="F634" s="4">
        <v>0</v>
      </c>
      <c r="G634" s="8">
        <f t="shared" si="86"/>
        <v>1000000000</v>
      </c>
      <c r="H634" s="4" t="str">
        <f t="shared" si="87"/>
        <v>Ohms</v>
      </c>
      <c r="I634" s="14">
        <v>411000000</v>
      </c>
      <c r="J634" s="6" t="str">
        <f t="shared" si="88"/>
        <v>Ohms</v>
      </c>
      <c r="K634" s="2" t="str">
        <f t="shared" si="89"/>
        <v>RTG</v>
      </c>
      <c r="L634" s="7">
        <v>45843</v>
      </c>
      <c r="M634" s="7">
        <f t="shared" si="83"/>
        <v>46208</v>
      </c>
      <c r="N634" s="7" t="str">
        <f t="shared" si="84"/>
        <v>Anual</v>
      </c>
      <c r="O634" s="2" t="str">
        <f t="shared" ca="1" si="85"/>
        <v>VIGENTE</v>
      </c>
      <c r="P634" s="6" t="s">
        <v>25</v>
      </c>
      <c r="Q634" s="2" t="s">
        <v>29</v>
      </c>
    </row>
    <row r="635" spans="1:17" x14ac:dyDescent="0.25">
      <c r="A635" s="23" t="s">
        <v>145</v>
      </c>
      <c r="B635" s="2" t="s">
        <v>858</v>
      </c>
      <c r="C635" s="3" t="s">
        <v>28</v>
      </c>
      <c r="D635" s="3" t="s">
        <v>23</v>
      </c>
      <c r="E635" s="2" t="s">
        <v>24</v>
      </c>
      <c r="F635" s="4">
        <v>0</v>
      </c>
      <c r="G635" s="8">
        <f t="shared" si="86"/>
        <v>1000000000</v>
      </c>
      <c r="H635" s="4" t="str">
        <f t="shared" si="87"/>
        <v>Ohms</v>
      </c>
      <c r="I635" s="6">
        <v>5670</v>
      </c>
      <c r="J635" s="6" t="str">
        <f t="shared" si="88"/>
        <v>Ohms</v>
      </c>
      <c r="K635" s="2" t="str">
        <f t="shared" si="89"/>
        <v>RTG</v>
      </c>
      <c r="L635" s="7">
        <v>45845</v>
      </c>
      <c r="M635" s="7">
        <f t="shared" si="83"/>
        <v>46210</v>
      </c>
      <c r="N635" s="7" t="str">
        <f t="shared" si="84"/>
        <v>Anual</v>
      </c>
      <c r="O635" s="2" t="str">
        <f t="shared" ca="1" si="85"/>
        <v>VIGENTE</v>
      </c>
      <c r="P635" s="6" t="s">
        <v>25</v>
      </c>
      <c r="Q635" s="2" t="s">
        <v>29</v>
      </c>
    </row>
    <row r="636" spans="1:17" x14ac:dyDescent="0.25">
      <c r="A636" s="23" t="s">
        <v>145</v>
      </c>
      <c r="B636" s="2" t="s">
        <v>859</v>
      </c>
      <c r="C636" s="3" t="s">
        <v>28</v>
      </c>
      <c r="D636" s="3" t="s">
        <v>23</v>
      </c>
      <c r="E636" s="2" t="s">
        <v>24</v>
      </c>
      <c r="F636" s="4">
        <v>0</v>
      </c>
      <c r="G636" s="8">
        <f t="shared" si="86"/>
        <v>1000000000</v>
      </c>
      <c r="H636" s="4" t="str">
        <f t="shared" si="87"/>
        <v>Ohms</v>
      </c>
      <c r="I636" s="6">
        <v>5670</v>
      </c>
      <c r="J636" s="6" t="str">
        <f t="shared" si="88"/>
        <v>Ohms</v>
      </c>
      <c r="K636" s="2" t="str">
        <f t="shared" si="89"/>
        <v>RTG</v>
      </c>
      <c r="L636" s="7">
        <v>45845</v>
      </c>
      <c r="M636" s="7">
        <f t="shared" si="83"/>
        <v>46210</v>
      </c>
      <c r="N636" s="7" t="str">
        <f t="shared" si="84"/>
        <v>Anual</v>
      </c>
      <c r="O636" s="2" t="str">
        <f t="shared" ca="1" si="85"/>
        <v>VIGENTE</v>
      </c>
      <c r="P636" s="6" t="s">
        <v>25</v>
      </c>
      <c r="Q636" s="2" t="s">
        <v>29</v>
      </c>
    </row>
    <row r="637" spans="1:17" x14ac:dyDescent="0.25">
      <c r="A637" s="23" t="s">
        <v>145</v>
      </c>
      <c r="B637" s="2" t="s">
        <v>860</v>
      </c>
      <c r="C637" s="3" t="s">
        <v>28</v>
      </c>
      <c r="D637" s="3" t="s">
        <v>23</v>
      </c>
      <c r="E637" s="2" t="s">
        <v>24</v>
      </c>
      <c r="F637" s="4">
        <v>0</v>
      </c>
      <c r="G637" s="8">
        <f t="shared" si="86"/>
        <v>1000000000</v>
      </c>
      <c r="H637" s="4" t="str">
        <f t="shared" si="87"/>
        <v>Ohms</v>
      </c>
      <c r="I637" s="6">
        <v>2940000</v>
      </c>
      <c r="J637" s="6" t="str">
        <f t="shared" si="88"/>
        <v>Ohms</v>
      </c>
      <c r="K637" s="2" t="str">
        <f t="shared" si="89"/>
        <v>RTG</v>
      </c>
      <c r="L637" s="7">
        <v>45964</v>
      </c>
      <c r="M637" s="7">
        <f t="shared" si="83"/>
        <v>46329</v>
      </c>
      <c r="N637" s="7" t="str">
        <f t="shared" si="84"/>
        <v>Anual</v>
      </c>
      <c r="O637" s="2" t="str">
        <f t="shared" ca="1" si="85"/>
        <v>VIGENTE</v>
      </c>
      <c r="P637" s="6" t="s">
        <v>25</v>
      </c>
      <c r="Q637" s="2"/>
    </row>
    <row r="638" spans="1:17" x14ac:dyDescent="0.25">
      <c r="A638" s="23" t="s">
        <v>145</v>
      </c>
      <c r="B638" s="2" t="s">
        <v>861</v>
      </c>
      <c r="C638" s="3" t="s">
        <v>28</v>
      </c>
      <c r="D638" s="3" t="s">
        <v>23</v>
      </c>
      <c r="E638" s="2" t="s">
        <v>24</v>
      </c>
      <c r="F638" s="4">
        <v>0</v>
      </c>
      <c r="G638" s="8">
        <f t="shared" si="86"/>
        <v>1000000000</v>
      </c>
      <c r="H638" s="4" t="str">
        <f t="shared" si="87"/>
        <v>Ohms</v>
      </c>
      <c r="I638" s="6">
        <v>4230000</v>
      </c>
      <c r="J638" s="6" t="str">
        <f t="shared" si="88"/>
        <v>Ohms</v>
      </c>
      <c r="K638" s="2" t="str">
        <f t="shared" si="89"/>
        <v>RTG</v>
      </c>
      <c r="L638" s="7">
        <v>45845</v>
      </c>
      <c r="M638" s="7">
        <f t="shared" si="83"/>
        <v>46210</v>
      </c>
      <c r="N638" s="7" t="str">
        <f t="shared" si="84"/>
        <v>Anual</v>
      </c>
      <c r="O638" s="2" t="str">
        <f t="shared" ca="1" si="85"/>
        <v>VIGENTE</v>
      </c>
      <c r="P638" s="6" t="s">
        <v>25</v>
      </c>
      <c r="Q638" s="2" t="s">
        <v>29</v>
      </c>
    </row>
    <row r="639" spans="1:17" x14ac:dyDescent="0.25">
      <c r="A639" s="23" t="s">
        <v>145</v>
      </c>
      <c r="B639" s="2" t="s">
        <v>862</v>
      </c>
      <c r="C639" s="3" t="s">
        <v>28</v>
      </c>
      <c r="D639" s="3" t="s">
        <v>23</v>
      </c>
      <c r="E639" s="2" t="s">
        <v>24</v>
      </c>
      <c r="F639" s="4">
        <v>0</v>
      </c>
      <c r="G639" s="8">
        <f t="shared" si="86"/>
        <v>1000000000</v>
      </c>
      <c r="H639" s="4" t="str">
        <f t="shared" si="87"/>
        <v>Ohms</v>
      </c>
      <c r="I639" s="6">
        <v>1940000</v>
      </c>
      <c r="J639" s="6" t="str">
        <f t="shared" si="88"/>
        <v>Ohms</v>
      </c>
      <c r="K639" s="2" t="str">
        <f t="shared" si="89"/>
        <v>RTG</v>
      </c>
      <c r="L639" s="7">
        <v>45845</v>
      </c>
      <c r="M639" s="7">
        <f t="shared" si="83"/>
        <v>46210</v>
      </c>
      <c r="N639" s="7" t="str">
        <f t="shared" si="84"/>
        <v>Anual</v>
      </c>
      <c r="O639" s="2" t="str">
        <f t="shared" ca="1" si="85"/>
        <v>VIGENTE</v>
      </c>
      <c r="P639" s="6" t="s">
        <v>25</v>
      </c>
      <c r="Q639" s="2"/>
    </row>
    <row r="640" spans="1:17" x14ac:dyDescent="0.25">
      <c r="A640" s="23" t="s">
        <v>145</v>
      </c>
      <c r="B640" s="2" t="s">
        <v>1099</v>
      </c>
      <c r="C640" s="3" t="s">
        <v>28</v>
      </c>
      <c r="D640" s="3" t="s">
        <v>23</v>
      </c>
      <c r="E640" s="2" t="s">
        <v>24</v>
      </c>
      <c r="F640" s="4">
        <v>0</v>
      </c>
      <c r="G640" s="8">
        <f t="shared" si="86"/>
        <v>1000000000</v>
      </c>
      <c r="H640" s="4" t="str">
        <f t="shared" si="87"/>
        <v>Ohms</v>
      </c>
      <c r="I640" s="14">
        <v>122000000</v>
      </c>
      <c r="J640" s="6" t="str">
        <f t="shared" si="88"/>
        <v>Ohms</v>
      </c>
      <c r="K640" s="2" t="str">
        <f t="shared" si="89"/>
        <v>RTG</v>
      </c>
      <c r="L640" s="7">
        <v>45838</v>
      </c>
      <c r="M640" s="7">
        <f t="shared" si="83"/>
        <v>46203</v>
      </c>
      <c r="N640" s="7" t="str">
        <f t="shared" si="84"/>
        <v>Anual</v>
      </c>
      <c r="O640" s="2" t="str">
        <f t="shared" ca="1" si="85"/>
        <v>VIGENTE</v>
      </c>
      <c r="P640" s="6" t="s">
        <v>25</v>
      </c>
      <c r="Q640" s="2" t="s">
        <v>29</v>
      </c>
    </row>
    <row r="641" spans="1:17" x14ac:dyDescent="0.25">
      <c r="A641" s="23" t="s">
        <v>145</v>
      </c>
      <c r="B641" s="2" t="s">
        <v>1103</v>
      </c>
      <c r="C641" s="3" t="s">
        <v>28</v>
      </c>
      <c r="D641" s="3" t="s">
        <v>23</v>
      </c>
      <c r="E641" s="2" t="s">
        <v>24</v>
      </c>
      <c r="F641" s="4">
        <v>0</v>
      </c>
      <c r="G641" s="8">
        <f t="shared" si="86"/>
        <v>1000000000</v>
      </c>
      <c r="H641" s="4" t="str">
        <f t="shared" si="87"/>
        <v>Ohms</v>
      </c>
      <c r="I641" s="14">
        <v>2580000</v>
      </c>
      <c r="J641" s="6" t="str">
        <f t="shared" si="88"/>
        <v>Ohms</v>
      </c>
      <c r="K641" s="2" t="str">
        <f t="shared" si="89"/>
        <v>RTG</v>
      </c>
      <c r="L641" s="7">
        <v>45838</v>
      </c>
      <c r="M641" s="7">
        <f t="shared" si="83"/>
        <v>46203</v>
      </c>
      <c r="N641" s="7" t="str">
        <f t="shared" si="84"/>
        <v>Anual</v>
      </c>
      <c r="O641" s="2" t="str">
        <f t="shared" ca="1" si="85"/>
        <v>VIGENTE</v>
      </c>
      <c r="P641" s="6" t="s">
        <v>25</v>
      </c>
      <c r="Q641" s="2" t="s">
        <v>29</v>
      </c>
    </row>
    <row r="642" spans="1:17" x14ac:dyDescent="0.25">
      <c r="A642" s="23" t="s">
        <v>145</v>
      </c>
      <c r="B642" s="2" t="s">
        <v>1109</v>
      </c>
      <c r="C642" s="3" t="s">
        <v>28</v>
      </c>
      <c r="D642" s="3" t="s">
        <v>23</v>
      </c>
      <c r="E642" s="2" t="s">
        <v>24</v>
      </c>
      <c r="F642" s="4">
        <v>0</v>
      </c>
      <c r="G642" s="8">
        <f t="shared" si="86"/>
        <v>1000000000</v>
      </c>
      <c r="H642" s="4" t="str">
        <f t="shared" si="87"/>
        <v>Ohms</v>
      </c>
      <c r="I642" s="6">
        <v>280000000</v>
      </c>
      <c r="J642" s="6" t="str">
        <f t="shared" si="88"/>
        <v>Ohms</v>
      </c>
      <c r="K642" s="2" t="str">
        <f t="shared" si="89"/>
        <v>RTG</v>
      </c>
      <c r="L642" s="7">
        <v>45838</v>
      </c>
      <c r="M642" s="7">
        <f t="shared" si="83"/>
        <v>46203</v>
      </c>
      <c r="N642" s="7" t="str">
        <f t="shared" si="84"/>
        <v>Anual</v>
      </c>
      <c r="O642" s="2" t="str">
        <f t="shared" ca="1" si="85"/>
        <v>VIGENTE</v>
      </c>
      <c r="P642" s="6" t="s">
        <v>25</v>
      </c>
      <c r="Q642" s="2" t="s">
        <v>29</v>
      </c>
    </row>
    <row r="643" spans="1:17" x14ac:dyDescent="0.25">
      <c r="A643" s="23" t="s">
        <v>145</v>
      </c>
      <c r="B643" s="2" t="s">
        <v>1111</v>
      </c>
      <c r="C643" s="3" t="s">
        <v>28</v>
      </c>
      <c r="D643" s="3" t="s">
        <v>23</v>
      </c>
      <c r="E643" s="2" t="s">
        <v>24</v>
      </c>
      <c r="F643" s="4">
        <v>0</v>
      </c>
      <c r="G643" s="8">
        <f t="shared" si="86"/>
        <v>1000000000</v>
      </c>
      <c r="H643" s="4" t="str">
        <f t="shared" si="87"/>
        <v>Ohms</v>
      </c>
      <c r="I643" s="14">
        <v>240000000</v>
      </c>
      <c r="J643" s="6" t="str">
        <f t="shared" si="88"/>
        <v>Ohms</v>
      </c>
      <c r="K643" s="2" t="str">
        <f t="shared" si="89"/>
        <v>RTG</v>
      </c>
      <c r="L643" s="7">
        <v>45838</v>
      </c>
      <c r="M643" s="7">
        <f t="shared" si="83"/>
        <v>46203</v>
      </c>
      <c r="N643" s="7" t="str">
        <f t="shared" si="84"/>
        <v>Anual</v>
      </c>
      <c r="O643" s="2" t="str">
        <f t="shared" ca="1" si="85"/>
        <v>VIGENTE</v>
      </c>
      <c r="P643" s="6" t="s">
        <v>25</v>
      </c>
      <c r="Q643" s="2" t="s">
        <v>29</v>
      </c>
    </row>
    <row r="644" spans="1:17" x14ac:dyDescent="0.25">
      <c r="A644" s="23" t="s">
        <v>116</v>
      </c>
      <c r="B644" s="2" t="s">
        <v>117</v>
      </c>
      <c r="C644" s="3" t="s">
        <v>28</v>
      </c>
      <c r="D644" s="3" t="s">
        <v>23</v>
      </c>
      <c r="E644" s="2" t="s">
        <v>24</v>
      </c>
      <c r="F644" s="4">
        <v>0</v>
      </c>
      <c r="G644" s="8">
        <f t="shared" si="86"/>
        <v>1000000000</v>
      </c>
      <c r="H644" s="4" t="str">
        <f t="shared" si="87"/>
        <v>Ohms</v>
      </c>
      <c r="I644" s="14">
        <v>81700000</v>
      </c>
      <c r="J644" s="6" t="str">
        <f t="shared" si="88"/>
        <v>Ohms</v>
      </c>
      <c r="K644" s="2" t="str">
        <f t="shared" si="89"/>
        <v>RTG</v>
      </c>
      <c r="L644" s="7">
        <v>45900</v>
      </c>
      <c r="M644" s="7">
        <f t="shared" si="83"/>
        <v>46265</v>
      </c>
      <c r="N644" s="7" t="str">
        <f t="shared" si="84"/>
        <v>Anual</v>
      </c>
      <c r="O644" s="2" t="str">
        <f t="shared" ca="1" si="85"/>
        <v>VIGENTE</v>
      </c>
      <c r="P644" s="6" t="s">
        <v>25</v>
      </c>
      <c r="Q644" s="2"/>
    </row>
    <row r="645" spans="1:17" x14ac:dyDescent="0.25">
      <c r="A645" s="23" t="s">
        <v>116</v>
      </c>
      <c r="B645" s="2" t="s">
        <v>118</v>
      </c>
      <c r="C645" s="3" t="s">
        <v>28</v>
      </c>
      <c r="D645" s="3" t="s">
        <v>23</v>
      </c>
      <c r="E645" s="2" t="s">
        <v>24</v>
      </c>
      <c r="F645" s="4">
        <v>0</v>
      </c>
      <c r="G645" s="8">
        <f t="shared" si="86"/>
        <v>1000000000</v>
      </c>
      <c r="H645" s="4" t="str">
        <f t="shared" si="87"/>
        <v>Ohms</v>
      </c>
      <c r="I645" s="14">
        <v>70900</v>
      </c>
      <c r="J645" s="6" t="str">
        <f t="shared" si="88"/>
        <v>Ohms</v>
      </c>
      <c r="K645" s="2" t="str">
        <f t="shared" si="89"/>
        <v>RTG</v>
      </c>
      <c r="L645" s="7">
        <v>45900</v>
      </c>
      <c r="M645" s="7">
        <f t="shared" si="83"/>
        <v>46265</v>
      </c>
      <c r="N645" s="7" t="str">
        <f t="shared" si="84"/>
        <v>Anual</v>
      </c>
      <c r="O645" s="2" t="str">
        <f t="shared" ca="1" si="85"/>
        <v>VIGENTE</v>
      </c>
      <c r="P645" s="6" t="s">
        <v>25</v>
      </c>
      <c r="Q645" s="2"/>
    </row>
    <row r="646" spans="1:17" x14ac:dyDescent="0.25">
      <c r="A646" s="23" t="s">
        <v>116</v>
      </c>
      <c r="B646" s="2" t="s">
        <v>119</v>
      </c>
      <c r="C646" s="3" t="s">
        <v>28</v>
      </c>
      <c r="D646" s="3" t="s">
        <v>23</v>
      </c>
      <c r="E646" s="2" t="s">
        <v>24</v>
      </c>
      <c r="F646" s="4">
        <v>0</v>
      </c>
      <c r="G646" s="8">
        <f t="shared" si="86"/>
        <v>1000000000</v>
      </c>
      <c r="H646" s="4" t="str">
        <f t="shared" si="87"/>
        <v>Ohms</v>
      </c>
      <c r="I646" s="6">
        <v>1240000</v>
      </c>
      <c r="J646" s="6" t="str">
        <f t="shared" si="88"/>
        <v>Ohms</v>
      </c>
      <c r="K646" s="2" t="str">
        <f t="shared" si="89"/>
        <v>RTG</v>
      </c>
      <c r="L646" s="7">
        <v>45712</v>
      </c>
      <c r="M646" s="7">
        <f t="shared" si="83"/>
        <v>46077</v>
      </c>
      <c r="N646" s="7" t="str">
        <f t="shared" si="84"/>
        <v>Anual</v>
      </c>
      <c r="O646" s="2" t="str">
        <f t="shared" ca="1" si="85"/>
        <v>VENCIDO</v>
      </c>
      <c r="P646" s="6" t="s">
        <v>25</v>
      </c>
      <c r="Q646" s="2"/>
    </row>
    <row r="647" spans="1:17" x14ac:dyDescent="0.25">
      <c r="A647" s="23" t="s">
        <v>116</v>
      </c>
      <c r="B647" s="2" t="s">
        <v>120</v>
      </c>
      <c r="C647" s="3" t="s">
        <v>115</v>
      </c>
      <c r="D647" s="3" t="s">
        <v>23</v>
      </c>
      <c r="E647" s="2" t="s">
        <v>24</v>
      </c>
      <c r="F647" s="4">
        <v>0</v>
      </c>
      <c r="G647" s="8">
        <f t="shared" si="86"/>
        <v>1</v>
      </c>
      <c r="H647" s="4" t="str">
        <f t="shared" si="87"/>
        <v>Ohms</v>
      </c>
      <c r="I647" s="14">
        <v>6290000</v>
      </c>
      <c r="J647" s="6" t="str">
        <f t="shared" si="88"/>
        <v>Ohms</v>
      </c>
      <c r="K647" s="2" t="str">
        <f t="shared" si="89"/>
        <v>RTG</v>
      </c>
      <c r="L647" s="7">
        <v>45712</v>
      </c>
      <c r="M647" s="7">
        <f t="shared" si="83"/>
        <v>46077</v>
      </c>
      <c r="N647" s="7" t="str">
        <f t="shared" si="84"/>
        <v>Anual</v>
      </c>
      <c r="O647" s="2" t="str">
        <f t="shared" ca="1" si="85"/>
        <v>VENCIDO</v>
      </c>
      <c r="P647" s="6" t="s">
        <v>25</v>
      </c>
      <c r="Q647" s="2"/>
    </row>
    <row r="648" spans="1:17" x14ac:dyDescent="0.25">
      <c r="A648" s="23" t="s">
        <v>116</v>
      </c>
      <c r="B648" s="2" t="s">
        <v>529</v>
      </c>
      <c r="C648" s="3" t="s">
        <v>28</v>
      </c>
      <c r="D648" s="3" t="s">
        <v>23</v>
      </c>
      <c r="E648" s="2" t="s">
        <v>24</v>
      </c>
      <c r="F648" s="4">
        <v>0</v>
      </c>
      <c r="G648" s="8">
        <f t="shared" si="86"/>
        <v>1000000000</v>
      </c>
      <c r="H648" s="4" t="str">
        <f t="shared" si="87"/>
        <v>Ohms</v>
      </c>
      <c r="I648" s="14">
        <v>279000</v>
      </c>
      <c r="J648" s="6" t="str">
        <f t="shared" si="88"/>
        <v>Ohms</v>
      </c>
      <c r="K648" s="2" t="str">
        <f t="shared" si="89"/>
        <v>RTG</v>
      </c>
      <c r="L648" s="7">
        <v>45708</v>
      </c>
      <c r="M648" s="7">
        <f t="shared" si="83"/>
        <v>46073</v>
      </c>
      <c r="N648" s="7" t="str">
        <f t="shared" si="84"/>
        <v>Anual</v>
      </c>
      <c r="O648" s="2" t="str">
        <f t="shared" ca="1" si="85"/>
        <v>VENCIDO</v>
      </c>
      <c r="P648" s="6" t="s">
        <v>25</v>
      </c>
      <c r="Q648" s="2"/>
    </row>
    <row r="649" spans="1:17" x14ac:dyDescent="0.25">
      <c r="A649" s="23" t="s">
        <v>116</v>
      </c>
      <c r="B649" s="2" t="s">
        <v>870</v>
      </c>
      <c r="C649" s="3" t="s">
        <v>28</v>
      </c>
      <c r="D649" s="3" t="s">
        <v>23</v>
      </c>
      <c r="E649" s="2" t="s">
        <v>24</v>
      </c>
      <c r="F649" s="4">
        <v>0</v>
      </c>
      <c r="G649" s="8">
        <f t="shared" si="86"/>
        <v>1000000000</v>
      </c>
      <c r="H649" s="4" t="str">
        <f t="shared" si="87"/>
        <v>Ohms</v>
      </c>
      <c r="I649" s="6">
        <v>482000</v>
      </c>
      <c r="J649" s="6" t="str">
        <f t="shared" si="88"/>
        <v>Ohms</v>
      </c>
      <c r="K649" s="2" t="str">
        <f t="shared" si="89"/>
        <v>RTG</v>
      </c>
      <c r="L649" s="7">
        <v>45900</v>
      </c>
      <c r="M649" s="7">
        <f t="shared" si="83"/>
        <v>46265</v>
      </c>
      <c r="N649" s="7" t="str">
        <f t="shared" si="84"/>
        <v>Anual</v>
      </c>
      <c r="O649" s="2" t="str">
        <f t="shared" ca="1" si="85"/>
        <v>VIGENTE</v>
      </c>
      <c r="P649" s="6" t="s">
        <v>25</v>
      </c>
      <c r="Q649" s="2"/>
    </row>
    <row r="650" spans="1:17" x14ac:dyDescent="0.25">
      <c r="A650" s="23" t="s">
        <v>116</v>
      </c>
      <c r="B650" s="2" t="s">
        <v>871</v>
      </c>
      <c r="C650" s="3" t="s">
        <v>28</v>
      </c>
      <c r="D650" s="3" t="s">
        <v>23</v>
      </c>
      <c r="E650" s="2" t="s">
        <v>24</v>
      </c>
      <c r="F650" s="4">
        <v>0</v>
      </c>
      <c r="G650" s="8">
        <f t="shared" si="86"/>
        <v>1000000000</v>
      </c>
      <c r="H650" s="4" t="str">
        <f t="shared" si="87"/>
        <v>Ohms</v>
      </c>
      <c r="I650" s="6">
        <v>917000000</v>
      </c>
      <c r="J650" s="6" t="str">
        <f t="shared" si="88"/>
        <v>Ohms</v>
      </c>
      <c r="K650" s="2" t="str">
        <f t="shared" si="89"/>
        <v>RTG</v>
      </c>
      <c r="L650" s="7">
        <v>45900</v>
      </c>
      <c r="M650" s="7">
        <f t="shared" si="83"/>
        <v>46265</v>
      </c>
      <c r="N650" s="7" t="str">
        <f t="shared" si="84"/>
        <v>Anual</v>
      </c>
      <c r="O650" s="2" t="str">
        <f t="shared" ca="1" si="85"/>
        <v>VIGENTE</v>
      </c>
      <c r="P650" s="6" t="s">
        <v>25</v>
      </c>
      <c r="Q650" s="2"/>
    </row>
    <row r="651" spans="1:17" x14ac:dyDescent="0.25">
      <c r="A651" s="23" t="s">
        <v>116</v>
      </c>
      <c r="B651" s="2" t="s">
        <v>872</v>
      </c>
      <c r="C651" s="3" t="s">
        <v>28</v>
      </c>
      <c r="D651" s="3" t="s">
        <v>23</v>
      </c>
      <c r="E651" s="2" t="s">
        <v>24</v>
      </c>
      <c r="F651" s="4">
        <v>0</v>
      </c>
      <c r="G651" s="8">
        <f t="shared" si="86"/>
        <v>1000000000</v>
      </c>
      <c r="H651" s="4" t="str">
        <f t="shared" si="87"/>
        <v>Ohms</v>
      </c>
      <c r="I651" s="6">
        <v>13600</v>
      </c>
      <c r="J651" s="6" t="str">
        <f t="shared" si="88"/>
        <v>Ohms</v>
      </c>
      <c r="K651" s="2" t="str">
        <f t="shared" si="89"/>
        <v>RTG</v>
      </c>
      <c r="L651" s="7">
        <v>45900</v>
      </c>
      <c r="M651" s="7">
        <f t="shared" si="83"/>
        <v>46265</v>
      </c>
      <c r="N651" s="7" t="str">
        <f t="shared" si="84"/>
        <v>Anual</v>
      </c>
      <c r="O651" s="2" t="str">
        <f t="shared" ca="1" si="85"/>
        <v>VIGENTE</v>
      </c>
      <c r="P651" s="6" t="s">
        <v>25</v>
      </c>
      <c r="Q651" s="2"/>
    </row>
    <row r="652" spans="1:17" x14ac:dyDescent="0.25">
      <c r="A652" s="23" t="s">
        <v>116</v>
      </c>
      <c r="B652" s="2" t="s">
        <v>873</v>
      </c>
      <c r="C652" s="3" t="s">
        <v>28</v>
      </c>
      <c r="D652" s="3" t="s">
        <v>23</v>
      </c>
      <c r="E652" s="2" t="s">
        <v>24</v>
      </c>
      <c r="F652" s="4">
        <v>0</v>
      </c>
      <c r="G652" s="8">
        <f t="shared" si="86"/>
        <v>1000000000</v>
      </c>
      <c r="H652" s="4" t="str">
        <f t="shared" si="87"/>
        <v>Ohms</v>
      </c>
      <c r="I652" s="6">
        <v>79400000</v>
      </c>
      <c r="J652" s="6" t="str">
        <f t="shared" si="88"/>
        <v>Ohms</v>
      </c>
      <c r="K652" s="2" t="str">
        <f t="shared" si="89"/>
        <v>RTG</v>
      </c>
      <c r="L652" s="7">
        <v>45900</v>
      </c>
      <c r="M652" s="7">
        <f t="shared" si="83"/>
        <v>46265</v>
      </c>
      <c r="N652" s="7" t="str">
        <f t="shared" si="84"/>
        <v>Anual</v>
      </c>
      <c r="O652" s="2" t="str">
        <f t="shared" ca="1" si="85"/>
        <v>VIGENTE</v>
      </c>
      <c r="P652" s="6" t="s">
        <v>25</v>
      </c>
      <c r="Q652" s="2"/>
    </row>
    <row r="653" spans="1:17" x14ac:dyDescent="0.25">
      <c r="A653" s="23" t="s">
        <v>116</v>
      </c>
      <c r="B653" s="2" t="s">
        <v>874</v>
      </c>
      <c r="C653" s="3" t="s">
        <v>28</v>
      </c>
      <c r="D653" s="3" t="s">
        <v>23</v>
      </c>
      <c r="E653" s="2" t="s">
        <v>24</v>
      </c>
      <c r="F653" s="4">
        <v>0</v>
      </c>
      <c r="G653" s="8">
        <f t="shared" si="86"/>
        <v>1000000000</v>
      </c>
      <c r="H653" s="4" t="str">
        <f t="shared" si="87"/>
        <v>Ohms</v>
      </c>
      <c r="I653" s="6">
        <v>2510000</v>
      </c>
      <c r="J653" s="6" t="str">
        <f t="shared" si="88"/>
        <v>Ohms</v>
      </c>
      <c r="K653" s="2" t="str">
        <f t="shared" si="89"/>
        <v>RTG</v>
      </c>
      <c r="L653" s="7">
        <v>45900</v>
      </c>
      <c r="M653" s="7">
        <f t="shared" si="83"/>
        <v>46265</v>
      </c>
      <c r="N653" s="7" t="str">
        <f t="shared" si="84"/>
        <v>Anual</v>
      </c>
      <c r="O653" s="2" t="str">
        <f t="shared" ca="1" si="85"/>
        <v>VIGENTE</v>
      </c>
      <c r="P653" s="6" t="s">
        <v>25</v>
      </c>
      <c r="Q653" s="2"/>
    </row>
    <row r="654" spans="1:17" x14ac:dyDescent="0.25">
      <c r="A654" s="23" t="s">
        <v>116</v>
      </c>
      <c r="B654" s="2" t="s">
        <v>875</v>
      </c>
      <c r="C654" s="3" t="s">
        <v>28</v>
      </c>
      <c r="D654" s="3" t="s">
        <v>23</v>
      </c>
      <c r="E654" s="2" t="s">
        <v>24</v>
      </c>
      <c r="F654" s="4">
        <v>0</v>
      </c>
      <c r="G654" s="8">
        <f t="shared" si="86"/>
        <v>1000000000</v>
      </c>
      <c r="H654" s="4" t="str">
        <f t="shared" si="87"/>
        <v>Ohms</v>
      </c>
      <c r="I654" s="6">
        <v>608000000</v>
      </c>
      <c r="J654" s="6" t="str">
        <f t="shared" si="88"/>
        <v>Ohms</v>
      </c>
      <c r="K654" s="2" t="str">
        <f t="shared" si="89"/>
        <v>RTG</v>
      </c>
      <c r="L654" s="7">
        <v>45900</v>
      </c>
      <c r="M654" s="7">
        <f t="shared" si="83"/>
        <v>46265</v>
      </c>
      <c r="N654" s="7" t="str">
        <f t="shared" si="84"/>
        <v>Anual</v>
      </c>
      <c r="O654" s="2" t="str">
        <f t="shared" ca="1" si="85"/>
        <v>VIGENTE</v>
      </c>
      <c r="P654" s="6" t="s">
        <v>25</v>
      </c>
      <c r="Q654" s="2"/>
    </row>
    <row r="655" spans="1:17" x14ac:dyDescent="0.25">
      <c r="A655" s="23" t="s">
        <v>116</v>
      </c>
      <c r="B655" s="2" t="s">
        <v>876</v>
      </c>
      <c r="C655" s="3" t="s">
        <v>28</v>
      </c>
      <c r="D655" s="3" t="s">
        <v>23</v>
      </c>
      <c r="E655" s="2" t="s">
        <v>24</v>
      </c>
      <c r="F655" s="4">
        <v>0</v>
      </c>
      <c r="G655" s="8">
        <f t="shared" si="86"/>
        <v>1000000000</v>
      </c>
      <c r="H655" s="4" t="str">
        <f t="shared" si="87"/>
        <v>Ohms</v>
      </c>
      <c r="I655" s="6">
        <v>337000000</v>
      </c>
      <c r="J655" s="6" t="str">
        <f t="shared" si="88"/>
        <v>Ohms</v>
      </c>
      <c r="K655" s="2" t="str">
        <f t="shared" si="89"/>
        <v>RTG</v>
      </c>
      <c r="L655" s="7">
        <v>45900</v>
      </c>
      <c r="M655" s="7">
        <f t="shared" si="83"/>
        <v>46265</v>
      </c>
      <c r="N655" s="7" t="str">
        <f t="shared" si="84"/>
        <v>Anual</v>
      </c>
      <c r="O655" s="2" t="str">
        <f t="shared" ca="1" si="85"/>
        <v>VIGENTE</v>
      </c>
      <c r="P655" s="6" t="s">
        <v>25</v>
      </c>
      <c r="Q655" s="2"/>
    </row>
    <row r="656" spans="1:17" x14ac:dyDescent="0.25">
      <c r="A656" s="23" t="s">
        <v>116</v>
      </c>
      <c r="B656" s="2" t="s">
        <v>877</v>
      </c>
      <c r="C656" s="3" t="s">
        <v>89</v>
      </c>
      <c r="D656" s="3" t="s">
        <v>23</v>
      </c>
      <c r="E656" s="2" t="s">
        <v>24</v>
      </c>
      <c r="F656" s="4">
        <v>0</v>
      </c>
      <c r="G656" s="8">
        <f t="shared" si="86"/>
        <v>1000000000</v>
      </c>
      <c r="H656" s="4" t="str">
        <f t="shared" si="87"/>
        <v>Ohms</v>
      </c>
      <c r="I656" s="6">
        <v>84500</v>
      </c>
      <c r="J656" s="6" t="str">
        <f t="shared" si="88"/>
        <v>Ohms</v>
      </c>
      <c r="K656" s="2" t="str">
        <f t="shared" si="89"/>
        <v>RTG</v>
      </c>
      <c r="L656" s="7">
        <v>45900</v>
      </c>
      <c r="M656" s="7">
        <f t="shared" si="83"/>
        <v>46265</v>
      </c>
      <c r="N656" s="7" t="str">
        <f t="shared" si="84"/>
        <v>Anual</v>
      </c>
      <c r="O656" s="2" t="str">
        <f t="shared" ca="1" si="85"/>
        <v>VIGENTE</v>
      </c>
      <c r="P656" s="6" t="s">
        <v>25</v>
      </c>
      <c r="Q656" s="2"/>
    </row>
    <row r="657" spans="1:17" x14ac:dyDescent="0.25">
      <c r="A657" s="23" t="s">
        <v>116</v>
      </c>
      <c r="B657" s="2" t="s">
        <v>887</v>
      </c>
      <c r="C657" s="3" t="s">
        <v>28</v>
      </c>
      <c r="D657" s="3" t="s">
        <v>23</v>
      </c>
      <c r="E657" s="2" t="s">
        <v>24</v>
      </c>
      <c r="F657" s="4">
        <v>0</v>
      </c>
      <c r="G657" s="8">
        <f t="shared" si="86"/>
        <v>1000000000</v>
      </c>
      <c r="H657" s="4" t="str">
        <f t="shared" si="87"/>
        <v>Ohms</v>
      </c>
      <c r="I657" s="6">
        <v>52900000</v>
      </c>
      <c r="J657" s="6" t="str">
        <f t="shared" si="88"/>
        <v>Ohms</v>
      </c>
      <c r="K657" s="2" t="str">
        <f t="shared" si="89"/>
        <v>RTG</v>
      </c>
      <c r="L657" s="7">
        <v>45900</v>
      </c>
      <c r="M657" s="7">
        <f t="shared" si="83"/>
        <v>46265</v>
      </c>
      <c r="N657" s="7" t="str">
        <f t="shared" si="84"/>
        <v>Anual</v>
      </c>
      <c r="O657" s="2" t="str">
        <f t="shared" ca="1" si="85"/>
        <v>VIGENTE</v>
      </c>
      <c r="P657" s="6" t="s">
        <v>25</v>
      </c>
      <c r="Q657" s="2"/>
    </row>
    <row r="658" spans="1:17" x14ac:dyDescent="0.25">
      <c r="A658" s="23" t="s">
        <v>116</v>
      </c>
      <c r="B658" s="2" t="s">
        <v>890</v>
      </c>
      <c r="C658" s="3" t="s">
        <v>28</v>
      </c>
      <c r="D658" s="3" t="s">
        <v>23</v>
      </c>
      <c r="E658" s="2" t="s">
        <v>24</v>
      </c>
      <c r="F658" s="4">
        <v>0</v>
      </c>
      <c r="G658" s="8">
        <f t="shared" si="86"/>
        <v>1000000000</v>
      </c>
      <c r="H658" s="4" t="str">
        <f t="shared" si="87"/>
        <v>Ohms</v>
      </c>
      <c r="I658" s="6">
        <v>1920000</v>
      </c>
      <c r="J658" s="6" t="str">
        <f t="shared" si="88"/>
        <v>Ohms</v>
      </c>
      <c r="K658" s="2" t="str">
        <f t="shared" si="89"/>
        <v>RTG</v>
      </c>
      <c r="L658" s="7">
        <v>45900</v>
      </c>
      <c r="M658" s="7">
        <f t="shared" si="83"/>
        <v>46265</v>
      </c>
      <c r="N658" s="7" t="str">
        <f t="shared" si="84"/>
        <v>Anual</v>
      </c>
      <c r="O658" s="2" t="str">
        <f t="shared" ca="1" si="85"/>
        <v>VIGENTE</v>
      </c>
      <c r="P658" s="6" t="s">
        <v>25</v>
      </c>
      <c r="Q658" s="2"/>
    </row>
    <row r="659" spans="1:17" x14ac:dyDescent="0.25">
      <c r="A659" s="23" t="s">
        <v>116</v>
      </c>
      <c r="B659" s="2" t="s">
        <v>891</v>
      </c>
      <c r="C659" s="3" t="s">
        <v>28</v>
      </c>
      <c r="D659" s="3" t="s">
        <v>23</v>
      </c>
      <c r="E659" s="2" t="s">
        <v>24</v>
      </c>
      <c r="F659" s="4">
        <v>0</v>
      </c>
      <c r="G659" s="8">
        <f t="shared" si="86"/>
        <v>1000000000</v>
      </c>
      <c r="H659" s="4" t="str">
        <f t="shared" si="87"/>
        <v>Ohms</v>
      </c>
      <c r="I659" s="6">
        <v>64100000</v>
      </c>
      <c r="J659" s="6" t="str">
        <f t="shared" si="88"/>
        <v>Ohms</v>
      </c>
      <c r="K659" s="2" t="str">
        <f t="shared" si="89"/>
        <v>RTG</v>
      </c>
      <c r="L659" s="7">
        <v>45900</v>
      </c>
      <c r="M659" s="7">
        <f t="shared" si="83"/>
        <v>46265</v>
      </c>
      <c r="N659" s="7" t="str">
        <f t="shared" si="84"/>
        <v>Anual</v>
      </c>
      <c r="O659" s="2" t="str">
        <f t="shared" ca="1" si="85"/>
        <v>VIGENTE</v>
      </c>
      <c r="P659" s="6" t="s">
        <v>25</v>
      </c>
      <c r="Q659" s="2"/>
    </row>
    <row r="660" spans="1:17" x14ac:dyDescent="0.25">
      <c r="A660" s="23" t="s">
        <v>116</v>
      </c>
      <c r="B660" s="2" t="s">
        <v>892</v>
      </c>
      <c r="C660" s="3" t="s">
        <v>28</v>
      </c>
      <c r="D660" s="3" t="s">
        <v>23</v>
      </c>
      <c r="E660" s="2" t="s">
        <v>24</v>
      </c>
      <c r="F660" s="4">
        <v>0</v>
      </c>
      <c r="G660" s="8">
        <f t="shared" si="86"/>
        <v>1000000000</v>
      </c>
      <c r="H660" s="4" t="str">
        <f t="shared" si="87"/>
        <v>Ohms</v>
      </c>
      <c r="I660" s="6">
        <v>2850000</v>
      </c>
      <c r="J660" s="6" t="str">
        <f t="shared" si="88"/>
        <v>Ohms</v>
      </c>
      <c r="K660" s="2" t="str">
        <f t="shared" si="89"/>
        <v>RTG</v>
      </c>
      <c r="L660" s="7">
        <v>45900</v>
      </c>
      <c r="M660" s="7">
        <f t="shared" si="83"/>
        <v>46265</v>
      </c>
      <c r="N660" s="7" t="str">
        <f t="shared" si="84"/>
        <v>Anual</v>
      </c>
      <c r="O660" s="2" t="str">
        <f t="shared" ca="1" si="85"/>
        <v>VIGENTE</v>
      </c>
      <c r="P660" s="6" t="s">
        <v>25</v>
      </c>
      <c r="Q660" s="2"/>
    </row>
    <row r="661" spans="1:17" x14ac:dyDescent="0.25">
      <c r="A661" s="23" t="s">
        <v>116</v>
      </c>
      <c r="B661" s="2" t="s">
        <v>893</v>
      </c>
      <c r="C661" s="3" t="s">
        <v>28</v>
      </c>
      <c r="D661" s="3" t="s">
        <v>23</v>
      </c>
      <c r="E661" s="2" t="s">
        <v>24</v>
      </c>
      <c r="F661" s="4">
        <v>0</v>
      </c>
      <c r="G661" s="8">
        <f t="shared" si="86"/>
        <v>1000000000</v>
      </c>
      <c r="H661" s="4" t="str">
        <f t="shared" si="87"/>
        <v>Ohms</v>
      </c>
      <c r="I661" s="6">
        <v>903000000</v>
      </c>
      <c r="J661" s="6" t="str">
        <f t="shared" si="88"/>
        <v>Ohms</v>
      </c>
      <c r="K661" s="2" t="str">
        <f t="shared" si="89"/>
        <v>RTG</v>
      </c>
      <c r="L661" s="7">
        <v>45900</v>
      </c>
      <c r="M661" s="7">
        <f t="shared" si="83"/>
        <v>46265</v>
      </c>
      <c r="N661" s="7" t="str">
        <f t="shared" si="84"/>
        <v>Anual</v>
      </c>
      <c r="O661" s="2" t="str">
        <f t="shared" ca="1" si="85"/>
        <v>VIGENTE</v>
      </c>
      <c r="P661" s="6" t="s">
        <v>25</v>
      </c>
      <c r="Q661" s="2"/>
    </row>
    <row r="662" spans="1:17" x14ac:dyDescent="0.25">
      <c r="A662" s="23" t="s">
        <v>116</v>
      </c>
      <c r="B662" s="2" t="s">
        <v>894</v>
      </c>
      <c r="C662" s="3" t="s">
        <v>28</v>
      </c>
      <c r="D662" s="3" t="s">
        <v>23</v>
      </c>
      <c r="E662" s="2" t="s">
        <v>24</v>
      </c>
      <c r="F662" s="4">
        <v>0</v>
      </c>
      <c r="G662" s="8">
        <f t="shared" si="86"/>
        <v>1000000000</v>
      </c>
      <c r="H662" s="4" t="str">
        <f t="shared" si="87"/>
        <v>Ohms</v>
      </c>
      <c r="I662" s="6">
        <v>174000</v>
      </c>
      <c r="J662" s="6" t="str">
        <f t="shared" si="88"/>
        <v>Ohms</v>
      </c>
      <c r="K662" s="2" t="str">
        <f t="shared" si="89"/>
        <v>RTG</v>
      </c>
      <c r="L662" s="7">
        <v>45900</v>
      </c>
      <c r="M662" s="7">
        <f t="shared" si="83"/>
        <v>46265</v>
      </c>
      <c r="N662" s="7" t="str">
        <f t="shared" si="84"/>
        <v>Anual</v>
      </c>
      <c r="O662" s="2" t="str">
        <f t="shared" ca="1" si="85"/>
        <v>VIGENTE</v>
      </c>
      <c r="P662" s="6" t="s">
        <v>25</v>
      </c>
      <c r="Q662" s="2"/>
    </row>
    <row r="663" spans="1:17" x14ac:dyDescent="0.25">
      <c r="A663" s="23" t="s">
        <v>116</v>
      </c>
      <c r="B663" s="2" t="s">
        <v>895</v>
      </c>
      <c r="C663" s="3" t="s">
        <v>28</v>
      </c>
      <c r="D663" s="3" t="s">
        <v>23</v>
      </c>
      <c r="E663" s="2" t="s">
        <v>24</v>
      </c>
      <c r="F663" s="4">
        <v>0</v>
      </c>
      <c r="G663" s="8">
        <f t="shared" si="86"/>
        <v>1000000000</v>
      </c>
      <c r="H663" s="4" t="str">
        <f t="shared" si="87"/>
        <v>Ohms</v>
      </c>
      <c r="I663" s="6">
        <v>71800000</v>
      </c>
      <c r="J663" s="6" t="str">
        <f t="shared" si="88"/>
        <v>Ohms</v>
      </c>
      <c r="K663" s="2" t="str">
        <f t="shared" si="89"/>
        <v>RTG</v>
      </c>
      <c r="L663" s="7">
        <v>45900</v>
      </c>
      <c r="M663" s="7">
        <f t="shared" si="83"/>
        <v>46265</v>
      </c>
      <c r="N663" s="7" t="str">
        <f t="shared" si="84"/>
        <v>Anual</v>
      </c>
      <c r="O663" s="2" t="str">
        <f t="shared" ca="1" si="85"/>
        <v>VIGENTE</v>
      </c>
      <c r="P663" s="6" t="s">
        <v>25</v>
      </c>
      <c r="Q663" s="2"/>
    </row>
    <row r="664" spans="1:17" x14ac:dyDescent="0.25">
      <c r="A664" s="23" t="s">
        <v>116</v>
      </c>
      <c r="B664" s="2" t="s">
        <v>896</v>
      </c>
      <c r="C664" s="3" t="s">
        <v>28</v>
      </c>
      <c r="D664" s="3" t="s">
        <v>23</v>
      </c>
      <c r="E664" s="2" t="s">
        <v>24</v>
      </c>
      <c r="F664" s="4">
        <v>0</v>
      </c>
      <c r="G664" s="8">
        <f t="shared" si="86"/>
        <v>1000000000</v>
      </c>
      <c r="H664" s="4" t="str">
        <f t="shared" si="87"/>
        <v>Ohms</v>
      </c>
      <c r="I664" s="6">
        <v>366000000</v>
      </c>
      <c r="J664" s="6" t="str">
        <f t="shared" si="88"/>
        <v>Ohms</v>
      </c>
      <c r="K664" s="2" t="str">
        <f t="shared" si="89"/>
        <v>RTG</v>
      </c>
      <c r="L664" s="7">
        <v>45900</v>
      </c>
      <c r="M664" s="7">
        <f t="shared" si="83"/>
        <v>46265</v>
      </c>
      <c r="N664" s="7" t="str">
        <f t="shared" si="84"/>
        <v>Anual</v>
      </c>
      <c r="O664" s="2" t="str">
        <f t="shared" ca="1" si="85"/>
        <v>VIGENTE</v>
      </c>
      <c r="P664" s="6" t="s">
        <v>25</v>
      </c>
      <c r="Q664" s="2"/>
    </row>
    <row r="665" spans="1:17" x14ac:dyDescent="0.25">
      <c r="A665" s="23" t="s">
        <v>116</v>
      </c>
      <c r="B665" s="2" t="s">
        <v>906</v>
      </c>
      <c r="C665" s="3" t="s">
        <v>28</v>
      </c>
      <c r="D665" s="3" t="s">
        <v>23</v>
      </c>
      <c r="E665" s="2" t="s">
        <v>24</v>
      </c>
      <c r="F665" s="4">
        <v>0</v>
      </c>
      <c r="G665" s="8">
        <f t="shared" si="86"/>
        <v>1000000000</v>
      </c>
      <c r="H665" s="4" t="str">
        <f t="shared" si="87"/>
        <v>Ohms</v>
      </c>
      <c r="I665" s="6">
        <v>894000</v>
      </c>
      <c r="J665" s="6" t="str">
        <f t="shared" si="88"/>
        <v>Ohms</v>
      </c>
      <c r="K665" s="2" t="str">
        <f t="shared" si="89"/>
        <v>RTG</v>
      </c>
      <c r="L665" s="7">
        <v>45900</v>
      </c>
      <c r="M665" s="7">
        <f t="shared" si="83"/>
        <v>46265</v>
      </c>
      <c r="N665" s="7" t="str">
        <f t="shared" si="84"/>
        <v>Anual</v>
      </c>
      <c r="O665" s="2" t="str">
        <f t="shared" ca="1" si="85"/>
        <v>VIGENTE</v>
      </c>
      <c r="P665" s="6" t="s">
        <v>25</v>
      </c>
      <c r="Q665" s="2"/>
    </row>
    <row r="666" spans="1:17" x14ac:dyDescent="0.25">
      <c r="A666" s="23" t="s">
        <v>116</v>
      </c>
      <c r="B666" s="2" t="s">
        <v>912</v>
      </c>
      <c r="C666" s="3" t="s">
        <v>28</v>
      </c>
      <c r="D666" s="3" t="s">
        <v>23</v>
      </c>
      <c r="E666" s="2" t="s">
        <v>24</v>
      </c>
      <c r="F666" s="4">
        <v>0</v>
      </c>
      <c r="G666" s="8">
        <f t="shared" si="86"/>
        <v>1000000000</v>
      </c>
      <c r="H666" s="4" t="str">
        <f t="shared" si="87"/>
        <v>Ohms</v>
      </c>
      <c r="I666" s="14">
        <v>127000000</v>
      </c>
      <c r="J666" s="6" t="str">
        <f t="shared" si="88"/>
        <v>Ohms</v>
      </c>
      <c r="K666" s="2" t="str">
        <f t="shared" si="89"/>
        <v>RTG</v>
      </c>
      <c r="L666" s="7">
        <v>45900</v>
      </c>
      <c r="M666" s="7">
        <f t="shared" si="83"/>
        <v>46265</v>
      </c>
      <c r="N666" s="7" t="str">
        <f t="shared" si="84"/>
        <v>Anual</v>
      </c>
      <c r="O666" s="2" t="str">
        <f t="shared" ca="1" si="85"/>
        <v>VIGENTE</v>
      </c>
      <c r="P666" s="6" t="s">
        <v>25</v>
      </c>
      <c r="Q666" s="2"/>
    </row>
    <row r="667" spans="1:17" x14ac:dyDescent="0.25">
      <c r="A667" s="23" t="s">
        <v>116</v>
      </c>
      <c r="B667" s="2" t="s">
        <v>913</v>
      </c>
      <c r="C667" s="3" t="s">
        <v>28</v>
      </c>
      <c r="D667" s="3" t="s">
        <v>23</v>
      </c>
      <c r="E667" s="2" t="s">
        <v>24</v>
      </c>
      <c r="F667" s="4">
        <v>0</v>
      </c>
      <c r="G667" s="8">
        <f t="shared" si="86"/>
        <v>1000000000</v>
      </c>
      <c r="H667" s="4" t="str">
        <f t="shared" si="87"/>
        <v>Ohms</v>
      </c>
      <c r="I667" s="6">
        <v>60300</v>
      </c>
      <c r="J667" s="6" t="str">
        <f t="shared" si="88"/>
        <v>Ohms</v>
      </c>
      <c r="K667" s="2" t="str">
        <f t="shared" si="89"/>
        <v>RTG</v>
      </c>
      <c r="L667" s="7">
        <v>45900</v>
      </c>
      <c r="M667" s="7">
        <f t="shared" si="83"/>
        <v>46265</v>
      </c>
      <c r="N667" s="7" t="str">
        <f t="shared" si="84"/>
        <v>Anual</v>
      </c>
      <c r="O667" s="2" t="str">
        <f t="shared" ca="1" si="85"/>
        <v>VIGENTE</v>
      </c>
      <c r="P667" s="6" t="s">
        <v>25</v>
      </c>
      <c r="Q667" s="2"/>
    </row>
    <row r="668" spans="1:17" x14ac:dyDescent="0.25">
      <c r="A668" s="23" t="s">
        <v>116</v>
      </c>
      <c r="B668" s="2" t="s">
        <v>914</v>
      </c>
      <c r="C668" s="3" t="s">
        <v>28</v>
      </c>
      <c r="D668" s="3" t="s">
        <v>23</v>
      </c>
      <c r="E668" s="2" t="s">
        <v>24</v>
      </c>
      <c r="F668" s="4">
        <v>0</v>
      </c>
      <c r="G668" s="8">
        <f t="shared" si="86"/>
        <v>1000000000</v>
      </c>
      <c r="H668" s="4" t="str">
        <f t="shared" si="87"/>
        <v>Ohms</v>
      </c>
      <c r="I668" s="6">
        <v>2490000</v>
      </c>
      <c r="J668" s="6" t="str">
        <f t="shared" si="88"/>
        <v>Ohms</v>
      </c>
      <c r="K668" s="2" t="str">
        <f t="shared" si="89"/>
        <v>RTG</v>
      </c>
      <c r="L668" s="7">
        <v>45900</v>
      </c>
      <c r="M668" s="7">
        <f t="shared" si="83"/>
        <v>46265</v>
      </c>
      <c r="N668" s="7" t="str">
        <f t="shared" si="84"/>
        <v>Anual</v>
      </c>
      <c r="O668" s="2" t="str">
        <f t="shared" ca="1" si="85"/>
        <v>VIGENTE</v>
      </c>
      <c r="P668" s="6" t="s">
        <v>25</v>
      </c>
      <c r="Q668" s="2"/>
    </row>
    <row r="669" spans="1:17" x14ac:dyDescent="0.25">
      <c r="A669" s="23" t="s">
        <v>116</v>
      </c>
      <c r="B669" s="2" t="s">
        <v>915</v>
      </c>
      <c r="C669" s="3" t="s">
        <v>28</v>
      </c>
      <c r="D669" s="3" t="s">
        <v>23</v>
      </c>
      <c r="E669" s="2" t="s">
        <v>24</v>
      </c>
      <c r="F669" s="4">
        <v>0</v>
      </c>
      <c r="G669" s="8">
        <f t="shared" si="86"/>
        <v>1000000000</v>
      </c>
      <c r="H669" s="4" t="str">
        <f t="shared" si="87"/>
        <v>Ohms</v>
      </c>
      <c r="I669" s="6">
        <v>9710000</v>
      </c>
      <c r="J669" s="6" t="str">
        <f t="shared" si="88"/>
        <v>Ohms</v>
      </c>
      <c r="K669" s="2" t="str">
        <f t="shared" si="89"/>
        <v>RTG</v>
      </c>
      <c r="L669" s="7">
        <v>45900</v>
      </c>
      <c r="M669" s="7">
        <f t="shared" si="83"/>
        <v>46265</v>
      </c>
      <c r="N669" s="7" t="str">
        <f t="shared" si="84"/>
        <v>Anual</v>
      </c>
      <c r="O669" s="2" t="str">
        <f t="shared" ca="1" si="85"/>
        <v>VIGENTE</v>
      </c>
      <c r="P669" s="6" t="s">
        <v>25</v>
      </c>
      <c r="Q669" s="2"/>
    </row>
    <row r="670" spans="1:17" x14ac:dyDescent="0.25">
      <c r="A670" s="23" t="s">
        <v>116</v>
      </c>
      <c r="B670" s="2" t="s">
        <v>916</v>
      </c>
      <c r="C670" s="3" t="s">
        <v>28</v>
      </c>
      <c r="D670" s="3" t="s">
        <v>23</v>
      </c>
      <c r="E670" s="2" t="s">
        <v>24</v>
      </c>
      <c r="F670" s="4">
        <v>0</v>
      </c>
      <c r="G670" s="8">
        <f t="shared" si="86"/>
        <v>1000000000</v>
      </c>
      <c r="H670" s="4" t="str">
        <f t="shared" si="87"/>
        <v>Ohms</v>
      </c>
      <c r="I670" s="6">
        <v>438000000</v>
      </c>
      <c r="J670" s="6" t="str">
        <f t="shared" si="88"/>
        <v>Ohms</v>
      </c>
      <c r="K670" s="2" t="str">
        <f t="shared" si="89"/>
        <v>RTG</v>
      </c>
      <c r="L670" s="7">
        <v>45900</v>
      </c>
      <c r="M670" s="7">
        <f t="shared" si="83"/>
        <v>46265</v>
      </c>
      <c r="N670" s="7" t="str">
        <f t="shared" si="84"/>
        <v>Anual</v>
      </c>
      <c r="O670" s="2" t="str">
        <f t="shared" ca="1" si="85"/>
        <v>VIGENTE</v>
      </c>
      <c r="P670" s="6" t="s">
        <v>25</v>
      </c>
      <c r="Q670" s="2"/>
    </row>
    <row r="671" spans="1:17" x14ac:dyDescent="0.25">
      <c r="A671" s="23" t="s">
        <v>116</v>
      </c>
      <c r="B671" s="2" t="s">
        <v>917</v>
      </c>
      <c r="C671" s="3" t="s">
        <v>28</v>
      </c>
      <c r="D671" s="3" t="s">
        <v>23</v>
      </c>
      <c r="E671" s="2" t="s">
        <v>24</v>
      </c>
      <c r="F671" s="4">
        <v>0</v>
      </c>
      <c r="G671" s="8">
        <f t="shared" si="86"/>
        <v>1000000000</v>
      </c>
      <c r="H671" s="4" t="str">
        <f t="shared" si="87"/>
        <v>Ohms</v>
      </c>
      <c r="I671" s="6">
        <v>756000</v>
      </c>
      <c r="J671" s="6" t="str">
        <f t="shared" si="88"/>
        <v>Ohms</v>
      </c>
      <c r="K671" s="2" t="str">
        <f t="shared" si="89"/>
        <v>RTG</v>
      </c>
      <c r="L671" s="7">
        <v>45900</v>
      </c>
      <c r="M671" s="7">
        <f t="shared" si="83"/>
        <v>46265</v>
      </c>
      <c r="N671" s="7" t="str">
        <f t="shared" si="84"/>
        <v>Anual</v>
      </c>
      <c r="O671" s="2" t="str">
        <f t="shared" ca="1" si="85"/>
        <v>VIGENTE</v>
      </c>
      <c r="P671" s="6" t="s">
        <v>25</v>
      </c>
      <c r="Q671" s="2"/>
    </row>
    <row r="672" spans="1:17" x14ac:dyDescent="0.25">
      <c r="A672" s="23" t="s">
        <v>116</v>
      </c>
      <c r="B672" s="2" t="s">
        <v>918</v>
      </c>
      <c r="C672" s="3" t="s">
        <v>28</v>
      </c>
      <c r="D672" s="3" t="s">
        <v>23</v>
      </c>
      <c r="E672" s="2" t="s">
        <v>24</v>
      </c>
      <c r="F672" s="4">
        <v>0</v>
      </c>
      <c r="G672" s="8">
        <f t="shared" si="86"/>
        <v>1000000000</v>
      </c>
      <c r="H672" s="4" t="str">
        <f t="shared" si="87"/>
        <v>Ohms</v>
      </c>
      <c r="I672" s="6">
        <v>1930000</v>
      </c>
      <c r="J672" s="6" t="str">
        <f t="shared" si="88"/>
        <v>Ohms</v>
      </c>
      <c r="K672" s="2" t="str">
        <f t="shared" si="89"/>
        <v>RTG</v>
      </c>
      <c r="L672" s="7">
        <v>45900</v>
      </c>
      <c r="M672" s="7">
        <f t="shared" si="83"/>
        <v>46265</v>
      </c>
      <c r="N672" s="7" t="str">
        <f t="shared" si="84"/>
        <v>Anual</v>
      </c>
      <c r="O672" s="2" t="str">
        <f t="shared" ca="1" si="85"/>
        <v>VIGENTE</v>
      </c>
      <c r="P672" s="6" t="s">
        <v>25</v>
      </c>
      <c r="Q672" s="2"/>
    </row>
    <row r="673" spans="1:17" x14ac:dyDescent="0.25">
      <c r="A673" s="23" t="s">
        <v>116</v>
      </c>
      <c r="B673" s="2" t="s">
        <v>919</v>
      </c>
      <c r="C673" s="3" t="s">
        <v>28</v>
      </c>
      <c r="D673" s="3" t="s">
        <v>23</v>
      </c>
      <c r="E673" s="2" t="s">
        <v>24</v>
      </c>
      <c r="F673" s="4">
        <v>0</v>
      </c>
      <c r="G673" s="8">
        <f t="shared" si="86"/>
        <v>1000000000</v>
      </c>
      <c r="H673" s="4" t="str">
        <f t="shared" si="87"/>
        <v>Ohms</v>
      </c>
      <c r="I673" s="6">
        <v>81200000</v>
      </c>
      <c r="J673" s="6" t="str">
        <f t="shared" si="88"/>
        <v>Ohms</v>
      </c>
      <c r="K673" s="2" t="str">
        <f t="shared" si="89"/>
        <v>RTG</v>
      </c>
      <c r="L673" s="7">
        <v>45900</v>
      </c>
      <c r="M673" s="7">
        <f t="shared" si="83"/>
        <v>46265</v>
      </c>
      <c r="N673" s="7" t="str">
        <f t="shared" si="84"/>
        <v>Anual</v>
      </c>
      <c r="O673" s="2" t="str">
        <f t="shared" ca="1" si="85"/>
        <v>VIGENTE</v>
      </c>
      <c r="P673" s="6" t="s">
        <v>25</v>
      </c>
      <c r="Q673" s="2"/>
    </row>
    <row r="674" spans="1:17" x14ac:dyDescent="0.25">
      <c r="A674" s="23" t="s">
        <v>116</v>
      </c>
      <c r="B674" s="2" t="s">
        <v>920</v>
      </c>
      <c r="C674" s="3" t="s">
        <v>28</v>
      </c>
      <c r="D674" s="3" t="s">
        <v>23</v>
      </c>
      <c r="E674" s="2" t="s">
        <v>24</v>
      </c>
      <c r="F674" s="4">
        <v>0</v>
      </c>
      <c r="G674" s="8">
        <f t="shared" si="86"/>
        <v>1000000000</v>
      </c>
      <c r="H674" s="4" t="str">
        <f t="shared" si="87"/>
        <v>Ohms</v>
      </c>
      <c r="I674" s="6">
        <v>30500</v>
      </c>
      <c r="J674" s="6" t="str">
        <f t="shared" si="88"/>
        <v>Ohms</v>
      </c>
      <c r="K674" s="2" t="str">
        <f t="shared" si="89"/>
        <v>RTG</v>
      </c>
      <c r="L674" s="7">
        <v>45900</v>
      </c>
      <c r="M674" s="7">
        <f t="shared" si="83"/>
        <v>46265</v>
      </c>
      <c r="N674" s="7" t="str">
        <f t="shared" si="84"/>
        <v>Anual</v>
      </c>
      <c r="O674" s="2" t="str">
        <f t="shared" ca="1" si="85"/>
        <v>VIGENTE</v>
      </c>
      <c r="P674" s="6" t="s">
        <v>25</v>
      </c>
      <c r="Q674" s="2"/>
    </row>
    <row r="675" spans="1:17" x14ac:dyDescent="0.25">
      <c r="A675" s="23" t="s">
        <v>116</v>
      </c>
      <c r="B675" s="2" t="s">
        <v>955</v>
      </c>
      <c r="C675" s="3" t="s">
        <v>28</v>
      </c>
      <c r="D675" s="3" t="s">
        <v>23</v>
      </c>
      <c r="E675" s="2" t="s">
        <v>24</v>
      </c>
      <c r="F675" s="4">
        <v>0</v>
      </c>
      <c r="G675" s="8">
        <f t="shared" si="86"/>
        <v>1000000000</v>
      </c>
      <c r="H675" s="4" t="str">
        <f t="shared" si="87"/>
        <v>Ohms</v>
      </c>
      <c r="I675" s="6">
        <v>584000000</v>
      </c>
      <c r="J675" s="6" t="str">
        <f t="shared" si="88"/>
        <v>Ohms</v>
      </c>
      <c r="K675" s="2" t="str">
        <f t="shared" si="89"/>
        <v>RTG</v>
      </c>
      <c r="L675" s="7">
        <v>45900</v>
      </c>
      <c r="M675" s="7">
        <f t="shared" ref="M675:M738" si="90">IF(N675="Trimestral", L675+90, IF(N675="Semestral", L675+180, IF(N675="Mensual", L675+30, L675+365)))</f>
        <v>46265</v>
      </c>
      <c r="N675" s="7" t="str">
        <f t="shared" ref="N675:N693" si="91">IF(C675="Ionizador", "Trimestral", IF(C675="Rack", "Anual", IF(C675="Mesa", "Anual", IF(C675="Tapete", "Semestral", IF(C675="Cautín", "Semestral", IF(C675="Silla", "Semestral", "Anual"))))))</f>
        <v>Anual</v>
      </c>
      <c r="O675" s="2" t="str">
        <f t="shared" ref="O675:O693" ca="1" si="92">IF(M675&lt;TODAY(),"VENCIDO",IF(M675=TODAY(),"VIGENTE",IF(M675&gt;TODAY(),"VIGENTE")))</f>
        <v>VIGENTE</v>
      </c>
      <c r="P675" s="6" t="s">
        <v>25</v>
      </c>
      <c r="Q675" s="2"/>
    </row>
    <row r="676" spans="1:17" x14ac:dyDescent="0.25">
      <c r="A676" s="23" t="s">
        <v>116</v>
      </c>
      <c r="B676" s="2" t="s">
        <v>959</v>
      </c>
      <c r="C676" s="3" t="s">
        <v>28</v>
      </c>
      <c r="D676" s="3" t="s">
        <v>23</v>
      </c>
      <c r="E676" s="2" t="s">
        <v>24</v>
      </c>
      <c r="F676" s="4">
        <v>0</v>
      </c>
      <c r="G676" s="8">
        <f t="shared" si="86"/>
        <v>1000000000</v>
      </c>
      <c r="H676" s="4" t="str">
        <f t="shared" si="87"/>
        <v>Ohms</v>
      </c>
      <c r="I676" s="6">
        <v>2160000</v>
      </c>
      <c r="J676" s="6" t="str">
        <f t="shared" si="88"/>
        <v>Ohms</v>
      </c>
      <c r="K676" s="2" t="str">
        <f t="shared" si="89"/>
        <v>RTG</v>
      </c>
      <c r="L676" s="7">
        <v>45900</v>
      </c>
      <c r="M676" s="7">
        <f t="shared" si="90"/>
        <v>46265</v>
      </c>
      <c r="N676" s="7" t="str">
        <f t="shared" si="91"/>
        <v>Anual</v>
      </c>
      <c r="O676" s="2" t="str">
        <f t="shared" ca="1" si="92"/>
        <v>VIGENTE</v>
      </c>
      <c r="P676" s="6" t="s">
        <v>25</v>
      </c>
      <c r="Q676" s="2"/>
    </row>
    <row r="677" spans="1:17" x14ac:dyDescent="0.25">
      <c r="A677" s="23" t="s">
        <v>116</v>
      </c>
      <c r="B677" s="2" t="s">
        <v>960</v>
      </c>
      <c r="C677" s="3" t="s">
        <v>28</v>
      </c>
      <c r="D677" s="3" t="s">
        <v>23</v>
      </c>
      <c r="E677" s="2" t="s">
        <v>24</v>
      </c>
      <c r="F677" s="4">
        <v>0</v>
      </c>
      <c r="G677" s="8">
        <f t="shared" si="86"/>
        <v>1000000000</v>
      </c>
      <c r="H677" s="4" t="str">
        <f t="shared" si="87"/>
        <v>Ohms</v>
      </c>
      <c r="I677" s="6">
        <v>7620000</v>
      </c>
      <c r="J677" s="6" t="str">
        <f t="shared" si="88"/>
        <v>Ohms</v>
      </c>
      <c r="K677" s="2" t="str">
        <f t="shared" si="89"/>
        <v>RTG</v>
      </c>
      <c r="L677" s="7">
        <v>45900</v>
      </c>
      <c r="M677" s="7">
        <f t="shared" si="90"/>
        <v>46265</v>
      </c>
      <c r="N677" s="7" t="str">
        <f t="shared" si="91"/>
        <v>Anual</v>
      </c>
      <c r="O677" s="2" t="str">
        <f t="shared" ca="1" si="92"/>
        <v>VIGENTE</v>
      </c>
      <c r="P677" s="6" t="s">
        <v>25</v>
      </c>
      <c r="Q677" s="2"/>
    </row>
    <row r="678" spans="1:17" x14ac:dyDescent="0.25">
      <c r="A678" s="23" t="s">
        <v>116</v>
      </c>
      <c r="B678" s="2" t="s">
        <v>961</v>
      </c>
      <c r="C678" s="3" t="s">
        <v>28</v>
      </c>
      <c r="D678" s="3" t="s">
        <v>23</v>
      </c>
      <c r="E678" s="2" t="s">
        <v>24</v>
      </c>
      <c r="F678" s="4">
        <v>0</v>
      </c>
      <c r="G678" s="8">
        <f t="shared" si="86"/>
        <v>1000000000</v>
      </c>
      <c r="H678" s="4" t="str">
        <f t="shared" si="87"/>
        <v>Ohms</v>
      </c>
      <c r="I678" s="6">
        <v>319000000</v>
      </c>
      <c r="J678" s="6" t="str">
        <f t="shared" si="88"/>
        <v>Ohms</v>
      </c>
      <c r="K678" s="2" t="str">
        <f t="shared" si="89"/>
        <v>RTG</v>
      </c>
      <c r="L678" s="7">
        <v>45900</v>
      </c>
      <c r="M678" s="7">
        <f t="shared" si="90"/>
        <v>46265</v>
      </c>
      <c r="N678" s="7" t="str">
        <f t="shared" si="91"/>
        <v>Anual</v>
      </c>
      <c r="O678" s="2" t="str">
        <f t="shared" ca="1" si="92"/>
        <v>VIGENTE</v>
      </c>
      <c r="P678" s="6" t="s">
        <v>25</v>
      </c>
      <c r="Q678" s="2"/>
    </row>
    <row r="679" spans="1:17" x14ac:dyDescent="0.25">
      <c r="A679" s="23" t="s">
        <v>116</v>
      </c>
      <c r="B679" s="2" t="s">
        <v>962</v>
      </c>
      <c r="C679" s="3" t="s">
        <v>28</v>
      </c>
      <c r="D679" s="3" t="s">
        <v>23</v>
      </c>
      <c r="E679" s="2" t="s">
        <v>24</v>
      </c>
      <c r="F679" s="4">
        <v>0</v>
      </c>
      <c r="G679" s="8">
        <f t="shared" si="86"/>
        <v>1000000000</v>
      </c>
      <c r="H679" s="4" t="str">
        <f t="shared" si="87"/>
        <v>Ohms</v>
      </c>
      <c r="I679" s="6">
        <v>50400</v>
      </c>
      <c r="J679" s="6" t="str">
        <f t="shared" si="88"/>
        <v>Ohms</v>
      </c>
      <c r="K679" s="2" t="str">
        <f t="shared" si="89"/>
        <v>RTG</v>
      </c>
      <c r="L679" s="7">
        <v>45900</v>
      </c>
      <c r="M679" s="7">
        <f t="shared" si="90"/>
        <v>46265</v>
      </c>
      <c r="N679" s="7" t="str">
        <f t="shared" si="91"/>
        <v>Anual</v>
      </c>
      <c r="O679" s="2" t="str">
        <f t="shared" ca="1" si="92"/>
        <v>VIGENTE</v>
      </c>
      <c r="P679" s="6" t="s">
        <v>25</v>
      </c>
      <c r="Q679" s="2"/>
    </row>
    <row r="680" spans="1:17" x14ac:dyDescent="0.25">
      <c r="A680" s="23" t="s">
        <v>116</v>
      </c>
      <c r="B680" s="2" t="s">
        <v>963</v>
      </c>
      <c r="C680" s="3" t="s">
        <v>28</v>
      </c>
      <c r="D680" s="3" t="s">
        <v>23</v>
      </c>
      <c r="E680" s="2" t="s">
        <v>24</v>
      </c>
      <c r="F680" s="4">
        <v>0</v>
      </c>
      <c r="G680" s="8">
        <f t="shared" si="86"/>
        <v>1000000000</v>
      </c>
      <c r="H680" s="4" t="str">
        <f t="shared" si="87"/>
        <v>Ohms</v>
      </c>
      <c r="I680" s="6">
        <v>87700000</v>
      </c>
      <c r="J680" s="6" t="str">
        <f t="shared" si="88"/>
        <v>Ohms</v>
      </c>
      <c r="K680" s="2" t="str">
        <f t="shared" si="89"/>
        <v>RTG</v>
      </c>
      <c r="L680" s="7">
        <v>45900</v>
      </c>
      <c r="M680" s="7">
        <f t="shared" si="90"/>
        <v>46265</v>
      </c>
      <c r="N680" s="7" t="str">
        <f t="shared" si="91"/>
        <v>Anual</v>
      </c>
      <c r="O680" s="2" t="str">
        <f t="shared" ca="1" si="92"/>
        <v>VIGENTE</v>
      </c>
      <c r="P680" s="6" t="s">
        <v>25</v>
      </c>
      <c r="Q680" s="2"/>
    </row>
    <row r="681" spans="1:17" x14ac:dyDescent="0.25">
      <c r="A681" s="23" t="s">
        <v>116</v>
      </c>
      <c r="B681" s="2" t="s">
        <v>964</v>
      </c>
      <c r="C681" s="3" t="s">
        <v>28</v>
      </c>
      <c r="D681" s="3" t="s">
        <v>23</v>
      </c>
      <c r="E681" s="2" t="s">
        <v>24</v>
      </c>
      <c r="F681" s="4">
        <v>0</v>
      </c>
      <c r="G681" s="8">
        <f t="shared" si="86"/>
        <v>1000000000</v>
      </c>
      <c r="H681" s="4" t="str">
        <f t="shared" si="87"/>
        <v>Ohms</v>
      </c>
      <c r="I681" s="6">
        <v>158000</v>
      </c>
      <c r="J681" s="6" t="str">
        <f t="shared" si="88"/>
        <v>Ohms</v>
      </c>
      <c r="K681" s="2" t="str">
        <f t="shared" si="89"/>
        <v>RTG</v>
      </c>
      <c r="L681" s="7">
        <v>45900</v>
      </c>
      <c r="M681" s="7">
        <f t="shared" si="90"/>
        <v>46265</v>
      </c>
      <c r="N681" s="7" t="str">
        <f t="shared" si="91"/>
        <v>Anual</v>
      </c>
      <c r="O681" s="2" t="str">
        <f t="shared" ca="1" si="92"/>
        <v>VIGENTE</v>
      </c>
      <c r="P681" s="6" t="s">
        <v>25</v>
      </c>
      <c r="Q681" s="2"/>
    </row>
    <row r="682" spans="1:17" x14ac:dyDescent="0.25">
      <c r="A682" s="23" t="s">
        <v>116</v>
      </c>
      <c r="B682" s="2" t="s">
        <v>965</v>
      </c>
      <c r="C682" s="3" t="s">
        <v>28</v>
      </c>
      <c r="D682" s="3" t="s">
        <v>23</v>
      </c>
      <c r="E682" s="2" t="s">
        <v>24</v>
      </c>
      <c r="F682" s="4">
        <v>0</v>
      </c>
      <c r="G682" s="8">
        <f t="shared" si="86"/>
        <v>1000000000</v>
      </c>
      <c r="H682" s="4" t="str">
        <f t="shared" si="87"/>
        <v>Ohms</v>
      </c>
      <c r="I682" s="6">
        <v>411000000</v>
      </c>
      <c r="J682" s="6" t="str">
        <f t="shared" si="88"/>
        <v>Ohms</v>
      </c>
      <c r="K682" s="2" t="str">
        <f t="shared" si="89"/>
        <v>RTG</v>
      </c>
      <c r="L682" s="7">
        <v>45900</v>
      </c>
      <c r="M682" s="7">
        <f t="shared" si="90"/>
        <v>46265</v>
      </c>
      <c r="N682" s="7" t="str">
        <f t="shared" si="91"/>
        <v>Anual</v>
      </c>
      <c r="O682" s="2" t="str">
        <f t="shared" ca="1" si="92"/>
        <v>VIGENTE</v>
      </c>
      <c r="P682" s="6" t="s">
        <v>25</v>
      </c>
      <c r="Q682" s="2"/>
    </row>
    <row r="683" spans="1:17" x14ac:dyDescent="0.25">
      <c r="A683" s="23" t="s">
        <v>116</v>
      </c>
      <c r="B683" s="2" t="s">
        <v>966</v>
      </c>
      <c r="C683" s="3" t="s">
        <v>28</v>
      </c>
      <c r="D683" s="3" t="s">
        <v>23</v>
      </c>
      <c r="E683" s="2" t="s">
        <v>24</v>
      </c>
      <c r="F683" s="4">
        <v>0</v>
      </c>
      <c r="G683" s="8">
        <f t="shared" si="86"/>
        <v>1000000000</v>
      </c>
      <c r="H683" s="4" t="str">
        <f t="shared" si="87"/>
        <v>Ohms</v>
      </c>
      <c r="I683" s="6">
        <v>69300</v>
      </c>
      <c r="J683" s="6" t="str">
        <f t="shared" si="88"/>
        <v>Ohms</v>
      </c>
      <c r="K683" s="2" t="str">
        <f t="shared" si="89"/>
        <v>RTG</v>
      </c>
      <c r="L683" s="7">
        <v>45900</v>
      </c>
      <c r="M683" s="7">
        <f t="shared" si="90"/>
        <v>46265</v>
      </c>
      <c r="N683" s="7" t="str">
        <f t="shared" si="91"/>
        <v>Anual</v>
      </c>
      <c r="O683" s="2" t="str">
        <f t="shared" ca="1" si="92"/>
        <v>VIGENTE</v>
      </c>
      <c r="P683" s="6" t="s">
        <v>25</v>
      </c>
      <c r="Q683" s="2"/>
    </row>
    <row r="684" spans="1:17" x14ac:dyDescent="0.25">
      <c r="A684" s="23" t="s">
        <v>116</v>
      </c>
      <c r="B684" s="2" t="s">
        <v>976</v>
      </c>
      <c r="C684" s="3" t="s">
        <v>28</v>
      </c>
      <c r="D684" s="3" t="s">
        <v>23</v>
      </c>
      <c r="E684" s="2" t="s">
        <v>24</v>
      </c>
      <c r="F684" s="4">
        <v>0</v>
      </c>
      <c r="G684" s="8">
        <f t="shared" si="86"/>
        <v>1000000000</v>
      </c>
      <c r="H684" s="4" t="str">
        <f t="shared" si="87"/>
        <v>Ohms</v>
      </c>
      <c r="I684" s="6">
        <v>24700000</v>
      </c>
      <c r="J684" s="6" t="str">
        <f t="shared" si="88"/>
        <v>Ohms</v>
      </c>
      <c r="K684" s="2" t="str">
        <f t="shared" si="89"/>
        <v>RTG</v>
      </c>
      <c r="L684" s="7">
        <v>45900</v>
      </c>
      <c r="M684" s="7">
        <f t="shared" si="90"/>
        <v>46265</v>
      </c>
      <c r="N684" s="7" t="str">
        <f t="shared" si="91"/>
        <v>Anual</v>
      </c>
      <c r="O684" s="2" t="str">
        <f t="shared" ca="1" si="92"/>
        <v>VIGENTE</v>
      </c>
      <c r="P684" s="6" t="s">
        <v>25</v>
      </c>
      <c r="Q684" s="2"/>
    </row>
    <row r="685" spans="1:17" x14ac:dyDescent="0.25">
      <c r="A685" s="23" t="s">
        <v>116</v>
      </c>
      <c r="B685" s="2" t="s">
        <v>982</v>
      </c>
      <c r="C685" s="3" t="s">
        <v>28</v>
      </c>
      <c r="D685" s="3" t="s">
        <v>23</v>
      </c>
      <c r="E685" s="2" t="s">
        <v>24</v>
      </c>
      <c r="F685" s="4">
        <v>0</v>
      </c>
      <c r="G685" s="8">
        <f t="shared" si="86"/>
        <v>1000000000</v>
      </c>
      <c r="H685" s="4" t="str">
        <f t="shared" si="87"/>
        <v>Ohms</v>
      </c>
      <c r="I685" s="6">
        <v>780000</v>
      </c>
      <c r="J685" s="6" t="str">
        <f t="shared" si="88"/>
        <v>Ohms</v>
      </c>
      <c r="K685" s="2" t="str">
        <f t="shared" si="89"/>
        <v>RTG</v>
      </c>
      <c r="L685" s="7">
        <v>45900</v>
      </c>
      <c r="M685" s="7">
        <f t="shared" si="90"/>
        <v>46265</v>
      </c>
      <c r="N685" s="7" t="str">
        <f t="shared" si="91"/>
        <v>Anual</v>
      </c>
      <c r="O685" s="2" t="str">
        <f t="shared" ca="1" si="92"/>
        <v>VIGENTE</v>
      </c>
      <c r="P685" s="6" t="s">
        <v>25</v>
      </c>
      <c r="Q685" s="2"/>
    </row>
    <row r="686" spans="1:17" x14ac:dyDescent="0.25">
      <c r="A686" s="23" t="s">
        <v>116</v>
      </c>
      <c r="B686" s="2" t="s">
        <v>983</v>
      </c>
      <c r="C686" s="3" t="s">
        <v>28</v>
      </c>
      <c r="D686" s="3" t="s">
        <v>23</v>
      </c>
      <c r="E686" s="2" t="s">
        <v>24</v>
      </c>
      <c r="F686" s="4">
        <v>0</v>
      </c>
      <c r="G686" s="8">
        <f t="shared" si="86"/>
        <v>1000000000</v>
      </c>
      <c r="H686" s="4" t="str">
        <f t="shared" si="87"/>
        <v>Ohms</v>
      </c>
      <c r="I686" s="6">
        <v>134000000</v>
      </c>
      <c r="J686" s="6" t="str">
        <f t="shared" si="88"/>
        <v>Ohms</v>
      </c>
      <c r="K686" s="2" t="str">
        <f t="shared" si="89"/>
        <v>RTG</v>
      </c>
      <c r="L686" s="7">
        <v>45900</v>
      </c>
      <c r="M686" s="7">
        <f t="shared" si="90"/>
        <v>46265</v>
      </c>
      <c r="N686" s="7" t="str">
        <f t="shared" si="91"/>
        <v>Anual</v>
      </c>
      <c r="O686" s="2" t="str">
        <f t="shared" ca="1" si="92"/>
        <v>VIGENTE</v>
      </c>
      <c r="P686" s="6" t="s">
        <v>25</v>
      </c>
      <c r="Q686" s="2"/>
    </row>
    <row r="687" spans="1:17" x14ac:dyDescent="0.25">
      <c r="A687" s="23" t="s">
        <v>116</v>
      </c>
      <c r="B687" s="2" t="s">
        <v>984</v>
      </c>
      <c r="C687" s="3" t="s">
        <v>28</v>
      </c>
      <c r="D687" s="3" t="s">
        <v>23</v>
      </c>
      <c r="E687" s="2" t="s">
        <v>24</v>
      </c>
      <c r="F687" s="4">
        <v>0</v>
      </c>
      <c r="G687" s="8">
        <f t="shared" si="86"/>
        <v>1000000000</v>
      </c>
      <c r="H687" s="4" t="str">
        <f t="shared" si="87"/>
        <v>Ohms</v>
      </c>
      <c r="I687" s="6">
        <v>5960000</v>
      </c>
      <c r="J687" s="6" t="str">
        <f t="shared" si="88"/>
        <v>Ohms</v>
      </c>
      <c r="K687" s="2" t="str">
        <f t="shared" si="89"/>
        <v>RTG</v>
      </c>
      <c r="L687" s="7">
        <v>45900</v>
      </c>
      <c r="M687" s="7">
        <f t="shared" si="90"/>
        <v>46265</v>
      </c>
      <c r="N687" s="7" t="str">
        <f t="shared" si="91"/>
        <v>Anual</v>
      </c>
      <c r="O687" s="2" t="str">
        <f t="shared" ca="1" si="92"/>
        <v>VIGENTE</v>
      </c>
      <c r="P687" s="6" t="s">
        <v>25</v>
      </c>
      <c r="Q687" s="2"/>
    </row>
    <row r="688" spans="1:17" x14ac:dyDescent="0.25">
      <c r="A688" s="23" t="s">
        <v>116</v>
      </c>
      <c r="B688" s="2" t="s">
        <v>985</v>
      </c>
      <c r="C688" s="3" t="s">
        <v>28</v>
      </c>
      <c r="D688" s="3" t="s">
        <v>23</v>
      </c>
      <c r="E688" s="2" t="s">
        <v>24</v>
      </c>
      <c r="F688" s="4">
        <v>0</v>
      </c>
      <c r="G688" s="8">
        <f t="shared" si="86"/>
        <v>1000000000</v>
      </c>
      <c r="H688" s="4" t="str">
        <f t="shared" si="87"/>
        <v>Ohms</v>
      </c>
      <c r="I688" s="6">
        <v>80200</v>
      </c>
      <c r="J688" s="6" t="str">
        <f t="shared" si="88"/>
        <v>Ohms</v>
      </c>
      <c r="K688" s="2" t="str">
        <f t="shared" si="89"/>
        <v>RTG</v>
      </c>
      <c r="L688" s="7">
        <v>45900</v>
      </c>
      <c r="M688" s="7">
        <f t="shared" si="90"/>
        <v>46265</v>
      </c>
      <c r="N688" s="7" t="str">
        <f t="shared" si="91"/>
        <v>Anual</v>
      </c>
      <c r="O688" s="2" t="str">
        <f t="shared" ca="1" si="92"/>
        <v>VIGENTE</v>
      </c>
      <c r="P688" s="6" t="s">
        <v>25</v>
      </c>
      <c r="Q688" s="2"/>
    </row>
    <row r="689" spans="1:17" x14ac:dyDescent="0.25">
      <c r="A689" s="23" t="s">
        <v>116</v>
      </c>
      <c r="B689" s="2" t="s">
        <v>986</v>
      </c>
      <c r="C689" s="3" t="s">
        <v>28</v>
      </c>
      <c r="D689" s="3" t="s">
        <v>23</v>
      </c>
      <c r="E689" s="2" t="s">
        <v>24</v>
      </c>
      <c r="F689" s="4">
        <v>0</v>
      </c>
      <c r="G689" s="8">
        <f t="shared" si="86"/>
        <v>1000000000</v>
      </c>
      <c r="H689" s="4" t="str">
        <f t="shared" si="87"/>
        <v>Ohms</v>
      </c>
      <c r="I689" s="6">
        <v>35600000</v>
      </c>
      <c r="J689" s="6" t="str">
        <f t="shared" si="88"/>
        <v>Ohms</v>
      </c>
      <c r="K689" s="2" t="str">
        <f t="shared" si="89"/>
        <v>RTG</v>
      </c>
      <c r="L689" s="7">
        <v>45900</v>
      </c>
      <c r="M689" s="7">
        <f t="shared" si="90"/>
        <v>46265</v>
      </c>
      <c r="N689" s="7" t="str">
        <f t="shared" si="91"/>
        <v>Anual</v>
      </c>
      <c r="O689" s="2" t="str">
        <f t="shared" ca="1" si="92"/>
        <v>VIGENTE</v>
      </c>
      <c r="P689" s="6" t="s">
        <v>25</v>
      </c>
      <c r="Q689" s="2"/>
    </row>
    <row r="690" spans="1:17" x14ac:dyDescent="0.25">
      <c r="A690" s="23" t="s">
        <v>116</v>
      </c>
      <c r="B690" s="2" t="s">
        <v>987</v>
      </c>
      <c r="C690" s="3" t="s">
        <v>28</v>
      </c>
      <c r="D690" s="3" t="s">
        <v>23</v>
      </c>
      <c r="E690" s="2" t="s">
        <v>24</v>
      </c>
      <c r="F690" s="4">
        <v>0</v>
      </c>
      <c r="G690" s="8">
        <f t="shared" si="86"/>
        <v>1000000000</v>
      </c>
      <c r="H690" s="4" t="str">
        <f t="shared" si="87"/>
        <v>Ohms</v>
      </c>
      <c r="I690" s="6">
        <v>981000000</v>
      </c>
      <c r="J690" s="6" t="str">
        <f t="shared" si="88"/>
        <v>Ohms</v>
      </c>
      <c r="K690" s="2" t="str">
        <f t="shared" si="89"/>
        <v>RTG</v>
      </c>
      <c r="L690" s="7">
        <v>45899</v>
      </c>
      <c r="M690" s="7">
        <f t="shared" si="90"/>
        <v>46264</v>
      </c>
      <c r="N690" s="7" t="str">
        <f t="shared" si="91"/>
        <v>Anual</v>
      </c>
      <c r="O690" s="2" t="str">
        <f t="shared" ca="1" si="92"/>
        <v>VIGENTE</v>
      </c>
      <c r="P690" s="6" t="s">
        <v>25</v>
      </c>
      <c r="Q690" s="2"/>
    </row>
    <row r="691" spans="1:17" x14ac:dyDescent="0.25">
      <c r="A691" s="23" t="s">
        <v>116</v>
      </c>
      <c r="B691" s="2" t="s">
        <v>988</v>
      </c>
      <c r="C691" s="3" t="s">
        <v>28</v>
      </c>
      <c r="D691" s="3" t="s">
        <v>23</v>
      </c>
      <c r="E691" s="2" t="s">
        <v>24</v>
      </c>
      <c r="F691" s="4">
        <v>0</v>
      </c>
      <c r="G691" s="8">
        <f t="shared" si="86"/>
        <v>1000000000</v>
      </c>
      <c r="H691" s="4" t="str">
        <f t="shared" si="87"/>
        <v>Ohms</v>
      </c>
      <c r="I691" s="6">
        <v>264000</v>
      </c>
      <c r="J691" s="6" t="str">
        <f t="shared" si="88"/>
        <v>Ohms</v>
      </c>
      <c r="K691" s="2" t="str">
        <f t="shared" si="89"/>
        <v>RTG</v>
      </c>
      <c r="L691" s="7">
        <v>45900</v>
      </c>
      <c r="M691" s="7">
        <f t="shared" si="90"/>
        <v>46265</v>
      </c>
      <c r="N691" s="7" t="str">
        <f t="shared" si="91"/>
        <v>Anual</v>
      </c>
      <c r="O691" s="2" t="str">
        <f t="shared" ca="1" si="92"/>
        <v>VIGENTE</v>
      </c>
      <c r="P691" s="6" t="s">
        <v>25</v>
      </c>
      <c r="Q691" s="2"/>
    </row>
    <row r="692" spans="1:17" x14ac:dyDescent="0.25">
      <c r="A692" s="23" t="s">
        <v>116</v>
      </c>
      <c r="B692" s="2" t="s">
        <v>989</v>
      </c>
      <c r="C692" s="3" t="s">
        <v>28</v>
      </c>
      <c r="D692" s="3" t="s">
        <v>23</v>
      </c>
      <c r="E692" s="2" t="s">
        <v>24</v>
      </c>
      <c r="F692" s="4">
        <v>0</v>
      </c>
      <c r="G692" s="8">
        <f t="shared" si="86"/>
        <v>1000000000</v>
      </c>
      <c r="H692" s="4" t="str">
        <f t="shared" si="87"/>
        <v>Ohms</v>
      </c>
      <c r="I692" s="6">
        <v>61700000</v>
      </c>
      <c r="J692" s="6" t="str">
        <f t="shared" si="88"/>
        <v>Ohms</v>
      </c>
      <c r="K692" s="2" t="str">
        <f t="shared" si="89"/>
        <v>RTG</v>
      </c>
      <c r="L692" s="7">
        <v>45900</v>
      </c>
      <c r="M692" s="7">
        <f t="shared" si="90"/>
        <v>46265</v>
      </c>
      <c r="N692" s="7" t="str">
        <f t="shared" si="91"/>
        <v>Anual</v>
      </c>
      <c r="O692" s="2" t="str">
        <f t="shared" ca="1" si="92"/>
        <v>VIGENTE</v>
      </c>
      <c r="P692" s="6" t="s">
        <v>25</v>
      </c>
      <c r="Q692" s="2"/>
    </row>
    <row r="693" spans="1:17" x14ac:dyDescent="0.25">
      <c r="A693" s="23" t="s">
        <v>116</v>
      </c>
      <c r="B693" s="2" t="s">
        <v>1040</v>
      </c>
      <c r="C693" s="3" t="s">
        <v>998</v>
      </c>
      <c r="D693" s="3" t="s">
        <v>23</v>
      </c>
      <c r="E693" s="2" t="s">
        <v>24</v>
      </c>
      <c r="F693" s="4">
        <v>0</v>
      </c>
      <c r="G693" s="8">
        <f t="shared" si="86"/>
        <v>1</v>
      </c>
      <c r="H693" s="4" t="str">
        <f t="shared" si="87"/>
        <v>Ohms</v>
      </c>
      <c r="I693" s="6">
        <v>1610</v>
      </c>
      <c r="J693" s="6" t="str">
        <f t="shared" si="88"/>
        <v>Ohms</v>
      </c>
      <c r="K693" s="2" t="str">
        <f t="shared" si="89"/>
        <v>RTG</v>
      </c>
      <c r="L693" s="7">
        <v>46094</v>
      </c>
      <c r="M693" s="7">
        <f t="shared" si="90"/>
        <v>46459</v>
      </c>
      <c r="N693" s="7" t="str">
        <f t="shared" si="91"/>
        <v>Anual</v>
      </c>
      <c r="O693" s="2" t="str">
        <f t="shared" ca="1" si="92"/>
        <v>VIGENTE</v>
      </c>
      <c r="P693" s="6" t="s">
        <v>25</v>
      </c>
      <c r="Q693" s="2"/>
    </row>
    <row r="694" spans="1:17" x14ac:dyDescent="0.25">
      <c r="A694" s="23" t="s">
        <v>798</v>
      </c>
      <c r="B694" s="2" t="s">
        <v>799</v>
      </c>
      <c r="C694" s="3" t="s">
        <v>800</v>
      </c>
      <c r="D694" s="3" t="s">
        <v>23</v>
      </c>
      <c r="E694" s="2" t="s">
        <v>24</v>
      </c>
      <c r="F694" s="4">
        <v>0</v>
      </c>
      <c r="G694" s="8">
        <f t="shared" ref="G694:G757" si="93">IF(C694="Ionizador", 10, IF(C694="Mesa", 1000000000, IF(C694="Rack", 1000000000, IF(C694="Piso", 1000000000, IF(C694="Tapete", 1000000000, IF(C694="Carrito", 1000000000, IF(C694="Cautín", 10, 1)))))))</f>
        <v>10</v>
      </c>
      <c r="H694" s="4" t="str">
        <f t="shared" ref="H694:H757" si="94">IF(C694="Ionizador", "Segundos", "Ohms")</f>
        <v>Segundos</v>
      </c>
      <c r="I694" s="6">
        <v>4</v>
      </c>
      <c r="J694" s="6" t="str">
        <f t="shared" ref="J694:J757" si="95">H694</f>
        <v>Segundos</v>
      </c>
      <c r="K694" s="2" t="str">
        <f t="shared" ref="K694:K757" si="96">IF(C694="Ionizador", "Plato de carga", IF(C694="Cautín", "PTG", IF(C694="ESD Tester", "PTP Deviation", "RTG")))</f>
        <v>Plato de carga</v>
      </c>
      <c r="L694" s="7">
        <v>45797</v>
      </c>
      <c r="M694" s="7">
        <f t="shared" si="90"/>
        <v>45887</v>
      </c>
      <c r="N694" s="7" t="str">
        <f t="shared" ref="N694:N723" si="97">IF(C694="Ionizador", "Trimestral", IF(C694="Rack", "Semestral", IF(C694="Mesa", "Semestral", IF(C694="Tapete", "Semestral", IF(C694="Cautín", "Semestral", IF(C694="Silla", "Semestral", "Anual"))))))</f>
        <v>Trimestral</v>
      </c>
      <c r="O694" s="2" t="str">
        <f t="shared" ref="O694:O723" ca="1" si="98">IF(M694&lt;TODAY(),"VENCIDO",IF(M694=TODAY(),"VENCE HOY",IF(M694&gt;TODAY(),"VIGENTE")))</f>
        <v>VENCIDO</v>
      </c>
      <c r="P694" s="13" t="s">
        <v>228</v>
      </c>
      <c r="Q694" s="2"/>
    </row>
    <row r="695" spans="1:17" x14ac:dyDescent="0.25">
      <c r="A695" s="23" t="s">
        <v>798</v>
      </c>
      <c r="B695" s="2" t="s">
        <v>801</v>
      </c>
      <c r="C695" s="3" t="s">
        <v>802</v>
      </c>
      <c r="D695" s="3" t="s">
        <v>23</v>
      </c>
      <c r="E695" s="2" t="s">
        <v>803</v>
      </c>
      <c r="F695" s="4">
        <v>0</v>
      </c>
      <c r="G695" s="8">
        <f t="shared" si="93"/>
        <v>1</v>
      </c>
      <c r="H695" s="4" t="str">
        <f t="shared" si="94"/>
        <v>Ohms</v>
      </c>
      <c r="I695" s="6">
        <v>0.40300000000000002</v>
      </c>
      <c r="J695" s="6" t="str">
        <f t="shared" si="95"/>
        <v>Ohms</v>
      </c>
      <c r="K695" s="2" t="str">
        <f t="shared" si="96"/>
        <v>RTG</v>
      </c>
      <c r="L695" s="7">
        <v>45679</v>
      </c>
      <c r="M695" s="7">
        <f t="shared" si="90"/>
        <v>46044</v>
      </c>
      <c r="N695" s="7" t="str">
        <f t="shared" si="97"/>
        <v>Anual</v>
      </c>
      <c r="O695" s="2" t="str">
        <f t="shared" ca="1" si="98"/>
        <v>VENCIDO</v>
      </c>
      <c r="P695" s="13" t="s">
        <v>228</v>
      </c>
      <c r="Q695" s="2"/>
    </row>
    <row r="696" spans="1:17" x14ac:dyDescent="0.25">
      <c r="A696" s="23" t="s">
        <v>798</v>
      </c>
      <c r="B696" s="2" t="s">
        <v>804</v>
      </c>
      <c r="C696" s="3" t="s">
        <v>805</v>
      </c>
      <c r="D696" s="3" t="s">
        <v>23</v>
      </c>
      <c r="E696" s="2" t="s">
        <v>806</v>
      </c>
      <c r="F696" s="4">
        <v>0</v>
      </c>
      <c r="G696" s="8">
        <f t="shared" si="93"/>
        <v>1</v>
      </c>
      <c r="H696" s="4" t="str">
        <f t="shared" si="94"/>
        <v>Ohms</v>
      </c>
      <c r="I696" s="6">
        <v>0.253</v>
      </c>
      <c r="J696" s="6" t="str">
        <f t="shared" si="95"/>
        <v>Ohms</v>
      </c>
      <c r="K696" s="2" t="str">
        <f t="shared" si="96"/>
        <v>RTG</v>
      </c>
      <c r="L696" s="7">
        <v>45679</v>
      </c>
      <c r="M696" s="7">
        <f t="shared" si="90"/>
        <v>46044</v>
      </c>
      <c r="N696" s="7" t="str">
        <f t="shared" si="97"/>
        <v>Anual</v>
      </c>
      <c r="O696" s="2" t="str">
        <f t="shared" ca="1" si="98"/>
        <v>VENCIDO</v>
      </c>
      <c r="P696" s="13" t="s">
        <v>228</v>
      </c>
      <c r="Q696" s="2"/>
    </row>
    <row r="697" spans="1:17" x14ac:dyDescent="0.25">
      <c r="A697" s="23" t="s">
        <v>798</v>
      </c>
      <c r="B697" s="2" t="s">
        <v>807</v>
      </c>
      <c r="C697" s="3" t="s">
        <v>261</v>
      </c>
      <c r="D697" s="3" t="s">
        <v>23</v>
      </c>
      <c r="E697" s="2" t="s">
        <v>806</v>
      </c>
      <c r="F697" s="4">
        <v>0</v>
      </c>
      <c r="G697" s="8">
        <f t="shared" si="93"/>
        <v>1</v>
      </c>
      <c r="H697" s="4" t="str">
        <f t="shared" si="94"/>
        <v>Ohms</v>
      </c>
      <c r="I697" s="6">
        <v>0.221</v>
      </c>
      <c r="J697" s="6" t="str">
        <f t="shared" si="95"/>
        <v>Ohms</v>
      </c>
      <c r="K697" s="2" t="str">
        <f t="shared" si="96"/>
        <v>RTG</v>
      </c>
      <c r="L697" s="7">
        <v>45679</v>
      </c>
      <c r="M697" s="7">
        <f t="shared" si="90"/>
        <v>46044</v>
      </c>
      <c r="N697" s="7" t="str">
        <f t="shared" si="97"/>
        <v>Anual</v>
      </c>
      <c r="O697" s="2" t="str">
        <f t="shared" ca="1" si="98"/>
        <v>VENCIDO</v>
      </c>
      <c r="P697" s="13" t="s">
        <v>228</v>
      </c>
      <c r="Q697" s="2"/>
    </row>
    <row r="698" spans="1:17" x14ac:dyDescent="0.25">
      <c r="A698" s="23" t="s">
        <v>798</v>
      </c>
      <c r="B698" s="2" t="s">
        <v>808</v>
      </c>
      <c r="C698" s="3" t="s">
        <v>210</v>
      </c>
      <c r="D698" s="3" t="s">
        <v>23</v>
      </c>
      <c r="E698" s="2" t="s">
        <v>211</v>
      </c>
      <c r="F698" s="4">
        <v>0</v>
      </c>
      <c r="G698" s="8">
        <f t="shared" si="93"/>
        <v>1</v>
      </c>
      <c r="H698" s="4" t="str">
        <f t="shared" si="94"/>
        <v>Ohms</v>
      </c>
      <c r="I698" s="6">
        <v>0.20899999999999999</v>
      </c>
      <c r="J698" s="6" t="str">
        <f t="shared" si="95"/>
        <v>Ohms</v>
      </c>
      <c r="K698" s="2" t="str">
        <f t="shared" si="96"/>
        <v>RTG</v>
      </c>
      <c r="L698" s="7">
        <v>45679</v>
      </c>
      <c r="M698" s="7">
        <f t="shared" si="90"/>
        <v>46044</v>
      </c>
      <c r="N698" s="7" t="str">
        <f t="shared" si="97"/>
        <v>Anual</v>
      </c>
      <c r="O698" s="2" t="str">
        <f t="shared" ca="1" si="98"/>
        <v>VENCIDO</v>
      </c>
      <c r="P698" s="13" t="s">
        <v>228</v>
      </c>
      <c r="Q698" s="2"/>
    </row>
    <row r="699" spans="1:17" x14ac:dyDescent="0.25">
      <c r="A699" s="23" t="s">
        <v>798</v>
      </c>
      <c r="B699" s="2" t="s">
        <v>809</v>
      </c>
      <c r="C699" s="3" t="s">
        <v>810</v>
      </c>
      <c r="D699" s="3" t="s">
        <v>23</v>
      </c>
      <c r="E699" s="2" t="s">
        <v>806</v>
      </c>
      <c r="F699" s="4">
        <v>0</v>
      </c>
      <c r="G699" s="8">
        <f t="shared" si="93"/>
        <v>1</v>
      </c>
      <c r="H699" s="4" t="str">
        <f t="shared" si="94"/>
        <v>Ohms</v>
      </c>
      <c r="I699" s="6">
        <v>0.79100000000000004</v>
      </c>
      <c r="J699" s="6" t="str">
        <f t="shared" si="95"/>
        <v>Ohms</v>
      </c>
      <c r="K699" s="2" t="str">
        <f t="shared" si="96"/>
        <v>RTG</v>
      </c>
      <c r="L699" s="7">
        <v>45679</v>
      </c>
      <c r="M699" s="7">
        <f t="shared" si="90"/>
        <v>46044</v>
      </c>
      <c r="N699" s="7" t="str">
        <f t="shared" si="97"/>
        <v>Anual</v>
      </c>
      <c r="O699" s="2" t="str">
        <f t="shared" ca="1" si="98"/>
        <v>VENCIDO</v>
      </c>
      <c r="P699" s="13" t="s">
        <v>228</v>
      </c>
      <c r="Q699" s="2"/>
    </row>
    <row r="700" spans="1:17" x14ac:dyDescent="0.25">
      <c r="A700" s="23" t="s">
        <v>798</v>
      </c>
      <c r="B700" s="2" t="s">
        <v>811</v>
      </c>
      <c r="C700" s="3" t="s">
        <v>259</v>
      </c>
      <c r="D700" s="3" t="s">
        <v>23</v>
      </c>
      <c r="E700" s="2" t="s">
        <v>806</v>
      </c>
      <c r="F700" s="4">
        <v>0</v>
      </c>
      <c r="G700" s="8">
        <f t="shared" si="93"/>
        <v>1</v>
      </c>
      <c r="H700" s="4" t="str">
        <f t="shared" si="94"/>
        <v>Ohms</v>
      </c>
      <c r="I700" s="6">
        <v>0.75</v>
      </c>
      <c r="J700" s="6" t="str">
        <f t="shared" si="95"/>
        <v>Ohms</v>
      </c>
      <c r="K700" s="2" t="str">
        <f t="shared" si="96"/>
        <v>RTG</v>
      </c>
      <c r="L700" s="7">
        <v>45843</v>
      </c>
      <c r="M700" s="7">
        <f t="shared" si="90"/>
        <v>46208</v>
      </c>
      <c r="N700" s="7" t="str">
        <f t="shared" si="97"/>
        <v>Anual</v>
      </c>
      <c r="O700" s="2" t="str">
        <f t="shared" ca="1" si="98"/>
        <v>VIGENTE</v>
      </c>
      <c r="P700" s="13" t="s">
        <v>228</v>
      </c>
      <c r="Q700" s="2"/>
    </row>
    <row r="701" spans="1:17" x14ac:dyDescent="0.25">
      <c r="A701" s="23" t="s">
        <v>798</v>
      </c>
      <c r="B701" s="2" t="s">
        <v>812</v>
      </c>
      <c r="C701" s="3" t="s">
        <v>813</v>
      </c>
      <c r="D701" s="3" t="s">
        <v>23</v>
      </c>
      <c r="E701" s="2" t="s">
        <v>814</v>
      </c>
      <c r="F701" s="4">
        <v>0</v>
      </c>
      <c r="G701" s="8">
        <f t="shared" si="93"/>
        <v>1</v>
      </c>
      <c r="H701" s="4" t="str">
        <f t="shared" si="94"/>
        <v>Ohms</v>
      </c>
      <c r="I701" s="6">
        <v>0.85599999999999998</v>
      </c>
      <c r="J701" s="6" t="str">
        <f t="shared" si="95"/>
        <v>Ohms</v>
      </c>
      <c r="K701" s="2" t="str">
        <f t="shared" si="96"/>
        <v>RTG</v>
      </c>
      <c r="L701" s="7">
        <v>45679</v>
      </c>
      <c r="M701" s="7">
        <f t="shared" si="90"/>
        <v>46044</v>
      </c>
      <c r="N701" s="7" t="str">
        <f t="shared" si="97"/>
        <v>Anual</v>
      </c>
      <c r="O701" s="2" t="str">
        <f t="shared" ca="1" si="98"/>
        <v>VENCIDO</v>
      </c>
      <c r="P701" s="13" t="s">
        <v>228</v>
      </c>
      <c r="Q701" s="2"/>
    </row>
    <row r="702" spans="1:17" x14ac:dyDescent="0.25">
      <c r="A702" s="23" t="s">
        <v>798</v>
      </c>
      <c r="B702" s="2" t="s">
        <v>815</v>
      </c>
      <c r="C702" s="3" t="s">
        <v>261</v>
      </c>
      <c r="D702" s="3" t="s">
        <v>23</v>
      </c>
      <c r="E702" s="2" t="s">
        <v>806</v>
      </c>
      <c r="F702" s="4">
        <v>0</v>
      </c>
      <c r="G702" s="8">
        <f t="shared" si="93"/>
        <v>1</v>
      </c>
      <c r="H702" s="4" t="str">
        <f t="shared" si="94"/>
        <v>Ohms</v>
      </c>
      <c r="I702" s="6">
        <v>0.36499999999999999</v>
      </c>
      <c r="J702" s="6" t="str">
        <f t="shared" si="95"/>
        <v>Ohms</v>
      </c>
      <c r="K702" s="2" t="str">
        <f t="shared" si="96"/>
        <v>RTG</v>
      </c>
      <c r="L702" s="7">
        <v>45679</v>
      </c>
      <c r="M702" s="7">
        <f t="shared" si="90"/>
        <v>46044</v>
      </c>
      <c r="N702" s="7" t="str">
        <f t="shared" si="97"/>
        <v>Anual</v>
      </c>
      <c r="O702" s="2" t="str">
        <f t="shared" ca="1" si="98"/>
        <v>VENCIDO</v>
      </c>
      <c r="P702" s="13" t="s">
        <v>228</v>
      </c>
      <c r="Q702" s="2"/>
    </row>
    <row r="703" spans="1:17" x14ac:dyDescent="0.25">
      <c r="A703" s="23" t="s">
        <v>798</v>
      </c>
      <c r="B703" s="2" t="s">
        <v>816</v>
      </c>
      <c r="C703" s="3" t="s">
        <v>210</v>
      </c>
      <c r="D703" s="3" t="s">
        <v>23</v>
      </c>
      <c r="E703" s="2" t="s">
        <v>211</v>
      </c>
      <c r="F703" s="4">
        <v>0</v>
      </c>
      <c r="G703" s="8">
        <f t="shared" si="93"/>
        <v>1</v>
      </c>
      <c r="H703" s="4" t="str">
        <f t="shared" si="94"/>
        <v>Ohms</v>
      </c>
      <c r="I703" s="6">
        <v>0.20899999999999999</v>
      </c>
      <c r="J703" s="6" t="str">
        <f t="shared" si="95"/>
        <v>Ohms</v>
      </c>
      <c r="K703" s="2" t="str">
        <f t="shared" si="96"/>
        <v>RTG</v>
      </c>
      <c r="L703" s="7">
        <v>45679</v>
      </c>
      <c r="M703" s="7">
        <f t="shared" si="90"/>
        <v>46044</v>
      </c>
      <c r="N703" s="7" t="str">
        <f t="shared" si="97"/>
        <v>Anual</v>
      </c>
      <c r="O703" s="2" t="str">
        <f t="shared" ca="1" si="98"/>
        <v>VENCIDO</v>
      </c>
      <c r="P703" s="13" t="s">
        <v>228</v>
      </c>
      <c r="Q703" s="2"/>
    </row>
    <row r="704" spans="1:17" x14ac:dyDescent="0.25">
      <c r="A704" s="23" t="s">
        <v>798</v>
      </c>
      <c r="B704" s="2" t="s">
        <v>817</v>
      </c>
      <c r="C704" s="3" t="s">
        <v>818</v>
      </c>
      <c r="D704" s="3" t="s">
        <v>23</v>
      </c>
      <c r="E704" s="2" t="s">
        <v>806</v>
      </c>
      <c r="F704" s="4">
        <v>0</v>
      </c>
      <c r="G704" s="8">
        <f t="shared" si="93"/>
        <v>1</v>
      </c>
      <c r="H704" s="4" t="str">
        <f t="shared" si="94"/>
        <v>Ohms</v>
      </c>
      <c r="I704" s="6">
        <v>0.626</v>
      </c>
      <c r="J704" s="6" t="str">
        <f t="shared" si="95"/>
        <v>Ohms</v>
      </c>
      <c r="K704" s="2" t="str">
        <f t="shared" si="96"/>
        <v>RTG</v>
      </c>
      <c r="L704" s="7">
        <v>45679</v>
      </c>
      <c r="M704" s="7">
        <f t="shared" si="90"/>
        <v>46044</v>
      </c>
      <c r="N704" s="7" t="str">
        <f t="shared" si="97"/>
        <v>Anual</v>
      </c>
      <c r="O704" s="2" t="str">
        <f t="shared" ca="1" si="98"/>
        <v>VENCIDO</v>
      </c>
      <c r="P704" s="13" t="s">
        <v>228</v>
      </c>
      <c r="Q704" s="2"/>
    </row>
    <row r="705" spans="1:17" x14ac:dyDescent="0.25">
      <c r="A705" s="23" t="s">
        <v>798</v>
      </c>
      <c r="B705" s="2" t="s">
        <v>819</v>
      </c>
      <c r="C705" s="3" t="s">
        <v>820</v>
      </c>
      <c r="D705" s="3" t="s">
        <v>23</v>
      </c>
      <c r="E705" s="2" t="s">
        <v>806</v>
      </c>
      <c r="F705" s="4">
        <v>0</v>
      </c>
      <c r="G705" s="8">
        <f t="shared" si="93"/>
        <v>1</v>
      </c>
      <c r="H705" s="4" t="str">
        <f t="shared" si="94"/>
        <v>Ohms</v>
      </c>
      <c r="I705" s="6">
        <v>0.68</v>
      </c>
      <c r="J705" s="6" t="str">
        <f t="shared" si="95"/>
        <v>Ohms</v>
      </c>
      <c r="K705" s="2" t="str">
        <f t="shared" si="96"/>
        <v>RTG</v>
      </c>
      <c r="L705" s="7">
        <v>45679</v>
      </c>
      <c r="M705" s="7">
        <f t="shared" si="90"/>
        <v>46044</v>
      </c>
      <c r="N705" s="7" t="str">
        <f t="shared" si="97"/>
        <v>Anual</v>
      </c>
      <c r="O705" s="2" t="str">
        <f t="shared" ca="1" si="98"/>
        <v>VENCIDO</v>
      </c>
      <c r="P705" s="13" t="s">
        <v>228</v>
      </c>
      <c r="Q705" s="2"/>
    </row>
    <row r="706" spans="1:17" x14ac:dyDescent="0.25">
      <c r="A706" s="23" t="s">
        <v>798</v>
      </c>
      <c r="B706" s="2" t="s">
        <v>821</v>
      </c>
      <c r="C706" s="3" t="s">
        <v>822</v>
      </c>
      <c r="D706" s="3" t="s">
        <v>23</v>
      </c>
      <c r="E706" s="2" t="s">
        <v>823</v>
      </c>
      <c r="F706" s="4">
        <v>0</v>
      </c>
      <c r="G706" s="8">
        <f t="shared" si="93"/>
        <v>1</v>
      </c>
      <c r="H706" s="4" t="str">
        <f t="shared" si="94"/>
        <v>Ohms</v>
      </c>
      <c r="I706" s="6">
        <v>0.29499999999999998</v>
      </c>
      <c r="J706" s="6" t="str">
        <f t="shared" si="95"/>
        <v>Ohms</v>
      </c>
      <c r="K706" s="2" t="str">
        <f t="shared" si="96"/>
        <v>RTG</v>
      </c>
      <c r="L706" s="7">
        <v>45679</v>
      </c>
      <c r="M706" s="7">
        <f t="shared" si="90"/>
        <v>46044</v>
      </c>
      <c r="N706" s="7" t="str">
        <f t="shared" si="97"/>
        <v>Anual</v>
      </c>
      <c r="O706" s="2" t="str">
        <f t="shared" ca="1" si="98"/>
        <v>VENCIDO</v>
      </c>
      <c r="P706" s="13" t="s">
        <v>228</v>
      </c>
      <c r="Q706" s="2"/>
    </row>
    <row r="707" spans="1:17" x14ac:dyDescent="0.25">
      <c r="A707" s="23" t="s">
        <v>798</v>
      </c>
      <c r="B707" s="2" t="s">
        <v>824</v>
      </c>
      <c r="C707" s="3" t="s">
        <v>265</v>
      </c>
      <c r="D707" s="3" t="s">
        <v>23</v>
      </c>
      <c r="E707" s="2" t="s">
        <v>806</v>
      </c>
      <c r="F707" s="4">
        <v>0</v>
      </c>
      <c r="G707" s="8">
        <f t="shared" si="93"/>
        <v>1</v>
      </c>
      <c r="H707" s="4" t="str">
        <f t="shared" si="94"/>
        <v>Ohms</v>
      </c>
      <c r="I707" s="6" t="s">
        <v>825</v>
      </c>
      <c r="J707" s="6" t="str">
        <f t="shared" si="95"/>
        <v>Ohms</v>
      </c>
      <c r="K707" s="2" t="str">
        <f t="shared" si="96"/>
        <v>RTG</v>
      </c>
      <c r="L707" s="53">
        <v>45659</v>
      </c>
      <c r="M707" s="7">
        <f t="shared" si="90"/>
        <v>46024</v>
      </c>
      <c r="N707" s="7" t="str">
        <f t="shared" si="97"/>
        <v>Anual</v>
      </c>
      <c r="O707" s="2" t="str">
        <f t="shared" ca="1" si="98"/>
        <v>VENCIDO</v>
      </c>
      <c r="P707" s="13" t="s">
        <v>228</v>
      </c>
      <c r="Q707" s="2"/>
    </row>
    <row r="708" spans="1:17" x14ac:dyDescent="0.25">
      <c r="A708" s="23" t="s">
        <v>798</v>
      </c>
      <c r="B708" s="2" t="s">
        <v>826</v>
      </c>
      <c r="C708" s="3" t="s">
        <v>820</v>
      </c>
      <c r="D708" s="3" t="s">
        <v>23</v>
      </c>
      <c r="E708" s="2" t="s">
        <v>806</v>
      </c>
      <c r="F708" s="4">
        <v>0</v>
      </c>
      <c r="G708" s="8">
        <f t="shared" si="93"/>
        <v>1</v>
      </c>
      <c r="H708" s="4" t="str">
        <f t="shared" si="94"/>
        <v>Ohms</v>
      </c>
      <c r="I708" s="6">
        <v>0.16600000000000001</v>
      </c>
      <c r="J708" s="6" t="str">
        <f t="shared" si="95"/>
        <v>Ohms</v>
      </c>
      <c r="K708" s="2" t="str">
        <f t="shared" si="96"/>
        <v>RTG</v>
      </c>
      <c r="L708" s="7">
        <v>45679</v>
      </c>
      <c r="M708" s="7">
        <f t="shared" si="90"/>
        <v>46044</v>
      </c>
      <c r="N708" s="7" t="str">
        <f t="shared" si="97"/>
        <v>Anual</v>
      </c>
      <c r="O708" s="2" t="str">
        <f t="shared" ca="1" si="98"/>
        <v>VENCIDO</v>
      </c>
      <c r="P708" s="13" t="s">
        <v>228</v>
      </c>
      <c r="Q708" s="2"/>
    </row>
    <row r="709" spans="1:17" x14ac:dyDescent="0.25">
      <c r="A709" s="23" t="s">
        <v>798</v>
      </c>
      <c r="B709" s="2" t="s">
        <v>827</v>
      </c>
      <c r="C709" s="3" t="s">
        <v>828</v>
      </c>
      <c r="D709" s="3" t="s">
        <v>23</v>
      </c>
      <c r="E709" s="2" t="s">
        <v>829</v>
      </c>
      <c r="F709" s="4">
        <v>0</v>
      </c>
      <c r="G709" s="8">
        <f t="shared" si="93"/>
        <v>1</v>
      </c>
      <c r="H709" s="4" t="str">
        <f t="shared" si="94"/>
        <v>Ohms</v>
      </c>
      <c r="I709" s="6">
        <v>0.36</v>
      </c>
      <c r="J709" s="6" t="str">
        <f t="shared" si="95"/>
        <v>Ohms</v>
      </c>
      <c r="K709" s="2" t="str">
        <f t="shared" si="96"/>
        <v>RTG</v>
      </c>
      <c r="L709" s="7">
        <v>45679</v>
      </c>
      <c r="M709" s="7">
        <f t="shared" si="90"/>
        <v>46044</v>
      </c>
      <c r="N709" s="7" t="str">
        <f t="shared" si="97"/>
        <v>Anual</v>
      </c>
      <c r="O709" s="2" t="str">
        <f t="shared" ca="1" si="98"/>
        <v>VENCIDO</v>
      </c>
      <c r="P709" s="13" t="s">
        <v>228</v>
      </c>
      <c r="Q709" s="2"/>
    </row>
    <row r="710" spans="1:17" x14ac:dyDescent="0.25">
      <c r="A710" s="23" t="s">
        <v>798</v>
      </c>
      <c r="B710" s="2" t="s">
        <v>830</v>
      </c>
      <c r="C710" s="3" t="s">
        <v>828</v>
      </c>
      <c r="D710" s="3" t="s">
        <v>23</v>
      </c>
      <c r="E710" s="2" t="s">
        <v>829</v>
      </c>
      <c r="F710" s="4">
        <v>0</v>
      </c>
      <c r="G710" s="8">
        <f t="shared" si="93"/>
        <v>1</v>
      </c>
      <c r="H710" s="4" t="str">
        <f t="shared" si="94"/>
        <v>Ohms</v>
      </c>
      <c r="I710" s="6">
        <v>0.26300000000000001</v>
      </c>
      <c r="J710" s="6" t="str">
        <f t="shared" si="95"/>
        <v>Ohms</v>
      </c>
      <c r="K710" s="2" t="str">
        <f t="shared" si="96"/>
        <v>RTG</v>
      </c>
      <c r="L710" s="7">
        <v>45679</v>
      </c>
      <c r="M710" s="7">
        <f t="shared" si="90"/>
        <v>46044</v>
      </c>
      <c r="N710" s="7" t="str">
        <f t="shared" si="97"/>
        <v>Anual</v>
      </c>
      <c r="O710" s="2" t="str">
        <f t="shared" ca="1" si="98"/>
        <v>VENCIDO</v>
      </c>
      <c r="P710" s="13" t="s">
        <v>228</v>
      </c>
      <c r="Q710" s="2"/>
    </row>
    <row r="711" spans="1:17" x14ac:dyDescent="0.25">
      <c r="A711" s="23" t="s">
        <v>798</v>
      </c>
      <c r="B711" s="2" t="s">
        <v>831</v>
      </c>
      <c r="C711" s="3" t="s">
        <v>828</v>
      </c>
      <c r="D711" s="3" t="s">
        <v>23</v>
      </c>
      <c r="E711" s="2" t="s">
        <v>829</v>
      </c>
      <c r="F711" s="4">
        <v>0</v>
      </c>
      <c r="G711" s="8">
        <f t="shared" si="93"/>
        <v>1</v>
      </c>
      <c r="H711" s="4" t="str">
        <f t="shared" si="94"/>
        <v>Ohms</v>
      </c>
      <c r="I711" s="6">
        <v>0.26100000000000001</v>
      </c>
      <c r="J711" s="6" t="str">
        <f t="shared" si="95"/>
        <v>Ohms</v>
      </c>
      <c r="K711" s="2" t="str">
        <f t="shared" si="96"/>
        <v>RTG</v>
      </c>
      <c r="L711" s="7">
        <v>45679</v>
      </c>
      <c r="M711" s="7">
        <f t="shared" si="90"/>
        <v>46044</v>
      </c>
      <c r="N711" s="7" t="str">
        <f t="shared" si="97"/>
        <v>Anual</v>
      </c>
      <c r="O711" s="2" t="str">
        <f t="shared" ca="1" si="98"/>
        <v>VENCIDO</v>
      </c>
      <c r="P711" s="13" t="s">
        <v>228</v>
      </c>
      <c r="Q711" s="2"/>
    </row>
    <row r="712" spans="1:17" x14ac:dyDescent="0.25">
      <c r="A712" s="23" t="s">
        <v>798</v>
      </c>
      <c r="B712" s="2" t="s">
        <v>832</v>
      </c>
      <c r="C712" s="3" t="s">
        <v>828</v>
      </c>
      <c r="D712" s="3" t="s">
        <v>23</v>
      </c>
      <c r="E712" s="2" t="s">
        <v>829</v>
      </c>
      <c r="F712" s="4">
        <v>0</v>
      </c>
      <c r="G712" s="8">
        <f t="shared" si="93"/>
        <v>1</v>
      </c>
      <c r="H712" s="4" t="str">
        <f t="shared" si="94"/>
        <v>Ohms</v>
      </c>
      <c r="I712" s="6">
        <v>0.253</v>
      </c>
      <c r="J712" s="6" t="str">
        <f t="shared" si="95"/>
        <v>Ohms</v>
      </c>
      <c r="K712" s="2" t="str">
        <f t="shared" si="96"/>
        <v>RTG</v>
      </c>
      <c r="L712" s="7">
        <v>45679</v>
      </c>
      <c r="M712" s="7">
        <f t="shared" si="90"/>
        <v>46044</v>
      </c>
      <c r="N712" s="7" t="str">
        <f t="shared" si="97"/>
        <v>Anual</v>
      </c>
      <c r="O712" s="2" t="str">
        <f t="shared" ca="1" si="98"/>
        <v>VENCIDO</v>
      </c>
      <c r="P712" s="13" t="s">
        <v>228</v>
      </c>
      <c r="Q712" s="2"/>
    </row>
    <row r="713" spans="1:17" x14ac:dyDescent="0.25">
      <c r="A713" s="23" t="s">
        <v>798</v>
      </c>
      <c r="B713" s="2" t="s">
        <v>833</v>
      </c>
      <c r="C713" s="3" t="s">
        <v>828</v>
      </c>
      <c r="D713" s="3" t="s">
        <v>23</v>
      </c>
      <c r="E713" s="2" t="s">
        <v>829</v>
      </c>
      <c r="F713" s="4">
        <v>0</v>
      </c>
      <c r="G713" s="8">
        <f t="shared" si="93"/>
        <v>1</v>
      </c>
      <c r="H713" s="4" t="str">
        <f t="shared" si="94"/>
        <v>Ohms</v>
      </c>
      <c r="I713" s="6">
        <v>0.24</v>
      </c>
      <c r="J713" s="6" t="str">
        <f t="shared" si="95"/>
        <v>Ohms</v>
      </c>
      <c r="K713" s="2" t="str">
        <f t="shared" si="96"/>
        <v>RTG</v>
      </c>
      <c r="L713" s="7">
        <v>45679</v>
      </c>
      <c r="M713" s="7">
        <f t="shared" si="90"/>
        <v>46044</v>
      </c>
      <c r="N713" s="7" t="str">
        <f t="shared" si="97"/>
        <v>Anual</v>
      </c>
      <c r="O713" s="2" t="str">
        <f t="shared" ca="1" si="98"/>
        <v>VENCIDO</v>
      </c>
      <c r="P713" s="13" t="s">
        <v>228</v>
      </c>
      <c r="Q713" s="2"/>
    </row>
    <row r="714" spans="1:17" x14ac:dyDescent="0.25">
      <c r="A714" s="23" t="s">
        <v>798</v>
      </c>
      <c r="B714" s="2" t="s">
        <v>834</v>
      </c>
      <c r="C714" s="3" t="s">
        <v>828</v>
      </c>
      <c r="D714" s="3" t="s">
        <v>23</v>
      </c>
      <c r="E714" s="2" t="s">
        <v>829</v>
      </c>
      <c r="F714" s="4">
        <v>0</v>
      </c>
      <c r="G714" s="8">
        <f t="shared" si="93"/>
        <v>1</v>
      </c>
      <c r="H714" s="4" t="str">
        <f t="shared" si="94"/>
        <v>Ohms</v>
      </c>
      <c r="I714" s="6">
        <v>0.22</v>
      </c>
      <c r="J714" s="6" t="str">
        <f t="shared" si="95"/>
        <v>Ohms</v>
      </c>
      <c r="K714" s="2" t="str">
        <f t="shared" si="96"/>
        <v>RTG</v>
      </c>
      <c r="L714" s="7">
        <v>45679</v>
      </c>
      <c r="M714" s="7">
        <f t="shared" si="90"/>
        <v>46044</v>
      </c>
      <c r="N714" s="7" t="str">
        <f t="shared" si="97"/>
        <v>Anual</v>
      </c>
      <c r="O714" s="2" t="str">
        <f t="shared" ca="1" si="98"/>
        <v>VENCIDO</v>
      </c>
      <c r="P714" s="13" t="s">
        <v>228</v>
      </c>
      <c r="Q714" s="2"/>
    </row>
    <row r="715" spans="1:17" x14ac:dyDescent="0.25">
      <c r="A715" s="23" t="s">
        <v>798</v>
      </c>
      <c r="B715" s="2" t="s">
        <v>835</v>
      </c>
      <c r="C715" s="3" t="s">
        <v>836</v>
      </c>
      <c r="D715" s="3" t="s">
        <v>23</v>
      </c>
      <c r="E715" s="2" t="s">
        <v>806</v>
      </c>
      <c r="F715" s="4">
        <v>0</v>
      </c>
      <c r="G715" s="8">
        <f t="shared" si="93"/>
        <v>1</v>
      </c>
      <c r="H715" s="4" t="str">
        <f t="shared" si="94"/>
        <v>Ohms</v>
      </c>
      <c r="I715" s="6">
        <v>0.33</v>
      </c>
      <c r="J715" s="6" t="str">
        <f t="shared" si="95"/>
        <v>Ohms</v>
      </c>
      <c r="K715" s="2" t="str">
        <f t="shared" si="96"/>
        <v>RTG</v>
      </c>
      <c r="L715" s="7">
        <v>45679</v>
      </c>
      <c r="M715" s="7">
        <f t="shared" si="90"/>
        <v>46044</v>
      </c>
      <c r="N715" s="7" t="str">
        <f t="shared" si="97"/>
        <v>Anual</v>
      </c>
      <c r="O715" s="2" t="str">
        <f t="shared" ca="1" si="98"/>
        <v>VENCIDO</v>
      </c>
      <c r="P715" s="13" t="s">
        <v>228</v>
      </c>
      <c r="Q715" s="2"/>
    </row>
    <row r="716" spans="1:17" x14ac:dyDescent="0.25">
      <c r="A716" s="23" t="s">
        <v>798</v>
      </c>
      <c r="B716" s="2" t="s">
        <v>837</v>
      </c>
      <c r="C716" s="3" t="s">
        <v>838</v>
      </c>
      <c r="D716" s="3" t="s">
        <v>23</v>
      </c>
      <c r="E716" s="2" t="s">
        <v>839</v>
      </c>
      <c r="F716" s="4">
        <v>0</v>
      </c>
      <c r="G716" s="8">
        <f t="shared" si="93"/>
        <v>1</v>
      </c>
      <c r="H716" s="4" t="str">
        <f t="shared" si="94"/>
        <v>Ohms</v>
      </c>
      <c r="I716" s="6">
        <v>0.29399999999999998</v>
      </c>
      <c r="J716" s="6" t="str">
        <f t="shared" si="95"/>
        <v>Ohms</v>
      </c>
      <c r="K716" s="2" t="str">
        <f t="shared" si="96"/>
        <v>RTG</v>
      </c>
      <c r="L716" s="7">
        <v>45679</v>
      </c>
      <c r="M716" s="7">
        <f t="shared" si="90"/>
        <v>46044</v>
      </c>
      <c r="N716" s="7" t="str">
        <f t="shared" si="97"/>
        <v>Anual</v>
      </c>
      <c r="O716" s="2" t="str">
        <f t="shared" ca="1" si="98"/>
        <v>VENCIDO</v>
      </c>
      <c r="P716" s="13" t="s">
        <v>228</v>
      </c>
      <c r="Q716" s="2"/>
    </row>
    <row r="717" spans="1:17" x14ac:dyDescent="0.25">
      <c r="A717" s="23" t="s">
        <v>798</v>
      </c>
      <c r="B717" s="2" t="s">
        <v>840</v>
      </c>
      <c r="C717" s="3" t="s">
        <v>841</v>
      </c>
      <c r="D717" s="3" t="s">
        <v>23</v>
      </c>
      <c r="E717" s="2" t="s">
        <v>806</v>
      </c>
      <c r="F717" s="4">
        <v>0</v>
      </c>
      <c r="G717" s="8">
        <f t="shared" si="93"/>
        <v>1</v>
      </c>
      <c r="H717" s="4" t="str">
        <f t="shared" si="94"/>
        <v>Ohms</v>
      </c>
      <c r="I717" s="6">
        <v>0.48599999999999999</v>
      </c>
      <c r="J717" s="6" t="str">
        <f t="shared" si="95"/>
        <v>Ohms</v>
      </c>
      <c r="K717" s="2" t="str">
        <f t="shared" si="96"/>
        <v>RTG</v>
      </c>
      <c r="L717" s="7">
        <v>45679</v>
      </c>
      <c r="M717" s="7">
        <f t="shared" si="90"/>
        <v>46044</v>
      </c>
      <c r="N717" s="7" t="str">
        <f t="shared" si="97"/>
        <v>Anual</v>
      </c>
      <c r="O717" s="2" t="str">
        <f t="shared" ca="1" si="98"/>
        <v>VENCIDO</v>
      </c>
      <c r="P717" s="13" t="s">
        <v>228</v>
      </c>
      <c r="Q717" s="2"/>
    </row>
    <row r="718" spans="1:17" x14ac:dyDescent="0.25">
      <c r="A718" s="23" t="s">
        <v>798</v>
      </c>
      <c r="B718" s="2" t="s">
        <v>842</v>
      </c>
      <c r="C718" s="3" t="s">
        <v>836</v>
      </c>
      <c r="D718" s="3" t="s">
        <v>23</v>
      </c>
      <c r="E718" s="2" t="s">
        <v>806</v>
      </c>
      <c r="F718" s="4">
        <v>0</v>
      </c>
      <c r="G718" s="8">
        <f t="shared" si="93"/>
        <v>1</v>
      </c>
      <c r="H718" s="4" t="str">
        <f t="shared" si="94"/>
        <v>Ohms</v>
      </c>
      <c r="I718" s="6">
        <v>0.42099999999999999</v>
      </c>
      <c r="J718" s="6" t="str">
        <f t="shared" si="95"/>
        <v>Ohms</v>
      </c>
      <c r="K718" s="2" t="str">
        <f t="shared" si="96"/>
        <v>RTG</v>
      </c>
      <c r="L718" s="7">
        <v>45679</v>
      </c>
      <c r="M718" s="7">
        <f t="shared" si="90"/>
        <v>46044</v>
      </c>
      <c r="N718" s="7" t="str">
        <f t="shared" si="97"/>
        <v>Anual</v>
      </c>
      <c r="O718" s="2" t="str">
        <f t="shared" ca="1" si="98"/>
        <v>VENCIDO</v>
      </c>
      <c r="P718" s="13" t="s">
        <v>228</v>
      </c>
      <c r="Q718" s="2"/>
    </row>
    <row r="719" spans="1:17" x14ac:dyDescent="0.25">
      <c r="A719" s="23" t="s">
        <v>798</v>
      </c>
      <c r="B719" s="2" t="s">
        <v>843</v>
      </c>
      <c r="C719" s="3" t="s">
        <v>844</v>
      </c>
      <c r="D719" s="3" t="s">
        <v>23</v>
      </c>
      <c r="E719" s="2" t="s">
        <v>806</v>
      </c>
      <c r="F719" s="4">
        <v>0</v>
      </c>
      <c r="G719" s="8">
        <f t="shared" si="93"/>
        <v>1</v>
      </c>
      <c r="H719" s="4" t="str">
        <f t="shared" si="94"/>
        <v>Ohms</v>
      </c>
      <c r="I719" s="6">
        <v>0.77200000000000002</v>
      </c>
      <c r="J719" s="6" t="str">
        <f t="shared" si="95"/>
        <v>Ohms</v>
      </c>
      <c r="K719" s="2" t="str">
        <f t="shared" si="96"/>
        <v>RTG</v>
      </c>
      <c r="L719" s="7">
        <v>45679</v>
      </c>
      <c r="M719" s="7">
        <f t="shared" si="90"/>
        <v>46044</v>
      </c>
      <c r="N719" s="7" t="str">
        <f t="shared" si="97"/>
        <v>Anual</v>
      </c>
      <c r="O719" s="2" t="str">
        <f t="shared" ca="1" si="98"/>
        <v>VENCIDO</v>
      </c>
      <c r="P719" s="13" t="s">
        <v>228</v>
      </c>
      <c r="Q719" s="2"/>
    </row>
    <row r="720" spans="1:17" x14ac:dyDescent="0.25">
      <c r="A720" s="23" t="s">
        <v>798</v>
      </c>
      <c r="B720" s="2" t="s">
        <v>845</v>
      </c>
      <c r="C720" s="3" t="s">
        <v>820</v>
      </c>
      <c r="D720" s="3" t="s">
        <v>23</v>
      </c>
      <c r="E720" s="2" t="s">
        <v>806</v>
      </c>
      <c r="F720" s="4">
        <v>0</v>
      </c>
      <c r="G720" s="8">
        <f t="shared" si="93"/>
        <v>1</v>
      </c>
      <c r="H720" s="4" t="str">
        <f t="shared" si="94"/>
        <v>Ohms</v>
      </c>
      <c r="I720" s="6">
        <v>0.63800000000000001</v>
      </c>
      <c r="J720" s="6" t="str">
        <f t="shared" si="95"/>
        <v>Ohms</v>
      </c>
      <c r="K720" s="2" t="str">
        <f t="shared" si="96"/>
        <v>RTG</v>
      </c>
      <c r="L720" s="7">
        <v>45679</v>
      </c>
      <c r="M720" s="7">
        <f t="shared" si="90"/>
        <v>46044</v>
      </c>
      <c r="N720" s="7" t="str">
        <f t="shared" si="97"/>
        <v>Anual</v>
      </c>
      <c r="O720" s="2" t="str">
        <f t="shared" ca="1" si="98"/>
        <v>VENCIDO</v>
      </c>
      <c r="P720" s="13" t="s">
        <v>228</v>
      </c>
      <c r="Q720" s="2"/>
    </row>
    <row r="721" spans="1:17" x14ac:dyDescent="0.25">
      <c r="A721" s="23" t="s">
        <v>798</v>
      </c>
      <c r="B721" s="2" t="s">
        <v>846</v>
      </c>
      <c r="C721" s="3" t="s">
        <v>847</v>
      </c>
      <c r="D721" s="3" t="s">
        <v>23</v>
      </c>
      <c r="E721" s="2" t="s">
        <v>823</v>
      </c>
      <c r="F721" s="4">
        <v>0</v>
      </c>
      <c r="G721" s="8">
        <f t="shared" si="93"/>
        <v>1</v>
      </c>
      <c r="H721" s="4" t="str">
        <f t="shared" si="94"/>
        <v>Ohms</v>
      </c>
      <c r="I721" s="6">
        <v>0.40100000000000002</v>
      </c>
      <c r="J721" s="6" t="str">
        <f t="shared" si="95"/>
        <v>Ohms</v>
      </c>
      <c r="K721" s="2" t="str">
        <f t="shared" si="96"/>
        <v>RTG</v>
      </c>
      <c r="L721" s="7">
        <v>45679</v>
      </c>
      <c r="M721" s="7">
        <f t="shared" si="90"/>
        <v>46044</v>
      </c>
      <c r="N721" s="7" t="str">
        <f t="shared" si="97"/>
        <v>Anual</v>
      </c>
      <c r="O721" s="2" t="str">
        <f t="shared" ca="1" si="98"/>
        <v>VENCIDO</v>
      </c>
      <c r="P721" s="13" t="s">
        <v>228</v>
      </c>
      <c r="Q721" s="2"/>
    </row>
    <row r="722" spans="1:17" x14ac:dyDescent="0.25">
      <c r="A722" s="23" t="s">
        <v>798</v>
      </c>
      <c r="B722" s="2" t="s">
        <v>848</v>
      </c>
      <c r="C722" s="3" t="s">
        <v>265</v>
      </c>
      <c r="D722" s="3" t="s">
        <v>23</v>
      </c>
      <c r="E722" s="2" t="s">
        <v>806</v>
      </c>
      <c r="F722" s="4">
        <v>0</v>
      </c>
      <c r="G722" s="8">
        <f t="shared" si="93"/>
        <v>1</v>
      </c>
      <c r="H722" s="4" t="str">
        <f t="shared" si="94"/>
        <v>Ohms</v>
      </c>
      <c r="I722" s="6">
        <v>0.63800000000000001</v>
      </c>
      <c r="J722" s="6" t="str">
        <f t="shared" si="95"/>
        <v>Ohms</v>
      </c>
      <c r="K722" s="2" t="str">
        <f t="shared" si="96"/>
        <v>RTG</v>
      </c>
      <c r="L722" s="7">
        <v>45679</v>
      </c>
      <c r="M722" s="7">
        <f t="shared" si="90"/>
        <v>46044</v>
      </c>
      <c r="N722" s="7" t="str">
        <f t="shared" si="97"/>
        <v>Anual</v>
      </c>
      <c r="O722" s="2" t="str">
        <f t="shared" ca="1" si="98"/>
        <v>VENCIDO</v>
      </c>
      <c r="P722" s="13" t="s">
        <v>228</v>
      </c>
      <c r="Q722" s="2"/>
    </row>
    <row r="723" spans="1:17" x14ac:dyDescent="0.25">
      <c r="A723" s="23" t="s">
        <v>798</v>
      </c>
      <c r="B723" s="2" t="s">
        <v>849</v>
      </c>
      <c r="C723" s="3" t="s">
        <v>267</v>
      </c>
      <c r="D723" s="3" t="s">
        <v>23</v>
      </c>
      <c r="E723" s="2" t="s">
        <v>806</v>
      </c>
      <c r="F723" s="4">
        <v>0</v>
      </c>
      <c r="G723" s="8">
        <f t="shared" si="93"/>
        <v>1</v>
      </c>
      <c r="H723" s="4" t="str">
        <f t="shared" si="94"/>
        <v>Ohms</v>
      </c>
      <c r="I723" s="6">
        <v>0.54600000000000004</v>
      </c>
      <c r="J723" s="6" t="str">
        <f t="shared" si="95"/>
        <v>Ohms</v>
      </c>
      <c r="K723" s="2" t="str">
        <f t="shared" si="96"/>
        <v>RTG</v>
      </c>
      <c r="L723" s="7">
        <v>45679</v>
      </c>
      <c r="M723" s="7">
        <f t="shared" si="90"/>
        <v>46044</v>
      </c>
      <c r="N723" s="7" t="str">
        <f t="shared" si="97"/>
        <v>Anual</v>
      </c>
      <c r="O723" s="2" t="str">
        <f t="shared" ca="1" si="98"/>
        <v>VENCIDO</v>
      </c>
      <c r="P723" s="13" t="s">
        <v>228</v>
      </c>
      <c r="Q723" s="2"/>
    </row>
    <row r="724" spans="1:17" x14ac:dyDescent="0.25">
      <c r="A724" s="23" t="s">
        <v>798</v>
      </c>
      <c r="B724" s="2" t="s">
        <v>878</v>
      </c>
      <c r="C724" s="3" t="s">
        <v>28</v>
      </c>
      <c r="D724" s="3" t="s">
        <v>23</v>
      </c>
      <c r="E724" s="2" t="s">
        <v>24</v>
      </c>
      <c r="F724" s="4">
        <v>0</v>
      </c>
      <c r="G724" s="8">
        <f t="shared" si="93"/>
        <v>1000000000</v>
      </c>
      <c r="H724" s="4" t="str">
        <f t="shared" si="94"/>
        <v>Ohms</v>
      </c>
      <c r="I724" s="14">
        <v>3710000</v>
      </c>
      <c r="J724" s="6" t="str">
        <f t="shared" si="95"/>
        <v>Ohms</v>
      </c>
      <c r="K724" s="2" t="str">
        <f t="shared" si="96"/>
        <v>RTG</v>
      </c>
      <c r="L724" s="7">
        <v>46094</v>
      </c>
      <c r="M724" s="7">
        <f t="shared" si="90"/>
        <v>46459</v>
      </c>
      <c r="N724" s="7" t="str">
        <f t="shared" ref="N724:N755" si="99">IF(C724="Ionizador", "Trimestral", IF(C724="Rack", "Anual", IF(C724="Mesa", "Anual", IF(C724="Tapete", "Semestral", IF(C724="Cautín", "Semestral", IF(C724="Silla", "Semestral", "Anual"))))))</f>
        <v>Anual</v>
      </c>
      <c r="O724" s="2" t="str">
        <f t="shared" ref="O724:O755" ca="1" si="100">IF(M724&lt;TODAY(),"VENCIDO",IF(M724=TODAY(),"VIGENTE",IF(M724&gt;TODAY(),"VIGENTE")))</f>
        <v>VIGENTE</v>
      </c>
      <c r="P724" s="6" t="s">
        <v>25</v>
      </c>
      <c r="Q724" s="2" t="s">
        <v>29</v>
      </c>
    </row>
    <row r="725" spans="1:17" x14ac:dyDescent="0.25">
      <c r="A725" s="23" t="s">
        <v>798</v>
      </c>
      <c r="B725" s="2" t="s">
        <v>879</v>
      </c>
      <c r="C725" s="3" t="s">
        <v>28</v>
      </c>
      <c r="D725" s="3" t="s">
        <v>23</v>
      </c>
      <c r="E725" s="2" t="s">
        <v>24</v>
      </c>
      <c r="F725" s="4">
        <v>0</v>
      </c>
      <c r="G725" s="8">
        <f t="shared" si="93"/>
        <v>1000000000</v>
      </c>
      <c r="H725" s="4" t="str">
        <f t="shared" si="94"/>
        <v>Ohms</v>
      </c>
      <c r="I725" s="14">
        <v>255000</v>
      </c>
      <c r="J725" s="6" t="str">
        <f t="shared" si="95"/>
        <v>Ohms</v>
      </c>
      <c r="K725" s="2" t="str">
        <f t="shared" si="96"/>
        <v>RTG</v>
      </c>
      <c r="L725" s="7">
        <v>45871</v>
      </c>
      <c r="M725" s="7">
        <f t="shared" si="90"/>
        <v>46236</v>
      </c>
      <c r="N725" s="7" t="str">
        <f t="shared" si="99"/>
        <v>Anual</v>
      </c>
      <c r="O725" s="2" t="str">
        <f t="shared" ca="1" si="100"/>
        <v>VIGENTE</v>
      </c>
      <c r="P725" s="6" t="s">
        <v>25</v>
      </c>
      <c r="Q725" s="2" t="s">
        <v>29</v>
      </c>
    </row>
    <row r="726" spans="1:17" x14ac:dyDescent="0.25">
      <c r="A726" s="23" t="s">
        <v>798</v>
      </c>
      <c r="B726" s="2" t="s">
        <v>880</v>
      </c>
      <c r="C726" s="3" t="s">
        <v>28</v>
      </c>
      <c r="D726" s="3" t="s">
        <v>23</v>
      </c>
      <c r="E726" s="2" t="s">
        <v>24</v>
      </c>
      <c r="F726" s="4">
        <v>0</v>
      </c>
      <c r="G726" s="8">
        <f t="shared" si="93"/>
        <v>1000000000</v>
      </c>
      <c r="H726" s="4" t="str">
        <f t="shared" si="94"/>
        <v>Ohms</v>
      </c>
      <c r="I726" s="14">
        <v>485000</v>
      </c>
      <c r="J726" s="6" t="str">
        <f t="shared" si="95"/>
        <v>Ohms</v>
      </c>
      <c r="K726" s="2" t="str">
        <f t="shared" si="96"/>
        <v>RTG</v>
      </c>
      <c r="L726" s="7">
        <v>45871</v>
      </c>
      <c r="M726" s="7">
        <f t="shared" si="90"/>
        <v>46236</v>
      </c>
      <c r="N726" s="7" t="str">
        <f t="shared" si="99"/>
        <v>Anual</v>
      </c>
      <c r="O726" s="2" t="str">
        <f t="shared" ca="1" si="100"/>
        <v>VIGENTE</v>
      </c>
      <c r="P726" s="6" t="s">
        <v>25</v>
      </c>
      <c r="Q726" s="2"/>
    </row>
    <row r="727" spans="1:17" x14ac:dyDescent="0.25">
      <c r="A727" s="23" t="s">
        <v>798</v>
      </c>
      <c r="B727" s="2" t="s">
        <v>881</v>
      </c>
      <c r="C727" s="3" t="s">
        <v>89</v>
      </c>
      <c r="D727" s="3" t="s">
        <v>23</v>
      </c>
      <c r="E727" s="2" t="s">
        <v>24</v>
      </c>
      <c r="F727" s="4">
        <v>0</v>
      </c>
      <c r="G727" s="8">
        <f t="shared" si="93"/>
        <v>1000000000</v>
      </c>
      <c r="H727" s="4" t="str">
        <f t="shared" si="94"/>
        <v>Ohms</v>
      </c>
      <c r="I727" s="14">
        <v>126000000</v>
      </c>
      <c r="J727" s="6" t="str">
        <f t="shared" si="95"/>
        <v>Ohms</v>
      </c>
      <c r="K727" s="2" t="str">
        <f t="shared" si="96"/>
        <v>RTG</v>
      </c>
      <c r="L727" s="7">
        <v>45831</v>
      </c>
      <c r="M727" s="7">
        <f t="shared" si="90"/>
        <v>46196</v>
      </c>
      <c r="N727" s="7" t="str">
        <f t="shared" si="99"/>
        <v>Anual</v>
      </c>
      <c r="O727" s="2" t="str">
        <f t="shared" ca="1" si="100"/>
        <v>VIGENTE</v>
      </c>
      <c r="P727" s="6" t="s">
        <v>25</v>
      </c>
      <c r="Q727" s="2" t="s">
        <v>126</v>
      </c>
    </row>
    <row r="728" spans="1:17" x14ac:dyDescent="0.25">
      <c r="A728" s="23" t="s">
        <v>798</v>
      </c>
      <c r="B728" s="2" t="s">
        <v>882</v>
      </c>
      <c r="C728" s="3" t="s">
        <v>22</v>
      </c>
      <c r="D728" s="3" t="s">
        <v>23</v>
      </c>
      <c r="E728" s="2" t="s">
        <v>24</v>
      </c>
      <c r="F728" s="4">
        <v>0</v>
      </c>
      <c r="G728" s="8">
        <f t="shared" si="93"/>
        <v>1000000000</v>
      </c>
      <c r="H728" s="4" t="str">
        <f t="shared" si="94"/>
        <v>Ohms</v>
      </c>
      <c r="I728" s="14">
        <v>184000000</v>
      </c>
      <c r="J728" s="6" t="str">
        <f t="shared" si="95"/>
        <v>Ohms</v>
      </c>
      <c r="K728" s="2" t="str">
        <f t="shared" si="96"/>
        <v>RTG</v>
      </c>
      <c r="L728" s="7">
        <v>45831</v>
      </c>
      <c r="M728" s="7">
        <f t="shared" si="90"/>
        <v>46196</v>
      </c>
      <c r="N728" s="7" t="str">
        <f t="shared" si="99"/>
        <v>Anual</v>
      </c>
      <c r="O728" s="2" t="str">
        <f t="shared" ca="1" si="100"/>
        <v>VIGENTE</v>
      </c>
      <c r="P728" s="6" t="s">
        <v>25</v>
      </c>
      <c r="Q728" s="2"/>
    </row>
    <row r="729" spans="1:17" x14ac:dyDescent="0.25">
      <c r="A729" s="23" t="s">
        <v>798</v>
      </c>
      <c r="B729" s="2" t="s">
        <v>883</v>
      </c>
      <c r="C729" s="3" t="s">
        <v>22</v>
      </c>
      <c r="D729" s="3" t="s">
        <v>23</v>
      </c>
      <c r="E729" s="2" t="s">
        <v>24</v>
      </c>
      <c r="F729" s="4">
        <v>0</v>
      </c>
      <c r="G729" s="8">
        <f t="shared" si="93"/>
        <v>1000000000</v>
      </c>
      <c r="H729" s="4" t="str">
        <f t="shared" si="94"/>
        <v>Ohms</v>
      </c>
      <c r="I729" s="14">
        <v>313000000</v>
      </c>
      <c r="J729" s="6" t="str">
        <f t="shared" si="95"/>
        <v>Ohms</v>
      </c>
      <c r="K729" s="2" t="str">
        <f t="shared" si="96"/>
        <v>RTG</v>
      </c>
      <c r="L729" s="7">
        <v>45831</v>
      </c>
      <c r="M729" s="7">
        <f t="shared" si="90"/>
        <v>46196</v>
      </c>
      <c r="N729" s="7" t="str">
        <f t="shared" si="99"/>
        <v>Anual</v>
      </c>
      <c r="O729" s="2" t="str">
        <f t="shared" ca="1" si="100"/>
        <v>VIGENTE</v>
      </c>
      <c r="P729" s="6" t="s">
        <v>25</v>
      </c>
      <c r="Q729" s="2"/>
    </row>
    <row r="730" spans="1:17" x14ac:dyDescent="0.25">
      <c r="A730" s="23" t="s">
        <v>798</v>
      </c>
      <c r="B730" s="2" t="s">
        <v>884</v>
      </c>
      <c r="C730" s="3" t="s">
        <v>22</v>
      </c>
      <c r="D730" s="3" t="s">
        <v>23</v>
      </c>
      <c r="E730" s="2" t="s">
        <v>24</v>
      </c>
      <c r="F730" s="4">
        <v>0</v>
      </c>
      <c r="G730" s="8">
        <f t="shared" si="93"/>
        <v>1000000000</v>
      </c>
      <c r="H730" s="4" t="str">
        <f t="shared" si="94"/>
        <v>Ohms</v>
      </c>
      <c r="I730" s="6">
        <v>31400000</v>
      </c>
      <c r="J730" s="6" t="str">
        <f t="shared" si="95"/>
        <v>Ohms</v>
      </c>
      <c r="K730" s="2" t="str">
        <f t="shared" si="96"/>
        <v>RTG</v>
      </c>
      <c r="L730" s="7">
        <v>45838</v>
      </c>
      <c r="M730" s="7">
        <f t="shared" si="90"/>
        <v>46203</v>
      </c>
      <c r="N730" s="7" t="str">
        <f t="shared" si="99"/>
        <v>Anual</v>
      </c>
      <c r="O730" s="2" t="str">
        <f t="shared" ca="1" si="100"/>
        <v>VIGENTE</v>
      </c>
      <c r="P730" s="6" t="s">
        <v>25</v>
      </c>
      <c r="Q730" s="2"/>
    </row>
    <row r="731" spans="1:17" x14ac:dyDescent="0.25">
      <c r="A731" s="23" t="s">
        <v>798</v>
      </c>
      <c r="B731" s="2" t="s">
        <v>885</v>
      </c>
      <c r="C731" s="3" t="s">
        <v>22</v>
      </c>
      <c r="D731" s="3" t="s">
        <v>23</v>
      </c>
      <c r="E731" s="2" t="s">
        <v>24</v>
      </c>
      <c r="F731" s="4">
        <v>0</v>
      </c>
      <c r="G731" s="8">
        <f t="shared" si="93"/>
        <v>1000000000</v>
      </c>
      <c r="H731" s="4" t="str">
        <f t="shared" si="94"/>
        <v>Ohms</v>
      </c>
      <c r="I731" s="6">
        <v>531000000</v>
      </c>
      <c r="J731" s="6" t="str">
        <f t="shared" si="95"/>
        <v>Ohms</v>
      </c>
      <c r="K731" s="2" t="str">
        <f t="shared" si="96"/>
        <v>RTG</v>
      </c>
      <c r="L731" s="7">
        <v>45905</v>
      </c>
      <c r="M731" s="7">
        <f t="shared" si="90"/>
        <v>46270</v>
      </c>
      <c r="N731" s="7" t="str">
        <f t="shared" si="99"/>
        <v>Anual</v>
      </c>
      <c r="O731" s="2" t="str">
        <f t="shared" ca="1" si="100"/>
        <v>VIGENTE</v>
      </c>
      <c r="P731" s="6" t="s">
        <v>25</v>
      </c>
      <c r="Q731" s="2"/>
    </row>
    <row r="732" spans="1:17" x14ac:dyDescent="0.25">
      <c r="A732" s="23" t="s">
        <v>798</v>
      </c>
      <c r="B732" s="2" t="s">
        <v>886</v>
      </c>
      <c r="C732" s="3" t="s">
        <v>22</v>
      </c>
      <c r="D732" s="3" t="s">
        <v>23</v>
      </c>
      <c r="E732" s="2" t="s">
        <v>24</v>
      </c>
      <c r="F732" s="4">
        <v>0</v>
      </c>
      <c r="G732" s="8">
        <f t="shared" si="93"/>
        <v>1000000000</v>
      </c>
      <c r="H732" s="4" t="str">
        <f t="shared" si="94"/>
        <v>Ohms</v>
      </c>
      <c r="I732" s="6">
        <v>947000000</v>
      </c>
      <c r="J732" s="6" t="str">
        <f t="shared" si="95"/>
        <v>Ohms</v>
      </c>
      <c r="K732" s="2" t="str">
        <f t="shared" si="96"/>
        <v>RTG</v>
      </c>
      <c r="L732" s="7">
        <v>45905</v>
      </c>
      <c r="M732" s="7">
        <f t="shared" si="90"/>
        <v>46270</v>
      </c>
      <c r="N732" s="7" t="str">
        <f t="shared" si="99"/>
        <v>Anual</v>
      </c>
      <c r="O732" s="2" t="str">
        <f t="shared" ca="1" si="100"/>
        <v>VIGENTE</v>
      </c>
      <c r="P732" s="6" t="s">
        <v>25</v>
      </c>
      <c r="Q732" s="2"/>
    </row>
    <row r="733" spans="1:17" x14ac:dyDescent="0.25">
      <c r="A733" s="23" t="s">
        <v>798</v>
      </c>
      <c r="B733" s="2" t="s">
        <v>888</v>
      </c>
      <c r="C733" s="3" t="s">
        <v>22</v>
      </c>
      <c r="D733" s="3" t="s">
        <v>23</v>
      </c>
      <c r="E733" s="2" t="s">
        <v>24</v>
      </c>
      <c r="F733" s="4">
        <v>0</v>
      </c>
      <c r="G733" s="8">
        <f t="shared" si="93"/>
        <v>1000000000</v>
      </c>
      <c r="H733" s="4" t="str">
        <f t="shared" si="94"/>
        <v>Ohms</v>
      </c>
      <c r="I733" s="6">
        <v>61100000</v>
      </c>
      <c r="J733" s="6" t="str">
        <f t="shared" si="95"/>
        <v>Ohms</v>
      </c>
      <c r="K733" s="2" t="str">
        <f t="shared" si="96"/>
        <v>RTG</v>
      </c>
      <c r="L733" s="7">
        <v>45905</v>
      </c>
      <c r="M733" s="7">
        <f t="shared" si="90"/>
        <v>46270</v>
      </c>
      <c r="N733" s="7" t="str">
        <f t="shared" si="99"/>
        <v>Anual</v>
      </c>
      <c r="O733" s="2" t="str">
        <f t="shared" ca="1" si="100"/>
        <v>VIGENTE</v>
      </c>
      <c r="P733" s="6" t="s">
        <v>25</v>
      </c>
      <c r="Q733" s="2"/>
    </row>
    <row r="734" spans="1:17" x14ac:dyDescent="0.25">
      <c r="A734" s="23" t="s">
        <v>798</v>
      </c>
      <c r="B734" s="2" t="s">
        <v>889</v>
      </c>
      <c r="C734" s="3" t="s">
        <v>22</v>
      </c>
      <c r="D734" s="3" t="s">
        <v>23</v>
      </c>
      <c r="E734" s="2" t="s">
        <v>24</v>
      </c>
      <c r="F734" s="4">
        <v>0</v>
      </c>
      <c r="G734" s="8">
        <f t="shared" si="93"/>
        <v>1000000000</v>
      </c>
      <c r="H734" s="4" t="str">
        <f t="shared" si="94"/>
        <v>Ohms</v>
      </c>
      <c r="I734" s="6">
        <v>655000000</v>
      </c>
      <c r="J734" s="6" t="str">
        <f t="shared" si="95"/>
        <v>Ohms</v>
      </c>
      <c r="K734" s="2" t="str">
        <f t="shared" si="96"/>
        <v>RTG</v>
      </c>
      <c r="L734" s="7">
        <v>45905</v>
      </c>
      <c r="M734" s="7">
        <f t="shared" si="90"/>
        <v>46270</v>
      </c>
      <c r="N734" s="7" t="str">
        <f t="shared" si="99"/>
        <v>Anual</v>
      </c>
      <c r="O734" s="2" t="str">
        <f t="shared" ca="1" si="100"/>
        <v>VIGENTE</v>
      </c>
      <c r="P734" s="6" t="s">
        <v>25</v>
      </c>
      <c r="Q734" s="2"/>
    </row>
    <row r="735" spans="1:17" x14ac:dyDescent="0.25">
      <c r="A735" s="23" t="s">
        <v>208</v>
      </c>
      <c r="B735" s="2" t="s">
        <v>209</v>
      </c>
      <c r="C735" s="3" t="s">
        <v>210</v>
      </c>
      <c r="D735" s="3" t="s">
        <v>23</v>
      </c>
      <c r="E735" s="2" t="s">
        <v>211</v>
      </c>
      <c r="F735" s="4">
        <v>0</v>
      </c>
      <c r="G735" s="8">
        <f t="shared" si="93"/>
        <v>1</v>
      </c>
      <c r="H735" s="4" t="str">
        <f t="shared" si="94"/>
        <v>Ohms</v>
      </c>
      <c r="I735" s="6">
        <v>0.124</v>
      </c>
      <c r="J735" s="6" t="str">
        <f t="shared" si="95"/>
        <v>Ohms</v>
      </c>
      <c r="K735" s="2" t="str">
        <f t="shared" si="96"/>
        <v>RTG</v>
      </c>
      <c r="L735" s="7">
        <v>46053</v>
      </c>
      <c r="M735" s="7">
        <f t="shared" si="90"/>
        <v>46418</v>
      </c>
      <c r="N735" s="7" t="str">
        <f t="shared" si="99"/>
        <v>Anual</v>
      </c>
      <c r="O735" s="2" t="str">
        <f t="shared" ca="1" si="100"/>
        <v>VIGENTE</v>
      </c>
      <c r="P735" s="6" t="s">
        <v>25</v>
      </c>
      <c r="Q735" s="2"/>
    </row>
    <row r="736" spans="1:17" x14ac:dyDescent="0.25">
      <c r="A736" s="23" t="s">
        <v>208</v>
      </c>
      <c r="B736" s="2" t="s">
        <v>223</v>
      </c>
      <c r="C736" s="3" t="s">
        <v>210</v>
      </c>
      <c r="D736" s="3" t="s">
        <v>23</v>
      </c>
      <c r="E736" s="2" t="s">
        <v>211</v>
      </c>
      <c r="F736" s="4">
        <v>0</v>
      </c>
      <c r="G736" s="8">
        <f t="shared" si="93"/>
        <v>1</v>
      </c>
      <c r="H736" s="4" t="str">
        <f t="shared" si="94"/>
        <v>Ohms</v>
      </c>
      <c r="I736" s="6">
        <v>0.127</v>
      </c>
      <c r="J736" s="6" t="str">
        <f t="shared" si="95"/>
        <v>Ohms</v>
      </c>
      <c r="K736" s="2" t="str">
        <f t="shared" si="96"/>
        <v>RTG</v>
      </c>
      <c r="L736" s="7">
        <v>46053</v>
      </c>
      <c r="M736" s="7">
        <f t="shared" si="90"/>
        <v>46418</v>
      </c>
      <c r="N736" s="7" t="str">
        <f t="shared" si="99"/>
        <v>Anual</v>
      </c>
      <c r="O736" s="2" t="str">
        <f t="shared" ca="1" si="100"/>
        <v>VIGENTE</v>
      </c>
      <c r="P736" s="6" t="s">
        <v>25</v>
      </c>
      <c r="Q736" s="2"/>
    </row>
    <row r="737" spans="1:17" x14ac:dyDescent="0.25">
      <c r="A737" s="23" t="s">
        <v>208</v>
      </c>
      <c r="B737" s="2" t="s">
        <v>897</v>
      </c>
      <c r="C737" s="3" t="s">
        <v>28</v>
      </c>
      <c r="D737" s="3" t="s">
        <v>23</v>
      </c>
      <c r="E737" s="2" t="s">
        <v>24</v>
      </c>
      <c r="F737" s="4">
        <v>0</v>
      </c>
      <c r="G737" s="8">
        <f t="shared" si="93"/>
        <v>1000000000</v>
      </c>
      <c r="H737" s="4" t="str">
        <f t="shared" si="94"/>
        <v>Ohms</v>
      </c>
      <c r="I737" s="14">
        <v>19000000</v>
      </c>
      <c r="J737" s="6" t="str">
        <f t="shared" si="95"/>
        <v>Ohms</v>
      </c>
      <c r="K737" s="2" t="str">
        <f t="shared" si="96"/>
        <v>RTG</v>
      </c>
      <c r="L737" s="7">
        <v>45832</v>
      </c>
      <c r="M737" s="7">
        <f t="shared" si="90"/>
        <v>46197</v>
      </c>
      <c r="N737" s="7" t="str">
        <f t="shared" si="99"/>
        <v>Anual</v>
      </c>
      <c r="O737" s="2" t="str">
        <f t="shared" ca="1" si="100"/>
        <v>VIGENTE</v>
      </c>
      <c r="P737" s="6" t="s">
        <v>25</v>
      </c>
      <c r="Q737" s="2" t="s">
        <v>29</v>
      </c>
    </row>
    <row r="738" spans="1:17" x14ac:dyDescent="0.25">
      <c r="A738" s="23" t="s">
        <v>208</v>
      </c>
      <c r="B738" s="2" t="s">
        <v>898</v>
      </c>
      <c r="C738" s="3" t="s">
        <v>28</v>
      </c>
      <c r="D738" s="3" t="s">
        <v>23</v>
      </c>
      <c r="E738" s="2" t="s">
        <v>24</v>
      </c>
      <c r="F738" s="4">
        <v>0</v>
      </c>
      <c r="G738" s="8">
        <f t="shared" si="93"/>
        <v>1000000000</v>
      </c>
      <c r="H738" s="4" t="str">
        <f t="shared" si="94"/>
        <v>Ohms</v>
      </c>
      <c r="I738" s="14">
        <v>3660000</v>
      </c>
      <c r="J738" s="6" t="str">
        <f t="shared" si="95"/>
        <v>Ohms</v>
      </c>
      <c r="K738" s="2" t="str">
        <f t="shared" si="96"/>
        <v>RTG</v>
      </c>
      <c r="L738" s="7">
        <v>45832</v>
      </c>
      <c r="M738" s="7">
        <f t="shared" si="90"/>
        <v>46197</v>
      </c>
      <c r="N738" s="7" t="str">
        <f t="shared" si="99"/>
        <v>Anual</v>
      </c>
      <c r="O738" s="2" t="str">
        <f t="shared" ca="1" si="100"/>
        <v>VIGENTE</v>
      </c>
      <c r="P738" s="6" t="s">
        <v>25</v>
      </c>
      <c r="Q738" s="2" t="s">
        <v>29</v>
      </c>
    </row>
    <row r="739" spans="1:17" x14ac:dyDescent="0.25">
      <c r="A739" s="23" t="s">
        <v>208</v>
      </c>
      <c r="B739" s="2" t="s">
        <v>899</v>
      </c>
      <c r="C739" s="3" t="s">
        <v>28</v>
      </c>
      <c r="D739" s="3" t="s">
        <v>23</v>
      </c>
      <c r="E739" s="2" t="s">
        <v>24</v>
      </c>
      <c r="F739" s="4">
        <v>0</v>
      </c>
      <c r="G739" s="8">
        <f t="shared" si="93"/>
        <v>1000000000</v>
      </c>
      <c r="H739" s="4" t="str">
        <f t="shared" si="94"/>
        <v>Ohms</v>
      </c>
      <c r="I739" s="14">
        <v>152000</v>
      </c>
      <c r="J739" s="6" t="str">
        <f t="shared" si="95"/>
        <v>Ohms</v>
      </c>
      <c r="K739" s="2" t="str">
        <f t="shared" si="96"/>
        <v>RTG</v>
      </c>
      <c r="L739" s="7">
        <v>45871</v>
      </c>
      <c r="M739" s="7">
        <f t="shared" ref="M739:M802" si="101">IF(N739="Trimestral", L739+90, IF(N739="Semestral", L739+180, IF(N739="Mensual", L739+30, L739+365)))</f>
        <v>46236</v>
      </c>
      <c r="N739" s="7" t="str">
        <f t="shared" si="99"/>
        <v>Anual</v>
      </c>
      <c r="O739" s="2" t="str">
        <f t="shared" ca="1" si="100"/>
        <v>VIGENTE</v>
      </c>
      <c r="P739" s="6" t="s">
        <v>25</v>
      </c>
      <c r="Q739" s="2" t="s">
        <v>29</v>
      </c>
    </row>
    <row r="740" spans="1:17" x14ac:dyDescent="0.25">
      <c r="A740" s="23" t="s">
        <v>208</v>
      </c>
      <c r="B740" s="2" t="s">
        <v>900</v>
      </c>
      <c r="C740" s="3" t="s">
        <v>28</v>
      </c>
      <c r="D740" s="3" t="s">
        <v>23</v>
      </c>
      <c r="E740" s="2" t="s">
        <v>24</v>
      </c>
      <c r="F740" s="4">
        <v>0</v>
      </c>
      <c r="G740" s="8">
        <f t="shared" si="93"/>
        <v>1000000000</v>
      </c>
      <c r="H740" s="4" t="str">
        <f t="shared" si="94"/>
        <v>Ohms</v>
      </c>
      <c r="I740" s="14">
        <v>41800000</v>
      </c>
      <c r="J740" s="6" t="str">
        <f t="shared" si="95"/>
        <v>Ohms</v>
      </c>
      <c r="K740" s="2" t="str">
        <f t="shared" si="96"/>
        <v>RTG</v>
      </c>
      <c r="L740" s="7">
        <v>45871</v>
      </c>
      <c r="M740" s="7">
        <f t="shared" si="101"/>
        <v>46236</v>
      </c>
      <c r="N740" s="7" t="str">
        <f t="shared" si="99"/>
        <v>Anual</v>
      </c>
      <c r="O740" s="2" t="str">
        <f t="shared" ca="1" si="100"/>
        <v>VIGENTE</v>
      </c>
      <c r="P740" s="6" t="s">
        <v>25</v>
      </c>
      <c r="Q740" s="2" t="s">
        <v>29</v>
      </c>
    </row>
    <row r="741" spans="1:17" x14ac:dyDescent="0.25">
      <c r="A741" s="23" t="s">
        <v>208</v>
      </c>
      <c r="B741" s="2" t="s">
        <v>901</v>
      </c>
      <c r="C741" s="3" t="s">
        <v>28</v>
      </c>
      <c r="D741" s="3" t="s">
        <v>23</v>
      </c>
      <c r="E741" s="2" t="s">
        <v>24</v>
      </c>
      <c r="F741" s="4">
        <v>0</v>
      </c>
      <c r="G741" s="8">
        <f t="shared" si="93"/>
        <v>1000000000</v>
      </c>
      <c r="H741" s="4" t="str">
        <f t="shared" si="94"/>
        <v>Ohms</v>
      </c>
      <c r="I741" s="14">
        <v>176000000</v>
      </c>
      <c r="J741" s="6" t="str">
        <f t="shared" si="95"/>
        <v>Ohms</v>
      </c>
      <c r="K741" s="2" t="str">
        <f t="shared" si="96"/>
        <v>RTG</v>
      </c>
      <c r="L741" s="7">
        <v>45832</v>
      </c>
      <c r="M741" s="7">
        <f t="shared" si="101"/>
        <v>46197</v>
      </c>
      <c r="N741" s="7" t="str">
        <f t="shared" si="99"/>
        <v>Anual</v>
      </c>
      <c r="O741" s="2" t="str">
        <f t="shared" ca="1" si="100"/>
        <v>VIGENTE</v>
      </c>
      <c r="P741" s="6" t="s">
        <v>25</v>
      </c>
      <c r="Q741" s="2" t="s">
        <v>29</v>
      </c>
    </row>
    <row r="742" spans="1:17" x14ac:dyDescent="0.25">
      <c r="A742" s="23" t="s">
        <v>208</v>
      </c>
      <c r="B742" s="2" t="s">
        <v>902</v>
      </c>
      <c r="C742" s="3" t="s">
        <v>28</v>
      </c>
      <c r="D742" s="3" t="s">
        <v>23</v>
      </c>
      <c r="E742" s="2" t="s">
        <v>24</v>
      </c>
      <c r="F742" s="4">
        <v>0</v>
      </c>
      <c r="G742" s="8">
        <f t="shared" si="93"/>
        <v>1000000000</v>
      </c>
      <c r="H742" s="4" t="str">
        <f t="shared" si="94"/>
        <v>Ohms</v>
      </c>
      <c r="I742" s="14">
        <v>468000000</v>
      </c>
      <c r="J742" s="6" t="str">
        <f t="shared" si="95"/>
        <v>Ohms</v>
      </c>
      <c r="K742" s="2" t="str">
        <f t="shared" si="96"/>
        <v>RTG</v>
      </c>
      <c r="L742" s="7">
        <v>45832</v>
      </c>
      <c r="M742" s="7">
        <f t="shared" si="101"/>
        <v>46197</v>
      </c>
      <c r="N742" s="7" t="str">
        <f t="shared" si="99"/>
        <v>Anual</v>
      </c>
      <c r="O742" s="2" t="str">
        <f t="shared" ca="1" si="100"/>
        <v>VIGENTE</v>
      </c>
      <c r="P742" s="6" t="s">
        <v>25</v>
      </c>
      <c r="Q742" s="2" t="s">
        <v>29</v>
      </c>
    </row>
    <row r="743" spans="1:17" x14ac:dyDescent="0.25">
      <c r="A743" s="23" t="s">
        <v>208</v>
      </c>
      <c r="B743" s="2" t="s">
        <v>903</v>
      </c>
      <c r="C743" s="3" t="s">
        <v>89</v>
      </c>
      <c r="D743" s="3" t="s">
        <v>23</v>
      </c>
      <c r="E743" s="2" t="s">
        <v>24</v>
      </c>
      <c r="F743" s="4">
        <v>0</v>
      </c>
      <c r="G743" s="8">
        <f t="shared" si="93"/>
        <v>1000000000</v>
      </c>
      <c r="H743" s="4" t="str">
        <f t="shared" si="94"/>
        <v>Ohms</v>
      </c>
      <c r="I743" s="14">
        <v>75100000</v>
      </c>
      <c r="J743" s="6" t="str">
        <f t="shared" si="95"/>
        <v>Ohms</v>
      </c>
      <c r="K743" s="2" t="str">
        <f t="shared" si="96"/>
        <v>RTG</v>
      </c>
      <c r="L743" s="7">
        <v>45832</v>
      </c>
      <c r="M743" s="7">
        <f t="shared" si="101"/>
        <v>46197</v>
      </c>
      <c r="N743" s="7" t="str">
        <f t="shared" si="99"/>
        <v>Anual</v>
      </c>
      <c r="O743" s="2" t="str">
        <f t="shared" ca="1" si="100"/>
        <v>VIGENTE</v>
      </c>
      <c r="P743" s="6" t="s">
        <v>25</v>
      </c>
      <c r="Q743" s="2"/>
    </row>
    <row r="744" spans="1:17" x14ac:dyDescent="0.25">
      <c r="A744" s="23" t="s">
        <v>208</v>
      </c>
      <c r="B744" s="2" t="s">
        <v>904</v>
      </c>
      <c r="C744" s="3" t="s">
        <v>22</v>
      </c>
      <c r="D744" s="3" t="s">
        <v>23</v>
      </c>
      <c r="E744" s="2" t="s">
        <v>24</v>
      </c>
      <c r="F744" s="4">
        <v>0</v>
      </c>
      <c r="G744" s="8">
        <f t="shared" si="93"/>
        <v>1000000000</v>
      </c>
      <c r="H744" s="4" t="str">
        <f t="shared" si="94"/>
        <v>Ohms</v>
      </c>
      <c r="I744" s="14">
        <v>342000000</v>
      </c>
      <c r="J744" s="6" t="str">
        <f t="shared" si="95"/>
        <v>Ohms</v>
      </c>
      <c r="K744" s="2" t="str">
        <f t="shared" si="96"/>
        <v>RTG</v>
      </c>
      <c r="L744" s="7">
        <v>45832</v>
      </c>
      <c r="M744" s="7">
        <f t="shared" si="101"/>
        <v>46197</v>
      </c>
      <c r="N744" s="7" t="str">
        <f t="shared" si="99"/>
        <v>Anual</v>
      </c>
      <c r="O744" s="2" t="str">
        <f t="shared" ca="1" si="100"/>
        <v>VIGENTE</v>
      </c>
      <c r="P744" s="6" t="s">
        <v>25</v>
      </c>
      <c r="Q744" s="2"/>
    </row>
    <row r="745" spans="1:17" x14ac:dyDescent="0.25">
      <c r="A745" s="23" t="s">
        <v>208</v>
      </c>
      <c r="B745" s="2" t="s">
        <v>905</v>
      </c>
      <c r="C745" s="3" t="s">
        <v>22</v>
      </c>
      <c r="D745" s="3" t="s">
        <v>23</v>
      </c>
      <c r="E745" s="2" t="s">
        <v>24</v>
      </c>
      <c r="F745" s="4">
        <v>0</v>
      </c>
      <c r="G745" s="8">
        <f t="shared" si="93"/>
        <v>1000000000</v>
      </c>
      <c r="H745" s="4" t="str">
        <f t="shared" si="94"/>
        <v>Ohms</v>
      </c>
      <c r="I745" s="14">
        <v>28000000</v>
      </c>
      <c r="J745" s="6" t="str">
        <f t="shared" si="95"/>
        <v>Ohms</v>
      </c>
      <c r="K745" s="2" t="str">
        <f t="shared" si="96"/>
        <v>RTG</v>
      </c>
      <c r="L745" s="7">
        <v>45832</v>
      </c>
      <c r="M745" s="7">
        <f t="shared" si="101"/>
        <v>46197</v>
      </c>
      <c r="N745" s="7" t="str">
        <f t="shared" si="99"/>
        <v>Anual</v>
      </c>
      <c r="O745" s="2" t="str">
        <f t="shared" ca="1" si="100"/>
        <v>VIGENTE</v>
      </c>
      <c r="P745" s="6" t="s">
        <v>25</v>
      </c>
      <c r="Q745" s="2"/>
    </row>
    <row r="746" spans="1:17" x14ac:dyDescent="0.25">
      <c r="A746" s="23" t="s">
        <v>208</v>
      </c>
      <c r="B746" s="2" t="s">
        <v>907</v>
      </c>
      <c r="C746" s="3" t="s">
        <v>22</v>
      </c>
      <c r="D746" s="3" t="s">
        <v>23</v>
      </c>
      <c r="E746" s="2" t="s">
        <v>24</v>
      </c>
      <c r="F746" s="4">
        <v>0</v>
      </c>
      <c r="G746" s="8">
        <f t="shared" si="93"/>
        <v>1000000000</v>
      </c>
      <c r="H746" s="4" t="str">
        <f t="shared" si="94"/>
        <v>Ohms</v>
      </c>
      <c r="I746" s="14">
        <v>13800000</v>
      </c>
      <c r="J746" s="6" t="str">
        <f t="shared" si="95"/>
        <v>Ohms</v>
      </c>
      <c r="K746" s="2" t="str">
        <f t="shared" si="96"/>
        <v>RTG</v>
      </c>
      <c r="L746" s="7">
        <v>45832</v>
      </c>
      <c r="M746" s="7">
        <f t="shared" si="101"/>
        <v>46197</v>
      </c>
      <c r="N746" s="7" t="str">
        <f t="shared" si="99"/>
        <v>Anual</v>
      </c>
      <c r="O746" s="2" t="str">
        <f t="shared" ca="1" si="100"/>
        <v>VIGENTE</v>
      </c>
      <c r="P746" s="6" t="s">
        <v>25</v>
      </c>
      <c r="Q746" s="2"/>
    </row>
    <row r="747" spans="1:17" x14ac:dyDescent="0.25">
      <c r="A747" s="23" t="s">
        <v>208</v>
      </c>
      <c r="B747" s="2" t="s">
        <v>908</v>
      </c>
      <c r="C747" s="3" t="s">
        <v>22</v>
      </c>
      <c r="D747" s="3" t="s">
        <v>23</v>
      </c>
      <c r="E747" s="2" t="s">
        <v>24</v>
      </c>
      <c r="F747" s="4">
        <v>0</v>
      </c>
      <c r="G747" s="8">
        <f t="shared" si="93"/>
        <v>1000000000</v>
      </c>
      <c r="H747" s="4" t="str">
        <f t="shared" si="94"/>
        <v>Ohms</v>
      </c>
      <c r="I747" s="6">
        <v>112000000</v>
      </c>
      <c r="J747" s="6" t="str">
        <f t="shared" si="95"/>
        <v>Ohms</v>
      </c>
      <c r="K747" s="2" t="str">
        <f t="shared" si="96"/>
        <v>RTG</v>
      </c>
      <c r="L747" s="7">
        <v>45871</v>
      </c>
      <c r="M747" s="7">
        <f t="shared" si="101"/>
        <v>46236</v>
      </c>
      <c r="N747" s="7" t="str">
        <f t="shared" si="99"/>
        <v>Anual</v>
      </c>
      <c r="O747" s="2" t="str">
        <f t="shared" ca="1" si="100"/>
        <v>VIGENTE</v>
      </c>
      <c r="P747" s="6" t="s">
        <v>25</v>
      </c>
      <c r="Q747" s="2"/>
    </row>
    <row r="748" spans="1:17" x14ac:dyDescent="0.25">
      <c r="A748" s="23" t="s">
        <v>208</v>
      </c>
      <c r="B748" s="2" t="s">
        <v>909</v>
      </c>
      <c r="C748" s="3" t="s">
        <v>22</v>
      </c>
      <c r="D748" s="3" t="s">
        <v>23</v>
      </c>
      <c r="E748" s="2" t="s">
        <v>24</v>
      </c>
      <c r="F748" s="4">
        <v>0</v>
      </c>
      <c r="G748" s="8">
        <f t="shared" si="93"/>
        <v>1000000000</v>
      </c>
      <c r="H748" s="4" t="str">
        <f t="shared" si="94"/>
        <v>Ohms</v>
      </c>
      <c r="I748" s="14">
        <v>43800000</v>
      </c>
      <c r="J748" s="6" t="str">
        <f t="shared" si="95"/>
        <v>Ohms</v>
      </c>
      <c r="K748" s="2" t="str">
        <f t="shared" si="96"/>
        <v>RTG</v>
      </c>
      <c r="L748" s="7">
        <v>45871</v>
      </c>
      <c r="M748" s="7">
        <f t="shared" si="101"/>
        <v>46236</v>
      </c>
      <c r="N748" s="7" t="str">
        <f t="shared" si="99"/>
        <v>Anual</v>
      </c>
      <c r="O748" s="2" t="str">
        <f t="shared" ca="1" si="100"/>
        <v>VIGENTE</v>
      </c>
      <c r="P748" s="6" t="s">
        <v>25</v>
      </c>
      <c r="Q748" s="2"/>
    </row>
    <row r="749" spans="1:17" x14ac:dyDescent="0.25">
      <c r="A749" s="23" t="s">
        <v>208</v>
      </c>
      <c r="B749" s="2" t="s">
        <v>910</v>
      </c>
      <c r="C749" s="3" t="s">
        <v>22</v>
      </c>
      <c r="D749" s="3" t="s">
        <v>23</v>
      </c>
      <c r="E749" s="2" t="s">
        <v>24</v>
      </c>
      <c r="F749" s="4">
        <v>0</v>
      </c>
      <c r="G749" s="8">
        <f t="shared" si="93"/>
        <v>1000000000</v>
      </c>
      <c r="H749" s="4" t="str">
        <f t="shared" si="94"/>
        <v>Ohms</v>
      </c>
      <c r="I749" s="14">
        <v>95700000</v>
      </c>
      <c r="J749" s="6" t="str">
        <f t="shared" si="95"/>
        <v>Ohms</v>
      </c>
      <c r="K749" s="2" t="str">
        <f t="shared" si="96"/>
        <v>RTG</v>
      </c>
      <c r="L749" s="7">
        <v>45832</v>
      </c>
      <c r="M749" s="7">
        <f t="shared" si="101"/>
        <v>46197</v>
      </c>
      <c r="N749" s="7" t="str">
        <f t="shared" si="99"/>
        <v>Anual</v>
      </c>
      <c r="O749" s="2" t="str">
        <f t="shared" ca="1" si="100"/>
        <v>VIGENTE</v>
      </c>
      <c r="P749" s="6" t="s">
        <v>25</v>
      </c>
      <c r="Q749" s="2"/>
    </row>
    <row r="750" spans="1:17" x14ac:dyDescent="0.25">
      <c r="A750" s="23" t="s">
        <v>208</v>
      </c>
      <c r="B750" s="2" t="s">
        <v>911</v>
      </c>
      <c r="C750" s="3" t="s">
        <v>28</v>
      </c>
      <c r="D750" s="3" t="s">
        <v>23</v>
      </c>
      <c r="E750" s="2" t="s">
        <v>24</v>
      </c>
      <c r="F750" s="4">
        <v>0</v>
      </c>
      <c r="G750" s="8">
        <f t="shared" si="93"/>
        <v>1000000000</v>
      </c>
      <c r="H750" s="4" t="str">
        <f t="shared" si="94"/>
        <v>Ohms</v>
      </c>
      <c r="I750" s="14">
        <v>8560</v>
      </c>
      <c r="J750" s="6" t="str">
        <f t="shared" si="95"/>
        <v>Ohms</v>
      </c>
      <c r="K750" s="2" t="str">
        <f t="shared" si="96"/>
        <v>RTG</v>
      </c>
      <c r="L750" s="7">
        <v>46072</v>
      </c>
      <c r="M750" s="7">
        <f t="shared" si="101"/>
        <v>46437</v>
      </c>
      <c r="N750" s="7" t="str">
        <f t="shared" si="99"/>
        <v>Anual</v>
      </c>
      <c r="O750" s="2" t="str">
        <f t="shared" ca="1" si="100"/>
        <v>VIGENTE</v>
      </c>
      <c r="P750" s="6" t="s">
        <v>25</v>
      </c>
      <c r="Q750" s="2"/>
    </row>
    <row r="751" spans="1:17" x14ac:dyDescent="0.25">
      <c r="A751" s="23" t="s">
        <v>212</v>
      </c>
      <c r="B751" s="2" t="s">
        <v>213</v>
      </c>
      <c r="C751" s="3" t="s">
        <v>210</v>
      </c>
      <c r="D751" s="3" t="s">
        <v>23</v>
      </c>
      <c r="E751" s="2" t="s">
        <v>211</v>
      </c>
      <c r="F751" s="4">
        <v>0</v>
      </c>
      <c r="G751" s="8">
        <f t="shared" si="93"/>
        <v>1</v>
      </c>
      <c r="H751" s="4" t="str">
        <f t="shared" si="94"/>
        <v>Ohms</v>
      </c>
      <c r="I751" s="6">
        <v>0.223</v>
      </c>
      <c r="J751" s="6" t="str">
        <f t="shared" si="95"/>
        <v>Ohms</v>
      </c>
      <c r="K751" s="2" t="str">
        <f t="shared" si="96"/>
        <v>RTG</v>
      </c>
      <c r="L751" s="7">
        <v>45694</v>
      </c>
      <c r="M751" s="7">
        <f t="shared" si="101"/>
        <v>46059</v>
      </c>
      <c r="N751" s="7" t="str">
        <f t="shared" si="99"/>
        <v>Anual</v>
      </c>
      <c r="O751" s="2" t="str">
        <f t="shared" ca="1" si="100"/>
        <v>VENCIDO</v>
      </c>
      <c r="P751" s="6" t="s">
        <v>25</v>
      </c>
      <c r="Q751" s="2"/>
    </row>
    <row r="752" spans="1:17" x14ac:dyDescent="0.25">
      <c r="A752" s="23" t="s">
        <v>212</v>
      </c>
      <c r="B752" s="2" t="s">
        <v>224</v>
      </c>
      <c r="C752" s="3" t="s">
        <v>210</v>
      </c>
      <c r="D752" s="3" t="s">
        <v>23</v>
      </c>
      <c r="E752" s="2" t="s">
        <v>211</v>
      </c>
      <c r="F752" s="4">
        <v>0</v>
      </c>
      <c r="G752" s="8">
        <f t="shared" si="93"/>
        <v>1</v>
      </c>
      <c r="H752" s="4" t="str">
        <f t="shared" si="94"/>
        <v>Ohms</v>
      </c>
      <c r="I752" s="6">
        <v>0.12</v>
      </c>
      <c r="J752" s="6" t="str">
        <f t="shared" si="95"/>
        <v>Ohms</v>
      </c>
      <c r="K752" s="2" t="str">
        <f t="shared" si="96"/>
        <v>RTG</v>
      </c>
      <c r="L752" s="7">
        <v>45694</v>
      </c>
      <c r="M752" s="7">
        <f t="shared" si="101"/>
        <v>46059</v>
      </c>
      <c r="N752" s="7" t="str">
        <f t="shared" si="99"/>
        <v>Anual</v>
      </c>
      <c r="O752" s="2" t="str">
        <f t="shared" ca="1" si="100"/>
        <v>VENCIDO</v>
      </c>
      <c r="P752" s="6" t="s">
        <v>25</v>
      </c>
      <c r="Q752" s="2"/>
    </row>
    <row r="753" spans="1:17" x14ac:dyDescent="0.25">
      <c r="A753" s="23" t="s">
        <v>212</v>
      </c>
      <c r="B753" s="2" t="s">
        <v>921</v>
      </c>
      <c r="C753" s="3" t="s">
        <v>28</v>
      </c>
      <c r="D753" s="3" t="s">
        <v>23</v>
      </c>
      <c r="E753" s="2" t="s">
        <v>24</v>
      </c>
      <c r="F753" s="4">
        <v>0</v>
      </c>
      <c r="G753" s="8">
        <f t="shared" si="93"/>
        <v>1000000000</v>
      </c>
      <c r="H753" s="4" t="str">
        <f t="shared" si="94"/>
        <v>Ohms</v>
      </c>
      <c r="I753" s="14">
        <v>236000000</v>
      </c>
      <c r="J753" s="6" t="str">
        <f t="shared" si="95"/>
        <v>Ohms</v>
      </c>
      <c r="K753" s="2" t="str">
        <f t="shared" si="96"/>
        <v>RTG</v>
      </c>
      <c r="L753" s="7">
        <v>45833</v>
      </c>
      <c r="M753" s="7">
        <f t="shared" si="101"/>
        <v>46198</v>
      </c>
      <c r="N753" s="7" t="str">
        <f t="shared" si="99"/>
        <v>Anual</v>
      </c>
      <c r="O753" s="2" t="str">
        <f t="shared" ca="1" si="100"/>
        <v>VIGENTE</v>
      </c>
      <c r="P753" s="6" t="s">
        <v>25</v>
      </c>
      <c r="Q753" s="2" t="s">
        <v>29</v>
      </c>
    </row>
    <row r="754" spans="1:17" x14ac:dyDescent="0.25">
      <c r="A754" s="23" t="s">
        <v>212</v>
      </c>
      <c r="B754" s="2" t="s">
        <v>922</v>
      </c>
      <c r="C754" s="3" t="s">
        <v>28</v>
      </c>
      <c r="D754" s="3" t="s">
        <v>23</v>
      </c>
      <c r="E754" s="2" t="s">
        <v>24</v>
      </c>
      <c r="F754" s="4">
        <v>0</v>
      </c>
      <c r="G754" s="8">
        <f t="shared" si="93"/>
        <v>1000000000</v>
      </c>
      <c r="H754" s="4" t="str">
        <f t="shared" si="94"/>
        <v>Ohms</v>
      </c>
      <c r="I754" s="14">
        <v>377000000</v>
      </c>
      <c r="J754" s="6" t="str">
        <f t="shared" si="95"/>
        <v>Ohms</v>
      </c>
      <c r="K754" s="2" t="str">
        <f t="shared" si="96"/>
        <v>RTG</v>
      </c>
      <c r="L754" s="7">
        <v>45833</v>
      </c>
      <c r="M754" s="7">
        <f t="shared" si="101"/>
        <v>46198</v>
      </c>
      <c r="N754" s="7" t="str">
        <f t="shared" si="99"/>
        <v>Anual</v>
      </c>
      <c r="O754" s="2" t="str">
        <f t="shared" ca="1" si="100"/>
        <v>VIGENTE</v>
      </c>
      <c r="P754" s="6" t="s">
        <v>25</v>
      </c>
      <c r="Q754" s="2" t="s">
        <v>29</v>
      </c>
    </row>
    <row r="755" spans="1:17" x14ac:dyDescent="0.25">
      <c r="A755" s="23" t="s">
        <v>212</v>
      </c>
      <c r="B755" s="2" t="s">
        <v>923</v>
      </c>
      <c r="C755" s="3" t="s">
        <v>28</v>
      </c>
      <c r="D755" s="3" t="s">
        <v>23</v>
      </c>
      <c r="E755" s="2" t="s">
        <v>24</v>
      </c>
      <c r="F755" s="4">
        <v>0</v>
      </c>
      <c r="G755" s="8">
        <f t="shared" si="93"/>
        <v>1000000000</v>
      </c>
      <c r="H755" s="4" t="str">
        <f t="shared" si="94"/>
        <v>Ohms</v>
      </c>
      <c r="I755" s="14">
        <v>294000000</v>
      </c>
      <c r="J755" s="6" t="str">
        <f t="shared" si="95"/>
        <v>Ohms</v>
      </c>
      <c r="K755" s="2" t="str">
        <f t="shared" si="96"/>
        <v>RTG</v>
      </c>
      <c r="L755" s="7">
        <v>45833</v>
      </c>
      <c r="M755" s="7">
        <f t="shared" si="101"/>
        <v>46198</v>
      </c>
      <c r="N755" s="7" t="str">
        <f t="shared" si="99"/>
        <v>Anual</v>
      </c>
      <c r="O755" s="2" t="str">
        <f t="shared" ca="1" si="100"/>
        <v>VIGENTE</v>
      </c>
      <c r="P755" s="6" t="s">
        <v>25</v>
      </c>
      <c r="Q755" s="2" t="s">
        <v>29</v>
      </c>
    </row>
    <row r="756" spans="1:17" x14ac:dyDescent="0.25">
      <c r="A756" s="23" t="s">
        <v>212</v>
      </c>
      <c r="B756" s="2" t="s">
        <v>949</v>
      </c>
      <c r="C756" s="3" t="s">
        <v>28</v>
      </c>
      <c r="D756" s="3" t="s">
        <v>23</v>
      </c>
      <c r="E756" s="2" t="s">
        <v>24</v>
      </c>
      <c r="F756" s="4">
        <v>0</v>
      </c>
      <c r="G756" s="8">
        <f t="shared" si="93"/>
        <v>1000000000</v>
      </c>
      <c r="H756" s="4" t="str">
        <f t="shared" si="94"/>
        <v>Ohms</v>
      </c>
      <c r="I756" s="14">
        <v>132000000</v>
      </c>
      <c r="J756" s="6" t="str">
        <f t="shared" si="95"/>
        <v>Ohms</v>
      </c>
      <c r="K756" s="2" t="str">
        <f t="shared" si="96"/>
        <v>RTG</v>
      </c>
      <c r="L756" s="7">
        <v>45833</v>
      </c>
      <c r="M756" s="7">
        <f t="shared" si="101"/>
        <v>46198</v>
      </c>
      <c r="N756" s="7" t="str">
        <f t="shared" ref="N756:N787" si="102">IF(C756="Ionizador", "Trimestral", IF(C756="Rack", "Anual", IF(C756="Mesa", "Anual", IF(C756="Tapete", "Semestral", IF(C756="Cautín", "Semestral", IF(C756="Silla", "Semestral", "Anual"))))))</f>
        <v>Anual</v>
      </c>
      <c r="O756" s="2" t="str">
        <f t="shared" ref="O756:O787" ca="1" si="103">IF(M756&lt;TODAY(),"VENCIDO",IF(M756=TODAY(),"VIGENTE",IF(M756&gt;TODAY(),"VIGENTE")))</f>
        <v>VIGENTE</v>
      </c>
      <c r="P756" s="6" t="s">
        <v>25</v>
      </c>
      <c r="Q756" s="2" t="s">
        <v>29</v>
      </c>
    </row>
    <row r="757" spans="1:17" x14ac:dyDescent="0.25">
      <c r="A757" s="23" t="s">
        <v>212</v>
      </c>
      <c r="B757" s="2" t="s">
        <v>950</v>
      </c>
      <c r="C757" s="3" t="s">
        <v>89</v>
      </c>
      <c r="D757" s="3" t="s">
        <v>23</v>
      </c>
      <c r="E757" s="2" t="s">
        <v>24</v>
      </c>
      <c r="F757" s="4">
        <v>0</v>
      </c>
      <c r="G757" s="8">
        <f t="shared" si="93"/>
        <v>1000000000</v>
      </c>
      <c r="H757" s="4" t="str">
        <f t="shared" si="94"/>
        <v>Ohms</v>
      </c>
      <c r="I757" s="14">
        <v>462000000</v>
      </c>
      <c r="J757" s="6" t="str">
        <f t="shared" si="95"/>
        <v>Ohms</v>
      </c>
      <c r="K757" s="2" t="str">
        <f t="shared" si="96"/>
        <v>RTG</v>
      </c>
      <c r="L757" s="7">
        <v>45833</v>
      </c>
      <c r="M757" s="7">
        <f t="shared" si="101"/>
        <v>46198</v>
      </c>
      <c r="N757" s="7" t="str">
        <f t="shared" si="102"/>
        <v>Anual</v>
      </c>
      <c r="O757" s="2" t="str">
        <f t="shared" ca="1" si="103"/>
        <v>VIGENTE</v>
      </c>
      <c r="P757" s="6" t="s">
        <v>25</v>
      </c>
      <c r="Q757" s="2" t="s">
        <v>126</v>
      </c>
    </row>
    <row r="758" spans="1:17" x14ac:dyDescent="0.25">
      <c r="A758" s="23" t="s">
        <v>212</v>
      </c>
      <c r="B758" s="2" t="s">
        <v>951</v>
      </c>
      <c r="C758" s="3" t="s">
        <v>89</v>
      </c>
      <c r="D758" s="3" t="s">
        <v>23</v>
      </c>
      <c r="E758" s="2" t="s">
        <v>24</v>
      </c>
      <c r="F758" s="4">
        <v>0</v>
      </c>
      <c r="G758" s="8">
        <f t="shared" ref="G758:G821" si="104">IF(C758="Ionizador", 10, IF(C758="Mesa", 1000000000, IF(C758="Rack", 1000000000, IF(C758="Piso", 1000000000, IF(C758="Tapete", 1000000000, IF(C758="Carrito", 1000000000, IF(C758="Cautín", 10, 1)))))))</f>
        <v>1000000000</v>
      </c>
      <c r="H758" s="4" t="str">
        <f t="shared" ref="H758:H821" si="105">IF(C758="Ionizador", "Segundos", "Ohms")</f>
        <v>Ohms</v>
      </c>
      <c r="I758" s="14">
        <v>3890000</v>
      </c>
      <c r="J758" s="6" t="str">
        <f t="shared" ref="J758:J821" si="106">H758</f>
        <v>Ohms</v>
      </c>
      <c r="K758" s="2" t="str">
        <f t="shared" ref="K758:K821" si="107">IF(C758="Ionizador", "Plato de carga", IF(C758="Cautín", "PTG", IF(C758="ESD Tester", "PTP Deviation", "RTG")))</f>
        <v>RTG</v>
      </c>
      <c r="L758" s="7">
        <v>45833</v>
      </c>
      <c r="M758" s="7">
        <f t="shared" si="101"/>
        <v>46198</v>
      </c>
      <c r="N758" s="7" t="str">
        <f t="shared" si="102"/>
        <v>Anual</v>
      </c>
      <c r="O758" s="2" t="str">
        <f t="shared" ca="1" si="103"/>
        <v>VIGENTE</v>
      </c>
      <c r="P758" s="6" t="s">
        <v>25</v>
      </c>
      <c r="Q758" s="2"/>
    </row>
    <row r="759" spans="1:17" x14ac:dyDescent="0.25">
      <c r="A759" s="23" t="s">
        <v>212</v>
      </c>
      <c r="B759" s="2" t="s">
        <v>952</v>
      </c>
      <c r="C759" s="3" t="s">
        <v>22</v>
      </c>
      <c r="D759" s="3" t="s">
        <v>23</v>
      </c>
      <c r="E759" s="2" t="s">
        <v>24</v>
      </c>
      <c r="F759" s="4">
        <v>0</v>
      </c>
      <c r="G759" s="8">
        <f t="shared" si="104"/>
        <v>1000000000</v>
      </c>
      <c r="H759" s="4" t="str">
        <f t="shared" si="105"/>
        <v>Ohms</v>
      </c>
      <c r="I759" s="14">
        <v>158000000</v>
      </c>
      <c r="J759" s="6" t="str">
        <f t="shared" si="106"/>
        <v>Ohms</v>
      </c>
      <c r="K759" s="2" t="str">
        <f t="shared" si="107"/>
        <v>RTG</v>
      </c>
      <c r="L759" s="7">
        <v>45833</v>
      </c>
      <c r="M759" s="7">
        <f t="shared" si="101"/>
        <v>46198</v>
      </c>
      <c r="N759" s="7" t="str">
        <f t="shared" si="102"/>
        <v>Anual</v>
      </c>
      <c r="O759" s="2" t="str">
        <f t="shared" ca="1" si="103"/>
        <v>VIGENTE</v>
      </c>
      <c r="P759" s="6" t="s">
        <v>25</v>
      </c>
      <c r="Q759" s="2"/>
    </row>
    <row r="760" spans="1:17" x14ac:dyDescent="0.25">
      <c r="A760" s="23" t="s">
        <v>212</v>
      </c>
      <c r="B760" s="2" t="s">
        <v>953</v>
      </c>
      <c r="C760" s="3" t="s">
        <v>22</v>
      </c>
      <c r="D760" s="3" t="s">
        <v>23</v>
      </c>
      <c r="E760" s="2" t="s">
        <v>24</v>
      </c>
      <c r="F760" s="4">
        <v>0</v>
      </c>
      <c r="G760" s="8">
        <f t="shared" si="104"/>
        <v>1000000000</v>
      </c>
      <c r="H760" s="4" t="str">
        <f t="shared" si="105"/>
        <v>Ohms</v>
      </c>
      <c r="I760" s="14">
        <v>122000000</v>
      </c>
      <c r="J760" s="6" t="str">
        <f t="shared" si="106"/>
        <v>Ohms</v>
      </c>
      <c r="K760" s="2" t="str">
        <f t="shared" si="107"/>
        <v>RTG</v>
      </c>
      <c r="L760" s="7">
        <v>45833</v>
      </c>
      <c r="M760" s="7">
        <f t="shared" si="101"/>
        <v>46198</v>
      </c>
      <c r="N760" s="7" t="str">
        <f t="shared" si="102"/>
        <v>Anual</v>
      </c>
      <c r="O760" s="2" t="str">
        <f t="shared" ca="1" si="103"/>
        <v>VIGENTE</v>
      </c>
      <c r="P760" s="6" t="s">
        <v>25</v>
      </c>
      <c r="Q760" s="2"/>
    </row>
    <row r="761" spans="1:17" x14ac:dyDescent="0.25">
      <c r="A761" s="23" t="s">
        <v>212</v>
      </c>
      <c r="B761" s="2" t="s">
        <v>954</v>
      </c>
      <c r="C761" s="3" t="s">
        <v>22</v>
      </c>
      <c r="D761" s="3" t="s">
        <v>23</v>
      </c>
      <c r="E761" s="2" t="s">
        <v>24</v>
      </c>
      <c r="F761" s="4">
        <v>0</v>
      </c>
      <c r="G761" s="8">
        <f t="shared" si="104"/>
        <v>1000000000</v>
      </c>
      <c r="H761" s="4" t="str">
        <f t="shared" si="105"/>
        <v>Ohms</v>
      </c>
      <c r="I761" s="6">
        <v>490000000</v>
      </c>
      <c r="J761" s="6" t="str">
        <f t="shared" si="106"/>
        <v>Ohms</v>
      </c>
      <c r="K761" s="2" t="str">
        <f t="shared" si="107"/>
        <v>RTG</v>
      </c>
      <c r="L761" s="7">
        <v>45905</v>
      </c>
      <c r="M761" s="7">
        <f t="shared" si="101"/>
        <v>46270</v>
      </c>
      <c r="N761" s="7" t="str">
        <f t="shared" si="102"/>
        <v>Anual</v>
      </c>
      <c r="O761" s="2" t="str">
        <f t="shared" ca="1" si="103"/>
        <v>VIGENTE</v>
      </c>
      <c r="P761" s="6" t="s">
        <v>25</v>
      </c>
      <c r="Q761" s="2"/>
    </row>
    <row r="762" spans="1:17" x14ac:dyDescent="0.25">
      <c r="A762" s="23" t="s">
        <v>212</v>
      </c>
      <c r="B762" s="2" t="s">
        <v>956</v>
      </c>
      <c r="C762" s="3" t="s">
        <v>22</v>
      </c>
      <c r="D762" s="3" t="s">
        <v>23</v>
      </c>
      <c r="E762" s="2" t="s">
        <v>24</v>
      </c>
      <c r="F762" s="4">
        <v>0</v>
      </c>
      <c r="G762" s="8">
        <f t="shared" si="104"/>
        <v>1000000000</v>
      </c>
      <c r="H762" s="4" t="str">
        <f t="shared" si="105"/>
        <v>Ohms</v>
      </c>
      <c r="I762" s="6">
        <v>678000000</v>
      </c>
      <c r="J762" s="6" t="str">
        <f t="shared" si="106"/>
        <v>Ohms</v>
      </c>
      <c r="K762" s="2" t="str">
        <f t="shared" si="107"/>
        <v>RTG</v>
      </c>
      <c r="L762" s="7">
        <v>45905</v>
      </c>
      <c r="M762" s="7">
        <f t="shared" si="101"/>
        <v>46270</v>
      </c>
      <c r="N762" s="7" t="str">
        <f t="shared" si="102"/>
        <v>Anual</v>
      </c>
      <c r="O762" s="2" t="str">
        <f t="shared" ca="1" si="103"/>
        <v>VIGENTE</v>
      </c>
      <c r="P762" s="6" t="s">
        <v>25</v>
      </c>
      <c r="Q762" s="2"/>
    </row>
    <row r="763" spans="1:17" x14ac:dyDescent="0.25">
      <c r="A763" s="23" t="s">
        <v>212</v>
      </c>
      <c r="B763" s="2" t="s">
        <v>957</v>
      </c>
      <c r="C763" s="3" t="s">
        <v>22</v>
      </c>
      <c r="D763" s="3" t="s">
        <v>23</v>
      </c>
      <c r="E763" s="2" t="s">
        <v>24</v>
      </c>
      <c r="F763" s="4">
        <v>0</v>
      </c>
      <c r="G763" s="8">
        <f t="shared" si="104"/>
        <v>1000000000</v>
      </c>
      <c r="H763" s="4" t="str">
        <f t="shared" si="105"/>
        <v>Ohms</v>
      </c>
      <c r="I763" s="14">
        <v>462000000</v>
      </c>
      <c r="J763" s="6" t="str">
        <f t="shared" si="106"/>
        <v>Ohms</v>
      </c>
      <c r="K763" s="2" t="str">
        <f t="shared" si="107"/>
        <v>RTG</v>
      </c>
      <c r="L763" s="7">
        <v>45833</v>
      </c>
      <c r="M763" s="7">
        <f t="shared" si="101"/>
        <v>46198</v>
      </c>
      <c r="N763" s="7" t="str">
        <f t="shared" si="102"/>
        <v>Anual</v>
      </c>
      <c r="O763" s="2" t="str">
        <f t="shared" ca="1" si="103"/>
        <v>VIGENTE</v>
      </c>
      <c r="P763" s="6" t="s">
        <v>25</v>
      </c>
      <c r="Q763" s="2"/>
    </row>
    <row r="764" spans="1:17" x14ac:dyDescent="0.25">
      <c r="A764" s="23" t="s">
        <v>212</v>
      </c>
      <c r="B764" s="2" t="s">
        <v>958</v>
      </c>
      <c r="C764" s="3" t="s">
        <v>28</v>
      </c>
      <c r="D764" s="3" t="s">
        <v>23</v>
      </c>
      <c r="E764" s="2" t="s">
        <v>24</v>
      </c>
      <c r="F764" s="4">
        <v>0</v>
      </c>
      <c r="G764" s="8">
        <f t="shared" si="104"/>
        <v>1000000000</v>
      </c>
      <c r="H764" s="4" t="str">
        <f t="shared" si="105"/>
        <v>Ohms</v>
      </c>
      <c r="I764" s="14">
        <v>4530000</v>
      </c>
      <c r="J764" s="6" t="str">
        <f t="shared" si="106"/>
        <v>Ohms</v>
      </c>
      <c r="K764" s="2" t="str">
        <f t="shared" si="107"/>
        <v>RTG</v>
      </c>
      <c r="L764" s="7">
        <v>45945</v>
      </c>
      <c r="M764" s="7">
        <f t="shared" si="101"/>
        <v>46310</v>
      </c>
      <c r="N764" s="7" t="str">
        <f t="shared" si="102"/>
        <v>Anual</v>
      </c>
      <c r="O764" s="2" t="str">
        <f t="shared" ca="1" si="103"/>
        <v>VIGENTE</v>
      </c>
      <c r="P764" s="6" t="s">
        <v>25</v>
      </c>
      <c r="Q764" s="2"/>
    </row>
    <row r="765" spans="1:17" x14ac:dyDescent="0.25">
      <c r="A765" s="23" t="s">
        <v>214</v>
      </c>
      <c r="B765" s="2" t="s">
        <v>215</v>
      </c>
      <c r="C765" s="3" t="s">
        <v>210</v>
      </c>
      <c r="D765" s="3" t="s">
        <v>23</v>
      </c>
      <c r="E765" s="2" t="s">
        <v>211</v>
      </c>
      <c r="F765" s="4">
        <v>0</v>
      </c>
      <c r="G765" s="8">
        <f t="shared" si="104"/>
        <v>1</v>
      </c>
      <c r="H765" s="4" t="str">
        <f t="shared" si="105"/>
        <v>Ohms</v>
      </c>
      <c r="I765" s="6">
        <v>0.874</v>
      </c>
      <c r="J765" s="6" t="str">
        <f t="shared" si="106"/>
        <v>Ohms</v>
      </c>
      <c r="K765" s="2" t="str">
        <f t="shared" si="107"/>
        <v>RTG</v>
      </c>
      <c r="L765" s="7">
        <v>46046</v>
      </c>
      <c r="M765" s="7">
        <f t="shared" si="101"/>
        <v>46411</v>
      </c>
      <c r="N765" s="7" t="str">
        <f t="shared" si="102"/>
        <v>Anual</v>
      </c>
      <c r="O765" s="2" t="str">
        <f t="shared" ca="1" si="103"/>
        <v>VIGENTE</v>
      </c>
      <c r="P765" s="6" t="s">
        <v>25</v>
      </c>
      <c r="Q765" s="2"/>
    </row>
    <row r="766" spans="1:17" x14ac:dyDescent="0.25">
      <c r="A766" s="23" t="s">
        <v>214</v>
      </c>
      <c r="B766" s="2" t="s">
        <v>225</v>
      </c>
      <c r="C766" s="3" t="s">
        <v>210</v>
      </c>
      <c r="D766" s="3" t="s">
        <v>23</v>
      </c>
      <c r="E766" s="2" t="s">
        <v>211</v>
      </c>
      <c r="F766" s="4">
        <v>0</v>
      </c>
      <c r="G766" s="8">
        <f t="shared" si="104"/>
        <v>1</v>
      </c>
      <c r="H766" s="4" t="str">
        <f t="shared" si="105"/>
        <v>Ohms</v>
      </c>
      <c r="I766" s="6">
        <v>0.64700000000000002</v>
      </c>
      <c r="J766" s="6" t="str">
        <f t="shared" si="106"/>
        <v>Ohms</v>
      </c>
      <c r="K766" s="2" t="str">
        <f t="shared" si="107"/>
        <v>RTG</v>
      </c>
      <c r="L766" s="7">
        <v>46046</v>
      </c>
      <c r="M766" s="7">
        <f t="shared" si="101"/>
        <v>46411</v>
      </c>
      <c r="N766" s="7" t="str">
        <f t="shared" si="102"/>
        <v>Anual</v>
      </c>
      <c r="O766" s="2" t="str">
        <f t="shared" ca="1" si="103"/>
        <v>VIGENTE</v>
      </c>
      <c r="P766" s="6" t="s">
        <v>25</v>
      </c>
      <c r="Q766" s="2"/>
    </row>
    <row r="767" spans="1:17" x14ac:dyDescent="0.25">
      <c r="A767" s="23" t="s">
        <v>214</v>
      </c>
      <c r="B767" s="2" t="s">
        <v>967</v>
      </c>
      <c r="C767" s="3" t="s">
        <v>22</v>
      </c>
      <c r="D767" s="3" t="s">
        <v>23</v>
      </c>
      <c r="E767" s="2" t="s">
        <v>24</v>
      </c>
      <c r="F767" s="4">
        <v>0</v>
      </c>
      <c r="G767" s="8">
        <f t="shared" si="104"/>
        <v>1000000000</v>
      </c>
      <c r="H767" s="4" t="str">
        <f t="shared" si="105"/>
        <v>Ohms</v>
      </c>
      <c r="I767" s="14">
        <v>252000000</v>
      </c>
      <c r="J767" s="6" t="str">
        <f t="shared" si="106"/>
        <v>Ohms</v>
      </c>
      <c r="K767" s="2" t="str">
        <f t="shared" si="107"/>
        <v>RTG</v>
      </c>
      <c r="L767" s="7">
        <v>45834</v>
      </c>
      <c r="M767" s="7">
        <f t="shared" si="101"/>
        <v>46199</v>
      </c>
      <c r="N767" s="7" t="str">
        <f t="shared" si="102"/>
        <v>Anual</v>
      </c>
      <c r="O767" s="2" t="str">
        <f t="shared" ca="1" si="103"/>
        <v>VIGENTE</v>
      </c>
      <c r="P767" s="6" t="s">
        <v>25</v>
      </c>
      <c r="Q767" s="2"/>
    </row>
    <row r="768" spans="1:17" x14ac:dyDescent="0.25">
      <c r="A768" s="23" t="s">
        <v>214</v>
      </c>
      <c r="B768" s="2" t="s">
        <v>968</v>
      </c>
      <c r="C768" s="3" t="s">
        <v>28</v>
      </c>
      <c r="D768" s="3" t="s">
        <v>23</v>
      </c>
      <c r="E768" s="2" t="s">
        <v>24</v>
      </c>
      <c r="F768" s="4">
        <v>0</v>
      </c>
      <c r="G768" s="8">
        <f t="shared" si="104"/>
        <v>1000000000</v>
      </c>
      <c r="H768" s="4" t="str">
        <f t="shared" si="105"/>
        <v>Ohms</v>
      </c>
      <c r="I768" s="14">
        <v>349000000</v>
      </c>
      <c r="J768" s="6" t="str">
        <f t="shared" si="106"/>
        <v>Ohms</v>
      </c>
      <c r="K768" s="2" t="str">
        <f t="shared" si="107"/>
        <v>RTG</v>
      </c>
      <c r="L768" s="7">
        <v>45834</v>
      </c>
      <c r="M768" s="7">
        <f t="shared" si="101"/>
        <v>46199</v>
      </c>
      <c r="N768" s="7" t="str">
        <f t="shared" si="102"/>
        <v>Anual</v>
      </c>
      <c r="O768" s="2" t="str">
        <f t="shared" ca="1" si="103"/>
        <v>VIGENTE</v>
      </c>
      <c r="P768" s="6" t="s">
        <v>25</v>
      </c>
      <c r="Q768" s="2" t="s">
        <v>29</v>
      </c>
    </row>
    <row r="769" spans="1:17" x14ac:dyDescent="0.25">
      <c r="A769" s="23" t="s">
        <v>214</v>
      </c>
      <c r="B769" s="2" t="s">
        <v>969</v>
      </c>
      <c r="C769" s="3" t="s">
        <v>28</v>
      </c>
      <c r="D769" s="3" t="s">
        <v>23</v>
      </c>
      <c r="E769" s="2" t="s">
        <v>24</v>
      </c>
      <c r="F769" s="4">
        <v>0</v>
      </c>
      <c r="G769" s="8">
        <f t="shared" si="104"/>
        <v>1000000000</v>
      </c>
      <c r="H769" s="4" t="str">
        <f t="shared" si="105"/>
        <v>Ohms</v>
      </c>
      <c r="I769" s="14">
        <v>3560000</v>
      </c>
      <c r="J769" s="6" t="str">
        <f t="shared" si="106"/>
        <v>Ohms</v>
      </c>
      <c r="K769" s="2" t="str">
        <f t="shared" si="107"/>
        <v>RTG</v>
      </c>
      <c r="L769" s="7">
        <v>45834</v>
      </c>
      <c r="M769" s="7">
        <f t="shared" si="101"/>
        <v>46199</v>
      </c>
      <c r="N769" s="7" t="str">
        <f t="shared" si="102"/>
        <v>Anual</v>
      </c>
      <c r="O769" s="2" t="str">
        <f t="shared" ca="1" si="103"/>
        <v>VIGENTE</v>
      </c>
      <c r="P769" s="6" t="s">
        <v>25</v>
      </c>
      <c r="Q769" s="2" t="s">
        <v>29</v>
      </c>
    </row>
    <row r="770" spans="1:17" x14ac:dyDescent="0.25">
      <c r="A770" s="23" t="s">
        <v>214</v>
      </c>
      <c r="B770" s="2" t="s">
        <v>970</v>
      </c>
      <c r="C770" s="3" t="s">
        <v>28</v>
      </c>
      <c r="D770" s="3" t="s">
        <v>23</v>
      </c>
      <c r="E770" s="2" t="s">
        <v>24</v>
      </c>
      <c r="F770" s="4">
        <v>0</v>
      </c>
      <c r="G770" s="8">
        <f t="shared" si="104"/>
        <v>1000000000</v>
      </c>
      <c r="H770" s="4" t="str">
        <f t="shared" si="105"/>
        <v>Ohms</v>
      </c>
      <c r="I770" s="14">
        <v>4280000</v>
      </c>
      <c r="J770" s="6" t="str">
        <f t="shared" si="106"/>
        <v>Ohms</v>
      </c>
      <c r="K770" s="2" t="str">
        <f t="shared" si="107"/>
        <v>RTG</v>
      </c>
      <c r="L770" s="7">
        <v>45834</v>
      </c>
      <c r="M770" s="7">
        <f t="shared" si="101"/>
        <v>46199</v>
      </c>
      <c r="N770" s="7" t="str">
        <f t="shared" si="102"/>
        <v>Anual</v>
      </c>
      <c r="O770" s="2" t="str">
        <f t="shared" ca="1" si="103"/>
        <v>VIGENTE</v>
      </c>
      <c r="P770" s="6" t="s">
        <v>25</v>
      </c>
      <c r="Q770" s="2" t="s">
        <v>29</v>
      </c>
    </row>
    <row r="771" spans="1:17" x14ac:dyDescent="0.25">
      <c r="A771" s="23" t="s">
        <v>214</v>
      </c>
      <c r="B771" s="2" t="s">
        <v>971</v>
      </c>
      <c r="C771" s="3" t="s">
        <v>89</v>
      </c>
      <c r="D771" s="3" t="s">
        <v>23</v>
      </c>
      <c r="E771" s="2" t="s">
        <v>24</v>
      </c>
      <c r="F771" s="4">
        <v>0</v>
      </c>
      <c r="G771" s="8">
        <f t="shared" si="104"/>
        <v>1000000000</v>
      </c>
      <c r="H771" s="4" t="str">
        <f t="shared" si="105"/>
        <v>Ohms</v>
      </c>
      <c r="I771" s="14">
        <v>283000000</v>
      </c>
      <c r="J771" s="6" t="str">
        <f t="shared" si="106"/>
        <v>Ohms</v>
      </c>
      <c r="K771" s="2" t="str">
        <f t="shared" si="107"/>
        <v>RTG</v>
      </c>
      <c r="L771" s="7">
        <v>45834</v>
      </c>
      <c r="M771" s="7">
        <f t="shared" si="101"/>
        <v>46199</v>
      </c>
      <c r="N771" s="7" t="str">
        <f t="shared" si="102"/>
        <v>Anual</v>
      </c>
      <c r="O771" s="2" t="str">
        <f t="shared" ca="1" si="103"/>
        <v>VIGENTE</v>
      </c>
      <c r="P771" s="6" t="s">
        <v>25</v>
      </c>
      <c r="Q771" s="2" t="s">
        <v>126</v>
      </c>
    </row>
    <row r="772" spans="1:17" x14ac:dyDescent="0.25">
      <c r="A772" s="23" t="s">
        <v>214</v>
      </c>
      <c r="B772" s="2" t="s">
        <v>972</v>
      </c>
      <c r="C772" s="3" t="s">
        <v>28</v>
      </c>
      <c r="D772" s="3" t="s">
        <v>23</v>
      </c>
      <c r="E772" s="2" t="s">
        <v>24</v>
      </c>
      <c r="F772" s="4">
        <v>0</v>
      </c>
      <c r="G772" s="8">
        <f t="shared" si="104"/>
        <v>1000000000</v>
      </c>
      <c r="H772" s="4" t="str">
        <f t="shared" si="105"/>
        <v>Ohms</v>
      </c>
      <c r="I772" s="14">
        <v>260000000</v>
      </c>
      <c r="J772" s="6" t="str">
        <f t="shared" si="106"/>
        <v>Ohms</v>
      </c>
      <c r="K772" s="2" t="str">
        <f t="shared" si="107"/>
        <v>RTG</v>
      </c>
      <c r="L772" s="7">
        <v>45834</v>
      </c>
      <c r="M772" s="7">
        <f t="shared" si="101"/>
        <v>46199</v>
      </c>
      <c r="N772" s="7" t="str">
        <f t="shared" si="102"/>
        <v>Anual</v>
      </c>
      <c r="O772" s="2" t="str">
        <f t="shared" ca="1" si="103"/>
        <v>VIGENTE</v>
      </c>
      <c r="P772" s="6" t="s">
        <v>25</v>
      </c>
      <c r="Q772" s="2" t="s">
        <v>29</v>
      </c>
    </row>
    <row r="773" spans="1:17" x14ac:dyDescent="0.25">
      <c r="A773" s="23" t="s">
        <v>214</v>
      </c>
      <c r="B773" s="2" t="s">
        <v>973</v>
      </c>
      <c r="C773" s="3" t="s">
        <v>28</v>
      </c>
      <c r="D773" s="3" t="s">
        <v>23</v>
      </c>
      <c r="E773" s="2" t="s">
        <v>24</v>
      </c>
      <c r="F773" s="4">
        <v>0</v>
      </c>
      <c r="G773" s="8">
        <f t="shared" si="104"/>
        <v>1000000000</v>
      </c>
      <c r="H773" s="4" t="str">
        <f t="shared" si="105"/>
        <v>Ohms</v>
      </c>
      <c r="I773" s="14">
        <v>3170000</v>
      </c>
      <c r="J773" s="6" t="str">
        <f t="shared" si="106"/>
        <v>Ohms</v>
      </c>
      <c r="K773" s="2" t="str">
        <f t="shared" si="107"/>
        <v>RTG</v>
      </c>
      <c r="L773" s="7">
        <v>45834</v>
      </c>
      <c r="M773" s="7">
        <f t="shared" si="101"/>
        <v>46199</v>
      </c>
      <c r="N773" s="7" t="str">
        <f t="shared" si="102"/>
        <v>Anual</v>
      </c>
      <c r="O773" s="2" t="str">
        <f t="shared" ca="1" si="103"/>
        <v>VIGENTE</v>
      </c>
      <c r="P773" s="6" t="s">
        <v>25</v>
      </c>
      <c r="Q773" s="2" t="s">
        <v>29</v>
      </c>
    </row>
    <row r="774" spans="1:17" x14ac:dyDescent="0.25">
      <c r="A774" s="23" t="s">
        <v>214</v>
      </c>
      <c r="B774" s="2" t="s">
        <v>974</v>
      </c>
      <c r="C774" s="3" t="s">
        <v>28</v>
      </c>
      <c r="D774" s="3" t="s">
        <v>23</v>
      </c>
      <c r="E774" s="2" t="s">
        <v>24</v>
      </c>
      <c r="F774" s="4">
        <v>0</v>
      </c>
      <c r="G774" s="8">
        <f t="shared" si="104"/>
        <v>1000000000</v>
      </c>
      <c r="H774" s="4" t="str">
        <f t="shared" si="105"/>
        <v>Ohms</v>
      </c>
      <c r="I774" s="14">
        <v>479000000</v>
      </c>
      <c r="J774" s="6" t="str">
        <f t="shared" si="106"/>
        <v>Ohms</v>
      </c>
      <c r="K774" s="2" t="str">
        <f t="shared" si="107"/>
        <v>RTG</v>
      </c>
      <c r="L774" s="7">
        <v>45834</v>
      </c>
      <c r="M774" s="7">
        <f t="shared" si="101"/>
        <v>46199</v>
      </c>
      <c r="N774" s="7" t="str">
        <f t="shared" si="102"/>
        <v>Anual</v>
      </c>
      <c r="O774" s="2" t="str">
        <f t="shared" ca="1" si="103"/>
        <v>VIGENTE</v>
      </c>
      <c r="P774" s="6" t="s">
        <v>25</v>
      </c>
      <c r="Q774" s="2" t="s">
        <v>29</v>
      </c>
    </row>
    <row r="775" spans="1:17" x14ac:dyDescent="0.25">
      <c r="A775" s="23" t="s">
        <v>214</v>
      </c>
      <c r="B775" s="2" t="s">
        <v>975</v>
      </c>
      <c r="C775" s="3" t="s">
        <v>28</v>
      </c>
      <c r="D775" s="3" t="s">
        <v>23</v>
      </c>
      <c r="E775" s="2" t="s">
        <v>24</v>
      </c>
      <c r="F775" s="4">
        <v>0</v>
      </c>
      <c r="G775" s="8">
        <f t="shared" si="104"/>
        <v>1000000000</v>
      </c>
      <c r="H775" s="4" t="str">
        <f t="shared" si="105"/>
        <v>Ohms</v>
      </c>
      <c r="I775" s="14">
        <v>299000000</v>
      </c>
      <c r="J775" s="6" t="str">
        <f t="shared" si="106"/>
        <v>Ohms</v>
      </c>
      <c r="K775" s="2" t="str">
        <f t="shared" si="107"/>
        <v>RTG</v>
      </c>
      <c r="L775" s="7">
        <v>45834</v>
      </c>
      <c r="M775" s="7">
        <f t="shared" si="101"/>
        <v>46199</v>
      </c>
      <c r="N775" s="7" t="str">
        <f t="shared" si="102"/>
        <v>Anual</v>
      </c>
      <c r="O775" s="2" t="str">
        <f t="shared" ca="1" si="103"/>
        <v>VIGENTE</v>
      </c>
      <c r="P775" s="6" t="s">
        <v>25</v>
      </c>
      <c r="Q775" s="2" t="s">
        <v>29</v>
      </c>
    </row>
    <row r="776" spans="1:17" x14ac:dyDescent="0.25">
      <c r="A776" s="23" t="s">
        <v>214</v>
      </c>
      <c r="B776" s="2" t="s">
        <v>977</v>
      </c>
      <c r="C776" s="3" t="s">
        <v>28</v>
      </c>
      <c r="D776" s="3" t="s">
        <v>23</v>
      </c>
      <c r="E776" s="2" t="s">
        <v>24</v>
      </c>
      <c r="F776" s="4">
        <v>0</v>
      </c>
      <c r="G776" s="8">
        <f t="shared" si="104"/>
        <v>1000000000</v>
      </c>
      <c r="H776" s="4" t="str">
        <f t="shared" si="105"/>
        <v>Ohms</v>
      </c>
      <c r="I776" s="14">
        <v>1930000</v>
      </c>
      <c r="J776" s="6" t="str">
        <f t="shared" si="106"/>
        <v>Ohms</v>
      </c>
      <c r="K776" s="2" t="str">
        <f t="shared" si="107"/>
        <v>RTG</v>
      </c>
      <c r="L776" s="7">
        <v>45834</v>
      </c>
      <c r="M776" s="7">
        <f t="shared" si="101"/>
        <v>46199</v>
      </c>
      <c r="N776" s="7" t="str">
        <f t="shared" si="102"/>
        <v>Anual</v>
      </c>
      <c r="O776" s="2" t="str">
        <f t="shared" ca="1" si="103"/>
        <v>VIGENTE</v>
      </c>
      <c r="P776" s="6" t="s">
        <v>25</v>
      </c>
      <c r="Q776" s="2" t="s">
        <v>29</v>
      </c>
    </row>
    <row r="777" spans="1:17" x14ac:dyDescent="0.25">
      <c r="A777" s="23" t="s">
        <v>214</v>
      </c>
      <c r="B777" s="2" t="s">
        <v>978</v>
      </c>
      <c r="C777" s="3" t="s">
        <v>22</v>
      </c>
      <c r="D777" s="3" t="s">
        <v>23</v>
      </c>
      <c r="E777" s="2" t="s">
        <v>24</v>
      </c>
      <c r="F777" s="4">
        <v>0</v>
      </c>
      <c r="G777" s="8">
        <f t="shared" si="104"/>
        <v>1000000000</v>
      </c>
      <c r="H777" s="4" t="str">
        <f t="shared" si="105"/>
        <v>Ohms</v>
      </c>
      <c r="I777" s="14">
        <v>3840000</v>
      </c>
      <c r="J777" s="6" t="str">
        <f t="shared" si="106"/>
        <v>Ohms</v>
      </c>
      <c r="K777" s="2" t="str">
        <f t="shared" si="107"/>
        <v>RTG</v>
      </c>
      <c r="L777" s="7">
        <v>45834</v>
      </c>
      <c r="M777" s="7">
        <f t="shared" si="101"/>
        <v>46199</v>
      </c>
      <c r="N777" s="7" t="str">
        <f t="shared" si="102"/>
        <v>Anual</v>
      </c>
      <c r="O777" s="2" t="str">
        <f t="shared" ca="1" si="103"/>
        <v>VIGENTE</v>
      </c>
      <c r="P777" s="6" t="s">
        <v>25</v>
      </c>
      <c r="Q777" s="2"/>
    </row>
    <row r="778" spans="1:17" x14ac:dyDescent="0.25">
      <c r="A778" s="23" t="s">
        <v>214</v>
      </c>
      <c r="B778" s="2" t="s">
        <v>979</v>
      </c>
      <c r="C778" s="3" t="s">
        <v>22</v>
      </c>
      <c r="D778" s="3" t="s">
        <v>23</v>
      </c>
      <c r="E778" s="2" t="s">
        <v>24</v>
      </c>
      <c r="F778" s="4">
        <v>0</v>
      </c>
      <c r="G778" s="8">
        <f t="shared" si="104"/>
        <v>1000000000</v>
      </c>
      <c r="H778" s="4" t="str">
        <f t="shared" si="105"/>
        <v>Ohms</v>
      </c>
      <c r="I778" s="14">
        <v>411000000</v>
      </c>
      <c r="J778" s="6" t="str">
        <f t="shared" si="106"/>
        <v>Ohms</v>
      </c>
      <c r="K778" s="2" t="str">
        <f t="shared" si="107"/>
        <v>RTG</v>
      </c>
      <c r="L778" s="7">
        <v>45834</v>
      </c>
      <c r="M778" s="7">
        <f t="shared" si="101"/>
        <v>46199</v>
      </c>
      <c r="N778" s="7" t="str">
        <f t="shared" si="102"/>
        <v>Anual</v>
      </c>
      <c r="O778" s="2" t="str">
        <f t="shared" ca="1" si="103"/>
        <v>VIGENTE</v>
      </c>
      <c r="P778" s="6" t="s">
        <v>25</v>
      </c>
      <c r="Q778" s="2"/>
    </row>
    <row r="779" spans="1:17" x14ac:dyDescent="0.25">
      <c r="A779" s="23" t="s">
        <v>214</v>
      </c>
      <c r="B779" s="2" t="s">
        <v>980</v>
      </c>
      <c r="C779" s="3" t="s">
        <v>22</v>
      </c>
      <c r="D779" s="3" t="s">
        <v>23</v>
      </c>
      <c r="E779" s="2" t="s">
        <v>24</v>
      </c>
      <c r="F779" s="4">
        <v>0</v>
      </c>
      <c r="G779" s="8">
        <f t="shared" si="104"/>
        <v>1000000000</v>
      </c>
      <c r="H779" s="4" t="str">
        <f t="shared" si="105"/>
        <v>Ohms</v>
      </c>
      <c r="I779" s="14">
        <v>973000000</v>
      </c>
      <c r="J779" s="6" t="str">
        <f t="shared" si="106"/>
        <v>Ohms</v>
      </c>
      <c r="K779" s="2" t="str">
        <f t="shared" si="107"/>
        <v>RTG</v>
      </c>
      <c r="L779" s="7">
        <v>45905</v>
      </c>
      <c r="M779" s="7">
        <f t="shared" si="101"/>
        <v>46270</v>
      </c>
      <c r="N779" s="7" t="str">
        <f t="shared" si="102"/>
        <v>Anual</v>
      </c>
      <c r="O779" s="2" t="str">
        <f t="shared" ca="1" si="103"/>
        <v>VIGENTE</v>
      </c>
      <c r="P779" s="6" t="s">
        <v>25</v>
      </c>
      <c r="Q779" s="2"/>
    </row>
    <row r="780" spans="1:17" x14ac:dyDescent="0.25">
      <c r="A780" s="23" t="s">
        <v>214</v>
      </c>
      <c r="B780" s="2" t="s">
        <v>981</v>
      </c>
      <c r="C780" s="3" t="s">
        <v>22</v>
      </c>
      <c r="D780" s="3" t="s">
        <v>23</v>
      </c>
      <c r="E780" s="2" t="s">
        <v>24</v>
      </c>
      <c r="F780" s="4">
        <v>0</v>
      </c>
      <c r="G780" s="8">
        <f t="shared" si="104"/>
        <v>1000000000</v>
      </c>
      <c r="H780" s="4" t="str">
        <f t="shared" si="105"/>
        <v>Ohms</v>
      </c>
      <c r="I780" s="14">
        <v>122000000</v>
      </c>
      <c r="J780" s="6" t="str">
        <f t="shared" si="106"/>
        <v>Ohms</v>
      </c>
      <c r="K780" s="2" t="str">
        <f t="shared" si="107"/>
        <v>RTG</v>
      </c>
      <c r="L780" s="7">
        <v>45834</v>
      </c>
      <c r="M780" s="7">
        <f t="shared" si="101"/>
        <v>46199</v>
      </c>
      <c r="N780" s="7" t="str">
        <f t="shared" si="102"/>
        <v>Anual</v>
      </c>
      <c r="O780" s="2" t="str">
        <f t="shared" ca="1" si="103"/>
        <v>VIGENTE</v>
      </c>
      <c r="P780" s="6" t="s">
        <v>25</v>
      </c>
      <c r="Q780" s="2"/>
    </row>
    <row r="781" spans="1:17" x14ac:dyDescent="0.25">
      <c r="A781" s="23" t="s">
        <v>216</v>
      </c>
      <c r="B781" s="2" t="s">
        <v>217</v>
      </c>
      <c r="C781" s="3" t="s">
        <v>210</v>
      </c>
      <c r="D781" s="3" t="s">
        <v>23</v>
      </c>
      <c r="E781" s="2" t="s">
        <v>211</v>
      </c>
      <c r="F781" s="4">
        <v>0</v>
      </c>
      <c r="G781" s="8">
        <f t="shared" si="104"/>
        <v>1</v>
      </c>
      <c r="H781" s="4" t="str">
        <f t="shared" si="105"/>
        <v>Ohms</v>
      </c>
      <c r="I781" s="6">
        <v>0.219</v>
      </c>
      <c r="J781" s="6" t="str">
        <f t="shared" si="106"/>
        <v>Ohms</v>
      </c>
      <c r="K781" s="2" t="str">
        <f t="shared" si="107"/>
        <v>RTG</v>
      </c>
      <c r="L781" s="7">
        <v>46060</v>
      </c>
      <c r="M781" s="7">
        <f t="shared" si="101"/>
        <v>46425</v>
      </c>
      <c r="N781" s="7" t="str">
        <f t="shared" si="102"/>
        <v>Anual</v>
      </c>
      <c r="O781" s="2" t="str">
        <f t="shared" ca="1" si="103"/>
        <v>VIGENTE</v>
      </c>
      <c r="P781" s="6" t="s">
        <v>25</v>
      </c>
      <c r="Q781" s="2"/>
    </row>
    <row r="782" spans="1:17" x14ac:dyDescent="0.25">
      <c r="A782" s="23" t="s">
        <v>216</v>
      </c>
      <c r="B782" s="2" t="s">
        <v>229</v>
      </c>
      <c r="C782" s="3" t="s">
        <v>210</v>
      </c>
      <c r="D782" s="3" t="s">
        <v>23</v>
      </c>
      <c r="E782" s="2" t="s">
        <v>211</v>
      </c>
      <c r="F782" s="4">
        <v>0</v>
      </c>
      <c r="G782" s="8">
        <f t="shared" si="104"/>
        <v>1</v>
      </c>
      <c r="H782" s="4" t="str">
        <f t="shared" si="105"/>
        <v>Ohms</v>
      </c>
      <c r="I782" s="6">
        <v>0.309</v>
      </c>
      <c r="J782" s="6" t="str">
        <f t="shared" si="106"/>
        <v>Ohms</v>
      </c>
      <c r="K782" s="2" t="str">
        <f t="shared" si="107"/>
        <v>RTG</v>
      </c>
      <c r="L782" s="7">
        <v>46060</v>
      </c>
      <c r="M782" s="7">
        <f t="shared" si="101"/>
        <v>46425</v>
      </c>
      <c r="N782" s="7" t="str">
        <f t="shared" si="102"/>
        <v>Anual</v>
      </c>
      <c r="O782" s="2" t="str">
        <f t="shared" ca="1" si="103"/>
        <v>VIGENTE</v>
      </c>
      <c r="P782" s="6" t="s">
        <v>25</v>
      </c>
      <c r="Q782" s="2"/>
    </row>
    <row r="783" spans="1:17" x14ac:dyDescent="0.25">
      <c r="A783" s="23" t="s">
        <v>216</v>
      </c>
      <c r="B783" s="2" t="s">
        <v>990</v>
      </c>
      <c r="C783" s="3" t="s">
        <v>28</v>
      </c>
      <c r="D783" s="3" t="s">
        <v>23</v>
      </c>
      <c r="E783" s="2" t="s">
        <v>24</v>
      </c>
      <c r="F783" s="4">
        <v>0</v>
      </c>
      <c r="G783" s="8">
        <f t="shared" si="104"/>
        <v>1000000000</v>
      </c>
      <c r="H783" s="4" t="str">
        <f t="shared" si="105"/>
        <v>Ohms</v>
      </c>
      <c r="I783" s="14">
        <v>294000000</v>
      </c>
      <c r="J783" s="6" t="str">
        <f t="shared" si="106"/>
        <v>Ohms</v>
      </c>
      <c r="K783" s="2" t="str">
        <f t="shared" si="107"/>
        <v>RTG</v>
      </c>
      <c r="L783" s="7">
        <v>45835</v>
      </c>
      <c r="M783" s="7">
        <f t="shared" si="101"/>
        <v>46200</v>
      </c>
      <c r="N783" s="7" t="str">
        <f t="shared" si="102"/>
        <v>Anual</v>
      </c>
      <c r="O783" s="2" t="str">
        <f t="shared" ca="1" si="103"/>
        <v>VIGENTE</v>
      </c>
      <c r="P783" s="6" t="s">
        <v>25</v>
      </c>
      <c r="Q783" s="2" t="s">
        <v>29</v>
      </c>
    </row>
    <row r="784" spans="1:17" x14ac:dyDescent="0.25">
      <c r="A784" s="23" t="s">
        <v>216</v>
      </c>
      <c r="B784" s="2" t="s">
        <v>991</v>
      </c>
      <c r="C784" s="3" t="s">
        <v>28</v>
      </c>
      <c r="D784" s="3" t="s">
        <v>23</v>
      </c>
      <c r="E784" s="2" t="s">
        <v>24</v>
      </c>
      <c r="F784" s="4">
        <v>0</v>
      </c>
      <c r="G784" s="8">
        <f t="shared" si="104"/>
        <v>1000000000</v>
      </c>
      <c r="H784" s="4" t="str">
        <f t="shared" si="105"/>
        <v>Ohms</v>
      </c>
      <c r="I784" s="14">
        <v>304000000</v>
      </c>
      <c r="J784" s="6" t="str">
        <f t="shared" si="106"/>
        <v>Ohms</v>
      </c>
      <c r="K784" s="2" t="str">
        <f t="shared" si="107"/>
        <v>RTG</v>
      </c>
      <c r="L784" s="7">
        <v>45835</v>
      </c>
      <c r="M784" s="7">
        <f t="shared" si="101"/>
        <v>46200</v>
      </c>
      <c r="N784" s="7" t="str">
        <f t="shared" si="102"/>
        <v>Anual</v>
      </c>
      <c r="O784" s="2" t="str">
        <f t="shared" ca="1" si="103"/>
        <v>VIGENTE</v>
      </c>
      <c r="P784" s="6" t="s">
        <v>25</v>
      </c>
      <c r="Q784" s="2" t="s">
        <v>29</v>
      </c>
    </row>
    <row r="785" spans="1:17" x14ac:dyDescent="0.25">
      <c r="A785" s="23" t="s">
        <v>216</v>
      </c>
      <c r="B785" s="2" t="s">
        <v>992</v>
      </c>
      <c r="C785" s="3" t="s">
        <v>28</v>
      </c>
      <c r="D785" s="3" t="s">
        <v>23</v>
      </c>
      <c r="E785" s="2" t="s">
        <v>24</v>
      </c>
      <c r="F785" s="4">
        <v>0</v>
      </c>
      <c r="G785" s="8">
        <f t="shared" si="104"/>
        <v>1000000000</v>
      </c>
      <c r="H785" s="4" t="str">
        <f t="shared" si="105"/>
        <v>Ohms</v>
      </c>
      <c r="I785" s="14">
        <v>481000000</v>
      </c>
      <c r="J785" s="6" t="str">
        <f t="shared" si="106"/>
        <v>Ohms</v>
      </c>
      <c r="K785" s="2" t="str">
        <f t="shared" si="107"/>
        <v>RTG</v>
      </c>
      <c r="L785" s="7">
        <v>45835</v>
      </c>
      <c r="M785" s="7">
        <f t="shared" si="101"/>
        <v>46200</v>
      </c>
      <c r="N785" s="7" t="str">
        <f t="shared" si="102"/>
        <v>Anual</v>
      </c>
      <c r="O785" s="2" t="str">
        <f t="shared" ca="1" si="103"/>
        <v>VIGENTE</v>
      </c>
      <c r="P785" s="6" t="s">
        <v>25</v>
      </c>
      <c r="Q785" s="2" t="s">
        <v>29</v>
      </c>
    </row>
    <row r="786" spans="1:17" x14ac:dyDescent="0.25">
      <c r="A786" s="23" t="s">
        <v>216</v>
      </c>
      <c r="B786" s="2" t="s">
        <v>993</v>
      </c>
      <c r="C786" s="3" t="s">
        <v>28</v>
      </c>
      <c r="D786" s="3" t="s">
        <v>23</v>
      </c>
      <c r="E786" s="2" t="s">
        <v>24</v>
      </c>
      <c r="F786" s="4">
        <v>0</v>
      </c>
      <c r="G786" s="8">
        <f t="shared" si="104"/>
        <v>1000000000</v>
      </c>
      <c r="H786" s="4" t="str">
        <f t="shared" si="105"/>
        <v>Ohms</v>
      </c>
      <c r="I786" s="14">
        <v>321000000</v>
      </c>
      <c r="J786" s="6" t="str">
        <f t="shared" si="106"/>
        <v>Ohms</v>
      </c>
      <c r="K786" s="2" t="str">
        <f t="shared" si="107"/>
        <v>RTG</v>
      </c>
      <c r="L786" s="7">
        <v>45835</v>
      </c>
      <c r="M786" s="7">
        <f t="shared" si="101"/>
        <v>46200</v>
      </c>
      <c r="N786" s="7" t="str">
        <f t="shared" si="102"/>
        <v>Anual</v>
      </c>
      <c r="O786" s="2" t="str">
        <f t="shared" ca="1" si="103"/>
        <v>VIGENTE</v>
      </c>
      <c r="P786" s="6" t="s">
        <v>25</v>
      </c>
      <c r="Q786" s="2" t="s">
        <v>29</v>
      </c>
    </row>
    <row r="787" spans="1:17" x14ac:dyDescent="0.25">
      <c r="A787" s="23" t="s">
        <v>216</v>
      </c>
      <c r="B787" s="2" t="s">
        <v>994</v>
      </c>
      <c r="C787" s="3" t="s">
        <v>28</v>
      </c>
      <c r="D787" s="3" t="s">
        <v>23</v>
      </c>
      <c r="E787" s="2" t="s">
        <v>24</v>
      </c>
      <c r="F787" s="4">
        <v>0</v>
      </c>
      <c r="G787" s="8">
        <f t="shared" si="104"/>
        <v>1000000000</v>
      </c>
      <c r="H787" s="4" t="str">
        <f t="shared" si="105"/>
        <v>Ohms</v>
      </c>
      <c r="I787" s="14">
        <v>268000000</v>
      </c>
      <c r="J787" s="6" t="str">
        <f t="shared" si="106"/>
        <v>Ohms</v>
      </c>
      <c r="K787" s="2" t="str">
        <f t="shared" si="107"/>
        <v>RTG</v>
      </c>
      <c r="L787" s="7">
        <v>45835</v>
      </c>
      <c r="M787" s="7">
        <f t="shared" si="101"/>
        <v>46200</v>
      </c>
      <c r="N787" s="7" t="str">
        <f t="shared" si="102"/>
        <v>Anual</v>
      </c>
      <c r="O787" s="2" t="str">
        <f t="shared" ca="1" si="103"/>
        <v>VIGENTE</v>
      </c>
      <c r="P787" s="6" t="s">
        <v>25</v>
      </c>
      <c r="Q787" s="2" t="s">
        <v>29</v>
      </c>
    </row>
    <row r="788" spans="1:17" x14ac:dyDescent="0.25">
      <c r="A788" s="23" t="s">
        <v>216</v>
      </c>
      <c r="B788" s="2" t="s">
        <v>995</v>
      </c>
      <c r="C788" s="3" t="s">
        <v>28</v>
      </c>
      <c r="D788" s="3" t="s">
        <v>23</v>
      </c>
      <c r="E788" s="2" t="s">
        <v>24</v>
      </c>
      <c r="F788" s="4">
        <v>0</v>
      </c>
      <c r="G788" s="8">
        <f t="shared" si="104"/>
        <v>1000000000</v>
      </c>
      <c r="H788" s="4" t="str">
        <f t="shared" si="105"/>
        <v>Ohms</v>
      </c>
      <c r="I788" s="14">
        <v>202000000</v>
      </c>
      <c r="J788" s="6" t="str">
        <f t="shared" si="106"/>
        <v>Ohms</v>
      </c>
      <c r="K788" s="2" t="str">
        <f t="shared" si="107"/>
        <v>RTG</v>
      </c>
      <c r="L788" s="7">
        <v>45835</v>
      </c>
      <c r="M788" s="7">
        <f t="shared" si="101"/>
        <v>46200</v>
      </c>
      <c r="N788" s="7" t="str">
        <f t="shared" ref="N788:N793" si="108">IF(C788="Ionizador", "Trimestral", IF(C788="Rack", "Anual", IF(C788="Mesa", "Anual", IF(C788="Tapete", "Semestral", IF(C788="Cautín", "Semestral", IF(C788="Silla", "Semestral", "Anual"))))))</f>
        <v>Anual</v>
      </c>
      <c r="O788" s="2" t="str">
        <f t="shared" ref="O788:O793" ca="1" si="109">IF(M788&lt;TODAY(),"VENCIDO",IF(M788=TODAY(),"VIGENTE",IF(M788&gt;TODAY(),"VIGENTE")))</f>
        <v>VIGENTE</v>
      </c>
      <c r="P788" s="6" t="s">
        <v>25</v>
      </c>
      <c r="Q788" s="2" t="s">
        <v>29</v>
      </c>
    </row>
    <row r="789" spans="1:17" x14ac:dyDescent="0.25">
      <c r="A789" s="23" t="s">
        <v>216</v>
      </c>
      <c r="B789" s="2" t="s">
        <v>996</v>
      </c>
      <c r="C789" s="3" t="s">
        <v>28</v>
      </c>
      <c r="D789" s="3" t="s">
        <v>23</v>
      </c>
      <c r="E789" s="2" t="s">
        <v>24</v>
      </c>
      <c r="F789" s="4">
        <v>0</v>
      </c>
      <c r="G789" s="8">
        <f t="shared" si="104"/>
        <v>1000000000</v>
      </c>
      <c r="H789" s="4" t="str">
        <f t="shared" si="105"/>
        <v>Ohms</v>
      </c>
      <c r="I789" s="14">
        <v>1970000</v>
      </c>
      <c r="J789" s="6" t="str">
        <f t="shared" si="106"/>
        <v>Ohms</v>
      </c>
      <c r="K789" s="2" t="str">
        <f t="shared" si="107"/>
        <v>RTG</v>
      </c>
      <c r="L789" s="7">
        <v>45835</v>
      </c>
      <c r="M789" s="7">
        <f t="shared" si="101"/>
        <v>46200</v>
      </c>
      <c r="N789" s="7" t="str">
        <f t="shared" si="108"/>
        <v>Anual</v>
      </c>
      <c r="O789" s="2" t="str">
        <f t="shared" ca="1" si="109"/>
        <v>VIGENTE</v>
      </c>
      <c r="P789" s="6" t="s">
        <v>25</v>
      </c>
      <c r="Q789" s="2" t="s">
        <v>29</v>
      </c>
    </row>
    <row r="790" spans="1:17" x14ac:dyDescent="0.25">
      <c r="A790" s="23" t="s">
        <v>216</v>
      </c>
      <c r="B790" s="2" t="s">
        <v>997</v>
      </c>
      <c r="C790" s="3" t="s">
        <v>998</v>
      </c>
      <c r="D790" s="3" t="s">
        <v>23</v>
      </c>
      <c r="E790" s="2" t="s">
        <v>24</v>
      </c>
      <c r="F790" s="4">
        <v>0</v>
      </c>
      <c r="G790" s="8">
        <f t="shared" si="104"/>
        <v>1</v>
      </c>
      <c r="H790" s="4" t="str">
        <f t="shared" si="105"/>
        <v>Ohms</v>
      </c>
      <c r="I790" s="14">
        <v>423000000</v>
      </c>
      <c r="J790" s="6" t="str">
        <f t="shared" si="106"/>
        <v>Ohms</v>
      </c>
      <c r="K790" s="2" t="str">
        <f t="shared" si="107"/>
        <v>RTG</v>
      </c>
      <c r="L790" s="7">
        <v>45835</v>
      </c>
      <c r="M790" s="7">
        <f t="shared" si="101"/>
        <v>46200</v>
      </c>
      <c r="N790" s="7" t="str">
        <f t="shared" si="108"/>
        <v>Anual</v>
      </c>
      <c r="O790" s="2" t="str">
        <f t="shared" ca="1" si="109"/>
        <v>VIGENTE</v>
      </c>
      <c r="P790" s="6" t="s">
        <v>25</v>
      </c>
      <c r="Q790" s="2"/>
    </row>
    <row r="791" spans="1:17" x14ac:dyDescent="0.25">
      <c r="A791" s="23" t="s">
        <v>216</v>
      </c>
      <c r="B791" s="2" t="s">
        <v>999</v>
      </c>
      <c r="C791" s="3" t="s">
        <v>998</v>
      </c>
      <c r="D791" s="3" t="s">
        <v>23</v>
      </c>
      <c r="E791" s="2" t="s">
        <v>24</v>
      </c>
      <c r="F791" s="4">
        <v>0</v>
      </c>
      <c r="G791" s="8">
        <f t="shared" si="104"/>
        <v>1</v>
      </c>
      <c r="H791" s="4" t="str">
        <f t="shared" si="105"/>
        <v>Ohms</v>
      </c>
      <c r="I791" s="14">
        <v>3100000</v>
      </c>
      <c r="J791" s="6" t="str">
        <f t="shared" si="106"/>
        <v>Ohms</v>
      </c>
      <c r="K791" s="2" t="str">
        <f t="shared" si="107"/>
        <v>RTG</v>
      </c>
      <c r="L791" s="7">
        <v>45835</v>
      </c>
      <c r="M791" s="7">
        <f t="shared" si="101"/>
        <v>46200</v>
      </c>
      <c r="N791" s="7" t="str">
        <f t="shared" si="108"/>
        <v>Anual</v>
      </c>
      <c r="O791" s="2" t="str">
        <f t="shared" ca="1" si="109"/>
        <v>VIGENTE</v>
      </c>
      <c r="P791" s="6" t="s">
        <v>25</v>
      </c>
      <c r="Q791" s="2"/>
    </row>
    <row r="792" spans="1:17" x14ac:dyDescent="0.25">
      <c r="A792" s="23" t="s">
        <v>216</v>
      </c>
      <c r="B792" s="2" t="s">
        <v>1000</v>
      </c>
      <c r="C792" s="3" t="s">
        <v>22</v>
      </c>
      <c r="D792" s="3" t="s">
        <v>23</v>
      </c>
      <c r="E792" s="2" t="s">
        <v>24</v>
      </c>
      <c r="F792" s="4">
        <v>0</v>
      </c>
      <c r="G792" s="8">
        <f t="shared" si="104"/>
        <v>1000000000</v>
      </c>
      <c r="H792" s="4" t="str">
        <f t="shared" si="105"/>
        <v>Ohms</v>
      </c>
      <c r="I792" s="6">
        <v>212000000</v>
      </c>
      <c r="J792" s="6" t="str">
        <f t="shared" si="106"/>
        <v>Ohms</v>
      </c>
      <c r="K792" s="2" t="str">
        <f t="shared" si="107"/>
        <v>RTG</v>
      </c>
      <c r="L792" s="7">
        <v>45786</v>
      </c>
      <c r="M792" s="7">
        <f t="shared" si="101"/>
        <v>46151</v>
      </c>
      <c r="N792" s="7" t="str">
        <f t="shared" si="108"/>
        <v>Anual</v>
      </c>
      <c r="O792" s="2" t="str">
        <f t="shared" ca="1" si="109"/>
        <v>VIGENTE</v>
      </c>
      <c r="P792" s="6" t="s">
        <v>25</v>
      </c>
      <c r="Q792" s="2"/>
    </row>
    <row r="793" spans="1:17" x14ac:dyDescent="0.25">
      <c r="A793" s="23" t="s">
        <v>216</v>
      </c>
      <c r="B793" s="2" t="s">
        <v>1001</v>
      </c>
      <c r="C793" s="3" t="s">
        <v>22</v>
      </c>
      <c r="D793" s="3" t="s">
        <v>23</v>
      </c>
      <c r="E793" s="2" t="s">
        <v>24</v>
      </c>
      <c r="F793" s="4">
        <v>0</v>
      </c>
      <c r="G793" s="8">
        <f t="shared" si="104"/>
        <v>1000000000</v>
      </c>
      <c r="H793" s="4" t="str">
        <f t="shared" si="105"/>
        <v>Ohms</v>
      </c>
      <c r="I793" s="14">
        <v>405000000</v>
      </c>
      <c r="J793" s="6" t="str">
        <f t="shared" si="106"/>
        <v>Ohms</v>
      </c>
      <c r="K793" s="2" t="str">
        <f t="shared" si="107"/>
        <v>RTG</v>
      </c>
      <c r="L793" s="7">
        <v>45835</v>
      </c>
      <c r="M793" s="7">
        <f t="shared" si="101"/>
        <v>46200</v>
      </c>
      <c r="N793" s="7" t="str">
        <f t="shared" si="108"/>
        <v>Anual</v>
      </c>
      <c r="O793" s="2" t="str">
        <f t="shared" ca="1" si="109"/>
        <v>VIGENTE</v>
      </c>
      <c r="P793" s="6" t="s">
        <v>25</v>
      </c>
      <c r="Q793" s="2"/>
    </row>
    <row r="794" spans="1:17" x14ac:dyDescent="0.25">
      <c r="A794" s="23" t="s">
        <v>924</v>
      </c>
      <c r="B794" s="2" t="s">
        <v>925</v>
      </c>
      <c r="C794" s="3" t="s">
        <v>800</v>
      </c>
      <c r="D794" s="3" t="s">
        <v>23</v>
      </c>
      <c r="E794" s="2" t="s">
        <v>829</v>
      </c>
      <c r="F794" s="4">
        <v>0</v>
      </c>
      <c r="G794" s="8">
        <f t="shared" si="104"/>
        <v>10</v>
      </c>
      <c r="H794" s="4" t="str">
        <f t="shared" si="105"/>
        <v>Segundos</v>
      </c>
      <c r="I794" s="6">
        <v>3</v>
      </c>
      <c r="J794" s="6" t="str">
        <f t="shared" si="106"/>
        <v>Segundos</v>
      </c>
      <c r="K794" s="2" t="str">
        <f t="shared" si="107"/>
        <v>Plato de carga</v>
      </c>
      <c r="L794" s="7">
        <v>45624</v>
      </c>
      <c r="M794" s="7">
        <f t="shared" si="101"/>
        <v>45714</v>
      </c>
      <c r="N794" s="7" t="str">
        <f t="shared" ref="N794:N813" si="110">IF(C794="Ionizador", "Trimestral", IF(C794="Rack", "Semestral", IF(C794="Mesa", "Semestral", IF(C794="Tapete", "Semestral", IF(C794="Cautín", "Semestral", IF(C794="Silla", "Semestral", "Anual"))))))</f>
        <v>Trimestral</v>
      </c>
      <c r="O794" s="2" t="str">
        <f t="shared" ref="O794:O813" ca="1" si="111">IF(M794&lt;TODAY(),"VENCIDO",IF(M794=TODAY(),"VENCE HOY",IF(M794&gt;TODAY(),"VIGENTE")))</f>
        <v>VENCIDO</v>
      </c>
      <c r="P794" s="13" t="s">
        <v>228</v>
      </c>
      <c r="Q794" s="2" t="s">
        <v>926</v>
      </c>
    </row>
    <row r="795" spans="1:17" x14ac:dyDescent="0.25">
      <c r="A795" s="23" t="s">
        <v>924</v>
      </c>
      <c r="B795" s="2" t="s">
        <v>927</v>
      </c>
      <c r="C795" s="3" t="s">
        <v>259</v>
      </c>
      <c r="D795" s="3" t="s">
        <v>23</v>
      </c>
      <c r="E795" s="2" t="s">
        <v>814</v>
      </c>
      <c r="F795" s="4">
        <v>0</v>
      </c>
      <c r="G795" s="8">
        <f t="shared" si="104"/>
        <v>1</v>
      </c>
      <c r="H795" s="4" t="str">
        <f t="shared" si="105"/>
        <v>Ohms</v>
      </c>
      <c r="I795" s="6">
        <v>0.34</v>
      </c>
      <c r="J795" s="6" t="str">
        <f t="shared" si="106"/>
        <v>Ohms</v>
      </c>
      <c r="K795" s="2" t="str">
        <f t="shared" si="107"/>
        <v>RTG</v>
      </c>
      <c r="L795" s="7">
        <v>45709</v>
      </c>
      <c r="M795" s="7">
        <f t="shared" si="101"/>
        <v>46074</v>
      </c>
      <c r="N795" s="7" t="str">
        <f t="shared" si="110"/>
        <v>Anual</v>
      </c>
      <c r="O795" s="2" t="str">
        <f t="shared" ca="1" si="111"/>
        <v>VENCIDO</v>
      </c>
      <c r="P795" s="13" t="s">
        <v>228</v>
      </c>
      <c r="Q795" s="2" t="s">
        <v>926</v>
      </c>
    </row>
    <row r="796" spans="1:17" x14ac:dyDescent="0.25">
      <c r="A796" s="23" t="s">
        <v>924</v>
      </c>
      <c r="B796" s="2" t="s">
        <v>928</v>
      </c>
      <c r="C796" s="3" t="s">
        <v>802</v>
      </c>
      <c r="D796" s="3" t="s">
        <v>23</v>
      </c>
      <c r="E796" s="2" t="s">
        <v>803</v>
      </c>
      <c r="F796" s="4">
        <v>0</v>
      </c>
      <c r="G796" s="8">
        <f t="shared" si="104"/>
        <v>1</v>
      </c>
      <c r="H796" s="4" t="str">
        <f t="shared" si="105"/>
        <v>Ohms</v>
      </c>
      <c r="I796" s="6">
        <v>0.317</v>
      </c>
      <c r="J796" s="6" t="str">
        <f t="shared" si="106"/>
        <v>Ohms</v>
      </c>
      <c r="K796" s="2" t="str">
        <f t="shared" si="107"/>
        <v>RTG</v>
      </c>
      <c r="L796" s="7">
        <v>45709</v>
      </c>
      <c r="M796" s="7">
        <f t="shared" si="101"/>
        <v>46074</v>
      </c>
      <c r="N796" s="7" t="str">
        <f t="shared" si="110"/>
        <v>Anual</v>
      </c>
      <c r="O796" s="2" t="str">
        <f t="shared" ca="1" si="111"/>
        <v>VENCIDO</v>
      </c>
      <c r="P796" s="13" t="s">
        <v>228</v>
      </c>
      <c r="Q796" s="2" t="s">
        <v>926</v>
      </c>
    </row>
    <row r="797" spans="1:17" x14ac:dyDescent="0.25">
      <c r="A797" s="23" t="s">
        <v>924</v>
      </c>
      <c r="B797" s="2" t="s">
        <v>929</v>
      </c>
      <c r="C797" s="3" t="s">
        <v>805</v>
      </c>
      <c r="D797" s="3" t="s">
        <v>23</v>
      </c>
      <c r="E797" s="2" t="s">
        <v>814</v>
      </c>
      <c r="F797" s="4">
        <v>0</v>
      </c>
      <c r="G797" s="8">
        <f t="shared" si="104"/>
        <v>1</v>
      </c>
      <c r="H797" s="4" t="str">
        <f t="shared" si="105"/>
        <v>Ohms</v>
      </c>
      <c r="I797" s="6">
        <v>1.3140000000000001</v>
      </c>
      <c r="J797" s="6" t="str">
        <f t="shared" si="106"/>
        <v>Ohms</v>
      </c>
      <c r="K797" s="2" t="str">
        <f t="shared" si="107"/>
        <v>RTG</v>
      </c>
      <c r="L797" s="7">
        <v>45709</v>
      </c>
      <c r="M797" s="7">
        <f t="shared" si="101"/>
        <v>46074</v>
      </c>
      <c r="N797" s="7" t="str">
        <f t="shared" si="110"/>
        <v>Anual</v>
      </c>
      <c r="O797" s="2" t="str">
        <f t="shared" ca="1" si="111"/>
        <v>VENCIDO</v>
      </c>
      <c r="P797" s="13" t="s">
        <v>228</v>
      </c>
      <c r="Q797" s="2" t="s">
        <v>926</v>
      </c>
    </row>
    <row r="798" spans="1:17" x14ac:dyDescent="0.25">
      <c r="A798" s="23" t="s">
        <v>924</v>
      </c>
      <c r="B798" s="2" t="s">
        <v>930</v>
      </c>
      <c r="C798" s="3" t="s">
        <v>261</v>
      </c>
      <c r="D798" s="3" t="s">
        <v>23</v>
      </c>
      <c r="E798" s="2" t="s">
        <v>814</v>
      </c>
      <c r="F798" s="4">
        <v>0</v>
      </c>
      <c r="G798" s="8">
        <f t="shared" si="104"/>
        <v>1</v>
      </c>
      <c r="H798" s="4" t="str">
        <f t="shared" si="105"/>
        <v>Ohms</v>
      </c>
      <c r="I798" s="6">
        <v>0.14099999999999999</v>
      </c>
      <c r="J798" s="6" t="str">
        <f t="shared" si="106"/>
        <v>Ohms</v>
      </c>
      <c r="K798" s="2" t="str">
        <f t="shared" si="107"/>
        <v>RTG</v>
      </c>
      <c r="L798" s="7">
        <v>45709</v>
      </c>
      <c r="M798" s="7">
        <f t="shared" si="101"/>
        <v>46074</v>
      </c>
      <c r="N798" s="7" t="str">
        <f t="shared" si="110"/>
        <v>Anual</v>
      </c>
      <c r="O798" s="2" t="str">
        <f t="shared" ca="1" si="111"/>
        <v>VENCIDO</v>
      </c>
      <c r="P798" s="13" t="s">
        <v>228</v>
      </c>
      <c r="Q798" s="2" t="s">
        <v>926</v>
      </c>
    </row>
    <row r="799" spans="1:17" x14ac:dyDescent="0.25">
      <c r="A799" s="23" t="s">
        <v>924</v>
      </c>
      <c r="B799" s="2" t="s">
        <v>931</v>
      </c>
      <c r="C799" s="3" t="s">
        <v>210</v>
      </c>
      <c r="D799" s="3" t="s">
        <v>23</v>
      </c>
      <c r="E799" s="2" t="s">
        <v>932</v>
      </c>
      <c r="F799" s="4">
        <v>0</v>
      </c>
      <c r="G799" s="8">
        <f t="shared" si="104"/>
        <v>1</v>
      </c>
      <c r="H799" s="4" t="str">
        <f t="shared" si="105"/>
        <v>Ohms</v>
      </c>
      <c r="I799" s="6">
        <v>0.38400000000000001</v>
      </c>
      <c r="J799" s="6" t="str">
        <f t="shared" si="106"/>
        <v>Ohms</v>
      </c>
      <c r="K799" s="2" t="str">
        <f t="shared" si="107"/>
        <v>RTG</v>
      </c>
      <c r="L799" s="7">
        <v>45709</v>
      </c>
      <c r="M799" s="7">
        <f t="shared" si="101"/>
        <v>46074</v>
      </c>
      <c r="N799" s="7" t="str">
        <f t="shared" si="110"/>
        <v>Anual</v>
      </c>
      <c r="O799" s="2" t="str">
        <f t="shared" ca="1" si="111"/>
        <v>VENCIDO</v>
      </c>
      <c r="P799" s="13" t="s">
        <v>228</v>
      </c>
      <c r="Q799" s="2" t="s">
        <v>926</v>
      </c>
    </row>
    <row r="800" spans="1:17" x14ac:dyDescent="0.25">
      <c r="A800" s="23" t="s">
        <v>924</v>
      </c>
      <c r="B800" s="2" t="s">
        <v>933</v>
      </c>
      <c r="C800" s="3" t="s">
        <v>261</v>
      </c>
      <c r="D800" s="3" t="s">
        <v>23</v>
      </c>
      <c r="E800" s="2" t="s">
        <v>814</v>
      </c>
      <c r="F800" s="4">
        <v>0</v>
      </c>
      <c r="G800" s="8">
        <f t="shared" si="104"/>
        <v>1</v>
      </c>
      <c r="H800" s="4" t="str">
        <f t="shared" si="105"/>
        <v>Ohms</v>
      </c>
      <c r="I800" s="6">
        <v>0.33100000000000002</v>
      </c>
      <c r="J800" s="6" t="str">
        <f t="shared" si="106"/>
        <v>Ohms</v>
      </c>
      <c r="K800" s="2" t="str">
        <f t="shared" si="107"/>
        <v>RTG</v>
      </c>
      <c r="L800" s="7">
        <v>45709</v>
      </c>
      <c r="M800" s="7">
        <f t="shared" si="101"/>
        <v>46074</v>
      </c>
      <c r="N800" s="7" t="str">
        <f t="shared" si="110"/>
        <v>Anual</v>
      </c>
      <c r="O800" s="2" t="str">
        <f t="shared" ca="1" si="111"/>
        <v>VENCIDO</v>
      </c>
      <c r="P800" s="13" t="s">
        <v>228</v>
      </c>
      <c r="Q800" s="2" t="s">
        <v>926</v>
      </c>
    </row>
    <row r="801" spans="1:17" x14ac:dyDescent="0.25">
      <c r="A801" s="23" t="s">
        <v>924</v>
      </c>
      <c r="B801" s="2" t="s">
        <v>934</v>
      </c>
      <c r="C801" s="3" t="s">
        <v>822</v>
      </c>
      <c r="D801" s="3" t="s">
        <v>23</v>
      </c>
      <c r="E801" s="2" t="s">
        <v>823</v>
      </c>
      <c r="F801" s="4">
        <v>0</v>
      </c>
      <c r="G801" s="8">
        <f t="shared" si="104"/>
        <v>1</v>
      </c>
      <c r="H801" s="4" t="str">
        <f t="shared" si="105"/>
        <v>Ohms</v>
      </c>
      <c r="I801" s="6">
        <v>0.23699999999999999</v>
      </c>
      <c r="J801" s="6" t="str">
        <f t="shared" si="106"/>
        <v>Ohms</v>
      </c>
      <c r="K801" s="2" t="str">
        <f t="shared" si="107"/>
        <v>RTG</v>
      </c>
      <c r="L801" s="7">
        <v>45709</v>
      </c>
      <c r="M801" s="7">
        <f t="shared" si="101"/>
        <v>46074</v>
      </c>
      <c r="N801" s="7" t="str">
        <f t="shared" si="110"/>
        <v>Anual</v>
      </c>
      <c r="O801" s="2" t="str">
        <f t="shared" ca="1" si="111"/>
        <v>VENCIDO</v>
      </c>
      <c r="P801" s="13" t="s">
        <v>228</v>
      </c>
      <c r="Q801" s="2" t="s">
        <v>926</v>
      </c>
    </row>
    <row r="802" spans="1:17" x14ac:dyDescent="0.25">
      <c r="A802" s="23" t="s">
        <v>924</v>
      </c>
      <c r="B802" s="2" t="s">
        <v>935</v>
      </c>
      <c r="C802" s="3" t="s">
        <v>265</v>
      </c>
      <c r="D802" s="3" t="s">
        <v>23</v>
      </c>
      <c r="E802" s="2" t="s">
        <v>814</v>
      </c>
      <c r="F802" s="4">
        <v>0</v>
      </c>
      <c r="G802" s="8">
        <f t="shared" si="104"/>
        <v>1</v>
      </c>
      <c r="H802" s="4" t="str">
        <f t="shared" si="105"/>
        <v>Ohms</v>
      </c>
      <c r="I802" s="6" t="s">
        <v>936</v>
      </c>
      <c r="J802" s="6" t="str">
        <f t="shared" si="106"/>
        <v>Ohms</v>
      </c>
      <c r="K802" s="2" t="str">
        <f t="shared" si="107"/>
        <v>RTG</v>
      </c>
      <c r="L802" s="7">
        <v>45709</v>
      </c>
      <c r="M802" s="7">
        <f t="shared" si="101"/>
        <v>46074</v>
      </c>
      <c r="N802" s="7" t="str">
        <f t="shared" si="110"/>
        <v>Anual</v>
      </c>
      <c r="O802" s="2" t="str">
        <f t="shared" ca="1" si="111"/>
        <v>VENCIDO</v>
      </c>
      <c r="P802" s="13" t="s">
        <v>228</v>
      </c>
      <c r="Q802" s="2" t="s">
        <v>926</v>
      </c>
    </row>
    <row r="803" spans="1:17" x14ac:dyDescent="0.25">
      <c r="A803" s="23" t="s">
        <v>924</v>
      </c>
      <c r="B803" s="2" t="s">
        <v>937</v>
      </c>
      <c r="C803" s="3" t="s">
        <v>261</v>
      </c>
      <c r="D803" s="3" t="s">
        <v>23</v>
      </c>
      <c r="E803" s="2" t="s">
        <v>814</v>
      </c>
      <c r="F803" s="4">
        <v>0</v>
      </c>
      <c r="G803" s="8">
        <f t="shared" si="104"/>
        <v>1</v>
      </c>
      <c r="H803" s="4" t="str">
        <f t="shared" si="105"/>
        <v>Ohms</v>
      </c>
      <c r="I803" s="6">
        <v>0.27800000000000002</v>
      </c>
      <c r="J803" s="6" t="str">
        <f t="shared" si="106"/>
        <v>Ohms</v>
      </c>
      <c r="K803" s="2" t="str">
        <f t="shared" si="107"/>
        <v>RTG</v>
      </c>
      <c r="L803" s="7">
        <v>45709</v>
      </c>
      <c r="M803" s="7">
        <f t="shared" ref="M803:M866" si="112">IF(N803="Trimestral", L803+90, IF(N803="Semestral", L803+180, IF(N803="Mensual", L803+30, L803+365)))</f>
        <v>46074</v>
      </c>
      <c r="N803" s="7" t="str">
        <f t="shared" si="110"/>
        <v>Anual</v>
      </c>
      <c r="O803" s="2" t="str">
        <f t="shared" ca="1" si="111"/>
        <v>VENCIDO</v>
      </c>
      <c r="P803" s="13" t="s">
        <v>228</v>
      </c>
      <c r="Q803" s="2" t="s">
        <v>926</v>
      </c>
    </row>
    <row r="804" spans="1:17" x14ac:dyDescent="0.25">
      <c r="A804" s="23" t="s">
        <v>924</v>
      </c>
      <c r="B804" s="2" t="s">
        <v>938</v>
      </c>
      <c r="C804" s="3" t="s">
        <v>828</v>
      </c>
      <c r="D804" s="3" t="s">
        <v>23</v>
      </c>
      <c r="E804" s="2" t="s">
        <v>829</v>
      </c>
      <c r="F804" s="4">
        <v>0</v>
      </c>
      <c r="G804" s="8">
        <f t="shared" si="104"/>
        <v>1</v>
      </c>
      <c r="H804" s="4" t="str">
        <f t="shared" si="105"/>
        <v>Ohms</v>
      </c>
      <c r="I804" s="6">
        <v>0.189</v>
      </c>
      <c r="J804" s="6" t="str">
        <f t="shared" si="106"/>
        <v>Ohms</v>
      </c>
      <c r="K804" s="2" t="str">
        <f t="shared" si="107"/>
        <v>RTG</v>
      </c>
      <c r="L804" s="7">
        <v>45709</v>
      </c>
      <c r="M804" s="7">
        <f t="shared" si="112"/>
        <v>46074</v>
      </c>
      <c r="N804" s="7" t="str">
        <f t="shared" si="110"/>
        <v>Anual</v>
      </c>
      <c r="O804" s="2" t="str">
        <f t="shared" ca="1" si="111"/>
        <v>VENCIDO</v>
      </c>
      <c r="P804" s="13" t="s">
        <v>228</v>
      </c>
      <c r="Q804" s="2" t="s">
        <v>926</v>
      </c>
    </row>
    <row r="805" spans="1:17" x14ac:dyDescent="0.25">
      <c r="A805" s="23" t="s">
        <v>924</v>
      </c>
      <c r="B805" s="2" t="s">
        <v>939</v>
      </c>
      <c r="C805" s="3" t="s">
        <v>828</v>
      </c>
      <c r="D805" s="3" t="s">
        <v>23</v>
      </c>
      <c r="E805" s="2" t="s">
        <v>829</v>
      </c>
      <c r="F805" s="4">
        <v>0</v>
      </c>
      <c r="G805" s="8">
        <f t="shared" si="104"/>
        <v>1</v>
      </c>
      <c r="H805" s="4" t="str">
        <f t="shared" si="105"/>
        <v>Ohms</v>
      </c>
      <c r="I805" s="6">
        <v>0.15</v>
      </c>
      <c r="J805" s="6" t="str">
        <f t="shared" si="106"/>
        <v>Ohms</v>
      </c>
      <c r="K805" s="2" t="str">
        <f t="shared" si="107"/>
        <v>RTG</v>
      </c>
      <c r="L805" s="7">
        <v>45709</v>
      </c>
      <c r="M805" s="7">
        <f t="shared" si="112"/>
        <v>46074</v>
      </c>
      <c r="N805" s="7" t="str">
        <f t="shared" si="110"/>
        <v>Anual</v>
      </c>
      <c r="O805" s="2" t="str">
        <f t="shared" ca="1" si="111"/>
        <v>VENCIDO</v>
      </c>
      <c r="P805" s="13" t="s">
        <v>228</v>
      </c>
      <c r="Q805" s="2" t="s">
        <v>926</v>
      </c>
    </row>
    <row r="806" spans="1:17" x14ac:dyDescent="0.25">
      <c r="A806" s="23" t="s">
        <v>924</v>
      </c>
      <c r="B806" s="2" t="s">
        <v>940</v>
      </c>
      <c r="C806" s="3" t="s">
        <v>261</v>
      </c>
      <c r="D806" s="3" t="s">
        <v>23</v>
      </c>
      <c r="E806" s="2" t="s">
        <v>814</v>
      </c>
      <c r="F806" s="4">
        <v>0</v>
      </c>
      <c r="G806" s="8">
        <f t="shared" si="104"/>
        <v>1</v>
      </c>
      <c r="H806" s="4" t="str">
        <f t="shared" si="105"/>
        <v>Ohms</v>
      </c>
      <c r="I806" s="6">
        <v>0.17399999999999999</v>
      </c>
      <c r="J806" s="6" t="str">
        <f t="shared" si="106"/>
        <v>Ohms</v>
      </c>
      <c r="K806" s="2" t="str">
        <f t="shared" si="107"/>
        <v>RTG</v>
      </c>
      <c r="L806" s="7">
        <v>45709</v>
      </c>
      <c r="M806" s="7">
        <f t="shared" si="112"/>
        <v>46074</v>
      </c>
      <c r="N806" s="7" t="str">
        <f t="shared" si="110"/>
        <v>Anual</v>
      </c>
      <c r="O806" s="2" t="str">
        <f t="shared" ca="1" si="111"/>
        <v>VENCIDO</v>
      </c>
      <c r="P806" s="13" t="s">
        <v>228</v>
      </c>
      <c r="Q806" s="2" t="s">
        <v>926</v>
      </c>
    </row>
    <row r="807" spans="1:17" x14ac:dyDescent="0.25">
      <c r="A807" s="23" t="s">
        <v>924</v>
      </c>
      <c r="B807" s="2" t="s">
        <v>941</v>
      </c>
      <c r="C807" s="3" t="s">
        <v>838</v>
      </c>
      <c r="D807" s="3" t="s">
        <v>23</v>
      </c>
      <c r="E807" s="2" t="s">
        <v>942</v>
      </c>
      <c r="F807" s="4">
        <v>0</v>
      </c>
      <c r="G807" s="8">
        <f t="shared" si="104"/>
        <v>1</v>
      </c>
      <c r="H807" s="4" t="str">
        <f t="shared" si="105"/>
        <v>Ohms</v>
      </c>
      <c r="I807" s="6">
        <v>0.54200000000000004</v>
      </c>
      <c r="J807" s="6" t="str">
        <f t="shared" si="106"/>
        <v>Ohms</v>
      </c>
      <c r="K807" s="2" t="str">
        <f t="shared" si="107"/>
        <v>RTG</v>
      </c>
      <c r="L807" s="7">
        <v>45709</v>
      </c>
      <c r="M807" s="7">
        <f t="shared" si="112"/>
        <v>46074</v>
      </c>
      <c r="N807" s="7" t="str">
        <f t="shared" si="110"/>
        <v>Anual</v>
      </c>
      <c r="O807" s="2" t="str">
        <f t="shared" ca="1" si="111"/>
        <v>VENCIDO</v>
      </c>
      <c r="P807" s="13" t="s">
        <v>228</v>
      </c>
      <c r="Q807" s="2" t="s">
        <v>926</v>
      </c>
    </row>
    <row r="808" spans="1:17" x14ac:dyDescent="0.25">
      <c r="A808" s="23" t="s">
        <v>924</v>
      </c>
      <c r="B808" s="2" t="s">
        <v>943</v>
      </c>
      <c r="C808" s="3" t="s">
        <v>261</v>
      </c>
      <c r="D808" s="3" t="s">
        <v>23</v>
      </c>
      <c r="E808" s="2" t="s">
        <v>814</v>
      </c>
      <c r="F808" s="4">
        <v>0</v>
      </c>
      <c r="G808" s="8">
        <f t="shared" si="104"/>
        <v>1</v>
      </c>
      <c r="H808" s="4" t="str">
        <f t="shared" si="105"/>
        <v>Ohms</v>
      </c>
      <c r="I808" s="6">
        <v>0.33200000000000002</v>
      </c>
      <c r="J808" s="6" t="str">
        <f t="shared" si="106"/>
        <v>Ohms</v>
      </c>
      <c r="K808" s="2" t="str">
        <f t="shared" si="107"/>
        <v>RTG</v>
      </c>
      <c r="L808" s="7">
        <v>45709</v>
      </c>
      <c r="M808" s="7">
        <f t="shared" si="112"/>
        <v>46074</v>
      </c>
      <c r="N808" s="7" t="str">
        <f t="shared" si="110"/>
        <v>Anual</v>
      </c>
      <c r="O808" s="2" t="str">
        <f t="shared" ca="1" si="111"/>
        <v>VENCIDO</v>
      </c>
      <c r="P808" s="13" t="s">
        <v>228</v>
      </c>
      <c r="Q808" s="2" t="s">
        <v>926</v>
      </c>
    </row>
    <row r="809" spans="1:17" x14ac:dyDescent="0.25">
      <c r="A809" s="23" t="s">
        <v>924</v>
      </c>
      <c r="B809" s="2" t="s">
        <v>944</v>
      </c>
      <c r="C809" s="3" t="s">
        <v>844</v>
      </c>
      <c r="D809" s="3" t="s">
        <v>23</v>
      </c>
      <c r="E809" s="2" t="s">
        <v>814</v>
      </c>
      <c r="F809" s="4">
        <v>0</v>
      </c>
      <c r="G809" s="8">
        <f t="shared" si="104"/>
        <v>1</v>
      </c>
      <c r="H809" s="4" t="str">
        <f t="shared" si="105"/>
        <v>Ohms</v>
      </c>
      <c r="I809" s="6">
        <v>0.26200000000000001</v>
      </c>
      <c r="J809" s="6" t="str">
        <f t="shared" si="106"/>
        <v>Ohms</v>
      </c>
      <c r="K809" s="2" t="str">
        <f t="shared" si="107"/>
        <v>RTG</v>
      </c>
      <c r="L809" s="7">
        <v>45709</v>
      </c>
      <c r="M809" s="7">
        <f t="shared" si="112"/>
        <v>46074</v>
      </c>
      <c r="N809" s="7" t="str">
        <f t="shared" si="110"/>
        <v>Anual</v>
      </c>
      <c r="O809" s="2" t="str">
        <f t="shared" ca="1" si="111"/>
        <v>VENCIDO</v>
      </c>
      <c r="P809" s="13" t="s">
        <v>228</v>
      </c>
      <c r="Q809" s="2" t="s">
        <v>926</v>
      </c>
    </row>
    <row r="810" spans="1:17" x14ac:dyDescent="0.25">
      <c r="A810" s="23" t="s">
        <v>924</v>
      </c>
      <c r="B810" s="2" t="s">
        <v>945</v>
      </c>
      <c r="C810" s="3" t="s">
        <v>261</v>
      </c>
      <c r="D810" s="3" t="s">
        <v>23</v>
      </c>
      <c r="E810" s="2" t="s">
        <v>814</v>
      </c>
      <c r="F810" s="4">
        <v>0</v>
      </c>
      <c r="G810" s="8">
        <f t="shared" si="104"/>
        <v>1</v>
      </c>
      <c r="H810" s="4" t="str">
        <f t="shared" si="105"/>
        <v>Ohms</v>
      </c>
      <c r="I810" s="6">
        <v>0.124</v>
      </c>
      <c r="J810" s="6" t="str">
        <f t="shared" si="106"/>
        <v>Ohms</v>
      </c>
      <c r="K810" s="2" t="str">
        <f t="shared" si="107"/>
        <v>RTG</v>
      </c>
      <c r="L810" s="7">
        <v>45709</v>
      </c>
      <c r="M810" s="7">
        <f t="shared" si="112"/>
        <v>46074</v>
      </c>
      <c r="N810" s="7" t="str">
        <f t="shared" si="110"/>
        <v>Anual</v>
      </c>
      <c r="O810" s="2" t="str">
        <f t="shared" ca="1" si="111"/>
        <v>VENCIDO</v>
      </c>
      <c r="P810" s="13" t="s">
        <v>228</v>
      </c>
      <c r="Q810" s="2" t="s">
        <v>926</v>
      </c>
    </row>
    <row r="811" spans="1:17" x14ac:dyDescent="0.25">
      <c r="A811" s="23" t="s">
        <v>924</v>
      </c>
      <c r="B811" s="2" t="s">
        <v>946</v>
      </c>
      <c r="C811" s="3" t="s">
        <v>847</v>
      </c>
      <c r="D811" s="3" t="s">
        <v>23</v>
      </c>
      <c r="E811" s="2" t="s">
        <v>823</v>
      </c>
      <c r="F811" s="4">
        <v>0</v>
      </c>
      <c r="G811" s="8">
        <f t="shared" si="104"/>
        <v>1</v>
      </c>
      <c r="H811" s="4" t="str">
        <f t="shared" si="105"/>
        <v>Ohms</v>
      </c>
      <c r="I811" s="6">
        <v>0.41199999999999998</v>
      </c>
      <c r="J811" s="6" t="str">
        <f t="shared" si="106"/>
        <v>Ohms</v>
      </c>
      <c r="K811" s="2" t="str">
        <f t="shared" si="107"/>
        <v>RTG</v>
      </c>
      <c r="L811" s="7">
        <v>45709</v>
      </c>
      <c r="M811" s="7">
        <f t="shared" si="112"/>
        <v>46074</v>
      </c>
      <c r="N811" s="7" t="str">
        <f t="shared" si="110"/>
        <v>Anual</v>
      </c>
      <c r="O811" s="2" t="str">
        <f t="shared" ca="1" si="111"/>
        <v>VENCIDO</v>
      </c>
      <c r="P811" s="13" t="s">
        <v>228</v>
      </c>
      <c r="Q811" s="2" t="s">
        <v>926</v>
      </c>
    </row>
    <row r="812" spans="1:17" x14ac:dyDescent="0.25">
      <c r="A812" s="23" t="s">
        <v>924</v>
      </c>
      <c r="B812" s="2" t="s">
        <v>947</v>
      </c>
      <c r="C812" s="3" t="s">
        <v>265</v>
      </c>
      <c r="D812" s="3" t="s">
        <v>23</v>
      </c>
      <c r="E812" s="2" t="s">
        <v>814</v>
      </c>
      <c r="F812" s="4">
        <v>0</v>
      </c>
      <c r="G812" s="8">
        <f t="shared" si="104"/>
        <v>1</v>
      </c>
      <c r="H812" s="4" t="str">
        <f t="shared" si="105"/>
        <v>Ohms</v>
      </c>
      <c r="I812" s="6" t="s">
        <v>936</v>
      </c>
      <c r="J812" s="6" t="str">
        <f t="shared" si="106"/>
        <v>Ohms</v>
      </c>
      <c r="K812" s="2" t="str">
        <f t="shared" si="107"/>
        <v>RTG</v>
      </c>
      <c r="L812" s="7">
        <v>45709</v>
      </c>
      <c r="M812" s="7">
        <f t="shared" si="112"/>
        <v>46074</v>
      </c>
      <c r="N812" s="7" t="str">
        <f t="shared" si="110"/>
        <v>Anual</v>
      </c>
      <c r="O812" s="2" t="str">
        <f t="shared" ca="1" si="111"/>
        <v>VENCIDO</v>
      </c>
      <c r="P812" s="13" t="s">
        <v>228</v>
      </c>
      <c r="Q812" s="2" t="s">
        <v>926</v>
      </c>
    </row>
    <row r="813" spans="1:17" x14ac:dyDescent="0.25">
      <c r="A813" s="23" t="s">
        <v>924</v>
      </c>
      <c r="B813" s="2" t="s">
        <v>948</v>
      </c>
      <c r="C813" s="3" t="s">
        <v>267</v>
      </c>
      <c r="D813" s="3" t="s">
        <v>23</v>
      </c>
      <c r="E813" s="2" t="s">
        <v>814</v>
      </c>
      <c r="F813" s="4">
        <v>0</v>
      </c>
      <c r="G813" s="8">
        <f t="shared" si="104"/>
        <v>1</v>
      </c>
      <c r="H813" s="4" t="str">
        <f t="shared" si="105"/>
        <v>Ohms</v>
      </c>
      <c r="I813" s="6">
        <v>0.29099999999999998</v>
      </c>
      <c r="J813" s="6" t="str">
        <f t="shared" si="106"/>
        <v>Ohms</v>
      </c>
      <c r="K813" s="2" t="str">
        <f t="shared" si="107"/>
        <v>RTG</v>
      </c>
      <c r="L813" s="7">
        <v>45709</v>
      </c>
      <c r="M813" s="7">
        <f t="shared" si="112"/>
        <v>46074</v>
      </c>
      <c r="N813" s="7" t="str">
        <f t="shared" si="110"/>
        <v>Anual</v>
      </c>
      <c r="O813" s="2" t="str">
        <f t="shared" ca="1" si="111"/>
        <v>VENCIDO</v>
      </c>
      <c r="P813" s="13" t="s">
        <v>228</v>
      </c>
      <c r="Q813" s="2" t="s">
        <v>926</v>
      </c>
    </row>
    <row r="814" spans="1:17" x14ac:dyDescent="0.25">
      <c r="A814" s="23" t="s">
        <v>924</v>
      </c>
      <c r="B814" s="2" t="s">
        <v>1002</v>
      </c>
      <c r="C814" s="3" t="s">
        <v>22</v>
      </c>
      <c r="D814" s="3" t="s">
        <v>23</v>
      </c>
      <c r="E814" s="2" t="s">
        <v>24</v>
      </c>
      <c r="F814" s="4">
        <v>0</v>
      </c>
      <c r="G814" s="8">
        <f t="shared" si="104"/>
        <v>1000000000</v>
      </c>
      <c r="H814" s="4" t="str">
        <f t="shared" si="105"/>
        <v>Ohms</v>
      </c>
      <c r="I814" s="10">
        <v>902000000</v>
      </c>
      <c r="J814" s="6" t="str">
        <f t="shared" si="106"/>
        <v>Ohms</v>
      </c>
      <c r="K814" s="2" t="str">
        <f t="shared" si="107"/>
        <v>RTG</v>
      </c>
      <c r="L814" s="7">
        <v>45786</v>
      </c>
      <c r="M814" s="7">
        <f t="shared" si="112"/>
        <v>46151</v>
      </c>
      <c r="N814" s="7" t="str">
        <f t="shared" ref="N814:N843" si="113">IF(C814="Ionizador", "Trimestral", IF(C814="Rack", "Anual", IF(C814="Mesa", "Anual", IF(C814="Tapete", "Semestral", IF(C814="Cautín", "Semestral", IF(C814="Silla", "Semestral", "Anual"))))))</f>
        <v>Anual</v>
      </c>
      <c r="O814" s="2" t="str">
        <f t="shared" ref="O814:O845" ca="1" si="114">IF(M814&lt;TODAY(),"VENCIDO",IF(M814=TODAY(),"VIGENTE",IF(M814&gt;TODAY(),"VIGENTE")))</f>
        <v>VIGENTE</v>
      </c>
      <c r="P814" s="6" t="s">
        <v>25</v>
      </c>
      <c r="Q814" s="2"/>
    </row>
    <row r="815" spans="1:17" x14ac:dyDescent="0.25">
      <c r="A815" s="23" t="s">
        <v>924</v>
      </c>
      <c r="B815" s="2" t="s">
        <v>1003</v>
      </c>
      <c r="C815" s="3" t="s">
        <v>22</v>
      </c>
      <c r="D815" s="3" t="s">
        <v>23</v>
      </c>
      <c r="E815" s="2" t="s">
        <v>24</v>
      </c>
      <c r="F815" s="4">
        <v>0</v>
      </c>
      <c r="G815" s="8">
        <f t="shared" si="104"/>
        <v>1000000000</v>
      </c>
      <c r="H815" s="4" t="str">
        <f t="shared" si="105"/>
        <v>Ohms</v>
      </c>
      <c r="I815" s="14">
        <v>150000000</v>
      </c>
      <c r="J815" s="6" t="str">
        <f t="shared" si="106"/>
        <v>Ohms</v>
      </c>
      <c r="K815" s="2" t="str">
        <f t="shared" si="107"/>
        <v>RTG</v>
      </c>
      <c r="L815" s="7">
        <v>45838</v>
      </c>
      <c r="M815" s="7">
        <f t="shared" si="112"/>
        <v>46203</v>
      </c>
      <c r="N815" s="7" t="str">
        <f t="shared" si="113"/>
        <v>Anual</v>
      </c>
      <c r="O815" s="2" t="str">
        <f t="shared" ca="1" si="114"/>
        <v>VIGENTE</v>
      </c>
      <c r="P815" s="6" t="s">
        <v>25</v>
      </c>
      <c r="Q815" s="2"/>
    </row>
    <row r="816" spans="1:17" x14ac:dyDescent="0.25">
      <c r="A816" s="23" t="s">
        <v>924</v>
      </c>
      <c r="B816" s="2" t="s">
        <v>1004</v>
      </c>
      <c r="C816" s="3" t="s">
        <v>22</v>
      </c>
      <c r="D816" s="3" t="s">
        <v>23</v>
      </c>
      <c r="E816" s="2" t="s">
        <v>24</v>
      </c>
      <c r="F816" s="4">
        <v>0</v>
      </c>
      <c r="G816" s="8">
        <f t="shared" si="104"/>
        <v>1000000000</v>
      </c>
      <c r="H816" s="4" t="str">
        <f t="shared" si="105"/>
        <v>Ohms</v>
      </c>
      <c r="I816" s="14">
        <v>290000000</v>
      </c>
      <c r="J816" s="6" t="str">
        <f t="shared" si="106"/>
        <v>Ohms</v>
      </c>
      <c r="K816" s="2" t="str">
        <f t="shared" si="107"/>
        <v>RTG</v>
      </c>
      <c r="L816" s="7">
        <v>45838</v>
      </c>
      <c r="M816" s="7">
        <f t="shared" si="112"/>
        <v>46203</v>
      </c>
      <c r="N816" s="7" t="str">
        <f t="shared" si="113"/>
        <v>Anual</v>
      </c>
      <c r="O816" s="2" t="str">
        <f t="shared" ca="1" si="114"/>
        <v>VIGENTE</v>
      </c>
      <c r="P816" s="6" t="s">
        <v>25</v>
      </c>
      <c r="Q816" s="2"/>
    </row>
    <row r="817" spans="1:17" x14ac:dyDescent="0.25">
      <c r="A817" s="23" t="s">
        <v>924</v>
      </c>
      <c r="B817" s="2" t="s">
        <v>1005</v>
      </c>
      <c r="C817" s="3" t="s">
        <v>22</v>
      </c>
      <c r="D817" s="3" t="s">
        <v>23</v>
      </c>
      <c r="E817" s="2" t="s">
        <v>24</v>
      </c>
      <c r="F817" s="4">
        <v>0</v>
      </c>
      <c r="G817" s="8">
        <f t="shared" si="104"/>
        <v>1000000000</v>
      </c>
      <c r="H817" s="4" t="str">
        <f t="shared" si="105"/>
        <v>Ohms</v>
      </c>
      <c r="I817" s="14">
        <v>4040000</v>
      </c>
      <c r="J817" s="6" t="str">
        <f t="shared" si="106"/>
        <v>Ohms</v>
      </c>
      <c r="K817" s="2" t="str">
        <f t="shared" si="107"/>
        <v>RTG</v>
      </c>
      <c r="L817" s="7">
        <v>45838</v>
      </c>
      <c r="M817" s="7">
        <f t="shared" si="112"/>
        <v>46203</v>
      </c>
      <c r="N817" s="7" t="str">
        <f t="shared" si="113"/>
        <v>Anual</v>
      </c>
      <c r="O817" s="2" t="str">
        <f t="shared" ca="1" si="114"/>
        <v>VIGENTE</v>
      </c>
      <c r="P817" s="6" t="s">
        <v>25</v>
      </c>
      <c r="Q817" s="2"/>
    </row>
    <row r="818" spans="1:17" x14ac:dyDescent="0.25">
      <c r="A818" s="23" t="s">
        <v>924</v>
      </c>
      <c r="B818" s="2" t="s">
        <v>1006</v>
      </c>
      <c r="C818" s="3" t="s">
        <v>22</v>
      </c>
      <c r="D818" s="3" t="s">
        <v>23</v>
      </c>
      <c r="E818" s="2" t="s">
        <v>24</v>
      </c>
      <c r="F818" s="4">
        <v>0</v>
      </c>
      <c r="G818" s="8">
        <f t="shared" si="104"/>
        <v>1000000000</v>
      </c>
      <c r="H818" s="4" t="str">
        <f t="shared" si="105"/>
        <v>Ohms</v>
      </c>
      <c r="I818" s="14">
        <v>365000000</v>
      </c>
      <c r="J818" s="6" t="str">
        <f t="shared" si="106"/>
        <v>Ohms</v>
      </c>
      <c r="K818" s="2" t="str">
        <f t="shared" si="107"/>
        <v>RTG</v>
      </c>
      <c r="L818" s="7">
        <v>45838</v>
      </c>
      <c r="M818" s="7">
        <f t="shared" si="112"/>
        <v>46203</v>
      </c>
      <c r="N818" s="7" t="str">
        <f t="shared" si="113"/>
        <v>Anual</v>
      </c>
      <c r="O818" s="2" t="str">
        <f t="shared" ca="1" si="114"/>
        <v>VIGENTE</v>
      </c>
      <c r="P818" s="6" t="s">
        <v>25</v>
      </c>
      <c r="Q818" s="2"/>
    </row>
    <row r="819" spans="1:17" x14ac:dyDescent="0.25">
      <c r="A819" s="23" t="s">
        <v>924</v>
      </c>
      <c r="B819" s="2" t="s">
        <v>1007</v>
      </c>
      <c r="C819" s="3" t="s">
        <v>22</v>
      </c>
      <c r="D819" s="3" t="s">
        <v>23</v>
      </c>
      <c r="E819" s="2" t="s">
        <v>24</v>
      </c>
      <c r="F819" s="4">
        <v>0</v>
      </c>
      <c r="G819" s="8">
        <f t="shared" si="104"/>
        <v>1000000000</v>
      </c>
      <c r="H819" s="4" t="str">
        <f t="shared" si="105"/>
        <v>Ohms</v>
      </c>
      <c r="I819" s="14">
        <v>2150000</v>
      </c>
      <c r="J819" s="6" t="str">
        <f t="shared" si="106"/>
        <v>Ohms</v>
      </c>
      <c r="K819" s="2" t="str">
        <f t="shared" si="107"/>
        <v>RTG</v>
      </c>
      <c r="L819" s="7">
        <v>45838</v>
      </c>
      <c r="M819" s="7">
        <f t="shared" si="112"/>
        <v>46203</v>
      </c>
      <c r="N819" s="7" t="str">
        <f t="shared" si="113"/>
        <v>Anual</v>
      </c>
      <c r="O819" s="2" t="str">
        <f t="shared" ca="1" si="114"/>
        <v>VIGENTE</v>
      </c>
      <c r="P819" s="6" t="s">
        <v>25</v>
      </c>
      <c r="Q819" s="2"/>
    </row>
    <row r="820" spans="1:17" x14ac:dyDescent="0.25">
      <c r="A820" s="23" t="s">
        <v>924</v>
      </c>
      <c r="B820" s="2" t="s">
        <v>1008</v>
      </c>
      <c r="C820" s="3" t="s">
        <v>22</v>
      </c>
      <c r="D820" s="3" t="s">
        <v>23</v>
      </c>
      <c r="E820" s="2" t="s">
        <v>24</v>
      </c>
      <c r="F820" s="4">
        <v>0</v>
      </c>
      <c r="G820" s="8">
        <f t="shared" si="104"/>
        <v>1000000000</v>
      </c>
      <c r="H820" s="4" t="str">
        <f t="shared" si="105"/>
        <v>Ohms</v>
      </c>
      <c r="I820" s="14">
        <v>108000000</v>
      </c>
      <c r="J820" s="6" t="str">
        <f t="shared" si="106"/>
        <v>Ohms</v>
      </c>
      <c r="K820" s="2" t="str">
        <f t="shared" si="107"/>
        <v>RTG</v>
      </c>
      <c r="L820" s="7">
        <v>45838</v>
      </c>
      <c r="M820" s="7">
        <f t="shared" si="112"/>
        <v>46203</v>
      </c>
      <c r="N820" s="7" t="str">
        <f t="shared" si="113"/>
        <v>Anual</v>
      </c>
      <c r="O820" s="2" t="str">
        <f t="shared" ca="1" si="114"/>
        <v>VIGENTE</v>
      </c>
      <c r="P820" s="6" t="s">
        <v>25</v>
      </c>
      <c r="Q820" s="2"/>
    </row>
    <row r="821" spans="1:17" x14ac:dyDescent="0.25">
      <c r="A821" s="23" t="s">
        <v>124</v>
      </c>
      <c r="B821" s="2" t="s">
        <v>125</v>
      </c>
      <c r="C821" s="3" t="s">
        <v>89</v>
      </c>
      <c r="D821" s="3" t="s">
        <v>23</v>
      </c>
      <c r="E821" s="2" t="s">
        <v>24</v>
      </c>
      <c r="F821" s="4">
        <v>0</v>
      </c>
      <c r="G821" s="8">
        <f t="shared" si="104"/>
        <v>1000000000</v>
      </c>
      <c r="H821" s="4" t="str">
        <f t="shared" si="105"/>
        <v>Ohms</v>
      </c>
      <c r="I821" s="6">
        <v>884000000</v>
      </c>
      <c r="J821" s="6" t="str">
        <f t="shared" si="106"/>
        <v>Ohms</v>
      </c>
      <c r="K821" s="2" t="str">
        <f t="shared" si="107"/>
        <v>RTG</v>
      </c>
      <c r="L821" s="7">
        <v>45838</v>
      </c>
      <c r="M821" s="7">
        <f t="shared" si="112"/>
        <v>46203</v>
      </c>
      <c r="N821" s="7" t="str">
        <f t="shared" si="113"/>
        <v>Anual</v>
      </c>
      <c r="O821" s="2" t="str">
        <f t="shared" ca="1" si="114"/>
        <v>VIGENTE</v>
      </c>
      <c r="P821" s="6" t="s">
        <v>25</v>
      </c>
      <c r="Q821" s="2" t="s">
        <v>126</v>
      </c>
    </row>
    <row r="822" spans="1:17" x14ac:dyDescent="0.25">
      <c r="A822" s="23" t="s">
        <v>124</v>
      </c>
      <c r="B822" s="2" t="s">
        <v>222</v>
      </c>
      <c r="C822" s="3" t="s">
        <v>210</v>
      </c>
      <c r="D822" s="3" t="s">
        <v>23</v>
      </c>
      <c r="E822" s="2" t="s">
        <v>24</v>
      </c>
      <c r="F822" s="4">
        <v>0</v>
      </c>
      <c r="G822" s="8">
        <f t="shared" ref="G822:G885" si="115">IF(C822="Ionizador", 10, IF(C822="Mesa", 1000000000, IF(C822="Rack", 1000000000, IF(C822="Piso", 1000000000, IF(C822="Tapete", 1000000000, IF(C822="Carrito", 1000000000, IF(C822="Cautín", 10, 1)))))))</f>
        <v>1</v>
      </c>
      <c r="H822" s="4" t="str">
        <f t="shared" ref="H822:H885" si="116">IF(C822="Ionizador", "Segundos", "Ohms")</f>
        <v>Ohms</v>
      </c>
      <c r="I822" s="6">
        <v>0.26800000000000002</v>
      </c>
      <c r="J822" s="6" t="str">
        <f t="shared" ref="J822:J885" si="117">H822</f>
        <v>Ohms</v>
      </c>
      <c r="K822" s="2" t="str">
        <f t="shared" ref="K822:K885" si="118">IF(C822="Ionizador", "Plato de carga", IF(C822="Cautín", "PTG", IF(C822="ESD Tester", "PTP Deviation", "RTG")))</f>
        <v>RTG</v>
      </c>
      <c r="L822" s="7">
        <v>46000</v>
      </c>
      <c r="M822" s="7">
        <f t="shared" si="112"/>
        <v>46365</v>
      </c>
      <c r="N822" s="7" t="str">
        <f t="shared" si="113"/>
        <v>Anual</v>
      </c>
      <c r="O822" s="2" t="str">
        <f t="shared" ca="1" si="114"/>
        <v>VIGENTE</v>
      </c>
      <c r="P822" s="6" t="s">
        <v>25</v>
      </c>
      <c r="Q822" s="2"/>
    </row>
    <row r="823" spans="1:17" x14ac:dyDescent="0.25">
      <c r="A823" s="23" t="s">
        <v>124</v>
      </c>
      <c r="B823" s="2" t="s">
        <v>230</v>
      </c>
      <c r="C823" s="3" t="s">
        <v>210</v>
      </c>
      <c r="D823" s="3" t="s">
        <v>23</v>
      </c>
      <c r="E823" s="2" t="s">
        <v>24</v>
      </c>
      <c r="F823" s="4">
        <v>0</v>
      </c>
      <c r="G823" s="8">
        <f t="shared" si="115"/>
        <v>1</v>
      </c>
      <c r="H823" s="4" t="str">
        <f t="shared" si="116"/>
        <v>Ohms</v>
      </c>
      <c r="I823" s="6">
        <v>0.75</v>
      </c>
      <c r="J823" s="6" t="str">
        <f t="shared" si="117"/>
        <v>Ohms</v>
      </c>
      <c r="K823" s="2" t="str">
        <f t="shared" si="118"/>
        <v>RTG</v>
      </c>
      <c r="L823" s="7">
        <v>46000</v>
      </c>
      <c r="M823" s="7">
        <f t="shared" si="112"/>
        <v>46365</v>
      </c>
      <c r="N823" s="7" t="str">
        <f t="shared" si="113"/>
        <v>Anual</v>
      </c>
      <c r="O823" s="2" t="str">
        <f t="shared" ca="1" si="114"/>
        <v>VIGENTE</v>
      </c>
      <c r="P823" s="6" t="s">
        <v>25</v>
      </c>
      <c r="Q823" s="2"/>
    </row>
    <row r="824" spans="1:17" x14ac:dyDescent="0.25">
      <c r="A824" s="23" t="s">
        <v>124</v>
      </c>
      <c r="B824" s="2" t="s">
        <v>435</v>
      </c>
      <c r="C824" s="3" t="s">
        <v>22</v>
      </c>
      <c r="D824" s="3" t="s">
        <v>23</v>
      </c>
      <c r="E824" s="2" t="s">
        <v>24</v>
      </c>
      <c r="F824" s="4">
        <v>0</v>
      </c>
      <c r="G824" s="8">
        <f t="shared" si="115"/>
        <v>1000000000</v>
      </c>
      <c r="H824" s="4" t="str">
        <f t="shared" si="116"/>
        <v>Ohms</v>
      </c>
      <c r="I824" s="6">
        <v>115000000</v>
      </c>
      <c r="J824" s="6" t="str">
        <f t="shared" si="117"/>
        <v>Ohms</v>
      </c>
      <c r="K824" s="2" t="str">
        <f t="shared" si="118"/>
        <v>RTG</v>
      </c>
      <c r="L824" s="7">
        <v>45845</v>
      </c>
      <c r="M824" s="7">
        <f t="shared" si="112"/>
        <v>46210</v>
      </c>
      <c r="N824" s="7" t="str">
        <f t="shared" si="113"/>
        <v>Anual</v>
      </c>
      <c r="O824" s="2" t="str">
        <f t="shared" ca="1" si="114"/>
        <v>VIGENTE</v>
      </c>
      <c r="P824" s="6" t="s">
        <v>25</v>
      </c>
      <c r="Q824" s="2"/>
    </row>
    <row r="825" spans="1:17" x14ac:dyDescent="0.25">
      <c r="A825" s="23" t="s">
        <v>124</v>
      </c>
      <c r="B825" s="2" t="s">
        <v>438</v>
      </c>
      <c r="C825" s="3" t="s">
        <v>22</v>
      </c>
      <c r="D825" s="3" t="s">
        <v>23</v>
      </c>
      <c r="E825" s="2" t="s">
        <v>24</v>
      </c>
      <c r="F825" s="4">
        <v>0</v>
      </c>
      <c r="G825" s="8">
        <f t="shared" si="115"/>
        <v>1000000000</v>
      </c>
      <c r="H825" s="4" t="str">
        <f t="shared" si="116"/>
        <v>Ohms</v>
      </c>
      <c r="I825" s="6">
        <v>196000000</v>
      </c>
      <c r="J825" s="6" t="str">
        <f t="shared" si="117"/>
        <v>Ohms</v>
      </c>
      <c r="K825" s="2" t="str">
        <f t="shared" si="118"/>
        <v>RTG</v>
      </c>
      <c r="L825" s="7">
        <v>45845</v>
      </c>
      <c r="M825" s="7">
        <f t="shared" si="112"/>
        <v>46210</v>
      </c>
      <c r="N825" s="7" t="str">
        <f t="shared" si="113"/>
        <v>Anual</v>
      </c>
      <c r="O825" s="2" t="str">
        <f t="shared" ca="1" si="114"/>
        <v>VIGENTE</v>
      </c>
      <c r="P825" s="6" t="s">
        <v>25</v>
      </c>
      <c r="Q825" s="2"/>
    </row>
    <row r="826" spans="1:17" x14ac:dyDescent="0.25">
      <c r="A826" s="23" t="s">
        <v>124</v>
      </c>
      <c r="B826" s="2" t="s">
        <v>439</v>
      </c>
      <c r="C826" s="3" t="s">
        <v>22</v>
      </c>
      <c r="D826" s="3" t="s">
        <v>23</v>
      </c>
      <c r="E826" s="2" t="s">
        <v>24</v>
      </c>
      <c r="F826" s="4">
        <v>0</v>
      </c>
      <c r="G826" s="8">
        <f t="shared" si="115"/>
        <v>1000000000</v>
      </c>
      <c r="H826" s="4" t="str">
        <f t="shared" si="116"/>
        <v>Ohms</v>
      </c>
      <c r="I826" s="6">
        <v>61300000</v>
      </c>
      <c r="J826" s="6" t="str">
        <f t="shared" si="117"/>
        <v>Ohms</v>
      </c>
      <c r="K826" s="2" t="str">
        <f t="shared" si="118"/>
        <v>RTG</v>
      </c>
      <c r="L826" s="7">
        <v>45845</v>
      </c>
      <c r="M826" s="7">
        <f t="shared" si="112"/>
        <v>46210</v>
      </c>
      <c r="N826" s="7" t="str">
        <f t="shared" si="113"/>
        <v>Anual</v>
      </c>
      <c r="O826" s="2" t="str">
        <f t="shared" ca="1" si="114"/>
        <v>VIGENTE</v>
      </c>
      <c r="P826" s="6" t="s">
        <v>25</v>
      </c>
      <c r="Q826" s="2"/>
    </row>
    <row r="827" spans="1:17" x14ac:dyDescent="0.25">
      <c r="A827" s="23" t="s">
        <v>124</v>
      </c>
      <c r="B827" s="2" t="s">
        <v>440</v>
      </c>
      <c r="C827" s="3" t="s">
        <v>22</v>
      </c>
      <c r="D827" s="3" t="s">
        <v>23</v>
      </c>
      <c r="E827" s="2" t="s">
        <v>24</v>
      </c>
      <c r="F827" s="4">
        <v>0</v>
      </c>
      <c r="G827" s="8">
        <f t="shared" si="115"/>
        <v>1000000000</v>
      </c>
      <c r="H827" s="4" t="str">
        <f t="shared" si="116"/>
        <v>Ohms</v>
      </c>
      <c r="I827" s="6">
        <v>48500000</v>
      </c>
      <c r="J827" s="6" t="str">
        <f t="shared" si="117"/>
        <v>Ohms</v>
      </c>
      <c r="K827" s="2" t="str">
        <f t="shared" si="118"/>
        <v>RTG</v>
      </c>
      <c r="L827" s="7">
        <v>45845</v>
      </c>
      <c r="M827" s="7">
        <f t="shared" si="112"/>
        <v>46210</v>
      </c>
      <c r="N827" s="7" t="str">
        <f t="shared" si="113"/>
        <v>Anual</v>
      </c>
      <c r="O827" s="2" t="str">
        <f t="shared" ca="1" si="114"/>
        <v>VIGENTE</v>
      </c>
      <c r="P827" s="6" t="s">
        <v>25</v>
      </c>
      <c r="Q827" s="2"/>
    </row>
    <row r="828" spans="1:17" x14ac:dyDescent="0.25">
      <c r="A828" s="23" t="s">
        <v>124</v>
      </c>
      <c r="B828" s="2" t="s">
        <v>441</v>
      </c>
      <c r="C828" s="3" t="s">
        <v>22</v>
      </c>
      <c r="D828" s="3" t="s">
        <v>23</v>
      </c>
      <c r="E828" s="2" t="s">
        <v>24</v>
      </c>
      <c r="F828" s="4">
        <v>0</v>
      </c>
      <c r="G828" s="8">
        <f t="shared" si="115"/>
        <v>1000000000</v>
      </c>
      <c r="H828" s="4" t="str">
        <f t="shared" si="116"/>
        <v>Ohms</v>
      </c>
      <c r="I828" s="6">
        <v>953000000</v>
      </c>
      <c r="J828" s="6" t="str">
        <f t="shared" si="117"/>
        <v>Ohms</v>
      </c>
      <c r="K828" s="2" t="str">
        <f t="shared" si="118"/>
        <v>RTG</v>
      </c>
      <c r="L828" s="7">
        <v>45845</v>
      </c>
      <c r="M828" s="7">
        <f t="shared" si="112"/>
        <v>46210</v>
      </c>
      <c r="N828" s="7" t="str">
        <f t="shared" si="113"/>
        <v>Anual</v>
      </c>
      <c r="O828" s="2" t="str">
        <f t="shared" ca="1" si="114"/>
        <v>VIGENTE</v>
      </c>
      <c r="P828" s="6" t="s">
        <v>25</v>
      </c>
      <c r="Q828" s="2"/>
    </row>
    <row r="829" spans="1:17" x14ac:dyDescent="0.25">
      <c r="A829" s="23" t="s">
        <v>124</v>
      </c>
      <c r="B829" s="2" t="s">
        <v>442</v>
      </c>
      <c r="C829" s="3" t="s">
        <v>22</v>
      </c>
      <c r="D829" s="3" t="s">
        <v>23</v>
      </c>
      <c r="E829" s="2" t="s">
        <v>24</v>
      </c>
      <c r="F829" s="4">
        <v>0</v>
      </c>
      <c r="G829" s="8">
        <f t="shared" si="115"/>
        <v>1000000000</v>
      </c>
      <c r="H829" s="4" t="str">
        <f t="shared" si="116"/>
        <v>Ohms</v>
      </c>
      <c r="I829" s="6">
        <v>501000000</v>
      </c>
      <c r="J829" s="6" t="str">
        <f t="shared" si="117"/>
        <v>Ohms</v>
      </c>
      <c r="K829" s="2" t="str">
        <f t="shared" si="118"/>
        <v>RTG</v>
      </c>
      <c r="L829" s="7">
        <v>45628</v>
      </c>
      <c r="M829" s="7">
        <f t="shared" si="112"/>
        <v>45993</v>
      </c>
      <c r="N829" s="7" t="str">
        <f t="shared" si="113"/>
        <v>Anual</v>
      </c>
      <c r="O829" s="2" t="str">
        <f t="shared" ca="1" si="114"/>
        <v>VENCIDO</v>
      </c>
      <c r="P829" s="6" t="s">
        <v>25</v>
      </c>
      <c r="Q829" s="2"/>
    </row>
    <row r="830" spans="1:17" x14ac:dyDescent="0.25">
      <c r="A830" s="23" t="s">
        <v>124</v>
      </c>
      <c r="B830" s="2" t="s">
        <v>443</v>
      </c>
      <c r="C830" s="3" t="s">
        <v>22</v>
      </c>
      <c r="D830" s="3" t="s">
        <v>23</v>
      </c>
      <c r="E830" s="2" t="s">
        <v>24</v>
      </c>
      <c r="F830" s="4">
        <v>0</v>
      </c>
      <c r="G830" s="8">
        <f t="shared" si="115"/>
        <v>1000000000</v>
      </c>
      <c r="H830" s="4" t="str">
        <f t="shared" si="116"/>
        <v>Ohms</v>
      </c>
      <c r="I830" s="6">
        <v>337000000</v>
      </c>
      <c r="J830" s="6" t="str">
        <f t="shared" si="117"/>
        <v>Ohms</v>
      </c>
      <c r="K830" s="2" t="str">
        <f t="shared" si="118"/>
        <v>RTG</v>
      </c>
      <c r="L830" s="7">
        <v>45845</v>
      </c>
      <c r="M830" s="7">
        <f t="shared" si="112"/>
        <v>46210</v>
      </c>
      <c r="N830" s="7" t="str">
        <f t="shared" si="113"/>
        <v>Anual</v>
      </c>
      <c r="O830" s="2" t="str">
        <f t="shared" ca="1" si="114"/>
        <v>VIGENTE</v>
      </c>
      <c r="P830" s="6" t="s">
        <v>25</v>
      </c>
      <c r="Q830" s="2"/>
    </row>
    <row r="831" spans="1:17" x14ac:dyDescent="0.25">
      <c r="A831" s="23" t="s">
        <v>124</v>
      </c>
      <c r="B831" s="2" t="s">
        <v>444</v>
      </c>
      <c r="C831" s="3" t="s">
        <v>22</v>
      </c>
      <c r="D831" s="3" t="s">
        <v>23</v>
      </c>
      <c r="E831" s="2" t="s">
        <v>24</v>
      </c>
      <c r="F831" s="4">
        <v>0</v>
      </c>
      <c r="G831" s="8">
        <f t="shared" si="115"/>
        <v>1000000000</v>
      </c>
      <c r="H831" s="4" t="str">
        <f t="shared" si="116"/>
        <v>Ohms</v>
      </c>
      <c r="I831" s="6">
        <v>8650000</v>
      </c>
      <c r="J831" s="6" t="str">
        <f t="shared" si="117"/>
        <v>Ohms</v>
      </c>
      <c r="K831" s="2" t="str">
        <f t="shared" si="118"/>
        <v>RTG</v>
      </c>
      <c r="L831" s="7">
        <v>45833</v>
      </c>
      <c r="M831" s="7">
        <f t="shared" si="112"/>
        <v>46198</v>
      </c>
      <c r="N831" s="7" t="str">
        <f t="shared" si="113"/>
        <v>Anual</v>
      </c>
      <c r="O831" s="2" t="str">
        <f t="shared" ca="1" si="114"/>
        <v>VIGENTE</v>
      </c>
      <c r="P831" s="6" t="s">
        <v>25</v>
      </c>
      <c r="Q831" s="2"/>
    </row>
    <row r="832" spans="1:17" x14ac:dyDescent="0.25">
      <c r="A832" s="23" t="s">
        <v>124</v>
      </c>
      <c r="B832" s="2" t="s">
        <v>507</v>
      </c>
      <c r="C832" s="3" t="s">
        <v>508</v>
      </c>
      <c r="D832" s="3" t="s">
        <v>23</v>
      </c>
      <c r="E832" s="2" t="s">
        <v>24</v>
      </c>
      <c r="F832" s="4">
        <v>0</v>
      </c>
      <c r="G832" s="8">
        <f t="shared" si="115"/>
        <v>1000000000</v>
      </c>
      <c r="H832" s="4" t="str">
        <f t="shared" si="116"/>
        <v>Ohms</v>
      </c>
      <c r="I832" s="6">
        <v>900000</v>
      </c>
      <c r="J832" s="6" t="str">
        <f t="shared" si="117"/>
        <v>Ohms</v>
      </c>
      <c r="K832" s="2" t="str">
        <f t="shared" si="118"/>
        <v>RTG</v>
      </c>
      <c r="L832" s="7">
        <v>45838</v>
      </c>
      <c r="M832" s="7">
        <f t="shared" si="112"/>
        <v>46203</v>
      </c>
      <c r="N832" s="7" t="str">
        <f t="shared" si="113"/>
        <v>Anual</v>
      </c>
      <c r="O832" s="2" t="str">
        <f t="shared" ca="1" si="114"/>
        <v>VIGENTE</v>
      </c>
      <c r="P832" s="6" t="s">
        <v>25</v>
      </c>
      <c r="Q832" s="2"/>
    </row>
    <row r="833" spans="1:17" x14ac:dyDescent="0.25">
      <c r="A833" s="23" t="s">
        <v>124</v>
      </c>
      <c r="B833" s="2" t="s">
        <v>531</v>
      </c>
      <c r="C833" s="3" t="s">
        <v>28</v>
      </c>
      <c r="D833" s="3" t="s">
        <v>23</v>
      </c>
      <c r="E833" s="2" t="s">
        <v>24</v>
      </c>
      <c r="F833" s="4">
        <v>0</v>
      </c>
      <c r="G833" s="8">
        <f t="shared" si="115"/>
        <v>1000000000</v>
      </c>
      <c r="H833" s="4" t="str">
        <f t="shared" si="116"/>
        <v>Ohms</v>
      </c>
      <c r="I833" s="6">
        <v>934000000</v>
      </c>
      <c r="J833" s="6" t="str">
        <f t="shared" si="117"/>
        <v>Ohms</v>
      </c>
      <c r="K833" s="2" t="str">
        <f t="shared" si="118"/>
        <v>RTG</v>
      </c>
      <c r="L833" s="7">
        <v>45838</v>
      </c>
      <c r="M833" s="7">
        <f t="shared" si="112"/>
        <v>46203</v>
      </c>
      <c r="N833" s="7" t="str">
        <f t="shared" si="113"/>
        <v>Anual</v>
      </c>
      <c r="O833" s="2" t="str">
        <f t="shared" ca="1" si="114"/>
        <v>VIGENTE</v>
      </c>
      <c r="P833" s="6" t="s">
        <v>25</v>
      </c>
      <c r="Q833" s="2" t="s">
        <v>29</v>
      </c>
    </row>
    <row r="834" spans="1:17" x14ac:dyDescent="0.25">
      <c r="A834" s="23" t="s">
        <v>124</v>
      </c>
      <c r="B834" s="2" t="s">
        <v>535</v>
      </c>
      <c r="C834" s="3" t="s">
        <v>28</v>
      </c>
      <c r="D834" s="3" t="s">
        <v>23</v>
      </c>
      <c r="E834" s="2" t="s">
        <v>24</v>
      </c>
      <c r="F834" s="4">
        <v>0</v>
      </c>
      <c r="G834" s="8">
        <f t="shared" si="115"/>
        <v>1000000000</v>
      </c>
      <c r="H834" s="4" t="str">
        <f t="shared" si="116"/>
        <v>Ohms</v>
      </c>
      <c r="I834" s="6">
        <v>18600000</v>
      </c>
      <c r="J834" s="6" t="str">
        <f t="shared" si="117"/>
        <v>Ohms</v>
      </c>
      <c r="K834" s="2" t="str">
        <f t="shared" si="118"/>
        <v>RTG</v>
      </c>
      <c r="L834" s="7">
        <v>45838</v>
      </c>
      <c r="M834" s="7">
        <f t="shared" si="112"/>
        <v>46203</v>
      </c>
      <c r="N834" s="7" t="str">
        <f t="shared" si="113"/>
        <v>Anual</v>
      </c>
      <c r="O834" s="2" t="str">
        <f t="shared" ca="1" si="114"/>
        <v>VIGENTE</v>
      </c>
      <c r="P834" s="6" t="s">
        <v>25</v>
      </c>
      <c r="Q834" s="2" t="s">
        <v>29</v>
      </c>
    </row>
    <row r="835" spans="1:17" x14ac:dyDescent="0.25">
      <c r="A835" s="23" t="s">
        <v>124</v>
      </c>
      <c r="B835" s="2" t="s">
        <v>539</v>
      </c>
      <c r="C835" s="3" t="s">
        <v>28</v>
      </c>
      <c r="D835" s="3" t="s">
        <v>23</v>
      </c>
      <c r="E835" s="2" t="s">
        <v>24</v>
      </c>
      <c r="F835" s="4">
        <v>0</v>
      </c>
      <c r="G835" s="8">
        <f t="shared" si="115"/>
        <v>1000000000</v>
      </c>
      <c r="H835" s="4" t="str">
        <f t="shared" si="116"/>
        <v>Ohms</v>
      </c>
      <c r="I835" s="6">
        <v>137000000</v>
      </c>
      <c r="J835" s="6" t="str">
        <f t="shared" si="117"/>
        <v>Ohms</v>
      </c>
      <c r="K835" s="2" t="str">
        <f t="shared" si="118"/>
        <v>RTG</v>
      </c>
      <c r="L835" s="7">
        <v>45838</v>
      </c>
      <c r="M835" s="7">
        <f t="shared" si="112"/>
        <v>46203</v>
      </c>
      <c r="N835" s="7" t="str">
        <f t="shared" si="113"/>
        <v>Anual</v>
      </c>
      <c r="O835" s="2" t="str">
        <f t="shared" ca="1" si="114"/>
        <v>VIGENTE</v>
      </c>
      <c r="P835" s="6" t="s">
        <v>25</v>
      </c>
      <c r="Q835" s="2" t="s">
        <v>29</v>
      </c>
    </row>
    <row r="836" spans="1:17" x14ac:dyDescent="0.25">
      <c r="A836" s="23" t="s">
        <v>124</v>
      </c>
      <c r="B836" s="2" t="s">
        <v>542</v>
      </c>
      <c r="C836" s="3" t="s">
        <v>28</v>
      </c>
      <c r="D836" s="3" t="s">
        <v>23</v>
      </c>
      <c r="E836" s="2" t="s">
        <v>24</v>
      </c>
      <c r="F836" s="4">
        <v>0</v>
      </c>
      <c r="G836" s="8">
        <f t="shared" si="115"/>
        <v>1000000000</v>
      </c>
      <c r="H836" s="4" t="str">
        <f t="shared" si="116"/>
        <v>Ohms</v>
      </c>
      <c r="I836" s="6">
        <v>330000000</v>
      </c>
      <c r="J836" s="6" t="str">
        <f t="shared" si="117"/>
        <v>Ohms</v>
      </c>
      <c r="K836" s="2" t="str">
        <f t="shared" si="118"/>
        <v>RTG</v>
      </c>
      <c r="L836" s="7">
        <v>45838</v>
      </c>
      <c r="M836" s="7">
        <f t="shared" si="112"/>
        <v>46203</v>
      </c>
      <c r="N836" s="7" t="str">
        <f t="shared" si="113"/>
        <v>Anual</v>
      </c>
      <c r="O836" s="2" t="str">
        <f t="shared" ca="1" si="114"/>
        <v>VIGENTE</v>
      </c>
      <c r="P836" s="6" t="s">
        <v>25</v>
      </c>
      <c r="Q836" s="2" t="s">
        <v>29</v>
      </c>
    </row>
    <row r="837" spans="1:17" x14ac:dyDescent="0.25">
      <c r="A837" s="23" t="s">
        <v>124</v>
      </c>
      <c r="B837" s="2" t="s">
        <v>545</v>
      </c>
      <c r="C837" s="3" t="s">
        <v>28</v>
      </c>
      <c r="D837" s="3" t="s">
        <v>23</v>
      </c>
      <c r="E837" s="2" t="s">
        <v>24</v>
      </c>
      <c r="F837" s="4">
        <v>0</v>
      </c>
      <c r="G837" s="8">
        <f t="shared" si="115"/>
        <v>1000000000</v>
      </c>
      <c r="H837" s="4" t="str">
        <f t="shared" si="116"/>
        <v>Ohms</v>
      </c>
      <c r="I837" s="6">
        <v>927000000</v>
      </c>
      <c r="J837" s="6" t="str">
        <f t="shared" si="117"/>
        <v>Ohms</v>
      </c>
      <c r="K837" s="2" t="str">
        <f t="shared" si="118"/>
        <v>RTG</v>
      </c>
      <c r="L837" s="7">
        <v>45838</v>
      </c>
      <c r="M837" s="7">
        <f t="shared" si="112"/>
        <v>46203</v>
      </c>
      <c r="N837" s="7" t="str">
        <f t="shared" si="113"/>
        <v>Anual</v>
      </c>
      <c r="O837" s="2" t="str">
        <f t="shared" ca="1" si="114"/>
        <v>VIGENTE</v>
      </c>
      <c r="P837" s="6" t="s">
        <v>25</v>
      </c>
      <c r="Q837" s="2" t="s">
        <v>29</v>
      </c>
    </row>
    <row r="838" spans="1:17" x14ac:dyDescent="0.25">
      <c r="A838" s="23" t="s">
        <v>124</v>
      </c>
      <c r="B838" s="2" t="s">
        <v>547</v>
      </c>
      <c r="C838" s="3" t="s">
        <v>28</v>
      </c>
      <c r="D838" s="3" t="s">
        <v>23</v>
      </c>
      <c r="E838" s="2" t="s">
        <v>24</v>
      </c>
      <c r="F838" s="4">
        <v>0</v>
      </c>
      <c r="G838" s="8">
        <f t="shared" si="115"/>
        <v>1000000000</v>
      </c>
      <c r="H838" s="4" t="str">
        <f t="shared" si="116"/>
        <v>Ohms</v>
      </c>
      <c r="I838" s="6">
        <v>602000000</v>
      </c>
      <c r="J838" s="6" t="str">
        <f t="shared" si="117"/>
        <v>Ohms</v>
      </c>
      <c r="K838" s="2" t="str">
        <f t="shared" si="118"/>
        <v>RTG</v>
      </c>
      <c r="L838" s="7">
        <v>45838</v>
      </c>
      <c r="M838" s="7">
        <f t="shared" si="112"/>
        <v>46203</v>
      </c>
      <c r="N838" s="7" t="str">
        <f t="shared" si="113"/>
        <v>Anual</v>
      </c>
      <c r="O838" s="2" t="str">
        <f t="shared" ca="1" si="114"/>
        <v>VIGENTE</v>
      </c>
      <c r="P838" s="6" t="s">
        <v>25</v>
      </c>
      <c r="Q838" s="2" t="s">
        <v>29</v>
      </c>
    </row>
    <row r="839" spans="1:17" x14ac:dyDescent="0.25">
      <c r="A839" s="23" t="s">
        <v>124</v>
      </c>
      <c r="B839" s="2" t="s">
        <v>548</v>
      </c>
      <c r="C839" s="3" t="s">
        <v>28</v>
      </c>
      <c r="D839" s="3" t="s">
        <v>23</v>
      </c>
      <c r="E839" s="2" t="s">
        <v>24</v>
      </c>
      <c r="F839" s="4">
        <v>0</v>
      </c>
      <c r="G839" s="8">
        <f t="shared" si="115"/>
        <v>1000000000</v>
      </c>
      <c r="H839" s="4" t="str">
        <f t="shared" si="116"/>
        <v>Ohms</v>
      </c>
      <c r="I839" s="6">
        <v>153000</v>
      </c>
      <c r="J839" s="6" t="str">
        <f t="shared" si="117"/>
        <v>Ohms</v>
      </c>
      <c r="K839" s="2" t="str">
        <f t="shared" si="118"/>
        <v>RTG</v>
      </c>
      <c r="L839" s="7">
        <v>45838</v>
      </c>
      <c r="M839" s="7">
        <f t="shared" si="112"/>
        <v>46203</v>
      </c>
      <c r="N839" s="7" t="str">
        <f t="shared" si="113"/>
        <v>Anual</v>
      </c>
      <c r="O839" s="2" t="str">
        <f t="shared" ca="1" si="114"/>
        <v>VIGENTE</v>
      </c>
      <c r="P839" s="6" t="s">
        <v>25</v>
      </c>
      <c r="Q839" s="2" t="s">
        <v>29</v>
      </c>
    </row>
    <row r="840" spans="1:17" x14ac:dyDescent="0.25">
      <c r="A840" s="23" t="s">
        <v>124</v>
      </c>
      <c r="B840" s="2" t="s">
        <v>549</v>
      </c>
      <c r="C840" s="3" t="s">
        <v>28</v>
      </c>
      <c r="D840" s="3" t="s">
        <v>23</v>
      </c>
      <c r="E840" s="2" t="s">
        <v>24</v>
      </c>
      <c r="F840" s="4">
        <v>0</v>
      </c>
      <c r="G840" s="8">
        <f t="shared" si="115"/>
        <v>1000000000</v>
      </c>
      <c r="H840" s="4" t="str">
        <f t="shared" si="116"/>
        <v>Ohms</v>
      </c>
      <c r="I840" s="6">
        <v>326000</v>
      </c>
      <c r="J840" s="6" t="str">
        <f t="shared" si="117"/>
        <v>Ohms</v>
      </c>
      <c r="K840" s="2" t="str">
        <f t="shared" si="118"/>
        <v>RTG</v>
      </c>
      <c r="L840" s="7">
        <v>46104</v>
      </c>
      <c r="M840" s="7">
        <f t="shared" si="112"/>
        <v>46469</v>
      </c>
      <c r="N840" s="7" t="str">
        <f t="shared" si="113"/>
        <v>Anual</v>
      </c>
      <c r="O840" s="2" t="str">
        <f t="shared" ca="1" si="114"/>
        <v>VIGENTE</v>
      </c>
      <c r="P840" s="6" t="s">
        <v>25</v>
      </c>
      <c r="Q840" s="2" t="s">
        <v>29</v>
      </c>
    </row>
    <row r="841" spans="1:17" x14ac:dyDescent="0.25">
      <c r="A841" s="23" t="s">
        <v>124</v>
      </c>
      <c r="B841" s="2" t="s">
        <v>550</v>
      </c>
      <c r="C841" s="3" t="s">
        <v>28</v>
      </c>
      <c r="D841" s="3" t="s">
        <v>23</v>
      </c>
      <c r="E841" s="2" t="s">
        <v>24</v>
      </c>
      <c r="F841" s="4">
        <v>0</v>
      </c>
      <c r="G841" s="8">
        <f t="shared" si="115"/>
        <v>1000000000</v>
      </c>
      <c r="H841" s="4" t="str">
        <f t="shared" si="116"/>
        <v>Ohms</v>
      </c>
      <c r="I841" s="6">
        <v>8360000</v>
      </c>
      <c r="J841" s="6" t="str">
        <f t="shared" si="117"/>
        <v>Ohms</v>
      </c>
      <c r="K841" s="2" t="str">
        <f t="shared" si="118"/>
        <v>RTG</v>
      </c>
      <c r="L841" s="7">
        <v>45838</v>
      </c>
      <c r="M841" s="7">
        <f t="shared" si="112"/>
        <v>46203</v>
      </c>
      <c r="N841" s="7" t="str">
        <f t="shared" si="113"/>
        <v>Anual</v>
      </c>
      <c r="O841" s="2" t="str">
        <f t="shared" ca="1" si="114"/>
        <v>VIGENTE</v>
      </c>
      <c r="P841" s="6" t="s">
        <v>25</v>
      </c>
      <c r="Q841" s="2" t="s">
        <v>29</v>
      </c>
    </row>
    <row r="842" spans="1:17" x14ac:dyDescent="0.25">
      <c r="A842" s="23" t="s">
        <v>124</v>
      </c>
      <c r="B842" s="2" t="s">
        <v>1009</v>
      </c>
      <c r="C842" s="3" t="s">
        <v>43</v>
      </c>
      <c r="D842" s="3" t="s">
        <v>23</v>
      </c>
      <c r="E842" s="2" t="s">
        <v>24</v>
      </c>
      <c r="F842" s="4">
        <v>0</v>
      </c>
      <c r="G842" s="8">
        <f t="shared" si="115"/>
        <v>1000000000</v>
      </c>
      <c r="H842" s="4" t="str">
        <f t="shared" si="116"/>
        <v>Ohms</v>
      </c>
      <c r="I842" s="6">
        <v>172000</v>
      </c>
      <c r="J842" s="6" t="str">
        <f t="shared" si="117"/>
        <v>Ohms</v>
      </c>
      <c r="K842" s="2" t="str">
        <f t="shared" si="118"/>
        <v>RTG</v>
      </c>
      <c r="L842" s="7">
        <v>45838</v>
      </c>
      <c r="M842" s="7">
        <f t="shared" si="112"/>
        <v>46018</v>
      </c>
      <c r="N842" s="7" t="str">
        <f t="shared" si="113"/>
        <v>Semestral</v>
      </c>
      <c r="O842" s="2" t="str">
        <f t="shared" ca="1" si="114"/>
        <v>VENCIDO</v>
      </c>
      <c r="P842" s="6" t="s">
        <v>25</v>
      </c>
      <c r="Q842" s="2"/>
    </row>
    <row r="843" spans="1:17" x14ac:dyDescent="0.25">
      <c r="A843" s="23" t="s">
        <v>124</v>
      </c>
      <c r="B843" s="2" t="s">
        <v>1010</v>
      </c>
      <c r="C843" s="3" t="s">
        <v>28</v>
      </c>
      <c r="D843" s="3" t="s">
        <v>23</v>
      </c>
      <c r="E843" s="2" t="s">
        <v>24</v>
      </c>
      <c r="F843" s="4">
        <v>0</v>
      </c>
      <c r="G843" s="8">
        <f t="shared" si="115"/>
        <v>1000000000</v>
      </c>
      <c r="H843" s="4" t="str">
        <f t="shared" si="116"/>
        <v>Ohms</v>
      </c>
      <c r="I843" s="6">
        <v>41500000</v>
      </c>
      <c r="J843" s="6" t="str">
        <f t="shared" si="117"/>
        <v>Ohms</v>
      </c>
      <c r="K843" s="2" t="str">
        <f t="shared" si="118"/>
        <v>RTG</v>
      </c>
      <c r="L843" s="7">
        <v>46000</v>
      </c>
      <c r="M843" s="7">
        <f t="shared" si="112"/>
        <v>46365</v>
      </c>
      <c r="N843" s="7" t="str">
        <f t="shared" si="113"/>
        <v>Anual</v>
      </c>
      <c r="O843" s="2" t="str">
        <f t="shared" ca="1" si="114"/>
        <v>VIGENTE</v>
      </c>
      <c r="P843" s="6" t="s">
        <v>25</v>
      </c>
      <c r="Q843" s="2"/>
    </row>
    <row r="844" spans="1:17" x14ac:dyDescent="0.25">
      <c r="A844" s="23" t="s">
        <v>124</v>
      </c>
      <c r="B844" s="2" t="s">
        <v>1011</v>
      </c>
      <c r="C844" s="3" t="s">
        <v>1012</v>
      </c>
      <c r="D844" s="3" t="s">
        <v>23</v>
      </c>
      <c r="E844" s="2" t="s">
        <v>24</v>
      </c>
      <c r="F844" s="4">
        <v>0</v>
      </c>
      <c r="G844" s="8">
        <f t="shared" si="115"/>
        <v>1</v>
      </c>
      <c r="H844" s="4" t="str">
        <f t="shared" si="116"/>
        <v>Ohms</v>
      </c>
      <c r="I844" s="6">
        <v>174000000</v>
      </c>
      <c r="J844" s="6" t="str">
        <f t="shared" si="117"/>
        <v>Ohms</v>
      </c>
      <c r="K844" s="2" t="str">
        <f t="shared" si="118"/>
        <v>RTG</v>
      </c>
      <c r="L844" s="7">
        <v>46081</v>
      </c>
      <c r="M844" s="7">
        <f t="shared" si="112"/>
        <v>46446</v>
      </c>
      <c r="N844" s="7" t="str">
        <f>IF(C844="Ionizador", "Trimestral", IF(C844="Rack", "Semestral", IF(C844="Mesa", "Semestral", IF(C844="Tapete", "Semestral", IF(C844="Cautín", "Semestral", IF(C844="Silla", "Semestral", "Anual"))))))</f>
        <v>Anual</v>
      </c>
      <c r="O844" s="2" t="str">
        <f t="shared" ca="1" si="114"/>
        <v>VIGENTE</v>
      </c>
      <c r="P844" s="6"/>
      <c r="Q844" s="2"/>
    </row>
    <row r="845" spans="1:17" x14ac:dyDescent="0.25">
      <c r="A845" s="23" t="s">
        <v>218</v>
      </c>
      <c r="B845" s="2" t="s">
        <v>219</v>
      </c>
      <c r="C845" s="3" t="s">
        <v>210</v>
      </c>
      <c r="D845" s="3" t="s">
        <v>23</v>
      </c>
      <c r="E845" s="2" t="s">
        <v>24</v>
      </c>
      <c r="F845" s="4">
        <v>0</v>
      </c>
      <c r="G845" s="8">
        <f t="shared" si="115"/>
        <v>1</v>
      </c>
      <c r="H845" s="4" t="str">
        <f t="shared" si="116"/>
        <v>Ohms</v>
      </c>
      <c r="I845" s="6">
        <v>0.74099999999999999</v>
      </c>
      <c r="J845" s="6" t="str">
        <f t="shared" si="117"/>
        <v>Ohms</v>
      </c>
      <c r="K845" s="2" t="str">
        <f t="shared" si="118"/>
        <v>RTG</v>
      </c>
      <c r="L845" s="7">
        <v>45756</v>
      </c>
      <c r="M845" s="7">
        <f t="shared" si="112"/>
        <v>46121</v>
      </c>
      <c r="N845" s="7" t="str">
        <f t="shared" ref="N845:N855" si="119">IF(C845="Ionizador", "Trimestral", IF(C845="Rack", "Anual", IF(C845="Mesa", "Anual", IF(C845="Tapete", "Semestral", IF(C845="Cautín", "Semestral", IF(C845="Silla", "Semestral", "Anual"))))))</f>
        <v>Anual</v>
      </c>
      <c r="O845" s="2" t="str">
        <f t="shared" ca="1" si="114"/>
        <v>VIGENTE</v>
      </c>
      <c r="P845" s="6" t="s">
        <v>25</v>
      </c>
      <c r="Q845" s="2"/>
    </row>
    <row r="846" spans="1:17" x14ac:dyDescent="0.25">
      <c r="A846" s="23" t="s">
        <v>218</v>
      </c>
      <c r="B846" s="2" t="s">
        <v>231</v>
      </c>
      <c r="C846" s="3" t="s">
        <v>210</v>
      </c>
      <c r="D846" s="3" t="s">
        <v>23</v>
      </c>
      <c r="E846" s="2" t="s">
        <v>24</v>
      </c>
      <c r="F846" s="4">
        <v>0</v>
      </c>
      <c r="G846" s="8">
        <f t="shared" si="115"/>
        <v>1</v>
      </c>
      <c r="H846" s="4" t="str">
        <f t="shared" si="116"/>
        <v>Ohms</v>
      </c>
      <c r="I846" s="6">
        <v>0.18</v>
      </c>
      <c r="J846" s="6" t="str">
        <f t="shared" si="117"/>
        <v>Ohms</v>
      </c>
      <c r="K846" s="2" t="str">
        <f t="shared" si="118"/>
        <v>RTG</v>
      </c>
      <c r="L846" s="7">
        <v>45756</v>
      </c>
      <c r="M846" s="7">
        <f t="shared" si="112"/>
        <v>46121</v>
      </c>
      <c r="N846" s="7" t="str">
        <f t="shared" si="119"/>
        <v>Anual</v>
      </c>
      <c r="O846" s="2" t="str">
        <f t="shared" ref="O846:O877" ca="1" si="120">IF(M846&lt;TODAY(),"VENCIDO",IF(M846=TODAY(),"VIGENTE",IF(M846&gt;TODAY(),"VIGENTE")))</f>
        <v>VIGENTE</v>
      </c>
      <c r="P846" s="6" t="s">
        <v>25</v>
      </c>
      <c r="Q846" s="2"/>
    </row>
    <row r="847" spans="1:17" x14ac:dyDescent="0.25">
      <c r="A847" s="23" t="s">
        <v>218</v>
      </c>
      <c r="B847" s="2" t="s">
        <v>533</v>
      </c>
      <c r="C847" s="3" t="s">
        <v>28</v>
      </c>
      <c r="D847" s="3" t="s">
        <v>23</v>
      </c>
      <c r="E847" s="2" t="s">
        <v>24</v>
      </c>
      <c r="F847" s="4">
        <v>0</v>
      </c>
      <c r="G847" s="8">
        <f t="shared" si="115"/>
        <v>1000000000</v>
      </c>
      <c r="H847" s="4" t="str">
        <f t="shared" si="116"/>
        <v>Ohms</v>
      </c>
      <c r="I847" s="6">
        <v>658000000</v>
      </c>
      <c r="J847" s="6" t="str">
        <f t="shared" si="117"/>
        <v>Ohms</v>
      </c>
      <c r="K847" s="2" t="str">
        <f t="shared" si="118"/>
        <v>RTG</v>
      </c>
      <c r="L847" s="7">
        <v>46226</v>
      </c>
      <c r="M847" s="7">
        <f t="shared" si="112"/>
        <v>46591</v>
      </c>
      <c r="N847" s="7" t="str">
        <f t="shared" si="119"/>
        <v>Anual</v>
      </c>
      <c r="O847" s="2" t="str">
        <f t="shared" ca="1" si="120"/>
        <v>VIGENTE</v>
      </c>
      <c r="P847" s="6" t="s">
        <v>25</v>
      </c>
      <c r="Q847" s="2"/>
    </row>
    <row r="848" spans="1:17" x14ac:dyDescent="0.25">
      <c r="A848" s="23" t="s">
        <v>218</v>
      </c>
      <c r="B848" s="2" t="s">
        <v>534</v>
      </c>
      <c r="C848" s="3" t="s">
        <v>28</v>
      </c>
      <c r="D848" s="3" t="s">
        <v>23</v>
      </c>
      <c r="E848" s="2" t="s">
        <v>24</v>
      </c>
      <c r="F848" s="4">
        <v>0</v>
      </c>
      <c r="G848" s="8">
        <f t="shared" si="115"/>
        <v>1000000000</v>
      </c>
      <c r="H848" s="4" t="str">
        <f t="shared" si="116"/>
        <v>Ohms</v>
      </c>
      <c r="I848" s="6">
        <v>7580</v>
      </c>
      <c r="J848" s="6" t="str">
        <f t="shared" si="117"/>
        <v>Ohms</v>
      </c>
      <c r="K848" s="2" t="str">
        <f t="shared" si="118"/>
        <v>RTG</v>
      </c>
      <c r="L848" s="7">
        <v>45838</v>
      </c>
      <c r="M848" s="7">
        <f t="shared" si="112"/>
        <v>46203</v>
      </c>
      <c r="N848" s="7" t="str">
        <f t="shared" si="119"/>
        <v>Anual</v>
      </c>
      <c r="O848" s="2" t="str">
        <f t="shared" ca="1" si="120"/>
        <v>VIGENTE</v>
      </c>
      <c r="P848" s="6" t="s">
        <v>25</v>
      </c>
      <c r="Q848" s="2" t="s">
        <v>29</v>
      </c>
    </row>
    <row r="849" spans="1:17" x14ac:dyDescent="0.25">
      <c r="A849" s="23" t="s">
        <v>218</v>
      </c>
      <c r="B849" s="2" t="s">
        <v>538</v>
      </c>
      <c r="C849" s="3" t="s">
        <v>28</v>
      </c>
      <c r="D849" s="3" t="s">
        <v>23</v>
      </c>
      <c r="E849" s="2" t="s">
        <v>24</v>
      </c>
      <c r="F849" s="4">
        <v>0</v>
      </c>
      <c r="G849" s="8">
        <f t="shared" si="115"/>
        <v>1000000000</v>
      </c>
      <c r="H849" s="4" t="str">
        <f t="shared" si="116"/>
        <v>Ohms</v>
      </c>
      <c r="I849" s="6">
        <v>10800</v>
      </c>
      <c r="J849" s="6" t="str">
        <f t="shared" si="117"/>
        <v>Ohms</v>
      </c>
      <c r="K849" s="2" t="str">
        <f t="shared" si="118"/>
        <v>RTG</v>
      </c>
      <c r="L849" s="7">
        <v>45838</v>
      </c>
      <c r="M849" s="7">
        <f t="shared" si="112"/>
        <v>46203</v>
      </c>
      <c r="N849" s="7" t="str">
        <f t="shared" si="119"/>
        <v>Anual</v>
      </c>
      <c r="O849" s="2" t="str">
        <f t="shared" ca="1" si="120"/>
        <v>VIGENTE</v>
      </c>
      <c r="P849" s="6" t="s">
        <v>25</v>
      </c>
      <c r="Q849" s="2" t="s">
        <v>29</v>
      </c>
    </row>
    <row r="850" spans="1:17" x14ac:dyDescent="0.25">
      <c r="A850" s="23" t="s">
        <v>218</v>
      </c>
      <c r="B850" s="2" t="s">
        <v>541</v>
      </c>
      <c r="C850" s="3" t="s">
        <v>28</v>
      </c>
      <c r="D850" s="3" t="s">
        <v>23</v>
      </c>
      <c r="E850" s="2" t="s">
        <v>24</v>
      </c>
      <c r="F850" s="4">
        <v>0</v>
      </c>
      <c r="G850" s="8">
        <f t="shared" si="115"/>
        <v>1000000000</v>
      </c>
      <c r="H850" s="4" t="str">
        <f t="shared" si="116"/>
        <v>Ohms</v>
      </c>
      <c r="I850" s="6">
        <v>47400</v>
      </c>
      <c r="J850" s="6" t="str">
        <f t="shared" si="117"/>
        <v>Ohms</v>
      </c>
      <c r="K850" s="2" t="str">
        <f t="shared" si="118"/>
        <v>RTG</v>
      </c>
      <c r="L850" s="7">
        <v>45838</v>
      </c>
      <c r="M850" s="7">
        <f t="shared" si="112"/>
        <v>46203</v>
      </c>
      <c r="N850" s="7" t="str">
        <f t="shared" si="119"/>
        <v>Anual</v>
      </c>
      <c r="O850" s="2" t="str">
        <f t="shared" ca="1" si="120"/>
        <v>VIGENTE</v>
      </c>
      <c r="P850" s="6" t="s">
        <v>25</v>
      </c>
      <c r="Q850" s="2" t="s">
        <v>29</v>
      </c>
    </row>
    <row r="851" spans="1:17" x14ac:dyDescent="0.25">
      <c r="A851" s="23" t="s">
        <v>218</v>
      </c>
      <c r="B851" s="2" t="s">
        <v>544</v>
      </c>
      <c r="C851" s="3" t="s">
        <v>28</v>
      </c>
      <c r="D851" s="3" t="s">
        <v>23</v>
      </c>
      <c r="E851" s="2" t="s">
        <v>24</v>
      </c>
      <c r="F851" s="4">
        <v>0</v>
      </c>
      <c r="G851" s="8">
        <f t="shared" si="115"/>
        <v>1000000000</v>
      </c>
      <c r="H851" s="4" t="str">
        <f t="shared" si="116"/>
        <v>Ohms</v>
      </c>
      <c r="I851" s="6">
        <v>84400</v>
      </c>
      <c r="J851" s="6" t="str">
        <f t="shared" si="117"/>
        <v>Ohms</v>
      </c>
      <c r="K851" s="2" t="str">
        <f t="shared" si="118"/>
        <v>RTG</v>
      </c>
      <c r="L851" s="7">
        <v>45838</v>
      </c>
      <c r="M851" s="7">
        <f t="shared" si="112"/>
        <v>46203</v>
      </c>
      <c r="N851" s="7" t="str">
        <f t="shared" si="119"/>
        <v>Anual</v>
      </c>
      <c r="O851" s="2" t="str">
        <f t="shared" ca="1" si="120"/>
        <v>VIGENTE</v>
      </c>
      <c r="P851" s="6" t="s">
        <v>25</v>
      </c>
      <c r="Q851" s="2" t="s">
        <v>29</v>
      </c>
    </row>
    <row r="852" spans="1:17" x14ac:dyDescent="0.25">
      <c r="A852" s="23" t="s">
        <v>218</v>
      </c>
      <c r="B852" s="2" t="s">
        <v>546</v>
      </c>
      <c r="C852" s="3" t="s">
        <v>28</v>
      </c>
      <c r="D852" s="3" t="s">
        <v>23</v>
      </c>
      <c r="E852" s="2" t="s">
        <v>24</v>
      </c>
      <c r="F852" s="4">
        <v>0</v>
      </c>
      <c r="G852" s="8">
        <f t="shared" si="115"/>
        <v>1000000000</v>
      </c>
      <c r="H852" s="4" t="str">
        <f t="shared" si="116"/>
        <v>Ohms</v>
      </c>
      <c r="I852" s="6">
        <v>14300</v>
      </c>
      <c r="J852" s="6" t="str">
        <f t="shared" si="117"/>
        <v>Ohms</v>
      </c>
      <c r="K852" s="2" t="str">
        <f t="shared" si="118"/>
        <v>RTG</v>
      </c>
      <c r="L852" s="7">
        <v>45838</v>
      </c>
      <c r="M852" s="7">
        <f t="shared" si="112"/>
        <v>46203</v>
      </c>
      <c r="N852" s="7" t="str">
        <f t="shared" si="119"/>
        <v>Anual</v>
      </c>
      <c r="O852" s="2" t="str">
        <f t="shared" ca="1" si="120"/>
        <v>VIGENTE</v>
      </c>
      <c r="P852" s="6" t="s">
        <v>25</v>
      </c>
      <c r="Q852" s="2" t="s">
        <v>29</v>
      </c>
    </row>
    <row r="853" spans="1:17" x14ac:dyDescent="0.25">
      <c r="A853" s="23" t="s">
        <v>218</v>
      </c>
      <c r="B853" s="2" t="s">
        <v>1013</v>
      </c>
      <c r="C853" s="3" t="s">
        <v>43</v>
      </c>
      <c r="D853" s="3" t="s">
        <v>23</v>
      </c>
      <c r="E853" s="2" t="s">
        <v>24</v>
      </c>
      <c r="F853" s="4">
        <v>0</v>
      </c>
      <c r="G853" s="8">
        <f t="shared" si="115"/>
        <v>1000000000</v>
      </c>
      <c r="H853" s="4" t="str">
        <f t="shared" si="116"/>
        <v>Ohms</v>
      </c>
      <c r="I853" s="6">
        <v>175000</v>
      </c>
      <c r="J853" s="6" t="str">
        <f t="shared" si="117"/>
        <v>Ohms</v>
      </c>
      <c r="K853" s="2" t="str">
        <f t="shared" si="118"/>
        <v>RTG</v>
      </c>
      <c r="L853" s="7">
        <v>45838</v>
      </c>
      <c r="M853" s="7">
        <f t="shared" si="112"/>
        <v>46018</v>
      </c>
      <c r="N853" s="7" t="str">
        <f t="shared" si="119"/>
        <v>Semestral</v>
      </c>
      <c r="O853" s="2" t="str">
        <f t="shared" ca="1" si="120"/>
        <v>VENCIDO</v>
      </c>
      <c r="P853" s="6" t="s">
        <v>25</v>
      </c>
      <c r="Q853" s="2"/>
    </row>
    <row r="854" spans="1:17" x14ac:dyDescent="0.25">
      <c r="A854" s="23" t="s">
        <v>220</v>
      </c>
      <c r="B854" s="2" t="s">
        <v>221</v>
      </c>
      <c r="C854" s="3" t="s">
        <v>210</v>
      </c>
      <c r="D854" s="3" t="s">
        <v>23</v>
      </c>
      <c r="E854" s="2" t="s">
        <v>24</v>
      </c>
      <c r="F854" s="4">
        <v>0</v>
      </c>
      <c r="G854" s="8">
        <f t="shared" si="115"/>
        <v>1</v>
      </c>
      <c r="H854" s="4" t="str">
        <f t="shared" si="116"/>
        <v>Ohms</v>
      </c>
      <c r="I854" s="6">
        <v>0.27400000000000002</v>
      </c>
      <c r="J854" s="6" t="str">
        <f t="shared" si="117"/>
        <v>Ohms</v>
      </c>
      <c r="K854" s="2" t="str">
        <f t="shared" si="118"/>
        <v>RTG</v>
      </c>
      <c r="L854" s="7">
        <v>45906</v>
      </c>
      <c r="M854" s="7">
        <f t="shared" si="112"/>
        <v>46271</v>
      </c>
      <c r="N854" s="7" t="str">
        <f t="shared" si="119"/>
        <v>Anual</v>
      </c>
      <c r="O854" s="2" t="str">
        <f t="shared" ca="1" si="120"/>
        <v>VIGENTE</v>
      </c>
      <c r="P854" s="6" t="s">
        <v>25</v>
      </c>
      <c r="Q854" s="2"/>
    </row>
    <row r="855" spans="1:17" x14ac:dyDescent="0.25">
      <c r="A855" s="23" t="s">
        <v>220</v>
      </c>
      <c r="B855" s="2" t="s">
        <v>232</v>
      </c>
      <c r="C855" s="3" t="s">
        <v>210</v>
      </c>
      <c r="D855" s="3" t="s">
        <v>23</v>
      </c>
      <c r="E855" s="2" t="s">
        <v>24</v>
      </c>
      <c r="F855" s="4">
        <v>0</v>
      </c>
      <c r="G855" s="8">
        <f t="shared" si="115"/>
        <v>1</v>
      </c>
      <c r="H855" s="4" t="str">
        <f t="shared" si="116"/>
        <v>Ohms</v>
      </c>
      <c r="I855" s="6">
        <v>0.33200000000000002</v>
      </c>
      <c r="J855" s="6" t="str">
        <f t="shared" si="117"/>
        <v>Ohms</v>
      </c>
      <c r="K855" s="2" t="str">
        <f t="shared" si="118"/>
        <v>RTG</v>
      </c>
      <c r="L855" s="7">
        <v>45906</v>
      </c>
      <c r="M855" s="7">
        <f t="shared" si="112"/>
        <v>46271</v>
      </c>
      <c r="N855" s="7" t="str">
        <f t="shared" si="119"/>
        <v>Anual</v>
      </c>
      <c r="O855" s="2" t="str">
        <f t="shared" ca="1" si="120"/>
        <v>VIGENTE</v>
      </c>
      <c r="P855" s="6" t="s">
        <v>25</v>
      </c>
      <c r="Q855" s="2"/>
    </row>
    <row r="856" spans="1:17" x14ac:dyDescent="0.25">
      <c r="A856" s="23" t="s">
        <v>330</v>
      </c>
      <c r="B856" s="2" t="s">
        <v>331</v>
      </c>
      <c r="C856" s="3" t="s">
        <v>28</v>
      </c>
      <c r="D856" s="3" t="s">
        <v>23</v>
      </c>
      <c r="E856" s="2" t="s">
        <v>24</v>
      </c>
      <c r="F856" s="4">
        <v>0</v>
      </c>
      <c r="G856" s="8">
        <f t="shared" si="115"/>
        <v>1000000000</v>
      </c>
      <c r="H856" s="4" t="str">
        <f t="shared" si="116"/>
        <v>Ohms</v>
      </c>
      <c r="I856" s="14">
        <v>64800000</v>
      </c>
      <c r="J856" s="6" t="str">
        <f t="shared" si="117"/>
        <v>Ohms</v>
      </c>
      <c r="K856" s="2" t="str">
        <f t="shared" si="118"/>
        <v>RTG</v>
      </c>
      <c r="L856" s="7">
        <v>45957</v>
      </c>
      <c r="M856" s="7">
        <f t="shared" si="112"/>
        <v>46137</v>
      </c>
      <c r="N856" s="7" t="str">
        <f t="shared" ref="N856:N882" si="121">IF(C856="Ionizador", "Trimestral", IF(C856="Rack", "Semestral", IF(C856="Mesa", "Semestral", IF(C856="Tapete", "Semestral", IF(C856="Cautín", "Semestral", IF(C856="Silla", "Semestral", "Anual"))))))</f>
        <v>Semestral</v>
      </c>
      <c r="O856" s="2" t="str">
        <f t="shared" ca="1" si="120"/>
        <v>VIGENTE</v>
      </c>
      <c r="P856" s="6"/>
      <c r="Q856" s="2"/>
    </row>
    <row r="857" spans="1:17" x14ac:dyDescent="0.25">
      <c r="A857" s="23" t="s">
        <v>330</v>
      </c>
      <c r="B857" s="2" t="s">
        <v>332</v>
      </c>
      <c r="C857" s="3" t="s">
        <v>28</v>
      </c>
      <c r="D857" s="3" t="s">
        <v>23</v>
      </c>
      <c r="E857" s="2" t="s">
        <v>24</v>
      </c>
      <c r="F857" s="4">
        <v>0</v>
      </c>
      <c r="G857" s="8">
        <f t="shared" si="115"/>
        <v>1000000000</v>
      </c>
      <c r="H857" s="4" t="str">
        <f t="shared" si="116"/>
        <v>Ohms</v>
      </c>
      <c r="I857" s="14">
        <v>573000</v>
      </c>
      <c r="J857" s="6" t="str">
        <f t="shared" si="117"/>
        <v>Ohms</v>
      </c>
      <c r="K857" s="2" t="str">
        <f t="shared" si="118"/>
        <v>RTG</v>
      </c>
      <c r="L857" s="7">
        <v>45957</v>
      </c>
      <c r="M857" s="7">
        <f t="shared" si="112"/>
        <v>46137</v>
      </c>
      <c r="N857" s="7" t="str">
        <f t="shared" si="121"/>
        <v>Semestral</v>
      </c>
      <c r="O857" s="2" t="str">
        <f t="shared" ca="1" si="120"/>
        <v>VIGENTE</v>
      </c>
      <c r="P857" s="6"/>
      <c r="Q857" s="2"/>
    </row>
    <row r="858" spans="1:17" x14ac:dyDescent="0.25">
      <c r="A858" s="23" t="s">
        <v>330</v>
      </c>
      <c r="B858" s="2" t="s">
        <v>333</v>
      </c>
      <c r="C858" s="3" t="s">
        <v>28</v>
      </c>
      <c r="D858" s="3" t="s">
        <v>23</v>
      </c>
      <c r="E858" s="2" t="s">
        <v>24</v>
      </c>
      <c r="F858" s="4">
        <v>0</v>
      </c>
      <c r="G858" s="8">
        <f t="shared" si="115"/>
        <v>1000000000</v>
      </c>
      <c r="H858" s="4" t="str">
        <f t="shared" si="116"/>
        <v>Ohms</v>
      </c>
      <c r="I858" s="14">
        <v>82100</v>
      </c>
      <c r="J858" s="6" t="str">
        <f t="shared" si="117"/>
        <v>Ohms</v>
      </c>
      <c r="K858" s="2" t="str">
        <f t="shared" si="118"/>
        <v>RTG</v>
      </c>
      <c r="L858" s="7">
        <v>45957</v>
      </c>
      <c r="M858" s="7">
        <f t="shared" si="112"/>
        <v>46137</v>
      </c>
      <c r="N858" s="7" t="str">
        <f t="shared" si="121"/>
        <v>Semestral</v>
      </c>
      <c r="O858" s="2" t="str">
        <f t="shared" ca="1" si="120"/>
        <v>VIGENTE</v>
      </c>
      <c r="P858" s="6"/>
      <c r="Q858" s="2"/>
    </row>
    <row r="859" spans="1:17" x14ac:dyDescent="0.25">
      <c r="A859" s="23" t="s">
        <v>330</v>
      </c>
      <c r="B859" s="2" t="s">
        <v>334</v>
      </c>
      <c r="C859" s="3" t="s">
        <v>28</v>
      </c>
      <c r="D859" s="3" t="s">
        <v>23</v>
      </c>
      <c r="E859" s="2" t="s">
        <v>24</v>
      </c>
      <c r="F859" s="4">
        <v>0</v>
      </c>
      <c r="G859" s="8">
        <f t="shared" si="115"/>
        <v>1000000000</v>
      </c>
      <c r="H859" s="4" t="str">
        <f t="shared" si="116"/>
        <v>Ohms</v>
      </c>
      <c r="I859" s="14">
        <v>396000000</v>
      </c>
      <c r="J859" s="6" t="str">
        <f t="shared" si="117"/>
        <v>Ohms</v>
      </c>
      <c r="K859" s="2" t="str">
        <f t="shared" si="118"/>
        <v>RTG</v>
      </c>
      <c r="L859" s="7">
        <v>45957</v>
      </c>
      <c r="M859" s="7">
        <f t="shared" si="112"/>
        <v>46137</v>
      </c>
      <c r="N859" s="7" t="str">
        <f t="shared" si="121"/>
        <v>Semestral</v>
      </c>
      <c r="O859" s="2" t="str">
        <f t="shared" ca="1" si="120"/>
        <v>VIGENTE</v>
      </c>
      <c r="P859" s="6"/>
      <c r="Q859" s="2"/>
    </row>
    <row r="860" spans="1:17" x14ac:dyDescent="0.25">
      <c r="A860" s="23" t="s">
        <v>330</v>
      </c>
      <c r="B860" s="2" t="s">
        <v>335</v>
      </c>
      <c r="C860" s="3" t="s">
        <v>28</v>
      </c>
      <c r="D860" s="3" t="s">
        <v>23</v>
      </c>
      <c r="E860" s="2" t="s">
        <v>24</v>
      </c>
      <c r="F860" s="4">
        <v>0</v>
      </c>
      <c r="G860" s="8">
        <f t="shared" si="115"/>
        <v>1000000000</v>
      </c>
      <c r="H860" s="4" t="str">
        <f t="shared" si="116"/>
        <v>Ohms</v>
      </c>
      <c r="I860" s="14">
        <v>9140000</v>
      </c>
      <c r="J860" s="6" t="str">
        <f t="shared" si="117"/>
        <v>Ohms</v>
      </c>
      <c r="K860" s="2" t="str">
        <f t="shared" si="118"/>
        <v>RTG</v>
      </c>
      <c r="L860" s="7">
        <v>45957</v>
      </c>
      <c r="M860" s="7">
        <f t="shared" si="112"/>
        <v>46137</v>
      </c>
      <c r="N860" s="7" t="str">
        <f t="shared" si="121"/>
        <v>Semestral</v>
      </c>
      <c r="O860" s="2" t="str">
        <f t="shared" ca="1" si="120"/>
        <v>VIGENTE</v>
      </c>
      <c r="P860" s="6"/>
      <c r="Q860" s="2"/>
    </row>
    <row r="861" spans="1:17" x14ac:dyDescent="0.25">
      <c r="A861" s="23" t="s">
        <v>330</v>
      </c>
      <c r="B861" s="2" t="s">
        <v>336</v>
      </c>
      <c r="C861" s="3" t="s">
        <v>28</v>
      </c>
      <c r="D861" s="3" t="s">
        <v>23</v>
      </c>
      <c r="E861" s="2" t="s">
        <v>24</v>
      </c>
      <c r="F861" s="4">
        <v>0</v>
      </c>
      <c r="G861" s="8">
        <f t="shared" si="115"/>
        <v>1000000000</v>
      </c>
      <c r="H861" s="4" t="str">
        <f t="shared" si="116"/>
        <v>Ohms</v>
      </c>
      <c r="I861" s="14">
        <v>46700</v>
      </c>
      <c r="J861" s="6" t="str">
        <f t="shared" si="117"/>
        <v>Ohms</v>
      </c>
      <c r="K861" s="2" t="str">
        <f t="shared" si="118"/>
        <v>RTG</v>
      </c>
      <c r="L861" s="7">
        <v>45957</v>
      </c>
      <c r="M861" s="7">
        <f t="shared" si="112"/>
        <v>46137</v>
      </c>
      <c r="N861" s="7" t="str">
        <f t="shared" si="121"/>
        <v>Semestral</v>
      </c>
      <c r="O861" s="2" t="str">
        <f t="shared" ca="1" si="120"/>
        <v>VIGENTE</v>
      </c>
      <c r="P861" s="6"/>
      <c r="Q861" s="2"/>
    </row>
    <row r="862" spans="1:17" x14ac:dyDescent="0.25">
      <c r="A862" s="23" t="s">
        <v>330</v>
      </c>
      <c r="B862" s="2" t="s">
        <v>337</v>
      </c>
      <c r="C862" s="3" t="s">
        <v>28</v>
      </c>
      <c r="D862" s="3" t="s">
        <v>23</v>
      </c>
      <c r="E862" s="2" t="s">
        <v>24</v>
      </c>
      <c r="F862" s="4">
        <v>0</v>
      </c>
      <c r="G862" s="8">
        <f t="shared" si="115"/>
        <v>1000000000</v>
      </c>
      <c r="H862" s="4" t="str">
        <f t="shared" si="116"/>
        <v>Ohms</v>
      </c>
      <c r="I862" s="14">
        <v>782000000</v>
      </c>
      <c r="J862" s="6" t="str">
        <f t="shared" si="117"/>
        <v>Ohms</v>
      </c>
      <c r="K862" s="2" t="str">
        <f t="shared" si="118"/>
        <v>RTG</v>
      </c>
      <c r="L862" s="7">
        <v>45957</v>
      </c>
      <c r="M862" s="7">
        <f t="shared" si="112"/>
        <v>46137</v>
      </c>
      <c r="N862" s="7" t="str">
        <f t="shared" si="121"/>
        <v>Semestral</v>
      </c>
      <c r="O862" s="2" t="str">
        <f t="shared" ca="1" si="120"/>
        <v>VIGENTE</v>
      </c>
      <c r="P862" s="6"/>
      <c r="Q862" s="2"/>
    </row>
    <row r="863" spans="1:17" x14ac:dyDescent="0.25">
      <c r="A863" s="23" t="s">
        <v>330</v>
      </c>
      <c r="B863" s="2" t="s">
        <v>338</v>
      </c>
      <c r="C863" s="3" t="s">
        <v>28</v>
      </c>
      <c r="D863" s="3" t="s">
        <v>23</v>
      </c>
      <c r="E863" s="2" t="s">
        <v>24</v>
      </c>
      <c r="F863" s="4">
        <v>0</v>
      </c>
      <c r="G863" s="8">
        <f t="shared" si="115"/>
        <v>1000000000</v>
      </c>
      <c r="H863" s="4" t="str">
        <f t="shared" si="116"/>
        <v>Ohms</v>
      </c>
      <c r="I863" s="14">
        <v>635000</v>
      </c>
      <c r="J863" s="6" t="str">
        <f t="shared" si="117"/>
        <v>Ohms</v>
      </c>
      <c r="K863" s="2" t="str">
        <f t="shared" si="118"/>
        <v>RTG</v>
      </c>
      <c r="L863" s="7">
        <v>45957</v>
      </c>
      <c r="M863" s="7">
        <f t="shared" si="112"/>
        <v>46137</v>
      </c>
      <c r="N863" s="7" t="str">
        <f t="shared" si="121"/>
        <v>Semestral</v>
      </c>
      <c r="O863" s="2" t="str">
        <f t="shared" ca="1" si="120"/>
        <v>VIGENTE</v>
      </c>
      <c r="P863" s="6"/>
      <c r="Q863" s="2"/>
    </row>
    <row r="864" spans="1:17" x14ac:dyDescent="0.25">
      <c r="A864" s="23" t="s">
        <v>330</v>
      </c>
      <c r="B864" s="2" t="s">
        <v>339</v>
      </c>
      <c r="C864" s="3" t="s">
        <v>28</v>
      </c>
      <c r="D864" s="3" t="s">
        <v>23</v>
      </c>
      <c r="E864" s="2" t="s">
        <v>24</v>
      </c>
      <c r="F864" s="4">
        <v>0</v>
      </c>
      <c r="G864" s="8">
        <f t="shared" si="115"/>
        <v>1000000000</v>
      </c>
      <c r="H864" s="4" t="str">
        <f t="shared" si="116"/>
        <v>Ohms</v>
      </c>
      <c r="I864" s="14">
        <v>54900000</v>
      </c>
      <c r="J864" s="6" t="str">
        <f t="shared" si="117"/>
        <v>Ohms</v>
      </c>
      <c r="K864" s="2" t="str">
        <f t="shared" si="118"/>
        <v>RTG</v>
      </c>
      <c r="L864" s="7">
        <v>45957</v>
      </c>
      <c r="M864" s="7">
        <f t="shared" si="112"/>
        <v>46137</v>
      </c>
      <c r="N864" s="7" t="str">
        <f t="shared" si="121"/>
        <v>Semestral</v>
      </c>
      <c r="O864" s="2" t="str">
        <f t="shared" ca="1" si="120"/>
        <v>VIGENTE</v>
      </c>
      <c r="P864" s="6"/>
      <c r="Q864" s="2"/>
    </row>
    <row r="865" spans="1:17" x14ac:dyDescent="0.25">
      <c r="A865" s="23" t="s">
        <v>330</v>
      </c>
      <c r="B865" s="2" t="s">
        <v>340</v>
      </c>
      <c r="C865" s="3" t="s">
        <v>28</v>
      </c>
      <c r="D865" s="3" t="s">
        <v>23</v>
      </c>
      <c r="E865" s="2" t="s">
        <v>24</v>
      </c>
      <c r="F865" s="4">
        <v>0</v>
      </c>
      <c r="G865" s="8">
        <f t="shared" si="115"/>
        <v>1000000000</v>
      </c>
      <c r="H865" s="4" t="str">
        <f t="shared" si="116"/>
        <v>Ohms</v>
      </c>
      <c r="I865" s="14">
        <v>87400</v>
      </c>
      <c r="J865" s="6" t="str">
        <f t="shared" si="117"/>
        <v>Ohms</v>
      </c>
      <c r="K865" s="2" t="str">
        <f t="shared" si="118"/>
        <v>RTG</v>
      </c>
      <c r="L865" s="7">
        <v>45957</v>
      </c>
      <c r="M865" s="7">
        <f t="shared" si="112"/>
        <v>46137</v>
      </c>
      <c r="N865" s="7" t="str">
        <f t="shared" si="121"/>
        <v>Semestral</v>
      </c>
      <c r="O865" s="2" t="str">
        <f t="shared" ca="1" si="120"/>
        <v>VIGENTE</v>
      </c>
      <c r="P865" s="6"/>
      <c r="Q865" s="2"/>
    </row>
    <row r="866" spans="1:17" x14ac:dyDescent="0.25">
      <c r="A866" s="23" t="s">
        <v>330</v>
      </c>
      <c r="B866" s="2" t="s">
        <v>341</v>
      </c>
      <c r="C866" s="3" t="s">
        <v>28</v>
      </c>
      <c r="D866" s="3" t="s">
        <v>23</v>
      </c>
      <c r="E866" s="2" t="s">
        <v>24</v>
      </c>
      <c r="F866" s="4">
        <v>0</v>
      </c>
      <c r="G866" s="8">
        <f t="shared" si="115"/>
        <v>1000000000</v>
      </c>
      <c r="H866" s="4" t="str">
        <f t="shared" si="116"/>
        <v>Ohms</v>
      </c>
      <c r="I866" s="14">
        <v>3920000</v>
      </c>
      <c r="J866" s="6" t="str">
        <f t="shared" si="117"/>
        <v>Ohms</v>
      </c>
      <c r="K866" s="2" t="str">
        <f t="shared" si="118"/>
        <v>RTG</v>
      </c>
      <c r="L866" s="7">
        <v>45957</v>
      </c>
      <c r="M866" s="7">
        <f t="shared" si="112"/>
        <v>46137</v>
      </c>
      <c r="N866" s="7" t="str">
        <f t="shared" si="121"/>
        <v>Semestral</v>
      </c>
      <c r="O866" s="2" t="str">
        <f t="shared" ca="1" si="120"/>
        <v>VIGENTE</v>
      </c>
      <c r="P866" s="6"/>
      <c r="Q866" s="2"/>
    </row>
    <row r="867" spans="1:17" x14ac:dyDescent="0.25">
      <c r="A867" s="23" t="s">
        <v>330</v>
      </c>
      <c r="B867" s="2" t="s">
        <v>342</v>
      </c>
      <c r="C867" s="3" t="s">
        <v>28</v>
      </c>
      <c r="D867" s="3" t="s">
        <v>23</v>
      </c>
      <c r="E867" s="2" t="s">
        <v>24</v>
      </c>
      <c r="F867" s="4">
        <v>0</v>
      </c>
      <c r="G867" s="8">
        <f t="shared" si="115"/>
        <v>1000000000</v>
      </c>
      <c r="H867" s="4" t="str">
        <f t="shared" si="116"/>
        <v>Ohms</v>
      </c>
      <c r="I867" s="14">
        <v>926000000</v>
      </c>
      <c r="J867" s="6" t="str">
        <f t="shared" si="117"/>
        <v>Ohms</v>
      </c>
      <c r="K867" s="2" t="str">
        <f t="shared" si="118"/>
        <v>RTG</v>
      </c>
      <c r="L867" s="7">
        <v>45957</v>
      </c>
      <c r="M867" s="7">
        <f t="shared" ref="M867:M903" si="122">IF(N867="Trimestral", L867+90, IF(N867="Semestral", L867+180, IF(N867="Mensual", L867+30, L867+365)))</f>
        <v>46137</v>
      </c>
      <c r="N867" s="7" t="str">
        <f t="shared" si="121"/>
        <v>Semestral</v>
      </c>
      <c r="O867" s="2" t="str">
        <f t="shared" ca="1" si="120"/>
        <v>VIGENTE</v>
      </c>
      <c r="P867" s="6"/>
      <c r="Q867" s="2"/>
    </row>
    <row r="868" spans="1:17" x14ac:dyDescent="0.25">
      <c r="A868" s="23" t="s">
        <v>330</v>
      </c>
      <c r="B868" s="2" t="s">
        <v>343</v>
      </c>
      <c r="C868" s="3" t="s">
        <v>28</v>
      </c>
      <c r="D868" s="3" t="s">
        <v>23</v>
      </c>
      <c r="E868" s="2" t="s">
        <v>24</v>
      </c>
      <c r="F868" s="4">
        <v>0</v>
      </c>
      <c r="G868" s="8">
        <f t="shared" si="115"/>
        <v>1000000000</v>
      </c>
      <c r="H868" s="4" t="str">
        <f t="shared" si="116"/>
        <v>Ohms</v>
      </c>
      <c r="I868" s="14">
        <v>48300</v>
      </c>
      <c r="J868" s="6" t="str">
        <f t="shared" si="117"/>
        <v>Ohms</v>
      </c>
      <c r="K868" s="2" t="str">
        <f t="shared" si="118"/>
        <v>RTG</v>
      </c>
      <c r="L868" s="7">
        <v>45957</v>
      </c>
      <c r="M868" s="7">
        <f t="shared" si="122"/>
        <v>46137</v>
      </c>
      <c r="N868" s="7" t="str">
        <f t="shared" si="121"/>
        <v>Semestral</v>
      </c>
      <c r="O868" s="2" t="str">
        <f t="shared" ca="1" si="120"/>
        <v>VIGENTE</v>
      </c>
      <c r="P868" s="6"/>
      <c r="Q868" s="2"/>
    </row>
    <row r="869" spans="1:17" x14ac:dyDescent="0.25">
      <c r="A869" s="23" t="s">
        <v>330</v>
      </c>
      <c r="B869" s="2" t="s">
        <v>344</v>
      </c>
      <c r="C869" s="3" t="s">
        <v>28</v>
      </c>
      <c r="D869" s="3" t="s">
        <v>23</v>
      </c>
      <c r="E869" s="2" t="s">
        <v>24</v>
      </c>
      <c r="F869" s="4">
        <v>0</v>
      </c>
      <c r="G869" s="8">
        <f t="shared" si="115"/>
        <v>1000000000</v>
      </c>
      <c r="H869" s="4" t="str">
        <f t="shared" si="116"/>
        <v>Ohms</v>
      </c>
      <c r="I869" s="14">
        <v>711000</v>
      </c>
      <c r="J869" s="6" t="str">
        <f t="shared" si="117"/>
        <v>Ohms</v>
      </c>
      <c r="K869" s="2" t="str">
        <f t="shared" si="118"/>
        <v>RTG</v>
      </c>
      <c r="L869" s="7">
        <v>45957</v>
      </c>
      <c r="M869" s="7">
        <f t="shared" si="122"/>
        <v>46137</v>
      </c>
      <c r="N869" s="7" t="str">
        <f t="shared" si="121"/>
        <v>Semestral</v>
      </c>
      <c r="O869" s="2" t="str">
        <f t="shared" ca="1" si="120"/>
        <v>VIGENTE</v>
      </c>
      <c r="P869" s="6"/>
      <c r="Q869" s="2"/>
    </row>
    <row r="870" spans="1:17" x14ac:dyDescent="0.25">
      <c r="A870" s="23" t="s">
        <v>330</v>
      </c>
      <c r="B870" s="2" t="s">
        <v>345</v>
      </c>
      <c r="C870" s="3" t="s">
        <v>28</v>
      </c>
      <c r="D870" s="3" t="s">
        <v>23</v>
      </c>
      <c r="E870" s="2" t="s">
        <v>24</v>
      </c>
      <c r="F870" s="4">
        <v>0</v>
      </c>
      <c r="G870" s="8">
        <f t="shared" si="115"/>
        <v>1000000000</v>
      </c>
      <c r="H870" s="4" t="str">
        <f t="shared" si="116"/>
        <v>Ohms</v>
      </c>
      <c r="I870" s="14">
        <v>52400</v>
      </c>
      <c r="J870" s="6" t="str">
        <f t="shared" si="117"/>
        <v>Ohms</v>
      </c>
      <c r="K870" s="2" t="str">
        <f t="shared" si="118"/>
        <v>RTG</v>
      </c>
      <c r="L870" s="7">
        <v>45957</v>
      </c>
      <c r="M870" s="7">
        <f t="shared" si="122"/>
        <v>46137</v>
      </c>
      <c r="N870" s="7" t="str">
        <f t="shared" si="121"/>
        <v>Semestral</v>
      </c>
      <c r="O870" s="2" t="str">
        <f t="shared" ca="1" si="120"/>
        <v>VIGENTE</v>
      </c>
      <c r="P870" s="6"/>
      <c r="Q870" s="2"/>
    </row>
    <row r="871" spans="1:17" x14ac:dyDescent="0.25">
      <c r="A871" s="23" t="s">
        <v>330</v>
      </c>
      <c r="B871" s="2" t="s">
        <v>346</v>
      </c>
      <c r="C871" s="3" t="s">
        <v>28</v>
      </c>
      <c r="D871" s="3" t="s">
        <v>23</v>
      </c>
      <c r="E871" s="2" t="s">
        <v>24</v>
      </c>
      <c r="F871" s="4">
        <v>0</v>
      </c>
      <c r="G871" s="8">
        <f t="shared" si="115"/>
        <v>1000000000</v>
      </c>
      <c r="H871" s="4" t="str">
        <f t="shared" si="116"/>
        <v>Ohms</v>
      </c>
      <c r="I871" s="14">
        <v>856000000</v>
      </c>
      <c r="J871" s="6" t="str">
        <f t="shared" si="117"/>
        <v>Ohms</v>
      </c>
      <c r="K871" s="2" t="str">
        <f t="shared" si="118"/>
        <v>RTG</v>
      </c>
      <c r="L871" s="7">
        <v>45957</v>
      </c>
      <c r="M871" s="7">
        <f t="shared" si="122"/>
        <v>46137</v>
      </c>
      <c r="N871" s="7" t="str">
        <f t="shared" si="121"/>
        <v>Semestral</v>
      </c>
      <c r="O871" s="2" t="str">
        <f t="shared" ca="1" si="120"/>
        <v>VIGENTE</v>
      </c>
      <c r="P871" s="6"/>
      <c r="Q871" s="2"/>
    </row>
    <row r="872" spans="1:17" x14ac:dyDescent="0.25">
      <c r="A872" s="23" t="s">
        <v>330</v>
      </c>
      <c r="B872" s="2" t="s">
        <v>347</v>
      </c>
      <c r="C872" s="3" t="s">
        <v>28</v>
      </c>
      <c r="D872" s="3" t="s">
        <v>23</v>
      </c>
      <c r="E872" s="2" t="s">
        <v>24</v>
      </c>
      <c r="F872" s="4">
        <v>0</v>
      </c>
      <c r="G872" s="8">
        <f t="shared" si="115"/>
        <v>1000000000</v>
      </c>
      <c r="H872" s="4" t="str">
        <f t="shared" si="116"/>
        <v>Ohms</v>
      </c>
      <c r="I872" s="14">
        <v>3640000</v>
      </c>
      <c r="J872" s="6" t="str">
        <f t="shared" si="117"/>
        <v>Ohms</v>
      </c>
      <c r="K872" s="2" t="str">
        <f t="shared" si="118"/>
        <v>RTG</v>
      </c>
      <c r="L872" s="7">
        <v>45957</v>
      </c>
      <c r="M872" s="7">
        <f t="shared" si="122"/>
        <v>46137</v>
      </c>
      <c r="N872" s="7" t="str">
        <f t="shared" si="121"/>
        <v>Semestral</v>
      </c>
      <c r="O872" s="2" t="str">
        <f t="shared" ca="1" si="120"/>
        <v>VIGENTE</v>
      </c>
      <c r="P872" s="6"/>
      <c r="Q872" s="2"/>
    </row>
    <row r="873" spans="1:17" x14ac:dyDescent="0.25">
      <c r="A873" s="23" t="s">
        <v>330</v>
      </c>
      <c r="B873" s="2" t="s">
        <v>348</v>
      </c>
      <c r="C873" s="3" t="s">
        <v>28</v>
      </c>
      <c r="D873" s="3" t="s">
        <v>23</v>
      </c>
      <c r="E873" s="2" t="s">
        <v>24</v>
      </c>
      <c r="F873" s="4">
        <v>0</v>
      </c>
      <c r="G873" s="8">
        <f t="shared" si="115"/>
        <v>1000000000</v>
      </c>
      <c r="H873" s="4" t="str">
        <f t="shared" si="116"/>
        <v>Ohms</v>
      </c>
      <c r="I873" s="14">
        <v>908000000</v>
      </c>
      <c r="J873" s="6" t="str">
        <f t="shared" si="117"/>
        <v>Ohms</v>
      </c>
      <c r="K873" s="2" t="str">
        <f t="shared" si="118"/>
        <v>RTG</v>
      </c>
      <c r="L873" s="7">
        <v>45957</v>
      </c>
      <c r="M873" s="7">
        <f t="shared" si="122"/>
        <v>46137</v>
      </c>
      <c r="N873" s="7" t="str">
        <f t="shared" si="121"/>
        <v>Semestral</v>
      </c>
      <c r="O873" s="2" t="str">
        <f t="shared" ca="1" si="120"/>
        <v>VIGENTE</v>
      </c>
      <c r="P873" s="6"/>
      <c r="Q873" s="2"/>
    </row>
    <row r="874" spans="1:17" x14ac:dyDescent="0.25">
      <c r="A874" s="23" t="s">
        <v>330</v>
      </c>
      <c r="B874" s="2" t="s">
        <v>349</v>
      </c>
      <c r="C874" s="3" t="s">
        <v>28</v>
      </c>
      <c r="D874" s="3" t="s">
        <v>23</v>
      </c>
      <c r="E874" s="2" t="s">
        <v>24</v>
      </c>
      <c r="F874" s="4">
        <v>0</v>
      </c>
      <c r="G874" s="8">
        <f t="shared" si="115"/>
        <v>1000000000</v>
      </c>
      <c r="H874" s="4" t="str">
        <f t="shared" si="116"/>
        <v>Ohms</v>
      </c>
      <c r="I874" s="14">
        <v>471000</v>
      </c>
      <c r="J874" s="6" t="str">
        <f t="shared" si="117"/>
        <v>Ohms</v>
      </c>
      <c r="K874" s="2" t="str">
        <f t="shared" si="118"/>
        <v>RTG</v>
      </c>
      <c r="L874" s="7">
        <v>45957</v>
      </c>
      <c r="M874" s="7">
        <f t="shared" si="122"/>
        <v>46137</v>
      </c>
      <c r="N874" s="7" t="str">
        <f t="shared" si="121"/>
        <v>Semestral</v>
      </c>
      <c r="O874" s="2" t="str">
        <f t="shared" ca="1" si="120"/>
        <v>VIGENTE</v>
      </c>
      <c r="P874" s="6"/>
      <c r="Q874" s="2"/>
    </row>
    <row r="875" spans="1:17" x14ac:dyDescent="0.25">
      <c r="A875" s="23" t="s">
        <v>330</v>
      </c>
      <c r="B875" s="2" t="s">
        <v>320</v>
      </c>
      <c r="C875" s="3" t="s">
        <v>28</v>
      </c>
      <c r="D875" s="3" t="s">
        <v>23</v>
      </c>
      <c r="E875" s="2" t="s">
        <v>24</v>
      </c>
      <c r="F875" s="4">
        <v>0</v>
      </c>
      <c r="G875" s="8">
        <f t="shared" si="115"/>
        <v>1000000000</v>
      </c>
      <c r="H875" s="4" t="str">
        <f t="shared" si="116"/>
        <v>Ohms</v>
      </c>
      <c r="I875" s="14">
        <v>792000000</v>
      </c>
      <c r="J875" s="6" t="str">
        <f t="shared" si="117"/>
        <v>Ohms</v>
      </c>
      <c r="K875" s="2" t="str">
        <f t="shared" si="118"/>
        <v>RTG</v>
      </c>
      <c r="L875" s="7">
        <v>45768</v>
      </c>
      <c r="M875" s="7">
        <f t="shared" si="122"/>
        <v>45948</v>
      </c>
      <c r="N875" s="7" t="str">
        <f t="shared" si="121"/>
        <v>Semestral</v>
      </c>
      <c r="O875" s="2" t="str">
        <f t="shared" ca="1" si="120"/>
        <v>VENCIDO</v>
      </c>
      <c r="P875" s="6"/>
      <c r="Q875" s="2"/>
    </row>
    <row r="876" spans="1:17" x14ac:dyDescent="0.25">
      <c r="A876" s="23" t="s">
        <v>330</v>
      </c>
      <c r="B876" s="2" t="s">
        <v>321</v>
      </c>
      <c r="C876" s="3" t="s">
        <v>28</v>
      </c>
      <c r="D876" s="3" t="s">
        <v>23</v>
      </c>
      <c r="E876" s="2" t="s">
        <v>24</v>
      </c>
      <c r="F876" s="4">
        <v>0</v>
      </c>
      <c r="G876" s="8">
        <f t="shared" si="115"/>
        <v>1000000000</v>
      </c>
      <c r="H876" s="4" t="str">
        <f t="shared" si="116"/>
        <v>Ohms</v>
      </c>
      <c r="I876" s="14">
        <v>144000000</v>
      </c>
      <c r="J876" s="6" t="str">
        <f t="shared" si="117"/>
        <v>Ohms</v>
      </c>
      <c r="K876" s="2" t="str">
        <f t="shared" si="118"/>
        <v>RTG</v>
      </c>
      <c r="L876" s="7">
        <v>45768</v>
      </c>
      <c r="M876" s="7">
        <f t="shared" si="122"/>
        <v>45948</v>
      </c>
      <c r="N876" s="7" t="str">
        <f t="shared" si="121"/>
        <v>Semestral</v>
      </c>
      <c r="O876" s="2" t="str">
        <f t="shared" ca="1" si="120"/>
        <v>VENCIDO</v>
      </c>
      <c r="P876" s="6"/>
      <c r="Q876" s="2"/>
    </row>
    <row r="877" spans="1:17" x14ac:dyDescent="0.25">
      <c r="A877" s="23" t="s">
        <v>330</v>
      </c>
      <c r="B877" s="2" t="s">
        <v>324</v>
      </c>
      <c r="C877" s="3" t="s">
        <v>28</v>
      </c>
      <c r="D877" s="3" t="s">
        <v>23</v>
      </c>
      <c r="E877" s="2" t="s">
        <v>24</v>
      </c>
      <c r="F877" s="4">
        <v>0</v>
      </c>
      <c r="G877" s="8">
        <f t="shared" si="115"/>
        <v>1000000000</v>
      </c>
      <c r="H877" s="4" t="str">
        <f t="shared" si="116"/>
        <v>Ohms</v>
      </c>
      <c r="I877" s="14">
        <v>231000000</v>
      </c>
      <c r="J877" s="6" t="str">
        <f t="shared" si="117"/>
        <v>Ohms</v>
      </c>
      <c r="K877" s="2" t="str">
        <f t="shared" si="118"/>
        <v>RTG</v>
      </c>
      <c r="L877" s="7">
        <v>45768</v>
      </c>
      <c r="M877" s="7">
        <f t="shared" si="122"/>
        <v>45948</v>
      </c>
      <c r="N877" s="7" t="str">
        <f t="shared" si="121"/>
        <v>Semestral</v>
      </c>
      <c r="O877" s="2" t="str">
        <f t="shared" ca="1" si="120"/>
        <v>VENCIDO</v>
      </c>
      <c r="P877" s="6"/>
      <c r="Q877" s="2"/>
    </row>
    <row r="878" spans="1:17" x14ac:dyDescent="0.25">
      <c r="A878" s="23" t="s">
        <v>330</v>
      </c>
      <c r="B878" s="2" t="s">
        <v>325</v>
      </c>
      <c r="C878" s="3" t="s">
        <v>28</v>
      </c>
      <c r="D878" s="3" t="s">
        <v>23</v>
      </c>
      <c r="E878" s="2" t="s">
        <v>24</v>
      </c>
      <c r="F878" s="4">
        <v>0</v>
      </c>
      <c r="G878" s="8">
        <f t="shared" si="115"/>
        <v>1000000000</v>
      </c>
      <c r="H878" s="4" t="str">
        <f t="shared" si="116"/>
        <v>Ohms</v>
      </c>
      <c r="I878" s="14">
        <v>5220000</v>
      </c>
      <c r="J878" s="6" t="str">
        <f t="shared" si="117"/>
        <v>Ohms</v>
      </c>
      <c r="K878" s="2" t="str">
        <f t="shared" si="118"/>
        <v>RTG</v>
      </c>
      <c r="L878" s="7">
        <v>45768</v>
      </c>
      <c r="M878" s="7">
        <f t="shared" si="122"/>
        <v>45948</v>
      </c>
      <c r="N878" s="7" t="str">
        <f t="shared" si="121"/>
        <v>Semestral</v>
      </c>
      <c r="O878" s="2" t="str">
        <f t="shared" ref="O878:O903" ca="1" si="123">IF(M878&lt;TODAY(),"VENCIDO",IF(M878=TODAY(),"VIGENTE",IF(M878&gt;TODAY(),"VIGENTE")))</f>
        <v>VENCIDO</v>
      </c>
      <c r="P878" s="6"/>
      <c r="Q878" s="2"/>
    </row>
    <row r="879" spans="1:17" x14ac:dyDescent="0.25">
      <c r="A879" s="23" t="s">
        <v>330</v>
      </c>
      <c r="B879" s="2" t="s">
        <v>326</v>
      </c>
      <c r="C879" s="3" t="s">
        <v>28</v>
      </c>
      <c r="D879" s="3" t="s">
        <v>23</v>
      </c>
      <c r="E879" s="2" t="s">
        <v>24</v>
      </c>
      <c r="F879" s="4">
        <v>0</v>
      </c>
      <c r="G879" s="8">
        <f t="shared" si="115"/>
        <v>1000000000</v>
      </c>
      <c r="H879" s="4" t="str">
        <f t="shared" si="116"/>
        <v>Ohms</v>
      </c>
      <c r="I879" s="14">
        <v>15900000</v>
      </c>
      <c r="J879" s="6" t="str">
        <f t="shared" si="117"/>
        <v>Ohms</v>
      </c>
      <c r="K879" s="2" t="str">
        <f t="shared" si="118"/>
        <v>RTG</v>
      </c>
      <c r="L879" s="7">
        <v>45768</v>
      </c>
      <c r="M879" s="7">
        <f t="shared" si="122"/>
        <v>45948</v>
      </c>
      <c r="N879" s="7" t="str">
        <f t="shared" si="121"/>
        <v>Semestral</v>
      </c>
      <c r="O879" s="2" t="str">
        <f t="shared" ca="1" si="123"/>
        <v>VENCIDO</v>
      </c>
      <c r="P879" s="6"/>
      <c r="Q879" s="2"/>
    </row>
    <row r="880" spans="1:17" x14ac:dyDescent="0.25">
      <c r="A880" s="23" t="s">
        <v>330</v>
      </c>
      <c r="B880" s="2" t="s">
        <v>317</v>
      </c>
      <c r="C880" s="3" t="s">
        <v>28</v>
      </c>
      <c r="D880" s="3" t="s">
        <v>23</v>
      </c>
      <c r="E880" s="2" t="s">
        <v>24</v>
      </c>
      <c r="F880" s="4">
        <v>0</v>
      </c>
      <c r="G880" s="8">
        <f t="shared" si="115"/>
        <v>1000000000</v>
      </c>
      <c r="H880" s="4" t="str">
        <f t="shared" si="116"/>
        <v>Ohms</v>
      </c>
      <c r="I880" s="14">
        <v>572000000</v>
      </c>
      <c r="J880" s="6" t="str">
        <f t="shared" si="117"/>
        <v>Ohms</v>
      </c>
      <c r="K880" s="2" t="str">
        <f t="shared" si="118"/>
        <v>RTG</v>
      </c>
      <c r="L880" s="7">
        <v>46104</v>
      </c>
      <c r="M880" s="7">
        <f t="shared" si="122"/>
        <v>46284</v>
      </c>
      <c r="N880" s="7" t="str">
        <f t="shared" si="121"/>
        <v>Semestral</v>
      </c>
      <c r="O880" s="2" t="str">
        <f t="shared" ca="1" si="123"/>
        <v>VIGENTE</v>
      </c>
      <c r="P880" s="6"/>
      <c r="Q880" s="2"/>
    </row>
    <row r="881" spans="1:17" x14ac:dyDescent="0.25">
      <c r="A881" s="23" t="s">
        <v>330</v>
      </c>
      <c r="B881" s="2" t="s">
        <v>318</v>
      </c>
      <c r="C881" s="3" t="s">
        <v>28</v>
      </c>
      <c r="D881" s="3" t="s">
        <v>23</v>
      </c>
      <c r="E881" s="2" t="s">
        <v>24</v>
      </c>
      <c r="F881" s="4">
        <v>0</v>
      </c>
      <c r="G881" s="8">
        <f t="shared" si="115"/>
        <v>1000000000</v>
      </c>
      <c r="H881" s="4" t="str">
        <f t="shared" si="116"/>
        <v>Ohms</v>
      </c>
      <c r="I881" s="14">
        <v>9660000</v>
      </c>
      <c r="J881" s="6" t="str">
        <f t="shared" si="117"/>
        <v>Ohms</v>
      </c>
      <c r="K881" s="2" t="str">
        <f t="shared" si="118"/>
        <v>RTG</v>
      </c>
      <c r="L881" s="7">
        <v>46104</v>
      </c>
      <c r="M881" s="7">
        <f t="shared" si="122"/>
        <v>46284</v>
      </c>
      <c r="N881" s="7" t="str">
        <f t="shared" si="121"/>
        <v>Semestral</v>
      </c>
      <c r="O881" s="2" t="str">
        <f t="shared" ca="1" si="123"/>
        <v>VIGENTE</v>
      </c>
      <c r="P881" s="6"/>
      <c r="Q881" s="2"/>
    </row>
    <row r="882" spans="1:17" x14ac:dyDescent="0.25">
      <c r="A882" s="23" t="s">
        <v>330</v>
      </c>
      <c r="B882" s="2" t="s">
        <v>537</v>
      </c>
      <c r="C882" s="3" t="s">
        <v>28</v>
      </c>
      <c r="D882" s="3" t="s">
        <v>23</v>
      </c>
      <c r="E882" s="2" t="s">
        <v>24</v>
      </c>
      <c r="F882" s="4">
        <v>0</v>
      </c>
      <c r="G882" s="8">
        <f t="shared" si="115"/>
        <v>1000000000</v>
      </c>
      <c r="H882" s="4" t="str">
        <f t="shared" si="116"/>
        <v>Ohms</v>
      </c>
      <c r="I882" s="6">
        <v>36700000</v>
      </c>
      <c r="J882" s="6" t="str">
        <f t="shared" si="117"/>
        <v>Ohms</v>
      </c>
      <c r="K882" s="2" t="str">
        <f t="shared" si="118"/>
        <v>RTG</v>
      </c>
      <c r="L882" s="7">
        <v>45861</v>
      </c>
      <c r="M882" s="7">
        <f t="shared" si="122"/>
        <v>46041</v>
      </c>
      <c r="N882" s="7" t="str">
        <f t="shared" si="121"/>
        <v>Semestral</v>
      </c>
      <c r="O882" s="2" t="str">
        <f t="shared" ca="1" si="123"/>
        <v>VENCIDO</v>
      </c>
      <c r="P882" s="6"/>
      <c r="Q882" s="2"/>
    </row>
    <row r="883" spans="1:17" x14ac:dyDescent="0.25">
      <c r="A883" s="23" t="s">
        <v>330</v>
      </c>
      <c r="B883" s="2" t="s">
        <v>1014</v>
      </c>
      <c r="C883" s="3" t="s">
        <v>28</v>
      </c>
      <c r="D883" s="3" t="s">
        <v>23</v>
      </c>
      <c r="E883" s="2" t="s">
        <v>24</v>
      </c>
      <c r="F883" s="4">
        <v>0</v>
      </c>
      <c r="G883" s="8">
        <f t="shared" si="115"/>
        <v>1000000000</v>
      </c>
      <c r="H883" s="4" t="str">
        <f t="shared" si="116"/>
        <v>Ohms</v>
      </c>
      <c r="I883" s="6">
        <v>671000000</v>
      </c>
      <c r="J883" s="6" t="str">
        <f t="shared" si="117"/>
        <v>Ohms</v>
      </c>
      <c r="K883" s="2" t="str">
        <f t="shared" si="118"/>
        <v>RTG</v>
      </c>
      <c r="L883" s="7">
        <v>46102</v>
      </c>
      <c r="M883" s="7">
        <f t="shared" si="122"/>
        <v>46467</v>
      </c>
      <c r="N883" s="7" t="str">
        <f>IF(C883="Ionizador", "Trimestral", IF(C883="Rack", "Anual", IF(C883="Mesa", "Anual", IF(C883="Tapete", "Semestral", IF(C883="Cautín", "Semestral", IF(C883="Silla", "Semestral", "Anual"))))))</f>
        <v>Anual</v>
      </c>
      <c r="O883" s="2" t="str">
        <f t="shared" ca="1" si="123"/>
        <v>VIGENTE</v>
      </c>
      <c r="P883" s="6" t="s">
        <v>25</v>
      </c>
      <c r="Q883" s="2"/>
    </row>
    <row r="884" spans="1:17" x14ac:dyDescent="0.25">
      <c r="A884" s="23" t="s">
        <v>330</v>
      </c>
      <c r="B884" s="2" t="s">
        <v>1015</v>
      </c>
      <c r="C884" s="3" t="s">
        <v>28</v>
      </c>
      <c r="D884" s="3" t="s">
        <v>23</v>
      </c>
      <c r="E884" s="2" t="s">
        <v>24</v>
      </c>
      <c r="F884" s="4">
        <v>0</v>
      </c>
      <c r="G884" s="8">
        <f t="shared" si="115"/>
        <v>1000000000</v>
      </c>
      <c r="H884" s="4" t="str">
        <f t="shared" si="116"/>
        <v>Ohms</v>
      </c>
      <c r="I884" s="6">
        <v>564000000</v>
      </c>
      <c r="J884" s="6" t="str">
        <f t="shared" si="117"/>
        <v>Ohms</v>
      </c>
      <c r="K884" s="2" t="str">
        <f t="shared" si="118"/>
        <v>RTG</v>
      </c>
      <c r="L884" s="7">
        <v>46102</v>
      </c>
      <c r="M884" s="7">
        <f t="shared" si="122"/>
        <v>46467</v>
      </c>
      <c r="N884" s="7" t="str">
        <f>IF(C884="Ionizador", "Trimestral", IF(C884="Rack", "Anual", IF(C884="Mesa", "Anual", IF(C884="Tapete", "Semestral", IF(C884="Cautín", "Semestral", IF(C884="Silla", "Semestral", "Anual"))))))</f>
        <v>Anual</v>
      </c>
      <c r="O884" s="2" t="str">
        <f t="shared" ca="1" si="123"/>
        <v>VIGENTE</v>
      </c>
      <c r="P884" s="6" t="s">
        <v>25</v>
      </c>
      <c r="Q884" s="2"/>
    </row>
    <row r="885" spans="1:17" x14ac:dyDescent="0.25">
      <c r="A885" s="23" t="s">
        <v>330</v>
      </c>
      <c r="B885" s="2" t="s">
        <v>1016</v>
      </c>
      <c r="C885" s="3" t="s">
        <v>28</v>
      </c>
      <c r="D885" s="3" t="s">
        <v>23</v>
      </c>
      <c r="E885" s="2" t="s">
        <v>24</v>
      </c>
      <c r="F885" s="4">
        <v>0</v>
      </c>
      <c r="G885" s="8">
        <f t="shared" si="115"/>
        <v>1000000000</v>
      </c>
      <c r="H885" s="4" t="str">
        <f t="shared" si="116"/>
        <v>Ohms</v>
      </c>
      <c r="I885" s="6">
        <v>5680000</v>
      </c>
      <c r="J885" s="6" t="str">
        <f t="shared" si="117"/>
        <v>Ohms</v>
      </c>
      <c r="K885" s="2" t="str">
        <f t="shared" si="118"/>
        <v>RTG</v>
      </c>
      <c r="L885" s="7">
        <v>46102</v>
      </c>
      <c r="M885" s="7">
        <f t="shared" si="122"/>
        <v>46282</v>
      </c>
      <c r="N885" s="7" t="str">
        <f t="shared" ref="N885:N892" si="124">IF(C885="Ionizador", "Trimestral", IF(C885="Rack", "Semestral", IF(C885="Mesa", "Semestral", IF(C885="Tapete", "Semestral", IF(C885="Cautín", "Semestral", IF(C885="Silla", "Semestral", "Anual"))))))</f>
        <v>Semestral</v>
      </c>
      <c r="O885" s="2" t="str">
        <f t="shared" ca="1" si="123"/>
        <v>VIGENTE</v>
      </c>
      <c r="P885" s="6"/>
      <c r="Q885" s="2"/>
    </row>
    <row r="886" spans="1:17" x14ac:dyDescent="0.25">
      <c r="A886" s="23" t="s">
        <v>330</v>
      </c>
      <c r="B886" s="2" t="s">
        <v>1017</v>
      </c>
      <c r="C886" s="3" t="s">
        <v>28</v>
      </c>
      <c r="D886" s="3" t="s">
        <v>23</v>
      </c>
      <c r="E886" s="2" t="s">
        <v>24</v>
      </c>
      <c r="F886" s="4">
        <v>0</v>
      </c>
      <c r="G886" s="8">
        <f t="shared" ref="G886:G903" si="125">IF(C886="Ionizador", 10, IF(C886="Mesa", 1000000000, IF(C886="Rack", 1000000000, IF(C886="Piso", 1000000000, IF(C886="Tapete", 1000000000, IF(C886="Carrito", 1000000000, IF(C886="Cautín", 10, 1)))))))</f>
        <v>1000000000</v>
      </c>
      <c r="H886" s="4" t="str">
        <f t="shared" ref="H886:H903" si="126">IF(C886="Ionizador", "Segundos", "Ohms")</f>
        <v>Ohms</v>
      </c>
      <c r="I886" s="6">
        <v>86200000</v>
      </c>
      <c r="J886" s="6" t="str">
        <f t="shared" ref="J886:J903" si="127">H886</f>
        <v>Ohms</v>
      </c>
      <c r="K886" s="2" t="str">
        <f t="shared" ref="K886:K903" si="128">IF(C886="Ionizador", "Plato de carga", IF(C886="Cautín", "PTG", IF(C886="ESD Tester", "PTP Deviation", "RTG")))</f>
        <v>RTG</v>
      </c>
      <c r="L886" s="7">
        <v>46472</v>
      </c>
      <c r="M886" s="7">
        <f t="shared" si="122"/>
        <v>46652</v>
      </c>
      <c r="N886" s="7" t="str">
        <f t="shared" si="124"/>
        <v>Semestral</v>
      </c>
      <c r="O886" s="2" t="str">
        <f t="shared" ca="1" si="123"/>
        <v>VIGENTE</v>
      </c>
      <c r="P886" s="6"/>
      <c r="Q886" s="2"/>
    </row>
    <row r="887" spans="1:17" x14ac:dyDescent="0.25">
      <c r="A887" s="23" t="s">
        <v>330</v>
      </c>
      <c r="B887" s="2" t="s">
        <v>1018</v>
      </c>
      <c r="C887" s="3" t="s">
        <v>28</v>
      </c>
      <c r="D887" s="3" t="s">
        <v>23</v>
      </c>
      <c r="E887" s="2" t="s">
        <v>24</v>
      </c>
      <c r="F887" s="4">
        <v>0</v>
      </c>
      <c r="G887" s="8">
        <f t="shared" si="125"/>
        <v>1000000000</v>
      </c>
      <c r="H887" s="4" t="str">
        <f t="shared" si="126"/>
        <v>Ohms</v>
      </c>
      <c r="I887" s="6">
        <v>319000</v>
      </c>
      <c r="J887" s="6" t="str">
        <f t="shared" si="127"/>
        <v>Ohms</v>
      </c>
      <c r="K887" s="2" t="str">
        <f t="shared" si="128"/>
        <v>RTG</v>
      </c>
      <c r="L887" s="7">
        <v>46102</v>
      </c>
      <c r="M887" s="7">
        <f t="shared" si="122"/>
        <v>46282</v>
      </c>
      <c r="N887" s="7" t="str">
        <f t="shared" si="124"/>
        <v>Semestral</v>
      </c>
      <c r="O887" s="2" t="str">
        <f t="shared" ca="1" si="123"/>
        <v>VIGENTE</v>
      </c>
      <c r="P887" s="6"/>
      <c r="Q887" s="2"/>
    </row>
    <row r="888" spans="1:17" x14ac:dyDescent="0.25">
      <c r="A888" s="23" t="s">
        <v>330</v>
      </c>
      <c r="B888" s="2" t="s">
        <v>1019</v>
      </c>
      <c r="C888" s="3" t="s">
        <v>28</v>
      </c>
      <c r="D888" s="3" t="s">
        <v>23</v>
      </c>
      <c r="E888" s="2" t="s">
        <v>24</v>
      </c>
      <c r="F888" s="4">
        <v>0</v>
      </c>
      <c r="G888" s="8">
        <f t="shared" si="125"/>
        <v>1000000000</v>
      </c>
      <c r="H888" s="4" t="str">
        <f t="shared" si="126"/>
        <v>Ohms</v>
      </c>
      <c r="I888" s="6">
        <v>62300000</v>
      </c>
      <c r="J888" s="6" t="str">
        <f t="shared" si="127"/>
        <v>Ohms</v>
      </c>
      <c r="K888" s="2" t="str">
        <f t="shared" si="128"/>
        <v>RTG</v>
      </c>
      <c r="L888" s="7">
        <v>46102</v>
      </c>
      <c r="M888" s="7">
        <f t="shared" si="122"/>
        <v>46282</v>
      </c>
      <c r="N888" s="7" t="str">
        <f t="shared" si="124"/>
        <v>Semestral</v>
      </c>
      <c r="O888" s="2" t="str">
        <f t="shared" ca="1" si="123"/>
        <v>VIGENTE</v>
      </c>
      <c r="P888" s="6"/>
      <c r="Q888" s="2"/>
    </row>
    <row r="889" spans="1:17" x14ac:dyDescent="0.25">
      <c r="A889" s="23" t="s">
        <v>330</v>
      </c>
      <c r="B889" s="2" t="s">
        <v>1020</v>
      </c>
      <c r="C889" s="3" t="s">
        <v>28</v>
      </c>
      <c r="D889" s="3" t="s">
        <v>23</v>
      </c>
      <c r="E889" s="2" t="s">
        <v>24</v>
      </c>
      <c r="F889" s="4">
        <v>0</v>
      </c>
      <c r="G889" s="8">
        <f t="shared" si="125"/>
        <v>1000000000</v>
      </c>
      <c r="H889" s="4" t="str">
        <f t="shared" si="126"/>
        <v>Ohms</v>
      </c>
      <c r="I889" s="6">
        <v>93400000</v>
      </c>
      <c r="J889" s="6" t="str">
        <f t="shared" si="127"/>
        <v>Ohms</v>
      </c>
      <c r="K889" s="2" t="str">
        <f t="shared" si="128"/>
        <v>RTG</v>
      </c>
      <c r="L889" s="7">
        <v>46102</v>
      </c>
      <c r="M889" s="7">
        <f t="shared" si="122"/>
        <v>46282</v>
      </c>
      <c r="N889" s="7" t="str">
        <f t="shared" si="124"/>
        <v>Semestral</v>
      </c>
      <c r="O889" s="2" t="str">
        <f t="shared" ca="1" si="123"/>
        <v>VIGENTE</v>
      </c>
      <c r="P889" s="6"/>
      <c r="Q889" s="2"/>
    </row>
    <row r="890" spans="1:17" x14ac:dyDescent="0.25">
      <c r="A890" s="23" t="s">
        <v>330</v>
      </c>
      <c r="B890" s="2" t="s">
        <v>1021</v>
      </c>
      <c r="C890" s="3" t="s">
        <v>22</v>
      </c>
      <c r="D890" s="3" t="s">
        <v>23</v>
      </c>
      <c r="E890" s="2" t="s">
        <v>24</v>
      </c>
      <c r="F890" s="4">
        <v>0</v>
      </c>
      <c r="G890" s="8">
        <f t="shared" si="125"/>
        <v>1000000000</v>
      </c>
      <c r="H890" s="4" t="str">
        <f t="shared" si="126"/>
        <v>Ohms</v>
      </c>
      <c r="I890" s="6">
        <v>51800000</v>
      </c>
      <c r="J890" s="6" t="str">
        <f t="shared" si="127"/>
        <v>Ohms</v>
      </c>
      <c r="K890" s="2" t="str">
        <f t="shared" si="128"/>
        <v>RTG</v>
      </c>
      <c r="L890" s="7">
        <v>46102</v>
      </c>
      <c r="M890" s="7">
        <f t="shared" si="122"/>
        <v>46282</v>
      </c>
      <c r="N890" s="7" t="str">
        <f t="shared" si="124"/>
        <v>Semestral</v>
      </c>
      <c r="O890" s="2" t="str">
        <f t="shared" ca="1" si="123"/>
        <v>VIGENTE</v>
      </c>
      <c r="P890" s="6"/>
      <c r="Q890" s="2"/>
    </row>
    <row r="891" spans="1:17" x14ac:dyDescent="0.25">
      <c r="A891" s="23" t="s">
        <v>330</v>
      </c>
      <c r="B891" s="2" t="s">
        <v>1022</v>
      </c>
      <c r="C891" s="3" t="s">
        <v>22</v>
      </c>
      <c r="D891" s="3" t="s">
        <v>23</v>
      </c>
      <c r="E891" s="2" t="s">
        <v>24</v>
      </c>
      <c r="F891" s="4">
        <v>0</v>
      </c>
      <c r="G891" s="8">
        <f t="shared" si="125"/>
        <v>1000000000</v>
      </c>
      <c r="H891" s="4" t="str">
        <f t="shared" si="126"/>
        <v>Ohms</v>
      </c>
      <c r="I891" s="6">
        <v>35700000</v>
      </c>
      <c r="J891" s="6" t="str">
        <f t="shared" si="127"/>
        <v>Ohms</v>
      </c>
      <c r="K891" s="2" t="str">
        <f t="shared" si="128"/>
        <v>RTG</v>
      </c>
      <c r="L891" s="7">
        <v>46102</v>
      </c>
      <c r="M891" s="7">
        <f t="shared" si="122"/>
        <v>46282</v>
      </c>
      <c r="N891" s="7" t="str">
        <f t="shared" si="124"/>
        <v>Semestral</v>
      </c>
      <c r="O891" s="2" t="str">
        <f t="shared" ca="1" si="123"/>
        <v>VIGENTE</v>
      </c>
      <c r="P891" s="6"/>
      <c r="Q891" s="2"/>
    </row>
    <row r="892" spans="1:17" x14ac:dyDescent="0.25">
      <c r="A892" s="23" t="s">
        <v>330</v>
      </c>
      <c r="B892" s="2" t="s">
        <v>1023</v>
      </c>
      <c r="C892" s="3" t="s">
        <v>28</v>
      </c>
      <c r="D892" s="3" t="s">
        <v>23</v>
      </c>
      <c r="E892" s="2" t="s">
        <v>24</v>
      </c>
      <c r="F892" s="4">
        <v>0</v>
      </c>
      <c r="G892" s="8">
        <f t="shared" si="125"/>
        <v>1000000000</v>
      </c>
      <c r="H892" s="4" t="str">
        <f t="shared" si="126"/>
        <v>Ohms</v>
      </c>
      <c r="I892" s="6">
        <v>47100000</v>
      </c>
      <c r="J892" s="6" t="str">
        <f t="shared" si="127"/>
        <v>Ohms</v>
      </c>
      <c r="K892" s="2" t="str">
        <f t="shared" si="128"/>
        <v>RTG</v>
      </c>
      <c r="L892" s="7">
        <v>46102</v>
      </c>
      <c r="M892" s="7">
        <f t="shared" si="122"/>
        <v>46282</v>
      </c>
      <c r="N892" s="7" t="str">
        <f t="shared" si="124"/>
        <v>Semestral</v>
      </c>
      <c r="O892" s="2" t="str">
        <f t="shared" ca="1" si="123"/>
        <v>VIGENTE</v>
      </c>
      <c r="P892" s="6"/>
      <c r="Q892" s="2"/>
    </row>
    <row r="893" spans="1:17" x14ac:dyDescent="0.25">
      <c r="A893" s="23" t="s">
        <v>330</v>
      </c>
      <c r="B893" s="2" t="s">
        <v>1024</v>
      </c>
      <c r="C893" s="3" t="s">
        <v>89</v>
      </c>
      <c r="D893" s="3" t="s">
        <v>23</v>
      </c>
      <c r="E893" s="2" t="s">
        <v>24</v>
      </c>
      <c r="F893" s="4">
        <v>0</v>
      </c>
      <c r="G893" s="8">
        <f t="shared" si="125"/>
        <v>1000000000</v>
      </c>
      <c r="H893" s="4" t="str">
        <f t="shared" si="126"/>
        <v>Ohms</v>
      </c>
      <c r="I893" s="6">
        <v>6840000</v>
      </c>
      <c r="J893" s="6" t="str">
        <f t="shared" si="127"/>
        <v>Ohms</v>
      </c>
      <c r="K893" s="2" t="str">
        <f t="shared" si="128"/>
        <v>RTG</v>
      </c>
      <c r="L893" s="7">
        <v>46102</v>
      </c>
      <c r="M893" s="7">
        <f t="shared" si="122"/>
        <v>46467</v>
      </c>
      <c r="N893" s="7" t="str">
        <f>IF(C893="Ionizador", "Trimestral", IF(C893="Rack", "Anual", IF(C893="Mesa", "Anual", IF(C893="Tapete", "Semestral", IF(C893="Cautín", "Semestral", IF(C893="Silla", "Semestral", "Anual"))))))</f>
        <v>Anual</v>
      </c>
      <c r="O893" s="2" t="str">
        <f t="shared" ca="1" si="123"/>
        <v>VIGENTE</v>
      </c>
      <c r="P893" s="6" t="s">
        <v>25</v>
      </c>
      <c r="Q893" s="2"/>
    </row>
    <row r="894" spans="1:17" x14ac:dyDescent="0.25">
      <c r="A894" s="23" t="s">
        <v>330</v>
      </c>
      <c r="B894" s="2" t="s">
        <v>1025</v>
      </c>
      <c r="C894" s="3" t="s">
        <v>28</v>
      </c>
      <c r="D894" s="3" t="s">
        <v>23</v>
      </c>
      <c r="E894" s="2" t="s">
        <v>24</v>
      </c>
      <c r="F894" s="4">
        <v>0</v>
      </c>
      <c r="G894" s="8">
        <f t="shared" si="125"/>
        <v>1000000000</v>
      </c>
      <c r="H894" s="4" t="str">
        <f t="shared" si="126"/>
        <v>Ohms</v>
      </c>
      <c r="I894" s="6">
        <v>115000000</v>
      </c>
      <c r="J894" s="6" t="str">
        <f t="shared" si="127"/>
        <v>Ohms</v>
      </c>
      <c r="K894" s="2" t="str">
        <f t="shared" si="128"/>
        <v>RTG</v>
      </c>
      <c r="L894" s="7">
        <v>46102</v>
      </c>
      <c r="M894" s="7">
        <f t="shared" si="122"/>
        <v>46282</v>
      </c>
      <c r="N894" s="7" t="str">
        <f t="shared" ref="N894:N903" si="129">IF(C894="Ionizador", "Trimestral", IF(C894="Rack", "Semestral", IF(C894="Mesa", "Semestral", IF(C894="Tapete", "Semestral", IF(C894="Cautín", "Semestral", IF(C894="Silla", "Semestral", "Anual"))))))</f>
        <v>Semestral</v>
      </c>
      <c r="O894" s="2" t="str">
        <f t="shared" ca="1" si="123"/>
        <v>VIGENTE</v>
      </c>
      <c r="P894" s="6"/>
      <c r="Q894" s="2"/>
    </row>
    <row r="895" spans="1:17" x14ac:dyDescent="0.25">
      <c r="A895" s="23" t="s">
        <v>330</v>
      </c>
      <c r="B895" s="2" t="s">
        <v>1026</v>
      </c>
      <c r="C895" s="3" t="s">
        <v>28</v>
      </c>
      <c r="D895" s="3" t="s">
        <v>23</v>
      </c>
      <c r="E895" s="2" t="s">
        <v>24</v>
      </c>
      <c r="F895" s="4">
        <v>0</v>
      </c>
      <c r="G895" s="8">
        <f t="shared" si="125"/>
        <v>1000000000</v>
      </c>
      <c r="H895" s="4" t="str">
        <f t="shared" si="126"/>
        <v>Ohms</v>
      </c>
      <c r="I895" s="6">
        <v>569000</v>
      </c>
      <c r="J895" s="6" t="str">
        <f t="shared" si="127"/>
        <v>Ohms</v>
      </c>
      <c r="K895" s="2" t="str">
        <f t="shared" si="128"/>
        <v>RTG</v>
      </c>
      <c r="L895" s="7">
        <v>46102</v>
      </c>
      <c r="M895" s="7">
        <f t="shared" si="122"/>
        <v>46282</v>
      </c>
      <c r="N895" s="7" t="str">
        <f t="shared" si="129"/>
        <v>Semestral</v>
      </c>
      <c r="O895" s="2" t="str">
        <f t="shared" ca="1" si="123"/>
        <v>VIGENTE</v>
      </c>
      <c r="P895" s="6"/>
      <c r="Q895" s="2"/>
    </row>
    <row r="896" spans="1:17" x14ac:dyDescent="0.25">
      <c r="A896" s="23" t="s">
        <v>330</v>
      </c>
      <c r="B896" s="2" t="s">
        <v>1027</v>
      </c>
      <c r="C896" s="3" t="s">
        <v>28</v>
      </c>
      <c r="D896" s="3" t="s">
        <v>23</v>
      </c>
      <c r="E896" s="2" t="s">
        <v>24</v>
      </c>
      <c r="F896" s="4">
        <v>0</v>
      </c>
      <c r="G896" s="8">
        <f t="shared" si="125"/>
        <v>1000000000</v>
      </c>
      <c r="H896" s="4" t="str">
        <f t="shared" si="126"/>
        <v>Ohms</v>
      </c>
      <c r="I896" s="6">
        <v>55800</v>
      </c>
      <c r="J896" s="6" t="str">
        <f t="shared" si="127"/>
        <v>Ohms</v>
      </c>
      <c r="K896" s="2" t="str">
        <f t="shared" si="128"/>
        <v>RTG</v>
      </c>
      <c r="L896" s="7">
        <v>46102</v>
      </c>
      <c r="M896" s="7">
        <f t="shared" si="122"/>
        <v>46282</v>
      </c>
      <c r="N896" s="7" t="str">
        <f t="shared" si="129"/>
        <v>Semestral</v>
      </c>
      <c r="O896" s="2" t="str">
        <f t="shared" ca="1" si="123"/>
        <v>VIGENTE</v>
      </c>
      <c r="P896" s="6"/>
      <c r="Q896" s="2"/>
    </row>
    <row r="897" spans="1:17" x14ac:dyDescent="0.25">
      <c r="A897" s="23" t="s">
        <v>330</v>
      </c>
      <c r="B897" s="2" t="s">
        <v>1028</v>
      </c>
      <c r="C897" s="3" t="s">
        <v>22</v>
      </c>
      <c r="D897" s="3" t="s">
        <v>23</v>
      </c>
      <c r="E897" s="2" t="s">
        <v>24</v>
      </c>
      <c r="F897" s="4">
        <v>0</v>
      </c>
      <c r="G897" s="8">
        <f t="shared" si="125"/>
        <v>1000000000</v>
      </c>
      <c r="H897" s="4" t="str">
        <f t="shared" si="126"/>
        <v>Ohms</v>
      </c>
      <c r="I897" s="6">
        <v>23900</v>
      </c>
      <c r="J897" s="6" t="str">
        <f t="shared" si="127"/>
        <v>Ohms</v>
      </c>
      <c r="K897" s="2" t="str">
        <f t="shared" si="128"/>
        <v>RTG</v>
      </c>
      <c r="L897" s="7">
        <v>46102</v>
      </c>
      <c r="M897" s="7">
        <f t="shared" si="122"/>
        <v>46282</v>
      </c>
      <c r="N897" s="7" t="str">
        <f t="shared" si="129"/>
        <v>Semestral</v>
      </c>
      <c r="O897" s="2" t="str">
        <f t="shared" ca="1" si="123"/>
        <v>VIGENTE</v>
      </c>
      <c r="P897" s="6"/>
      <c r="Q897" s="2"/>
    </row>
    <row r="898" spans="1:17" x14ac:dyDescent="0.25">
      <c r="A898" s="23" t="s">
        <v>330</v>
      </c>
      <c r="B898" s="2" t="s">
        <v>1029</v>
      </c>
      <c r="C898" s="3" t="s">
        <v>28</v>
      </c>
      <c r="D898" s="3" t="s">
        <v>23</v>
      </c>
      <c r="E898" s="2" t="s">
        <v>24</v>
      </c>
      <c r="F898" s="4">
        <v>0</v>
      </c>
      <c r="G898" s="8">
        <f t="shared" si="125"/>
        <v>1000000000</v>
      </c>
      <c r="H898" s="4" t="str">
        <f t="shared" si="126"/>
        <v>Ohms</v>
      </c>
      <c r="I898" s="6">
        <v>67800000</v>
      </c>
      <c r="J898" s="6" t="str">
        <f t="shared" si="127"/>
        <v>Ohms</v>
      </c>
      <c r="K898" s="2" t="str">
        <f t="shared" si="128"/>
        <v>RTG</v>
      </c>
      <c r="L898" s="7">
        <v>46102</v>
      </c>
      <c r="M898" s="7">
        <f t="shared" si="122"/>
        <v>46282</v>
      </c>
      <c r="N898" s="7" t="str">
        <f t="shared" si="129"/>
        <v>Semestral</v>
      </c>
      <c r="O898" s="2" t="str">
        <f t="shared" ca="1" si="123"/>
        <v>VIGENTE</v>
      </c>
      <c r="P898" s="6"/>
      <c r="Q898" s="2"/>
    </row>
    <row r="899" spans="1:17" x14ac:dyDescent="0.25">
      <c r="A899" s="23" t="s">
        <v>330</v>
      </c>
      <c r="B899" s="2" t="s">
        <v>1030</v>
      </c>
      <c r="C899" s="3" t="s">
        <v>28</v>
      </c>
      <c r="D899" s="3" t="s">
        <v>23</v>
      </c>
      <c r="E899" s="2" t="s">
        <v>24</v>
      </c>
      <c r="F899" s="4">
        <v>0</v>
      </c>
      <c r="G899" s="8">
        <f t="shared" si="125"/>
        <v>1000000000</v>
      </c>
      <c r="H899" s="4" t="str">
        <f t="shared" si="126"/>
        <v>Ohms</v>
      </c>
      <c r="I899" s="6">
        <v>98700000</v>
      </c>
      <c r="J899" s="6" t="str">
        <f t="shared" si="127"/>
        <v>Ohms</v>
      </c>
      <c r="K899" s="2" t="str">
        <f t="shared" si="128"/>
        <v>RTG</v>
      </c>
      <c r="L899" s="7">
        <v>46102</v>
      </c>
      <c r="M899" s="7">
        <f t="shared" si="122"/>
        <v>46282</v>
      </c>
      <c r="N899" s="7" t="str">
        <f t="shared" si="129"/>
        <v>Semestral</v>
      </c>
      <c r="O899" s="2" t="str">
        <f t="shared" ca="1" si="123"/>
        <v>VIGENTE</v>
      </c>
      <c r="P899" s="6"/>
      <c r="Q899" s="2"/>
    </row>
    <row r="900" spans="1:17" x14ac:dyDescent="0.25">
      <c r="A900" s="23" t="s">
        <v>330</v>
      </c>
      <c r="B900" s="2" t="s">
        <v>1031</v>
      </c>
      <c r="C900" s="3" t="s">
        <v>28</v>
      </c>
      <c r="D900" s="3" t="s">
        <v>23</v>
      </c>
      <c r="E900" s="2" t="s">
        <v>24</v>
      </c>
      <c r="F900" s="4">
        <v>0</v>
      </c>
      <c r="G900" s="8">
        <f t="shared" si="125"/>
        <v>1000000000</v>
      </c>
      <c r="H900" s="4" t="str">
        <f t="shared" si="126"/>
        <v>Ohms</v>
      </c>
      <c r="I900" s="6">
        <v>34500000</v>
      </c>
      <c r="J900" s="6" t="str">
        <f t="shared" si="127"/>
        <v>Ohms</v>
      </c>
      <c r="K900" s="2" t="str">
        <f t="shared" si="128"/>
        <v>RTG</v>
      </c>
      <c r="L900" s="7">
        <v>46102</v>
      </c>
      <c r="M900" s="7">
        <f t="shared" si="122"/>
        <v>46282</v>
      </c>
      <c r="N900" s="7" t="str">
        <f t="shared" si="129"/>
        <v>Semestral</v>
      </c>
      <c r="O900" s="2" t="str">
        <f t="shared" ca="1" si="123"/>
        <v>VIGENTE</v>
      </c>
      <c r="P900" s="6"/>
      <c r="Q900" s="2"/>
    </row>
    <row r="901" spans="1:17" x14ac:dyDescent="0.25">
      <c r="A901" s="23" t="s">
        <v>330</v>
      </c>
      <c r="B901" s="2" t="s">
        <v>1032</v>
      </c>
      <c r="C901" s="3" t="s">
        <v>28</v>
      </c>
      <c r="D901" s="3" t="s">
        <v>23</v>
      </c>
      <c r="E901" s="2" t="s">
        <v>24</v>
      </c>
      <c r="F901" s="4">
        <v>0</v>
      </c>
      <c r="G901" s="8">
        <f t="shared" si="125"/>
        <v>1000000000</v>
      </c>
      <c r="H901" s="4" t="str">
        <f t="shared" si="126"/>
        <v>Ohms</v>
      </c>
      <c r="I901" s="6">
        <v>120000000</v>
      </c>
      <c r="J901" s="6" t="str">
        <f t="shared" si="127"/>
        <v>Ohms</v>
      </c>
      <c r="K901" s="2" t="str">
        <f t="shared" si="128"/>
        <v>RTG</v>
      </c>
      <c r="L901" s="7">
        <v>46102</v>
      </c>
      <c r="M901" s="7">
        <f t="shared" si="122"/>
        <v>46282</v>
      </c>
      <c r="N901" s="7" t="str">
        <f t="shared" si="129"/>
        <v>Semestral</v>
      </c>
      <c r="O901" s="2" t="str">
        <f t="shared" ca="1" si="123"/>
        <v>VIGENTE</v>
      </c>
      <c r="P901" s="6"/>
      <c r="Q901" s="2"/>
    </row>
    <row r="902" spans="1:17" x14ac:dyDescent="0.25">
      <c r="A902" s="23" t="s">
        <v>330</v>
      </c>
      <c r="B902" s="2" t="s">
        <v>1033</v>
      </c>
      <c r="C902" s="3" t="s">
        <v>89</v>
      </c>
      <c r="D902" s="3" t="s">
        <v>23</v>
      </c>
      <c r="E902" s="2" t="s">
        <v>24</v>
      </c>
      <c r="F902" s="4">
        <v>0</v>
      </c>
      <c r="G902" s="8">
        <f t="shared" si="125"/>
        <v>1000000000</v>
      </c>
      <c r="H902" s="4" t="str">
        <f t="shared" si="126"/>
        <v>Ohms</v>
      </c>
      <c r="I902" s="6">
        <v>234000000</v>
      </c>
      <c r="J902" s="6" t="str">
        <f t="shared" si="127"/>
        <v>Ohms</v>
      </c>
      <c r="K902" s="2" t="str">
        <f t="shared" si="128"/>
        <v>RTG</v>
      </c>
      <c r="L902" s="7">
        <v>46102</v>
      </c>
      <c r="M902" s="7">
        <f t="shared" si="122"/>
        <v>46467</v>
      </c>
      <c r="N902" s="7" t="str">
        <f t="shared" si="129"/>
        <v>Anual</v>
      </c>
      <c r="O902" s="2" t="str">
        <f t="shared" ca="1" si="123"/>
        <v>VIGENTE</v>
      </c>
      <c r="P902" s="6"/>
      <c r="Q902" s="2"/>
    </row>
    <row r="903" spans="1:17" x14ac:dyDescent="0.25">
      <c r="A903" s="23" t="s">
        <v>330</v>
      </c>
      <c r="B903" s="2" t="s">
        <v>1034</v>
      </c>
      <c r="C903" s="3" t="s">
        <v>28</v>
      </c>
      <c r="D903" s="3" t="s">
        <v>23</v>
      </c>
      <c r="E903" s="2" t="s">
        <v>24</v>
      </c>
      <c r="F903" s="4">
        <v>0</v>
      </c>
      <c r="G903" s="8">
        <f t="shared" si="125"/>
        <v>1000000000</v>
      </c>
      <c r="H903" s="4" t="str">
        <f t="shared" si="126"/>
        <v>Ohms</v>
      </c>
      <c r="I903" s="6">
        <v>56700000</v>
      </c>
      <c r="J903" s="6" t="str">
        <f t="shared" si="127"/>
        <v>Ohms</v>
      </c>
      <c r="K903" s="2" t="str">
        <f t="shared" si="128"/>
        <v>RTG</v>
      </c>
      <c r="L903" s="7">
        <v>46102</v>
      </c>
      <c r="M903" s="7">
        <f t="shared" si="122"/>
        <v>46282</v>
      </c>
      <c r="N903" s="7" t="str">
        <f t="shared" si="129"/>
        <v>Semestral</v>
      </c>
      <c r="O903" s="2" t="str">
        <f t="shared" ca="1" si="123"/>
        <v>VIGENTE</v>
      </c>
      <c r="P903" s="6"/>
      <c r="Q903" s="2"/>
    </row>
    <row r="904" spans="1:17" x14ac:dyDescent="0.25">
      <c r="A904" s="23" t="s">
        <v>1877</v>
      </c>
      <c r="B904" s="2" t="s">
        <v>1878</v>
      </c>
      <c r="C904" s="3" t="s">
        <v>28</v>
      </c>
      <c r="D904" s="3" t="s">
        <v>23</v>
      </c>
      <c r="E904" s="2" t="s">
        <v>24</v>
      </c>
      <c r="F904" s="4">
        <v>0</v>
      </c>
      <c r="G904" s="8">
        <f t="shared" ref="G904:G923" si="130">IF(C904="Ionizador", 10, IF(C904="Mesa", 1000000000, IF(C904="Rack", 1000000000, IF(C904="Piso", 1000000000, IF(C904="Tapete", 1000000000, IF(C904="Carrito", 1000000000, IF(C904="Cautín", 10, 1)))))))</f>
        <v>1000000000</v>
      </c>
      <c r="H904" s="4" t="str">
        <f t="shared" ref="H904:H923" si="131">IF(C904="Ionizador", "Segundos", "Ohms")</f>
        <v>Ohms</v>
      </c>
      <c r="I904" s="6">
        <v>44900</v>
      </c>
      <c r="J904" s="6" t="str">
        <f t="shared" ref="J904:J923" si="132">H904</f>
        <v>Ohms</v>
      </c>
      <c r="K904" s="2" t="str">
        <f t="shared" ref="K904:K923" si="133">IF(C904="Ionizador", "Plato de carga", IF(C904="Cautín", "PTG", IF(C904="ESD Tester", "PTP Deviation", "RTG")))</f>
        <v>RTG</v>
      </c>
      <c r="L904" s="2"/>
      <c r="M904" s="7"/>
      <c r="N904" s="7" t="str">
        <f t="shared" ref="N904:N923" si="134">IF(C904="Ionizador", "Trimestral", IF(C904="Rack", "Anual", IF(C904="Mesa", "Anual", IF(C904="Tapete", "Semestral", IF(C904="Cautín", "Semestral", IF(C904="Silla", "Semestral", "Anual"))))))</f>
        <v>Anual</v>
      </c>
      <c r="O904" s="2" t="str">
        <f t="shared" ref="O904:O907" ca="1" si="135">IF(M904&lt;TODAY(),"VENCIDO",IF(M904=TODAY(),"VIGENTE",IF(M904&gt;TODAY(),"VIGENTE")))</f>
        <v>VENCIDO</v>
      </c>
      <c r="P904" s="2" t="str">
        <f t="shared" ref="P904:P907" ca="1" si="136">IF(N904&lt;TODAY(),"VENCIDO",IF(N904=TODAY(),"VIGENTE",IF(N904&gt;TODAY(),"VIGENTE")))</f>
        <v>VIGENTE</v>
      </c>
      <c r="Q904" s="6" t="s">
        <v>25</v>
      </c>
    </row>
    <row r="905" spans="1:17" x14ac:dyDescent="0.25">
      <c r="A905" s="23" t="s">
        <v>1877</v>
      </c>
      <c r="B905" s="2" t="s">
        <v>1879</v>
      </c>
      <c r="C905" s="3" t="s">
        <v>28</v>
      </c>
      <c r="D905" s="3" t="s">
        <v>23</v>
      </c>
      <c r="E905" s="2" t="s">
        <v>24</v>
      </c>
      <c r="F905" s="4">
        <v>0</v>
      </c>
      <c r="G905" s="8">
        <f t="shared" si="130"/>
        <v>1000000000</v>
      </c>
      <c r="H905" s="4" t="str">
        <f t="shared" si="131"/>
        <v>Ohms</v>
      </c>
      <c r="I905" s="6">
        <v>93400000</v>
      </c>
      <c r="J905" s="6" t="str">
        <f t="shared" si="132"/>
        <v>Ohms</v>
      </c>
      <c r="K905" s="2" t="str">
        <f t="shared" si="133"/>
        <v>RTG</v>
      </c>
      <c r="L905" s="2"/>
      <c r="M905" s="7"/>
      <c r="N905" s="7" t="str">
        <f t="shared" si="134"/>
        <v>Anual</v>
      </c>
      <c r="O905" s="2" t="str">
        <f t="shared" ca="1" si="135"/>
        <v>VENCIDO</v>
      </c>
      <c r="P905" s="2" t="str">
        <f t="shared" ca="1" si="136"/>
        <v>VIGENTE</v>
      </c>
      <c r="Q905" s="6" t="s">
        <v>25</v>
      </c>
    </row>
    <row r="906" spans="1:17" x14ac:dyDescent="0.25">
      <c r="A906" s="23" t="s">
        <v>1877</v>
      </c>
      <c r="B906" s="2" t="s">
        <v>1880</v>
      </c>
      <c r="C906" s="3" t="s">
        <v>28</v>
      </c>
      <c r="D906" s="3" t="s">
        <v>23</v>
      </c>
      <c r="E906" s="2" t="s">
        <v>24</v>
      </c>
      <c r="F906" s="4">
        <v>0</v>
      </c>
      <c r="G906" s="8">
        <f t="shared" si="130"/>
        <v>1000000000</v>
      </c>
      <c r="H906" s="4" t="str">
        <f t="shared" si="131"/>
        <v>Ohms</v>
      </c>
      <c r="I906" s="6"/>
      <c r="J906" s="6" t="str">
        <f t="shared" si="132"/>
        <v>Ohms</v>
      </c>
      <c r="K906" s="2" t="str">
        <f t="shared" si="133"/>
        <v>RTG</v>
      </c>
      <c r="L906" s="2"/>
      <c r="M906" s="7"/>
      <c r="N906" s="7" t="str">
        <f t="shared" si="134"/>
        <v>Anual</v>
      </c>
      <c r="O906" s="2" t="str">
        <f t="shared" ca="1" si="135"/>
        <v>VENCIDO</v>
      </c>
      <c r="P906" s="2" t="str">
        <f t="shared" ca="1" si="136"/>
        <v>VIGENTE</v>
      </c>
      <c r="Q906" s="6" t="s">
        <v>25</v>
      </c>
    </row>
    <row r="907" spans="1:17" x14ac:dyDescent="0.25">
      <c r="A907" s="23" t="s">
        <v>1877</v>
      </c>
      <c r="B907" s="2" t="s">
        <v>1881</v>
      </c>
      <c r="C907" s="3" t="s">
        <v>28</v>
      </c>
      <c r="D907" s="3" t="s">
        <v>23</v>
      </c>
      <c r="E907" s="2" t="s">
        <v>24</v>
      </c>
      <c r="F907" s="4">
        <v>0</v>
      </c>
      <c r="G907" s="8">
        <f t="shared" si="130"/>
        <v>1000000000</v>
      </c>
      <c r="H907" s="4" t="str">
        <f t="shared" si="131"/>
        <v>Ohms</v>
      </c>
      <c r="I907" s="6">
        <v>43900000</v>
      </c>
      <c r="J907" s="6" t="str">
        <f t="shared" si="132"/>
        <v>Ohms</v>
      </c>
      <c r="K907" s="2" t="str">
        <f t="shared" si="133"/>
        <v>RTG</v>
      </c>
      <c r="L907" s="2"/>
      <c r="M907" s="7"/>
      <c r="N907" s="7" t="str">
        <f t="shared" si="134"/>
        <v>Anual</v>
      </c>
      <c r="O907" s="2" t="str">
        <f t="shared" ca="1" si="135"/>
        <v>VENCIDO</v>
      </c>
      <c r="P907" s="2" t="str">
        <f t="shared" ca="1" si="136"/>
        <v>VIGENTE</v>
      </c>
      <c r="Q907" s="6" t="s">
        <v>25</v>
      </c>
    </row>
    <row r="908" spans="1:17" x14ac:dyDescent="0.25">
      <c r="A908" s="23" t="s">
        <v>1035</v>
      </c>
      <c r="B908" s="2" t="s">
        <v>1036</v>
      </c>
      <c r="C908" s="3" t="s">
        <v>22</v>
      </c>
      <c r="D908" s="3" t="s">
        <v>23</v>
      </c>
      <c r="E908" s="2" t="s">
        <v>24</v>
      </c>
      <c r="F908" s="4">
        <v>0</v>
      </c>
      <c r="G908" s="8">
        <f t="shared" si="130"/>
        <v>1000000000</v>
      </c>
      <c r="H908" s="4" t="str">
        <f t="shared" si="131"/>
        <v>Ohms</v>
      </c>
      <c r="I908" s="6">
        <v>14200000</v>
      </c>
      <c r="J908" s="6" t="str">
        <f t="shared" si="132"/>
        <v>Ohms</v>
      </c>
      <c r="K908" s="2" t="str">
        <f t="shared" si="133"/>
        <v>RTG</v>
      </c>
      <c r="L908" s="7">
        <v>45856</v>
      </c>
      <c r="M908" s="7">
        <f t="shared" ref="M908:M939" si="137">IF(N908="Trimestral", L908+90, IF(N908="Semestral", L908+180, IF(N908="Mensual", L908+30, L908+365)))</f>
        <v>46221</v>
      </c>
      <c r="N908" s="7" t="str">
        <f t="shared" si="134"/>
        <v>Anual</v>
      </c>
      <c r="O908" s="2" t="str">
        <f t="shared" ref="O908:O945" ca="1" si="138">IF(M908&lt;TODAY(),"VENCIDO",IF(M908=TODAY(),"VIGENTE",IF(M908&gt;TODAY(),"VIGENTE")))</f>
        <v>VIGENTE</v>
      </c>
      <c r="P908" s="6" t="s">
        <v>25</v>
      </c>
      <c r="Q908" s="2"/>
    </row>
    <row r="909" spans="1:17" x14ac:dyDescent="0.25">
      <c r="A909" s="23" t="s">
        <v>1035</v>
      </c>
      <c r="B909" s="2" t="s">
        <v>1037</v>
      </c>
      <c r="C909" s="3" t="s">
        <v>22</v>
      </c>
      <c r="D909" s="3" t="s">
        <v>23</v>
      </c>
      <c r="E909" s="2" t="s">
        <v>24</v>
      </c>
      <c r="F909" s="4">
        <v>0</v>
      </c>
      <c r="G909" s="8">
        <f t="shared" si="130"/>
        <v>1000000000</v>
      </c>
      <c r="H909" s="4" t="str">
        <f t="shared" si="131"/>
        <v>Ohms</v>
      </c>
      <c r="I909" s="6">
        <v>14600000</v>
      </c>
      <c r="J909" s="6" t="str">
        <f t="shared" si="132"/>
        <v>Ohms</v>
      </c>
      <c r="K909" s="2" t="str">
        <f t="shared" si="133"/>
        <v>RTG</v>
      </c>
      <c r="L909" s="7">
        <v>45856</v>
      </c>
      <c r="M909" s="7">
        <f t="shared" si="137"/>
        <v>46221</v>
      </c>
      <c r="N909" s="7" t="str">
        <f t="shared" si="134"/>
        <v>Anual</v>
      </c>
      <c r="O909" s="2" t="str">
        <f t="shared" ca="1" si="138"/>
        <v>VIGENTE</v>
      </c>
      <c r="P909" s="6" t="s">
        <v>25</v>
      </c>
      <c r="Q909" s="2"/>
    </row>
    <row r="910" spans="1:17" x14ac:dyDescent="0.25">
      <c r="A910" s="23" t="s">
        <v>1035</v>
      </c>
      <c r="B910" s="2" t="s">
        <v>1038</v>
      </c>
      <c r="C910" s="3" t="s">
        <v>22</v>
      </c>
      <c r="D910" s="3" t="s">
        <v>23</v>
      </c>
      <c r="E910" s="2" t="s">
        <v>24</v>
      </c>
      <c r="F910" s="4">
        <v>0</v>
      </c>
      <c r="G910" s="8">
        <f t="shared" si="130"/>
        <v>1000000000</v>
      </c>
      <c r="H910" s="4" t="str">
        <f t="shared" si="131"/>
        <v>Ohms</v>
      </c>
      <c r="I910" s="6">
        <v>17600000</v>
      </c>
      <c r="J910" s="6" t="str">
        <f t="shared" si="132"/>
        <v>Ohms</v>
      </c>
      <c r="K910" s="2" t="str">
        <f t="shared" si="133"/>
        <v>RTG</v>
      </c>
      <c r="L910" s="7">
        <v>45856</v>
      </c>
      <c r="M910" s="7">
        <f t="shared" si="137"/>
        <v>46221</v>
      </c>
      <c r="N910" s="7" t="str">
        <f t="shared" si="134"/>
        <v>Anual</v>
      </c>
      <c r="O910" s="2" t="str">
        <f t="shared" ca="1" si="138"/>
        <v>VIGENTE</v>
      </c>
      <c r="P910" s="6" t="s">
        <v>25</v>
      </c>
      <c r="Q910" s="2"/>
    </row>
    <row r="911" spans="1:17" x14ac:dyDescent="0.25">
      <c r="A911" s="23" t="s">
        <v>1035</v>
      </c>
      <c r="B911" s="2" t="s">
        <v>1039</v>
      </c>
      <c r="C911" s="3" t="s">
        <v>22</v>
      </c>
      <c r="D911" s="3" t="s">
        <v>23</v>
      </c>
      <c r="E911" s="2" t="s">
        <v>24</v>
      </c>
      <c r="F911" s="4">
        <v>0</v>
      </c>
      <c r="G911" s="8">
        <f t="shared" si="130"/>
        <v>1000000000</v>
      </c>
      <c r="H911" s="4" t="str">
        <f t="shared" si="131"/>
        <v>Ohms</v>
      </c>
      <c r="I911" s="6">
        <v>12800000</v>
      </c>
      <c r="J911" s="6" t="str">
        <f t="shared" si="132"/>
        <v>Ohms</v>
      </c>
      <c r="K911" s="2" t="str">
        <f t="shared" si="133"/>
        <v>RTG</v>
      </c>
      <c r="L911" s="7">
        <v>45856</v>
      </c>
      <c r="M911" s="7">
        <f t="shared" si="137"/>
        <v>46221</v>
      </c>
      <c r="N911" s="7" t="str">
        <f t="shared" si="134"/>
        <v>Anual</v>
      </c>
      <c r="O911" s="2" t="str">
        <f t="shared" ca="1" si="138"/>
        <v>VIGENTE</v>
      </c>
      <c r="P911" s="6" t="s">
        <v>25</v>
      </c>
      <c r="Q911" s="2"/>
    </row>
    <row r="912" spans="1:17" x14ac:dyDescent="0.25">
      <c r="A912" s="23" t="s">
        <v>1035</v>
      </c>
      <c r="B912" s="2" t="s">
        <v>1067</v>
      </c>
      <c r="C912" s="3" t="s">
        <v>28</v>
      </c>
      <c r="D912" s="3" t="s">
        <v>23</v>
      </c>
      <c r="E912" s="2" t="s">
        <v>24</v>
      </c>
      <c r="F912" s="4">
        <v>0</v>
      </c>
      <c r="G912" s="8">
        <f t="shared" si="130"/>
        <v>1000000000</v>
      </c>
      <c r="H912" s="4" t="str">
        <f t="shared" si="131"/>
        <v>Ohms</v>
      </c>
      <c r="I912" s="6">
        <v>34800000</v>
      </c>
      <c r="J912" s="6" t="str">
        <f t="shared" si="132"/>
        <v>Ohms</v>
      </c>
      <c r="K912" s="2" t="str">
        <f t="shared" si="133"/>
        <v>RTG</v>
      </c>
      <c r="L912" s="7">
        <v>45856</v>
      </c>
      <c r="M912" s="7">
        <f t="shared" si="137"/>
        <v>46221</v>
      </c>
      <c r="N912" s="7" t="str">
        <f t="shared" si="134"/>
        <v>Anual</v>
      </c>
      <c r="O912" s="2" t="str">
        <f t="shared" ca="1" si="138"/>
        <v>VIGENTE</v>
      </c>
      <c r="P912" s="6" t="s">
        <v>25</v>
      </c>
      <c r="Q912" s="2"/>
    </row>
    <row r="913" spans="1:17" x14ac:dyDescent="0.25">
      <c r="A913" s="23" t="s">
        <v>1035</v>
      </c>
      <c r="B913" s="2" t="s">
        <v>1068</v>
      </c>
      <c r="C913" s="3" t="s">
        <v>28</v>
      </c>
      <c r="D913" s="3" t="s">
        <v>23</v>
      </c>
      <c r="E913" s="2" t="s">
        <v>24</v>
      </c>
      <c r="F913" s="4">
        <v>0</v>
      </c>
      <c r="G913" s="8">
        <f t="shared" si="130"/>
        <v>1000000000</v>
      </c>
      <c r="H913" s="4" t="str">
        <f t="shared" si="131"/>
        <v>Ohms</v>
      </c>
      <c r="I913" s="6">
        <v>1120000</v>
      </c>
      <c r="J913" s="6" t="str">
        <f t="shared" si="132"/>
        <v>Ohms</v>
      </c>
      <c r="K913" s="2" t="str">
        <f t="shared" si="133"/>
        <v>RTG</v>
      </c>
      <c r="L913" s="7">
        <v>45856</v>
      </c>
      <c r="M913" s="7">
        <f t="shared" si="137"/>
        <v>46221</v>
      </c>
      <c r="N913" s="7" t="str">
        <f t="shared" si="134"/>
        <v>Anual</v>
      </c>
      <c r="O913" s="2" t="str">
        <f t="shared" ca="1" si="138"/>
        <v>VIGENTE</v>
      </c>
      <c r="P913" s="6" t="s">
        <v>25</v>
      </c>
      <c r="Q913" s="2"/>
    </row>
    <row r="914" spans="1:17" x14ac:dyDescent="0.25">
      <c r="A914" s="23" t="s">
        <v>1035</v>
      </c>
      <c r="B914" s="2" t="s">
        <v>1069</v>
      </c>
      <c r="C914" s="3" t="s">
        <v>89</v>
      </c>
      <c r="D914" s="3" t="s">
        <v>23</v>
      </c>
      <c r="E914" s="2" t="s">
        <v>24</v>
      </c>
      <c r="F914" s="4">
        <v>0</v>
      </c>
      <c r="G914" s="8">
        <f t="shared" si="130"/>
        <v>1000000000</v>
      </c>
      <c r="H914" s="4" t="str">
        <f t="shared" si="131"/>
        <v>Ohms</v>
      </c>
      <c r="I914" s="6">
        <v>54700000</v>
      </c>
      <c r="J914" s="6" t="str">
        <f t="shared" si="132"/>
        <v>Ohms</v>
      </c>
      <c r="K914" s="2" t="str">
        <f t="shared" si="133"/>
        <v>RTG</v>
      </c>
      <c r="L914" s="7">
        <v>45980</v>
      </c>
      <c r="M914" s="7">
        <f t="shared" si="137"/>
        <v>46345</v>
      </c>
      <c r="N914" s="7" t="str">
        <f t="shared" si="134"/>
        <v>Anual</v>
      </c>
      <c r="O914" s="2" t="str">
        <f t="shared" ca="1" si="138"/>
        <v>VIGENTE</v>
      </c>
      <c r="P914" s="6" t="s">
        <v>25</v>
      </c>
      <c r="Q914" s="2"/>
    </row>
    <row r="915" spans="1:17" x14ac:dyDescent="0.25">
      <c r="A915" s="23" t="s">
        <v>140</v>
      </c>
      <c r="B915" s="2" t="s">
        <v>141</v>
      </c>
      <c r="C915" s="3" t="s">
        <v>133</v>
      </c>
      <c r="D915" s="3" t="s">
        <v>23</v>
      </c>
      <c r="E915" s="2" t="s">
        <v>24</v>
      </c>
      <c r="F915" s="4">
        <v>0</v>
      </c>
      <c r="G915" s="8">
        <f t="shared" si="130"/>
        <v>1</v>
      </c>
      <c r="H915" s="4" t="str">
        <f t="shared" si="131"/>
        <v>Ohms</v>
      </c>
      <c r="I915" s="6">
        <v>674000000</v>
      </c>
      <c r="J915" s="6" t="str">
        <f t="shared" si="132"/>
        <v>Ohms</v>
      </c>
      <c r="K915" s="2" t="str">
        <f t="shared" si="133"/>
        <v>RTG</v>
      </c>
      <c r="L915" s="7">
        <v>46069</v>
      </c>
      <c r="M915" s="7">
        <f t="shared" si="137"/>
        <v>46434</v>
      </c>
      <c r="N915" s="7" t="str">
        <f t="shared" si="134"/>
        <v>Anual</v>
      </c>
      <c r="O915" s="2" t="str">
        <f t="shared" ca="1" si="138"/>
        <v>VIGENTE</v>
      </c>
      <c r="P915" s="6" t="s">
        <v>25</v>
      </c>
      <c r="Q915" s="2" t="s">
        <v>126</v>
      </c>
    </row>
    <row r="916" spans="1:17" x14ac:dyDescent="0.25">
      <c r="A916" s="23" t="s">
        <v>140</v>
      </c>
      <c r="B916" s="2" t="s">
        <v>463</v>
      </c>
      <c r="C916" s="3" t="s">
        <v>22</v>
      </c>
      <c r="D916" s="3" t="s">
        <v>23</v>
      </c>
      <c r="E916" s="2" t="s">
        <v>24</v>
      </c>
      <c r="F916" s="4">
        <v>0</v>
      </c>
      <c r="G916" s="8">
        <f t="shared" si="130"/>
        <v>1000000000</v>
      </c>
      <c r="H916" s="4" t="str">
        <f t="shared" si="131"/>
        <v>Ohms</v>
      </c>
      <c r="I916" s="6">
        <v>464000000</v>
      </c>
      <c r="J916" s="6" t="str">
        <f t="shared" si="132"/>
        <v>Ohms</v>
      </c>
      <c r="K916" s="2" t="str">
        <f t="shared" si="133"/>
        <v>RTG</v>
      </c>
      <c r="L916" s="7">
        <v>45700</v>
      </c>
      <c r="M916" s="7">
        <f t="shared" si="137"/>
        <v>46065</v>
      </c>
      <c r="N916" s="7" t="str">
        <f t="shared" si="134"/>
        <v>Anual</v>
      </c>
      <c r="O916" s="2" t="str">
        <f t="shared" ca="1" si="138"/>
        <v>VENCIDO</v>
      </c>
      <c r="P916" s="6" t="s">
        <v>25</v>
      </c>
      <c r="Q916" s="2"/>
    </row>
    <row r="917" spans="1:17" x14ac:dyDescent="0.25">
      <c r="A917" s="23" t="s">
        <v>140</v>
      </c>
      <c r="B917" s="2" t="s">
        <v>464</v>
      </c>
      <c r="C917" s="3" t="s">
        <v>22</v>
      </c>
      <c r="D917" s="3" t="s">
        <v>23</v>
      </c>
      <c r="E917" s="2" t="s">
        <v>24</v>
      </c>
      <c r="F917" s="4">
        <v>0</v>
      </c>
      <c r="G917" s="8">
        <f t="shared" si="130"/>
        <v>1000000000</v>
      </c>
      <c r="H917" s="4" t="str">
        <f t="shared" si="131"/>
        <v>Ohms</v>
      </c>
      <c r="I917" s="6">
        <v>157000000</v>
      </c>
      <c r="J917" s="6" t="str">
        <f t="shared" si="132"/>
        <v>Ohms</v>
      </c>
      <c r="K917" s="2" t="str">
        <f t="shared" si="133"/>
        <v>RTG</v>
      </c>
      <c r="L917" s="7">
        <v>45700</v>
      </c>
      <c r="M917" s="7">
        <f t="shared" si="137"/>
        <v>46065</v>
      </c>
      <c r="N917" s="7" t="str">
        <f t="shared" si="134"/>
        <v>Anual</v>
      </c>
      <c r="O917" s="2" t="str">
        <f t="shared" ca="1" si="138"/>
        <v>VENCIDO</v>
      </c>
      <c r="P917" s="6" t="s">
        <v>25</v>
      </c>
      <c r="Q917" s="2"/>
    </row>
    <row r="918" spans="1:17" x14ac:dyDescent="0.25">
      <c r="A918" s="23" t="s">
        <v>140</v>
      </c>
      <c r="B918" s="2" t="s">
        <v>468</v>
      </c>
      <c r="C918" s="3" t="s">
        <v>22</v>
      </c>
      <c r="D918" s="3" t="s">
        <v>23</v>
      </c>
      <c r="E918" s="2" t="s">
        <v>24</v>
      </c>
      <c r="F918" s="4">
        <v>0</v>
      </c>
      <c r="G918" s="8">
        <f t="shared" si="130"/>
        <v>1000000000</v>
      </c>
      <c r="H918" s="4" t="str">
        <f t="shared" si="131"/>
        <v>Ohms</v>
      </c>
      <c r="I918" s="6">
        <v>38300000</v>
      </c>
      <c r="J918" s="6" t="str">
        <f t="shared" si="132"/>
        <v>Ohms</v>
      </c>
      <c r="K918" s="2" t="str">
        <f t="shared" si="133"/>
        <v>RTG</v>
      </c>
      <c r="L918" s="7">
        <v>46069</v>
      </c>
      <c r="M918" s="7">
        <f t="shared" si="137"/>
        <v>46434</v>
      </c>
      <c r="N918" s="7" t="str">
        <f t="shared" si="134"/>
        <v>Anual</v>
      </c>
      <c r="O918" s="2" t="str">
        <f t="shared" ca="1" si="138"/>
        <v>VIGENTE</v>
      </c>
      <c r="P918" s="6" t="s">
        <v>25</v>
      </c>
      <c r="Q918" s="2"/>
    </row>
    <row r="919" spans="1:17" x14ac:dyDescent="0.25">
      <c r="A919" s="23" t="s">
        <v>140</v>
      </c>
      <c r="B919" s="2" t="s">
        <v>471</v>
      </c>
      <c r="C919" s="3" t="s">
        <v>22</v>
      </c>
      <c r="D919" s="3" t="s">
        <v>23</v>
      </c>
      <c r="E919" s="2" t="s">
        <v>24</v>
      </c>
      <c r="F919" s="4">
        <v>0</v>
      </c>
      <c r="G919" s="8">
        <f t="shared" si="130"/>
        <v>1000000000</v>
      </c>
      <c r="H919" s="4" t="str">
        <f t="shared" si="131"/>
        <v>Ohms</v>
      </c>
      <c r="I919" s="6">
        <v>797000000</v>
      </c>
      <c r="J919" s="6" t="str">
        <f t="shared" si="132"/>
        <v>Ohms</v>
      </c>
      <c r="K919" s="2" t="str">
        <f t="shared" si="133"/>
        <v>RTG</v>
      </c>
      <c r="L919" s="7">
        <v>46069</v>
      </c>
      <c r="M919" s="7">
        <f t="shared" si="137"/>
        <v>46434</v>
      </c>
      <c r="N919" s="7" t="str">
        <f t="shared" si="134"/>
        <v>Anual</v>
      </c>
      <c r="O919" s="2" t="str">
        <f t="shared" ca="1" si="138"/>
        <v>VIGENTE</v>
      </c>
      <c r="P919" s="6" t="s">
        <v>25</v>
      </c>
      <c r="Q919" s="2"/>
    </row>
    <row r="920" spans="1:17" x14ac:dyDescent="0.25">
      <c r="A920" s="23" t="s">
        <v>140</v>
      </c>
      <c r="B920" s="2" t="s">
        <v>1072</v>
      </c>
      <c r="C920" s="3" t="s">
        <v>22</v>
      </c>
      <c r="D920" s="3" t="s">
        <v>23</v>
      </c>
      <c r="E920" s="2" t="s">
        <v>24</v>
      </c>
      <c r="F920" s="4">
        <v>0</v>
      </c>
      <c r="G920" s="8">
        <f t="shared" si="130"/>
        <v>1000000000</v>
      </c>
      <c r="H920" s="4" t="str">
        <f t="shared" si="131"/>
        <v>Ohms</v>
      </c>
      <c r="I920" s="6">
        <v>91100</v>
      </c>
      <c r="J920" s="6" t="str">
        <f t="shared" si="132"/>
        <v>Ohms</v>
      </c>
      <c r="K920" s="2" t="str">
        <f t="shared" si="133"/>
        <v>RTG</v>
      </c>
      <c r="L920" s="7">
        <v>45737</v>
      </c>
      <c r="M920" s="7">
        <f t="shared" si="137"/>
        <v>46102</v>
      </c>
      <c r="N920" s="7" t="str">
        <f t="shared" si="134"/>
        <v>Anual</v>
      </c>
      <c r="O920" s="2" t="str">
        <f t="shared" ca="1" si="138"/>
        <v>VENCIDO</v>
      </c>
      <c r="P920" s="6" t="s">
        <v>25</v>
      </c>
      <c r="Q920" s="2"/>
    </row>
    <row r="921" spans="1:17" x14ac:dyDescent="0.25">
      <c r="A921" s="23" t="s">
        <v>140</v>
      </c>
      <c r="B921" s="2" t="s">
        <v>1073</v>
      </c>
      <c r="C921" s="3" t="s">
        <v>22</v>
      </c>
      <c r="D921" s="3" t="s">
        <v>23</v>
      </c>
      <c r="E921" s="2" t="s">
        <v>24</v>
      </c>
      <c r="F921" s="4">
        <v>0</v>
      </c>
      <c r="G921" s="8">
        <f t="shared" si="130"/>
        <v>1000000000</v>
      </c>
      <c r="H921" s="4" t="str">
        <f t="shared" si="131"/>
        <v>Ohms</v>
      </c>
      <c r="I921" s="6">
        <v>603000000</v>
      </c>
      <c r="J921" s="6" t="str">
        <f t="shared" si="132"/>
        <v>Ohms</v>
      </c>
      <c r="K921" s="2" t="str">
        <f t="shared" si="133"/>
        <v>RTG</v>
      </c>
      <c r="L921" s="7">
        <v>45737</v>
      </c>
      <c r="M921" s="7">
        <f t="shared" si="137"/>
        <v>46102</v>
      </c>
      <c r="N921" s="7" t="str">
        <f t="shared" si="134"/>
        <v>Anual</v>
      </c>
      <c r="O921" s="2" t="str">
        <f t="shared" ca="1" si="138"/>
        <v>VENCIDO</v>
      </c>
      <c r="P921" s="6" t="s">
        <v>25</v>
      </c>
      <c r="Q921" s="2"/>
    </row>
    <row r="922" spans="1:17" x14ac:dyDescent="0.25">
      <c r="A922" s="23" t="s">
        <v>140</v>
      </c>
      <c r="B922" s="2" t="s">
        <v>1074</v>
      </c>
      <c r="C922" s="3" t="s">
        <v>22</v>
      </c>
      <c r="D922" s="3" t="s">
        <v>23</v>
      </c>
      <c r="E922" s="2" t="s">
        <v>24</v>
      </c>
      <c r="F922" s="4">
        <v>0</v>
      </c>
      <c r="G922" s="8">
        <f t="shared" si="130"/>
        <v>1000000000</v>
      </c>
      <c r="H922" s="4" t="str">
        <f t="shared" si="131"/>
        <v>Ohms</v>
      </c>
      <c r="I922" s="6">
        <v>599000000</v>
      </c>
      <c r="J922" s="6" t="str">
        <f t="shared" si="132"/>
        <v>Ohms</v>
      </c>
      <c r="K922" s="2" t="str">
        <f t="shared" si="133"/>
        <v>RTG</v>
      </c>
      <c r="L922" s="7">
        <v>45737</v>
      </c>
      <c r="M922" s="7">
        <f t="shared" si="137"/>
        <v>46102</v>
      </c>
      <c r="N922" s="7" t="str">
        <f t="shared" si="134"/>
        <v>Anual</v>
      </c>
      <c r="O922" s="2" t="str">
        <f t="shared" ca="1" si="138"/>
        <v>VENCIDO</v>
      </c>
      <c r="P922" s="6" t="s">
        <v>25</v>
      </c>
      <c r="Q922" s="2"/>
    </row>
    <row r="923" spans="1:17" x14ac:dyDescent="0.25">
      <c r="A923" s="23" t="s">
        <v>140</v>
      </c>
      <c r="B923" s="2" t="s">
        <v>1075</v>
      </c>
      <c r="C923" s="3" t="s">
        <v>22</v>
      </c>
      <c r="D923" s="3" t="s">
        <v>23</v>
      </c>
      <c r="E923" s="2" t="s">
        <v>24</v>
      </c>
      <c r="F923" s="4">
        <v>0</v>
      </c>
      <c r="G923" s="8">
        <f t="shared" si="130"/>
        <v>1000000000</v>
      </c>
      <c r="H923" s="4" t="str">
        <f t="shared" si="131"/>
        <v>Ohms</v>
      </c>
      <c r="I923" s="6">
        <v>904000000</v>
      </c>
      <c r="J923" s="6" t="str">
        <f t="shared" si="132"/>
        <v>Ohms</v>
      </c>
      <c r="K923" s="2" t="str">
        <f t="shared" si="133"/>
        <v>RTG</v>
      </c>
      <c r="L923" s="7">
        <v>45737</v>
      </c>
      <c r="M923" s="7">
        <f t="shared" si="137"/>
        <v>46102</v>
      </c>
      <c r="N923" s="7" t="str">
        <f t="shared" si="134"/>
        <v>Anual</v>
      </c>
      <c r="O923" s="2" t="str">
        <f t="shared" ca="1" si="138"/>
        <v>VENCIDO</v>
      </c>
      <c r="P923" s="6" t="s">
        <v>25</v>
      </c>
      <c r="Q923" s="2"/>
    </row>
    <row r="924" spans="1:17" x14ac:dyDescent="0.25">
      <c r="A924" s="23" t="s">
        <v>140</v>
      </c>
      <c r="B924" s="2" t="s">
        <v>1076</v>
      </c>
      <c r="C924" s="3" t="s">
        <v>28</v>
      </c>
      <c r="D924" s="3" t="s">
        <v>23</v>
      </c>
      <c r="E924" s="2" t="s">
        <v>24</v>
      </c>
      <c r="F924" s="4">
        <v>0</v>
      </c>
      <c r="G924" s="8">
        <f t="shared" ref="G924:G955" si="139">IF(C924="Ionizador", 10, IF(C924="Mesa", 1000000000, IF(C924="Rack", 1000000000, IF(C924="Piso", 1000000000, IF(C924="Tapete", 1000000000, IF(C924="Carrito", 1000000000, IF(C924="Cautín", 10, 1)))))))</f>
        <v>1000000000</v>
      </c>
      <c r="H924" s="4" t="str">
        <f t="shared" ref="H924:H955" si="140">IF(C924="Ionizador", "Segundos", "Ohms")</f>
        <v>Ohms</v>
      </c>
      <c r="I924" s="6">
        <v>157000</v>
      </c>
      <c r="J924" s="6" t="str">
        <f t="shared" ref="J924:J955" si="141">H924</f>
        <v>Ohms</v>
      </c>
      <c r="K924" s="2" t="str">
        <f t="shared" ref="K924:K955" si="142">IF(C924="Ionizador", "Plato de carga", IF(C924="Cautín", "PTG", IF(C924="ESD Tester", "PTP Deviation", "RTG")))</f>
        <v>RTG</v>
      </c>
      <c r="L924" s="7">
        <v>45737</v>
      </c>
      <c r="M924" s="7">
        <f t="shared" si="137"/>
        <v>46102</v>
      </c>
      <c r="N924" s="7" t="str">
        <f t="shared" ref="N924:N945" si="143">IF(C924="Ionizador", "Trimestral", IF(C924="Rack", "Anual", IF(C924="Mesa", "Anual", IF(C924="Tapete", "Semestral", IF(C924="Cautín", "Semestral", IF(C924="Silla", "Semestral", "Anual"))))))</f>
        <v>Anual</v>
      </c>
      <c r="O924" s="2" t="str">
        <f t="shared" ca="1" si="138"/>
        <v>VENCIDO</v>
      </c>
      <c r="P924" s="6" t="s">
        <v>25</v>
      </c>
      <c r="Q924" s="2" t="s">
        <v>29</v>
      </c>
    </row>
    <row r="925" spans="1:17" x14ac:dyDescent="0.25">
      <c r="A925" s="23" t="s">
        <v>140</v>
      </c>
      <c r="B925" s="2" t="s">
        <v>1077</v>
      </c>
      <c r="C925" s="3" t="s">
        <v>28</v>
      </c>
      <c r="D925" s="3" t="s">
        <v>23</v>
      </c>
      <c r="E925" s="2" t="s">
        <v>24</v>
      </c>
      <c r="F925" s="4">
        <v>0</v>
      </c>
      <c r="G925" s="8">
        <f t="shared" si="139"/>
        <v>1000000000</v>
      </c>
      <c r="H925" s="4" t="str">
        <f t="shared" si="140"/>
        <v>Ohms</v>
      </c>
      <c r="I925" s="6">
        <v>628000000</v>
      </c>
      <c r="J925" s="6" t="str">
        <f t="shared" si="141"/>
        <v>Ohms</v>
      </c>
      <c r="K925" s="2" t="str">
        <f t="shared" si="142"/>
        <v>RTG</v>
      </c>
      <c r="L925" s="7">
        <v>45737</v>
      </c>
      <c r="M925" s="7">
        <f t="shared" si="137"/>
        <v>46102</v>
      </c>
      <c r="N925" s="7" t="str">
        <f t="shared" si="143"/>
        <v>Anual</v>
      </c>
      <c r="O925" s="2" t="str">
        <f t="shared" ca="1" si="138"/>
        <v>VENCIDO</v>
      </c>
      <c r="P925" s="6" t="s">
        <v>25</v>
      </c>
      <c r="Q925" s="2" t="s">
        <v>29</v>
      </c>
    </row>
    <row r="926" spans="1:17" x14ac:dyDescent="0.25">
      <c r="A926" s="23" t="s">
        <v>140</v>
      </c>
      <c r="B926" s="2" t="s">
        <v>1078</v>
      </c>
      <c r="C926" s="3" t="s">
        <v>28</v>
      </c>
      <c r="D926" s="3" t="s">
        <v>23</v>
      </c>
      <c r="E926" s="2" t="s">
        <v>24</v>
      </c>
      <c r="F926" s="4">
        <v>0</v>
      </c>
      <c r="G926" s="8">
        <f t="shared" si="139"/>
        <v>1000000000</v>
      </c>
      <c r="H926" s="4" t="str">
        <f t="shared" si="140"/>
        <v>Ohms</v>
      </c>
      <c r="I926" s="6">
        <v>174000</v>
      </c>
      <c r="J926" s="6" t="str">
        <f t="shared" si="141"/>
        <v>Ohms</v>
      </c>
      <c r="K926" s="2" t="str">
        <f t="shared" si="142"/>
        <v>RTG</v>
      </c>
      <c r="L926" s="7">
        <v>45737</v>
      </c>
      <c r="M926" s="7">
        <f t="shared" si="137"/>
        <v>46102</v>
      </c>
      <c r="N926" s="7" t="str">
        <f t="shared" si="143"/>
        <v>Anual</v>
      </c>
      <c r="O926" s="2" t="str">
        <f t="shared" ca="1" si="138"/>
        <v>VENCIDO</v>
      </c>
      <c r="P926" s="6" t="s">
        <v>25</v>
      </c>
      <c r="Q926" s="2" t="s">
        <v>29</v>
      </c>
    </row>
    <row r="927" spans="1:17" x14ac:dyDescent="0.25">
      <c r="A927" s="23" t="s">
        <v>140</v>
      </c>
      <c r="B927" s="2" t="s">
        <v>1079</v>
      </c>
      <c r="C927" s="3" t="s">
        <v>28</v>
      </c>
      <c r="D927" s="3" t="s">
        <v>23</v>
      </c>
      <c r="E927" s="2" t="s">
        <v>24</v>
      </c>
      <c r="F927" s="4">
        <v>0</v>
      </c>
      <c r="G927" s="8">
        <f t="shared" si="139"/>
        <v>1000000000</v>
      </c>
      <c r="H927" s="4" t="str">
        <f t="shared" si="140"/>
        <v>Ohms</v>
      </c>
      <c r="I927" s="6">
        <v>1000000</v>
      </c>
      <c r="J927" s="6" t="str">
        <f t="shared" si="141"/>
        <v>Ohms</v>
      </c>
      <c r="K927" s="2" t="str">
        <f t="shared" si="142"/>
        <v>RTG</v>
      </c>
      <c r="L927" s="7">
        <v>45737</v>
      </c>
      <c r="M927" s="7">
        <f t="shared" si="137"/>
        <v>46102</v>
      </c>
      <c r="N927" s="7" t="str">
        <f t="shared" si="143"/>
        <v>Anual</v>
      </c>
      <c r="O927" s="2" t="str">
        <f t="shared" ca="1" si="138"/>
        <v>VENCIDO</v>
      </c>
      <c r="P927" s="6" t="s">
        <v>25</v>
      </c>
      <c r="Q927" s="2" t="s">
        <v>29</v>
      </c>
    </row>
    <row r="928" spans="1:17" x14ac:dyDescent="0.25">
      <c r="A928" s="23" t="s">
        <v>140</v>
      </c>
      <c r="B928" s="2" t="s">
        <v>1080</v>
      </c>
      <c r="C928" s="3" t="s">
        <v>28</v>
      </c>
      <c r="D928" s="3" t="s">
        <v>23</v>
      </c>
      <c r="E928" s="2" t="s">
        <v>24</v>
      </c>
      <c r="F928" s="4">
        <v>0</v>
      </c>
      <c r="G928" s="8">
        <f t="shared" si="139"/>
        <v>1000000000</v>
      </c>
      <c r="H928" s="4" t="str">
        <f t="shared" si="140"/>
        <v>Ohms</v>
      </c>
      <c r="I928" s="6">
        <v>15500000</v>
      </c>
      <c r="J928" s="6" t="str">
        <f t="shared" si="141"/>
        <v>Ohms</v>
      </c>
      <c r="K928" s="2" t="str">
        <f t="shared" si="142"/>
        <v>RTG</v>
      </c>
      <c r="L928" s="7">
        <v>45737</v>
      </c>
      <c r="M928" s="7">
        <f t="shared" si="137"/>
        <v>46102</v>
      </c>
      <c r="N928" s="7" t="str">
        <f t="shared" si="143"/>
        <v>Anual</v>
      </c>
      <c r="O928" s="2" t="str">
        <f t="shared" ca="1" si="138"/>
        <v>VENCIDO</v>
      </c>
      <c r="P928" s="6" t="s">
        <v>25</v>
      </c>
      <c r="Q928" s="2" t="s">
        <v>29</v>
      </c>
    </row>
    <row r="929" spans="1:17" x14ac:dyDescent="0.25">
      <c r="A929" s="23" t="s">
        <v>140</v>
      </c>
      <c r="B929" s="2" t="s">
        <v>1081</v>
      </c>
      <c r="C929" s="3" t="s">
        <v>28</v>
      </c>
      <c r="D929" s="3" t="s">
        <v>23</v>
      </c>
      <c r="E929" s="2" t="s">
        <v>24</v>
      </c>
      <c r="F929" s="4">
        <v>0</v>
      </c>
      <c r="G929" s="8">
        <f t="shared" si="139"/>
        <v>1000000000</v>
      </c>
      <c r="H929" s="4" t="str">
        <f t="shared" si="140"/>
        <v>Ohms</v>
      </c>
      <c r="I929" s="6">
        <v>922000000</v>
      </c>
      <c r="J929" s="6" t="str">
        <f t="shared" si="141"/>
        <v>Ohms</v>
      </c>
      <c r="K929" s="2" t="str">
        <f t="shared" si="142"/>
        <v>RTG</v>
      </c>
      <c r="L929" s="7">
        <v>45737</v>
      </c>
      <c r="M929" s="7">
        <f t="shared" si="137"/>
        <v>46102</v>
      </c>
      <c r="N929" s="7" t="str">
        <f t="shared" si="143"/>
        <v>Anual</v>
      </c>
      <c r="O929" s="2" t="str">
        <f t="shared" ca="1" si="138"/>
        <v>VENCIDO</v>
      </c>
      <c r="P929" s="6" t="s">
        <v>25</v>
      </c>
      <c r="Q929" s="2" t="s">
        <v>29</v>
      </c>
    </row>
    <row r="930" spans="1:17" x14ac:dyDescent="0.25">
      <c r="A930" s="23" t="s">
        <v>140</v>
      </c>
      <c r="B930" s="2" t="s">
        <v>1082</v>
      </c>
      <c r="C930" s="3" t="s">
        <v>28</v>
      </c>
      <c r="D930" s="3" t="s">
        <v>23</v>
      </c>
      <c r="E930" s="2" t="s">
        <v>24</v>
      </c>
      <c r="F930" s="4">
        <v>0</v>
      </c>
      <c r="G930" s="8">
        <f t="shared" si="139"/>
        <v>1000000000</v>
      </c>
      <c r="H930" s="4" t="str">
        <f t="shared" si="140"/>
        <v>Ohms</v>
      </c>
      <c r="I930" s="6">
        <v>87400000</v>
      </c>
      <c r="J930" s="6" t="str">
        <f t="shared" si="141"/>
        <v>Ohms</v>
      </c>
      <c r="K930" s="2" t="str">
        <f t="shared" si="142"/>
        <v>RTG</v>
      </c>
      <c r="L930" s="7">
        <v>45737</v>
      </c>
      <c r="M930" s="7">
        <f t="shared" si="137"/>
        <v>46102</v>
      </c>
      <c r="N930" s="7" t="str">
        <f t="shared" si="143"/>
        <v>Anual</v>
      </c>
      <c r="O930" s="2" t="str">
        <f t="shared" ca="1" si="138"/>
        <v>VENCIDO</v>
      </c>
      <c r="P930" s="6" t="s">
        <v>25</v>
      </c>
      <c r="Q930" s="2" t="s">
        <v>29</v>
      </c>
    </row>
    <row r="931" spans="1:17" x14ac:dyDescent="0.25">
      <c r="A931" s="23" t="s">
        <v>140</v>
      </c>
      <c r="B931" s="2" t="s">
        <v>1083</v>
      </c>
      <c r="C931" s="3" t="s">
        <v>28</v>
      </c>
      <c r="D931" s="3" t="s">
        <v>23</v>
      </c>
      <c r="E931" s="2" t="s">
        <v>24</v>
      </c>
      <c r="F931" s="4">
        <v>0</v>
      </c>
      <c r="G931" s="8">
        <f t="shared" si="139"/>
        <v>1000000000</v>
      </c>
      <c r="H931" s="4" t="str">
        <f t="shared" si="140"/>
        <v>Ohms</v>
      </c>
      <c r="I931" s="6">
        <v>6570000</v>
      </c>
      <c r="J931" s="6" t="str">
        <f t="shared" si="141"/>
        <v>Ohms</v>
      </c>
      <c r="K931" s="2" t="str">
        <f t="shared" si="142"/>
        <v>RTG</v>
      </c>
      <c r="L931" s="7">
        <v>45737</v>
      </c>
      <c r="M931" s="7">
        <f t="shared" si="137"/>
        <v>46102</v>
      </c>
      <c r="N931" s="7" t="str">
        <f t="shared" si="143"/>
        <v>Anual</v>
      </c>
      <c r="O931" s="2" t="str">
        <f t="shared" ca="1" si="138"/>
        <v>VENCIDO</v>
      </c>
      <c r="P931" s="6" t="s">
        <v>25</v>
      </c>
      <c r="Q931" s="2" t="s">
        <v>29</v>
      </c>
    </row>
    <row r="932" spans="1:17" x14ac:dyDescent="0.25">
      <c r="A932" s="23" t="s">
        <v>140</v>
      </c>
      <c r="B932" s="2" t="s">
        <v>1084</v>
      </c>
      <c r="C932" s="3" t="s">
        <v>28</v>
      </c>
      <c r="D932" s="3" t="s">
        <v>23</v>
      </c>
      <c r="E932" s="2" t="s">
        <v>24</v>
      </c>
      <c r="F932" s="4">
        <v>0</v>
      </c>
      <c r="G932" s="8">
        <f t="shared" si="139"/>
        <v>1000000000</v>
      </c>
      <c r="H932" s="4" t="str">
        <f t="shared" si="140"/>
        <v>Ohms</v>
      </c>
      <c r="I932" s="6">
        <v>788000000</v>
      </c>
      <c r="J932" s="6" t="str">
        <f t="shared" si="141"/>
        <v>Ohms</v>
      </c>
      <c r="K932" s="2" t="str">
        <f t="shared" si="142"/>
        <v>RTG</v>
      </c>
      <c r="L932" s="7">
        <v>45737</v>
      </c>
      <c r="M932" s="7">
        <f t="shared" si="137"/>
        <v>46102</v>
      </c>
      <c r="N932" s="7" t="str">
        <f t="shared" si="143"/>
        <v>Anual</v>
      </c>
      <c r="O932" s="2" t="str">
        <f t="shared" ca="1" si="138"/>
        <v>VENCIDO</v>
      </c>
      <c r="P932" s="6" t="s">
        <v>25</v>
      </c>
      <c r="Q932" s="2" t="s">
        <v>29</v>
      </c>
    </row>
    <row r="933" spans="1:17" x14ac:dyDescent="0.25">
      <c r="A933" s="23" t="s">
        <v>140</v>
      </c>
      <c r="B933" s="2" t="s">
        <v>1085</v>
      </c>
      <c r="C933" s="3" t="s">
        <v>28</v>
      </c>
      <c r="D933" s="3" t="s">
        <v>23</v>
      </c>
      <c r="E933" s="2" t="s">
        <v>24</v>
      </c>
      <c r="F933" s="4">
        <v>0</v>
      </c>
      <c r="G933" s="8">
        <f t="shared" si="139"/>
        <v>1000000000</v>
      </c>
      <c r="H933" s="4" t="str">
        <f t="shared" si="140"/>
        <v>Ohms</v>
      </c>
      <c r="I933" s="6">
        <v>571000000</v>
      </c>
      <c r="J933" s="6" t="str">
        <f t="shared" si="141"/>
        <v>Ohms</v>
      </c>
      <c r="K933" s="2" t="str">
        <f t="shared" si="142"/>
        <v>RTG</v>
      </c>
      <c r="L933" s="7">
        <v>45737</v>
      </c>
      <c r="M933" s="7">
        <f t="shared" si="137"/>
        <v>46102</v>
      </c>
      <c r="N933" s="7" t="str">
        <f t="shared" si="143"/>
        <v>Anual</v>
      </c>
      <c r="O933" s="2" t="str">
        <f t="shared" ca="1" si="138"/>
        <v>VENCIDO</v>
      </c>
      <c r="P933" s="6" t="s">
        <v>25</v>
      </c>
      <c r="Q933" s="2" t="s">
        <v>29</v>
      </c>
    </row>
    <row r="934" spans="1:17" x14ac:dyDescent="0.25">
      <c r="A934" s="23" t="s">
        <v>140</v>
      </c>
      <c r="B934" s="2" t="s">
        <v>1086</v>
      </c>
      <c r="C934" s="3" t="s">
        <v>28</v>
      </c>
      <c r="D934" s="3" t="s">
        <v>23</v>
      </c>
      <c r="E934" s="2" t="s">
        <v>24</v>
      </c>
      <c r="F934" s="4">
        <v>0</v>
      </c>
      <c r="G934" s="8">
        <f t="shared" si="139"/>
        <v>1000000000</v>
      </c>
      <c r="H934" s="4" t="str">
        <f t="shared" si="140"/>
        <v>Ohms</v>
      </c>
      <c r="I934" s="6">
        <v>594000</v>
      </c>
      <c r="J934" s="6" t="str">
        <f t="shared" si="141"/>
        <v>Ohms</v>
      </c>
      <c r="K934" s="2" t="str">
        <f t="shared" si="142"/>
        <v>RTG</v>
      </c>
      <c r="L934" s="7">
        <v>45737</v>
      </c>
      <c r="M934" s="7">
        <f t="shared" si="137"/>
        <v>46102</v>
      </c>
      <c r="N934" s="7" t="str">
        <f t="shared" si="143"/>
        <v>Anual</v>
      </c>
      <c r="O934" s="2" t="str">
        <f t="shared" ca="1" si="138"/>
        <v>VENCIDO</v>
      </c>
      <c r="P934" s="6" t="s">
        <v>25</v>
      </c>
      <c r="Q934" s="2" t="s">
        <v>29</v>
      </c>
    </row>
    <row r="935" spans="1:17" x14ac:dyDescent="0.25">
      <c r="A935" s="23" t="s">
        <v>140</v>
      </c>
      <c r="B935" s="2" t="s">
        <v>1087</v>
      </c>
      <c r="C935" s="3" t="s">
        <v>43</v>
      </c>
      <c r="D935" s="3" t="s">
        <v>23</v>
      </c>
      <c r="E935" s="2" t="s">
        <v>24</v>
      </c>
      <c r="F935" s="4">
        <v>0</v>
      </c>
      <c r="G935" s="8">
        <f t="shared" si="139"/>
        <v>1000000000</v>
      </c>
      <c r="H935" s="4" t="str">
        <f t="shared" si="140"/>
        <v>Ohms</v>
      </c>
      <c r="I935" s="6">
        <v>390000</v>
      </c>
      <c r="J935" s="6" t="str">
        <f t="shared" si="141"/>
        <v>Ohms</v>
      </c>
      <c r="K935" s="2" t="str">
        <f t="shared" si="142"/>
        <v>RTG</v>
      </c>
      <c r="L935" s="7">
        <v>45737</v>
      </c>
      <c r="M935" s="7">
        <f t="shared" si="137"/>
        <v>45917</v>
      </c>
      <c r="N935" s="7" t="str">
        <f t="shared" si="143"/>
        <v>Semestral</v>
      </c>
      <c r="O935" s="2" t="str">
        <f t="shared" ca="1" si="138"/>
        <v>VENCIDO</v>
      </c>
      <c r="P935" s="6" t="s">
        <v>25</v>
      </c>
      <c r="Q935" s="2"/>
    </row>
    <row r="936" spans="1:17" x14ac:dyDescent="0.25">
      <c r="A936" s="23" t="s">
        <v>140</v>
      </c>
      <c r="B936" s="2" t="s">
        <v>1088</v>
      </c>
      <c r="C936" s="3" t="s">
        <v>43</v>
      </c>
      <c r="D936" s="3" t="s">
        <v>23</v>
      </c>
      <c r="E936" s="2" t="s">
        <v>24</v>
      </c>
      <c r="F936" s="4">
        <v>0</v>
      </c>
      <c r="G936" s="8">
        <f t="shared" si="139"/>
        <v>1000000000</v>
      </c>
      <c r="H936" s="4" t="str">
        <f t="shared" si="140"/>
        <v>Ohms</v>
      </c>
      <c r="I936" s="6">
        <v>180000</v>
      </c>
      <c r="J936" s="6" t="str">
        <f t="shared" si="141"/>
        <v>Ohms</v>
      </c>
      <c r="K936" s="2" t="str">
        <f t="shared" si="142"/>
        <v>RTG</v>
      </c>
      <c r="L936" s="7">
        <v>45737</v>
      </c>
      <c r="M936" s="7">
        <f t="shared" si="137"/>
        <v>45917</v>
      </c>
      <c r="N936" s="7" t="str">
        <f t="shared" si="143"/>
        <v>Semestral</v>
      </c>
      <c r="O936" s="2" t="str">
        <f t="shared" ca="1" si="138"/>
        <v>VENCIDO</v>
      </c>
      <c r="P936" s="6" t="s">
        <v>25</v>
      </c>
      <c r="Q936" s="2"/>
    </row>
    <row r="937" spans="1:17" x14ac:dyDescent="0.25">
      <c r="A937" s="23" t="s">
        <v>140</v>
      </c>
      <c r="B937" s="2" t="s">
        <v>1089</v>
      </c>
      <c r="C937" s="3" t="s">
        <v>43</v>
      </c>
      <c r="D937" s="3" t="s">
        <v>23</v>
      </c>
      <c r="E937" s="2" t="s">
        <v>24</v>
      </c>
      <c r="F937" s="4">
        <v>0</v>
      </c>
      <c r="G937" s="8">
        <f t="shared" si="139"/>
        <v>1000000000</v>
      </c>
      <c r="H937" s="4" t="str">
        <f t="shared" si="140"/>
        <v>Ohms</v>
      </c>
      <c r="I937" s="6">
        <v>35200000</v>
      </c>
      <c r="J937" s="6" t="str">
        <f t="shared" si="141"/>
        <v>Ohms</v>
      </c>
      <c r="K937" s="2" t="str">
        <f t="shared" si="142"/>
        <v>RTG</v>
      </c>
      <c r="L937" s="7">
        <v>45737</v>
      </c>
      <c r="M937" s="7">
        <f t="shared" si="137"/>
        <v>45917</v>
      </c>
      <c r="N937" s="7" t="str">
        <f t="shared" si="143"/>
        <v>Semestral</v>
      </c>
      <c r="O937" s="2" t="str">
        <f t="shared" ca="1" si="138"/>
        <v>VENCIDO</v>
      </c>
      <c r="P937" s="6" t="s">
        <v>25</v>
      </c>
      <c r="Q937" s="2"/>
    </row>
    <row r="938" spans="1:17" x14ac:dyDescent="0.25">
      <c r="A938" s="23" t="s">
        <v>140</v>
      </c>
      <c r="B938" s="2" t="s">
        <v>1090</v>
      </c>
      <c r="C938" s="3" t="s">
        <v>43</v>
      </c>
      <c r="D938" s="3" t="s">
        <v>23</v>
      </c>
      <c r="E938" s="2" t="s">
        <v>24</v>
      </c>
      <c r="F938" s="4">
        <v>0</v>
      </c>
      <c r="G938" s="8">
        <f t="shared" si="139"/>
        <v>1000000000</v>
      </c>
      <c r="H938" s="4" t="str">
        <f t="shared" si="140"/>
        <v>Ohms</v>
      </c>
      <c r="I938" s="6">
        <v>157000</v>
      </c>
      <c r="J938" s="6" t="str">
        <f t="shared" si="141"/>
        <v>Ohms</v>
      </c>
      <c r="K938" s="2" t="str">
        <f t="shared" si="142"/>
        <v>RTG</v>
      </c>
      <c r="L938" s="7">
        <v>45737</v>
      </c>
      <c r="M938" s="7">
        <f t="shared" si="137"/>
        <v>45917</v>
      </c>
      <c r="N938" s="7" t="str">
        <f t="shared" si="143"/>
        <v>Semestral</v>
      </c>
      <c r="O938" s="2" t="str">
        <f t="shared" ca="1" si="138"/>
        <v>VENCIDO</v>
      </c>
      <c r="P938" s="6" t="s">
        <v>25</v>
      </c>
      <c r="Q938" s="2"/>
    </row>
    <row r="939" spans="1:17" x14ac:dyDescent="0.25">
      <c r="A939" s="23" t="s">
        <v>140</v>
      </c>
      <c r="B939" s="2" t="s">
        <v>1091</v>
      </c>
      <c r="C939" s="3" t="s">
        <v>43</v>
      </c>
      <c r="D939" s="3" t="s">
        <v>23</v>
      </c>
      <c r="E939" s="2" t="s">
        <v>24</v>
      </c>
      <c r="F939" s="4">
        <v>0</v>
      </c>
      <c r="G939" s="8">
        <f t="shared" si="139"/>
        <v>1000000000</v>
      </c>
      <c r="H939" s="4" t="str">
        <f t="shared" si="140"/>
        <v>Ohms</v>
      </c>
      <c r="I939" s="6">
        <v>175000</v>
      </c>
      <c r="J939" s="6" t="str">
        <f t="shared" si="141"/>
        <v>Ohms</v>
      </c>
      <c r="K939" s="2" t="str">
        <f t="shared" si="142"/>
        <v>RTG</v>
      </c>
      <c r="L939" s="7">
        <v>45737</v>
      </c>
      <c r="M939" s="7">
        <f t="shared" si="137"/>
        <v>45917</v>
      </c>
      <c r="N939" s="7" t="str">
        <f t="shared" si="143"/>
        <v>Semestral</v>
      </c>
      <c r="O939" s="2" t="str">
        <f t="shared" ca="1" si="138"/>
        <v>VENCIDO</v>
      </c>
      <c r="P939" s="6" t="s">
        <v>25</v>
      </c>
      <c r="Q939" s="2"/>
    </row>
    <row r="940" spans="1:17" x14ac:dyDescent="0.25">
      <c r="A940" s="23" t="s">
        <v>140</v>
      </c>
      <c r="B940" s="2" t="s">
        <v>1092</v>
      </c>
      <c r="C940" s="3" t="s">
        <v>43</v>
      </c>
      <c r="D940" s="3" t="s">
        <v>23</v>
      </c>
      <c r="E940" s="2" t="s">
        <v>24</v>
      </c>
      <c r="F940" s="4">
        <v>0</v>
      </c>
      <c r="G940" s="8">
        <f t="shared" si="139"/>
        <v>1000000000</v>
      </c>
      <c r="H940" s="4" t="str">
        <f t="shared" si="140"/>
        <v>Ohms</v>
      </c>
      <c r="I940" s="6">
        <v>1050000</v>
      </c>
      <c r="J940" s="6" t="str">
        <f t="shared" si="141"/>
        <v>Ohms</v>
      </c>
      <c r="K940" s="2" t="str">
        <f t="shared" si="142"/>
        <v>RTG</v>
      </c>
      <c r="L940" s="7">
        <v>45737</v>
      </c>
      <c r="M940" s="7">
        <f t="shared" ref="M940:M971" si="144">IF(N940="Trimestral", L940+90, IF(N940="Semestral", L940+180, IF(N940="Mensual", L940+30, L940+365)))</f>
        <v>45917</v>
      </c>
      <c r="N940" s="7" t="str">
        <f t="shared" si="143"/>
        <v>Semestral</v>
      </c>
      <c r="O940" s="2" t="str">
        <f t="shared" ca="1" si="138"/>
        <v>VENCIDO</v>
      </c>
      <c r="P940" s="6" t="s">
        <v>25</v>
      </c>
      <c r="Q940" s="2"/>
    </row>
    <row r="941" spans="1:17" x14ac:dyDescent="0.25">
      <c r="A941" s="23" t="s">
        <v>140</v>
      </c>
      <c r="B941" s="2" t="s">
        <v>1093</v>
      </c>
      <c r="C941" s="3" t="s">
        <v>43</v>
      </c>
      <c r="D941" s="3" t="s">
        <v>23</v>
      </c>
      <c r="E941" s="2" t="s">
        <v>24</v>
      </c>
      <c r="F941" s="4">
        <v>0</v>
      </c>
      <c r="G941" s="8">
        <f t="shared" si="139"/>
        <v>1000000000</v>
      </c>
      <c r="H941" s="4" t="str">
        <f t="shared" si="140"/>
        <v>Ohms</v>
      </c>
      <c r="I941" s="6">
        <v>98000</v>
      </c>
      <c r="J941" s="6" t="str">
        <f t="shared" si="141"/>
        <v>Ohms</v>
      </c>
      <c r="K941" s="2" t="str">
        <f t="shared" si="142"/>
        <v>RTG</v>
      </c>
      <c r="L941" s="7">
        <v>45737</v>
      </c>
      <c r="M941" s="7">
        <f t="shared" si="144"/>
        <v>45917</v>
      </c>
      <c r="N941" s="7" t="str">
        <f t="shared" si="143"/>
        <v>Semestral</v>
      </c>
      <c r="O941" s="2" t="str">
        <f t="shared" ca="1" si="138"/>
        <v>VENCIDO</v>
      </c>
      <c r="P941" s="6" t="s">
        <v>25</v>
      </c>
      <c r="Q941" s="2"/>
    </row>
    <row r="942" spans="1:17" x14ac:dyDescent="0.25">
      <c r="A942" s="23" t="s">
        <v>140</v>
      </c>
      <c r="B942" s="2" t="s">
        <v>1094</v>
      </c>
      <c r="C942" s="3" t="s">
        <v>43</v>
      </c>
      <c r="D942" s="3" t="s">
        <v>23</v>
      </c>
      <c r="E942" s="2" t="s">
        <v>24</v>
      </c>
      <c r="F942" s="4">
        <v>0</v>
      </c>
      <c r="G942" s="8">
        <f t="shared" si="139"/>
        <v>1000000000</v>
      </c>
      <c r="H942" s="4" t="str">
        <f t="shared" si="140"/>
        <v>Ohms</v>
      </c>
      <c r="I942" s="6">
        <v>152000</v>
      </c>
      <c r="J942" s="6" t="str">
        <f t="shared" si="141"/>
        <v>Ohms</v>
      </c>
      <c r="K942" s="2" t="str">
        <f t="shared" si="142"/>
        <v>RTG</v>
      </c>
      <c r="L942" s="7">
        <v>45737</v>
      </c>
      <c r="M942" s="7">
        <f t="shared" si="144"/>
        <v>45917</v>
      </c>
      <c r="N942" s="7" t="str">
        <f t="shared" si="143"/>
        <v>Semestral</v>
      </c>
      <c r="O942" s="2" t="str">
        <f t="shared" ca="1" si="138"/>
        <v>VENCIDO</v>
      </c>
      <c r="P942" s="6" t="s">
        <v>25</v>
      </c>
      <c r="Q942" s="2"/>
    </row>
    <row r="943" spans="1:17" x14ac:dyDescent="0.25">
      <c r="A943" s="23" t="s">
        <v>140</v>
      </c>
      <c r="B943" s="2" t="s">
        <v>1095</v>
      </c>
      <c r="C943" s="3" t="s">
        <v>43</v>
      </c>
      <c r="D943" s="3" t="s">
        <v>23</v>
      </c>
      <c r="E943" s="2" t="s">
        <v>24</v>
      </c>
      <c r="F943" s="4">
        <v>0</v>
      </c>
      <c r="G943" s="8">
        <f t="shared" si="139"/>
        <v>1000000000</v>
      </c>
      <c r="H943" s="4" t="str">
        <f t="shared" si="140"/>
        <v>Ohms</v>
      </c>
      <c r="I943" s="6">
        <v>295000000</v>
      </c>
      <c r="J943" s="6" t="str">
        <f t="shared" si="141"/>
        <v>Ohms</v>
      </c>
      <c r="K943" s="2" t="str">
        <f t="shared" si="142"/>
        <v>RTG</v>
      </c>
      <c r="L943" s="7">
        <v>45737</v>
      </c>
      <c r="M943" s="7">
        <f t="shared" si="144"/>
        <v>45917</v>
      </c>
      <c r="N943" s="7" t="str">
        <f t="shared" si="143"/>
        <v>Semestral</v>
      </c>
      <c r="O943" s="2" t="str">
        <f t="shared" ca="1" si="138"/>
        <v>VENCIDO</v>
      </c>
      <c r="P943" s="6" t="s">
        <v>25</v>
      </c>
      <c r="Q943" s="2"/>
    </row>
    <row r="944" spans="1:17" x14ac:dyDescent="0.25">
      <c r="A944" s="23" t="s">
        <v>458</v>
      </c>
      <c r="B944" s="2" t="s">
        <v>459</v>
      </c>
      <c r="C944" s="3" t="s">
        <v>22</v>
      </c>
      <c r="D944" s="3" t="s">
        <v>23</v>
      </c>
      <c r="E944" s="2" t="s">
        <v>24</v>
      </c>
      <c r="F944" s="4">
        <v>0</v>
      </c>
      <c r="G944" s="8">
        <f t="shared" si="139"/>
        <v>1000000000</v>
      </c>
      <c r="H944" s="4" t="str">
        <f t="shared" si="140"/>
        <v>Ohms</v>
      </c>
      <c r="I944" s="6">
        <v>156000</v>
      </c>
      <c r="J944" s="6" t="str">
        <f t="shared" si="141"/>
        <v>Ohms</v>
      </c>
      <c r="K944" s="2" t="str">
        <f t="shared" si="142"/>
        <v>RTG</v>
      </c>
      <c r="L944" s="7">
        <v>45838</v>
      </c>
      <c r="M944" s="7">
        <f t="shared" si="144"/>
        <v>46203</v>
      </c>
      <c r="N944" s="7" t="str">
        <f t="shared" si="143"/>
        <v>Anual</v>
      </c>
      <c r="O944" s="2" t="str">
        <f t="shared" ca="1" si="138"/>
        <v>VIGENTE</v>
      </c>
      <c r="P944" s="6" t="s">
        <v>25</v>
      </c>
      <c r="Q944" s="2"/>
    </row>
    <row r="945" spans="1:16384" s="1" customFormat="1" x14ac:dyDescent="0.25">
      <c r="A945" s="23" t="s">
        <v>458</v>
      </c>
      <c r="B945" s="2" t="s">
        <v>586</v>
      </c>
      <c r="C945" s="3" t="s">
        <v>28</v>
      </c>
      <c r="D945" s="3" t="s">
        <v>23</v>
      </c>
      <c r="E945" s="2" t="s">
        <v>24</v>
      </c>
      <c r="F945" s="4">
        <v>0</v>
      </c>
      <c r="G945" s="8">
        <f t="shared" si="139"/>
        <v>1000000000</v>
      </c>
      <c r="H945" s="4" t="str">
        <f t="shared" si="140"/>
        <v>Ohms</v>
      </c>
      <c r="I945" s="6">
        <v>5220000</v>
      </c>
      <c r="J945" s="6" t="str">
        <f t="shared" si="141"/>
        <v>Ohms</v>
      </c>
      <c r="K945" s="2" t="str">
        <f t="shared" si="142"/>
        <v>RTG</v>
      </c>
      <c r="L945" s="7">
        <v>45838</v>
      </c>
      <c r="M945" s="7">
        <f t="shared" si="144"/>
        <v>46203</v>
      </c>
      <c r="N945" s="7" t="str">
        <f t="shared" si="143"/>
        <v>Anual</v>
      </c>
      <c r="O945" s="2" t="str">
        <f t="shared" ca="1" si="138"/>
        <v>VIGENTE</v>
      </c>
      <c r="P945" s="6" t="s">
        <v>25</v>
      </c>
      <c r="Q945" s="2"/>
    </row>
    <row r="946" spans="1:16384" s="1" customFormat="1" x14ac:dyDescent="0.25">
      <c r="A946" s="23" t="s">
        <v>1104</v>
      </c>
      <c r="B946" s="2" t="s">
        <v>1105</v>
      </c>
      <c r="C946" s="3" t="s">
        <v>800</v>
      </c>
      <c r="D946" s="3" t="s">
        <v>23</v>
      </c>
      <c r="E946" s="2" t="s">
        <v>24</v>
      </c>
      <c r="F946" s="4">
        <v>0</v>
      </c>
      <c r="G946" s="8">
        <f t="shared" si="139"/>
        <v>10</v>
      </c>
      <c r="H946" s="4" t="str">
        <f t="shared" si="140"/>
        <v>Segundos</v>
      </c>
      <c r="I946" s="6">
        <v>3</v>
      </c>
      <c r="J946" s="6" t="str">
        <f t="shared" si="141"/>
        <v>Segundos</v>
      </c>
      <c r="K946" s="2" t="str">
        <f t="shared" si="142"/>
        <v>Plato de carga</v>
      </c>
      <c r="L946" s="7">
        <v>45992</v>
      </c>
      <c r="M946" s="7">
        <f t="shared" si="144"/>
        <v>46082</v>
      </c>
      <c r="N946" s="7" t="str">
        <f>IF(C946="Ionizador", "Trimestral", IF(C946="Rack", "Semestral", IF(C946="Mesa", "Semestral", IF(C946="Tapete", "Semestral", IF(C946="Cautín", "Semestral", IF(C946="Silla", "Semestral", "Anual"))))))</f>
        <v>Trimestral</v>
      </c>
      <c r="O946" s="2" t="str">
        <f ca="1">IF(M946&lt;TODAY(),"VENCIDO",IF(M946=TODAY(),"VENCE HOY",IF(M946&gt;TODAY(),"VIGENTE")))</f>
        <v>VENCIDO</v>
      </c>
      <c r="P946" s="6" t="s">
        <v>228</v>
      </c>
      <c r="Q946" s="2"/>
    </row>
    <row r="947" spans="1:16384" s="1" customFormat="1" x14ac:dyDescent="0.25">
      <c r="A947" s="23" t="s">
        <v>155</v>
      </c>
      <c r="B947" s="2" t="s">
        <v>156</v>
      </c>
      <c r="C947" s="3" t="s">
        <v>149</v>
      </c>
      <c r="D947" s="3" t="s">
        <v>23</v>
      </c>
      <c r="E947" s="2" t="s">
        <v>24</v>
      </c>
      <c r="F947" s="4">
        <v>0</v>
      </c>
      <c r="G947" s="8">
        <f t="shared" si="139"/>
        <v>10</v>
      </c>
      <c r="H947" s="4" t="str">
        <f t="shared" si="140"/>
        <v>Ohms</v>
      </c>
      <c r="I947" s="6">
        <v>1.3</v>
      </c>
      <c r="J947" s="6" t="str">
        <f t="shared" si="141"/>
        <v>Ohms</v>
      </c>
      <c r="K947" s="2" t="str">
        <f t="shared" si="142"/>
        <v>PTG</v>
      </c>
      <c r="L947" s="7">
        <v>45845</v>
      </c>
      <c r="M947" s="7">
        <f t="shared" si="144"/>
        <v>46025</v>
      </c>
      <c r="N947" s="7" t="str">
        <f t="shared" ref="N947:N978" si="145">IF(C947="Ionizador", "Trimestral", IF(C947="Rack", "Anual", IF(C947="Mesa", "Anual", IF(C947="Tapete", "Semestral", IF(C947="Cautín", "Semestral", IF(C947="Silla", "Semestral", "Anual"))))))</f>
        <v>Semestral</v>
      </c>
      <c r="O947" s="2" t="str">
        <f t="shared" ref="O947:O978" ca="1" si="146">IF(M947&lt;TODAY(),"VENCIDO",IF(M947=TODAY(),"VIGENTE",IF(M947&gt;TODAY(),"VIGENTE")))</f>
        <v>VENCIDO</v>
      </c>
      <c r="P947" s="6" t="s">
        <v>25</v>
      </c>
      <c r="Q947" s="2" t="s">
        <v>157</v>
      </c>
    </row>
    <row r="948" spans="1:16384" s="1" customFormat="1" x14ac:dyDescent="0.25">
      <c r="A948" s="23" t="s">
        <v>155</v>
      </c>
      <c r="B948" s="2" t="s">
        <v>467</v>
      </c>
      <c r="C948" s="3" t="s">
        <v>22</v>
      </c>
      <c r="D948" s="3" t="s">
        <v>23</v>
      </c>
      <c r="E948" s="2" t="s">
        <v>24</v>
      </c>
      <c r="F948" s="4">
        <v>0</v>
      </c>
      <c r="G948" s="8">
        <f t="shared" si="139"/>
        <v>1000000000</v>
      </c>
      <c r="H948" s="4" t="str">
        <f t="shared" si="140"/>
        <v>Ohms</v>
      </c>
      <c r="I948" s="6">
        <v>685000</v>
      </c>
      <c r="J948" s="6" t="str">
        <f t="shared" si="141"/>
        <v>Ohms</v>
      </c>
      <c r="K948" s="2" t="str">
        <f t="shared" si="142"/>
        <v>RTG</v>
      </c>
      <c r="L948" s="7">
        <v>45838</v>
      </c>
      <c r="M948" s="7">
        <f t="shared" si="144"/>
        <v>46203</v>
      </c>
      <c r="N948" s="7" t="str">
        <f t="shared" si="145"/>
        <v>Anual</v>
      </c>
      <c r="O948" s="2" t="str">
        <f t="shared" ca="1" si="146"/>
        <v>VIGENTE</v>
      </c>
      <c r="P948" s="6" t="s">
        <v>25</v>
      </c>
      <c r="Q948" s="2"/>
      <c r="R948" s="2" t="s">
        <v>433</v>
      </c>
      <c r="S948" s="3" t="s">
        <v>22</v>
      </c>
      <c r="T948" s="3" t="s">
        <v>23</v>
      </c>
      <c r="U948" s="2" t="s">
        <v>24</v>
      </c>
      <c r="V948" s="4">
        <v>0</v>
      </c>
      <c r="W948" s="8">
        <f t="shared" ref="W948" si="147">IF(S948="Ionizador", 10, IF(S948="Mesa", 1000000000, IF(S948="Rack", 1000000000, IF(S948="Piso", 1000000000, IF(S948="Tapete", 1000000000, IF(S948="Carrito", 1000000000, IF(S948="Cautín", 10, 1)))))))</f>
        <v>1000000000</v>
      </c>
      <c r="X948" s="4" t="str">
        <f t="shared" ref="X948" si="148">IF(S948="Ionizador", "Segundos", "Ohms")</f>
        <v>Ohms</v>
      </c>
      <c r="Y948" s="6">
        <v>148000000</v>
      </c>
      <c r="Z948" s="6" t="str">
        <f t="shared" ref="Z948" si="149">X948</f>
        <v>Ohms</v>
      </c>
      <c r="AA948" s="2" t="str">
        <f t="shared" ref="AA948" si="150">IF(S948="Ionizador", "Plato de carga", IF(S948="Cautín", "PTG", "RTG"))</f>
        <v>RTG</v>
      </c>
      <c r="AB948" s="7">
        <v>45992</v>
      </c>
      <c r="AC948" s="7">
        <f t="shared" ref="AC948" si="151">IF(AD948="Trimestral", AB948+90, IF(AD948="Semestral", AB948+180, AB948+365))</f>
        <v>46172</v>
      </c>
      <c r="AD948" s="7" t="str">
        <f t="shared" ref="AD948" si="152">IF(S948="Ionizador", "Trimestral", IF(S948="Rack", "Semestral", IF(S948="Mesa", "Semestral", IF(S948="Tapete", "Semestral", IF(S948="Cautín", "Semestral", IF(S948="Silla", "Semestral", "Anual"))))))</f>
        <v>Semestral</v>
      </c>
      <c r="AE948" s="2" t="str">
        <f t="shared" ref="AE948" ca="1" si="153">IF(AC948&lt;TODAY(),"VENCIDO",IF(AC948=TODAY(),"VENCE HOY",IF(AC948&gt;TODAY(),"VIGENTE")))</f>
        <v>VIGENTE</v>
      </c>
      <c r="AF948" s="6" t="s">
        <v>25</v>
      </c>
      <c r="AG948" s="23" t="s">
        <v>138</v>
      </c>
      <c r="AH948" s="2" t="s">
        <v>433</v>
      </c>
      <c r="AI948" s="3" t="s">
        <v>22</v>
      </c>
      <c r="AJ948" s="3" t="s">
        <v>23</v>
      </c>
      <c r="AK948" s="2" t="s">
        <v>24</v>
      </c>
      <c r="AL948" s="4">
        <v>0</v>
      </c>
      <c r="AM948" s="8">
        <f t="shared" ref="AM948" si="154">IF(AI948="Ionizador", 10, IF(AI948="Mesa", 1000000000, IF(AI948="Rack", 1000000000, IF(AI948="Piso", 1000000000, IF(AI948="Tapete", 1000000000, IF(AI948="Carrito", 1000000000, IF(AI948="Cautín", 10, 1)))))))</f>
        <v>1000000000</v>
      </c>
      <c r="AN948" s="4" t="str">
        <f t="shared" ref="AN948" si="155">IF(AI948="Ionizador", "Segundos", "Ohms")</f>
        <v>Ohms</v>
      </c>
      <c r="AO948" s="6">
        <v>148000000</v>
      </c>
      <c r="AP948" s="6" t="str">
        <f t="shared" ref="AP948" si="156">AN948</f>
        <v>Ohms</v>
      </c>
      <c r="AQ948" s="2" t="str">
        <f t="shared" ref="AQ948" si="157">IF(AI948="Ionizador", "Plato de carga", IF(AI948="Cautín", "PTG", "RTG"))</f>
        <v>RTG</v>
      </c>
      <c r="AR948" s="7">
        <v>45992</v>
      </c>
      <c r="AS948" s="7">
        <f t="shared" ref="AS948" si="158">IF(AT948="Trimestral", AR948+90, IF(AT948="Semestral", AR948+180, AR948+365))</f>
        <v>46172</v>
      </c>
      <c r="AT948" s="7" t="str">
        <f t="shared" ref="AT948" si="159">IF(AI948="Ionizador", "Trimestral", IF(AI948="Rack", "Semestral", IF(AI948="Mesa", "Semestral", IF(AI948="Tapete", "Semestral", IF(AI948="Cautín", "Semestral", IF(AI948="Silla", "Semestral", "Anual"))))))</f>
        <v>Semestral</v>
      </c>
      <c r="AU948" s="2" t="str">
        <f t="shared" ref="AU948" ca="1" si="160">IF(AS948&lt;TODAY(),"VENCIDO",IF(AS948=TODAY(),"VENCE HOY",IF(AS948&gt;TODAY(),"VIGENTE")))</f>
        <v>VIGENTE</v>
      </c>
      <c r="AV948" s="6" t="s">
        <v>25</v>
      </c>
      <c r="AW948" s="23" t="s">
        <v>138</v>
      </c>
      <c r="AX948" s="2" t="s">
        <v>433</v>
      </c>
      <c r="AY948" s="3" t="s">
        <v>22</v>
      </c>
      <c r="AZ948" s="3" t="s">
        <v>23</v>
      </c>
      <c r="BA948" s="2" t="s">
        <v>24</v>
      </c>
      <c r="BB948" s="4">
        <v>0</v>
      </c>
      <c r="BC948" s="8">
        <f t="shared" ref="BC948" si="161">IF(AY948="Ionizador", 10, IF(AY948="Mesa", 1000000000, IF(AY948="Rack", 1000000000, IF(AY948="Piso", 1000000000, IF(AY948="Tapete", 1000000000, IF(AY948="Carrito", 1000000000, IF(AY948="Cautín", 10, 1)))))))</f>
        <v>1000000000</v>
      </c>
      <c r="BD948" s="4" t="str">
        <f t="shared" ref="BD948" si="162">IF(AY948="Ionizador", "Segundos", "Ohms")</f>
        <v>Ohms</v>
      </c>
      <c r="BE948" s="6">
        <v>148000000</v>
      </c>
      <c r="BF948" s="6" t="str">
        <f t="shared" ref="BF948" si="163">BD948</f>
        <v>Ohms</v>
      </c>
      <c r="BG948" s="2" t="str">
        <f t="shared" ref="BG948" si="164">IF(AY948="Ionizador", "Plato de carga", IF(AY948="Cautín", "PTG", "RTG"))</f>
        <v>RTG</v>
      </c>
      <c r="BH948" s="7">
        <v>45992</v>
      </c>
      <c r="BI948" s="7">
        <f t="shared" ref="BI948" si="165">IF(BJ948="Trimestral", BH948+90, IF(BJ948="Semestral", BH948+180, BH948+365))</f>
        <v>46172</v>
      </c>
      <c r="BJ948" s="7" t="str">
        <f t="shared" ref="BJ948" si="166">IF(AY948="Ionizador", "Trimestral", IF(AY948="Rack", "Semestral", IF(AY948="Mesa", "Semestral", IF(AY948="Tapete", "Semestral", IF(AY948="Cautín", "Semestral", IF(AY948="Silla", "Semestral", "Anual"))))))</f>
        <v>Semestral</v>
      </c>
      <c r="BK948" s="2" t="str">
        <f t="shared" ref="BK948" ca="1" si="167">IF(BI948&lt;TODAY(),"VENCIDO",IF(BI948=TODAY(),"VENCE HOY",IF(BI948&gt;TODAY(),"VIGENTE")))</f>
        <v>VIGENTE</v>
      </c>
      <c r="BL948" s="6" t="s">
        <v>25</v>
      </c>
      <c r="BM948" s="23" t="s">
        <v>138</v>
      </c>
      <c r="BN948" s="2" t="s">
        <v>433</v>
      </c>
      <c r="BO948" s="3" t="s">
        <v>22</v>
      </c>
      <c r="BP948" s="3" t="s">
        <v>23</v>
      </c>
      <c r="BQ948" s="2" t="s">
        <v>24</v>
      </c>
      <c r="BR948" s="4">
        <v>0</v>
      </c>
      <c r="BS948" s="8">
        <f t="shared" ref="BS948" si="168">IF(BO948="Ionizador", 10, IF(BO948="Mesa", 1000000000, IF(BO948="Rack", 1000000000, IF(BO948="Piso", 1000000000, IF(BO948="Tapete", 1000000000, IF(BO948="Carrito", 1000000000, IF(BO948="Cautín", 10, 1)))))))</f>
        <v>1000000000</v>
      </c>
      <c r="BT948" s="4" t="str">
        <f t="shared" ref="BT948" si="169">IF(BO948="Ionizador", "Segundos", "Ohms")</f>
        <v>Ohms</v>
      </c>
      <c r="BU948" s="6">
        <v>148000000</v>
      </c>
      <c r="BV948" s="6" t="str">
        <f t="shared" ref="BV948" si="170">BT948</f>
        <v>Ohms</v>
      </c>
      <c r="BW948" s="2" t="str">
        <f t="shared" ref="BW948" si="171">IF(BO948="Ionizador", "Plato de carga", IF(BO948="Cautín", "PTG", "RTG"))</f>
        <v>RTG</v>
      </c>
      <c r="BX948" s="7">
        <v>45992</v>
      </c>
      <c r="BY948" s="7">
        <f t="shared" ref="BY948" si="172">IF(BZ948="Trimestral", BX948+90, IF(BZ948="Semestral", BX948+180, BX948+365))</f>
        <v>46172</v>
      </c>
      <c r="BZ948" s="7" t="str">
        <f t="shared" ref="BZ948" si="173">IF(BO948="Ionizador", "Trimestral", IF(BO948="Rack", "Semestral", IF(BO948="Mesa", "Semestral", IF(BO948="Tapete", "Semestral", IF(BO948="Cautín", "Semestral", IF(BO948="Silla", "Semestral", "Anual"))))))</f>
        <v>Semestral</v>
      </c>
      <c r="CA948" s="2" t="str">
        <f t="shared" ref="CA948" ca="1" si="174">IF(BY948&lt;TODAY(),"VENCIDO",IF(BY948=TODAY(),"VENCE HOY",IF(BY948&gt;TODAY(),"VIGENTE")))</f>
        <v>VIGENTE</v>
      </c>
      <c r="CB948" s="6" t="s">
        <v>25</v>
      </c>
      <c r="CC948" s="23" t="s">
        <v>138</v>
      </c>
      <c r="CD948" s="2" t="s">
        <v>433</v>
      </c>
      <c r="CE948" s="3" t="s">
        <v>22</v>
      </c>
      <c r="CF948" s="3" t="s">
        <v>23</v>
      </c>
      <c r="CG948" s="2" t="s">
        <v>24</v>
      </c>
      <c r="CH948" s="4">
        <v>0</v>
      </c>
      <c r="CI948" s="8">
        <f t="shared" ref="CI948" si="175">IF(CE948="Ionizador", 10, IF(CE948="Mesa", 1000000000, IF(CE948="Rack", 1000000000, IF(CE948="Piso", 1000000000, IF(CE948="Tapete", 1000000000, IF(CE948="Carrito", 1000000000, IF(CE948="Cautín", 10, 1)))))))</f>
        <v>1000000000</v>
      </c>
      <c r="CJ948" s="4" t="str">
        <f t="shared" ref="CJ948" si="176">IF(CE948="Ionizador", "Segundos", "Ohms")</f>
        <v>Ohms</v>
      </c>
      <c r="CK948" s="6">
        <v>148000000</v>
      </c>
      <c r="CL948" s="6" t="str">
        <f t="shared" ref="CL948" si="177">CJ948</f>
        <v>Ohms</v>
      </c>
      <c r="CM948" s="2" t="str">
        <f t="shared" ref="CM948" si="178">IF(CE948="Ionizador", "Plato de carga", IF(CE948="Cautín", "PTG", "RTG"))</f>
        <v>RTG</v>
      </c>
      <c r="CN948" s="7">
        <v>45992</v>
      </c>
      <c r="CO948" s="7">
        <f t="shared" ref="CO948" si="179">IF(CP948="Trimestral", CN948+90, IF(CP948="Semestral", CN948+180, CN948+365))</f>
        <v>46172</v>
      </c>
      <c r="CP948" s="7" t="str">
        <f t="shared" ref="CP948" si="180">IF(CE948="Ionizador", "Trimestral", IF(CE948="Rack", "Semestral", IF(CE948="Mesa", "Semestral", IF(CE948="Tapete", "Semestral", IF(CE948="Cautín", "Semestral", IF(CE948="Silla", "Semestral", "Anual"))))))</f>
        <v>Semestral</v>
      </c>
      <c r="CQ948" s="2" t="str">
        <f t="shared" ref="CQ948" ca="1" si="181">IF(CO948&lt;TODAY(),"VENCIDO",IF(CO948=TODAY(),"VENCE HOY",IF(CO948&gt;TODAY(),"VIGENTE")))</f>
        <v>VIGENTE</v>
      </c>
      <c r="CR948" s="6" t="s">
        <v>25</v>
      </c>
      <c r="CS948" s="23" t="s">
        <v>138</v>
      </c>
      <c r="CT948" s="2" t="s">
        <v>433</v>
      </c>
      <c r="CU948" s="3" t="s">
        <v>22</v>
      </c>
      <c r="CV948" s="3" t="s">
        <v>23</v>
      </c>
      <c r="CW948" s="2" t="s">
        <v>24</v>
      </c>
      <c r="CX948" s="4">
        <v>0</v>
      </c>
      <c r="CY948" s="8">
        <f t="shared" ref="CY948" si="182">IF(CU948="Ionizador", 10, IF(CU948="Mesa", 1000000000, IF(CU948="Rack", 1000000000, IF(CU948="Piso", 1000000000, IF(CU948="Tapete", 1000000000, IF(CU948="Carrito", 1000000000, IF(CU948="Cautín", 10, 1)))))))</f>
        <v>1000000000</v>
      </c>
      <c r="CZ948" s="4" t="str">
        <f t="shared" ref="CZ948" si="183">IF(CU948="Ionizador", "Segundos", "Ohms")</f>
        <v>Ohms</v>
      </c>
      <c r="DA948" s="6">
        <v>148000000</v>
      </c>
      <c r="DB948" s="6" t="str">
        <f t="shared" ref="DB948" si="184">CZ948</f>
        <v>Ohms</v>
      </c>
      <c r="DC948" s="2" t="str">
        <f t="shared" ref="DC948" si="185">IF(CU948="Ionizador", "Plato de carga", IF(CU948="Cautín", "PTG", "RTG"))</f>
        <v>RTG</v>
      </c>
      <c r="DD948" s="7">
        <v>45992</v>
      </c>
      <c r="DE948" s="7">
        <f t="shared" ref="DE948" si="186">IF(DF948="Trimestral", DD948+90, IF(DF948="Semestral", DD948+180, DD948+365))</f>
        <v>46172</v>
      </c>
      <c r="DF948" s="7" t="str">
        <f t="shared" ref="DF948" si="187">IF(CU948="Ionizador", "Trimestral", IF(CU948="Rack", "Semestral", IF(CU948="Mesa", "Semestral", IF(CU948="Tapete", "Semestral", IF(CU948="Cautín", "Semestral", IF(CU948="Silla", "Semestral", "Anual"))))))</f>
        <v>Semestral</v>
      </c>
      <c r="DG948" s="2" t="str">
        <f t="shared" ref="DG948" ca="1" si="188">IF(DE948&lt;TODAY(),"VENCIDO",IF(DE948=TODAY(),"VENCE HOY",IF(DE948&gt;TODAY(),"VIGENTE")))</f>
        <v>VIGENTE</v>
      </c>
      <c r="DH948" s="6" t="s">
        <v>25</v>
      </c>
      <c r="DI948" s="23" t="s">
        <v>138</v>
      </c>
      <c r="DJ948" s="2" t="s">
        <v>433</v>
      </c>
      <c r="DK948" s="3" t="s">
        <v>22</v>
      </c>
      <c r="DL948" s="3" t="s">
        <v>23</v>
      </c>
      <c r="DM948" s="2" t="s">
        <v>24</v>
      </c>
      <c r="DN948" s="4">
        <v>0</v>
      </c>
      <c r="DO948" s="8">
        <f t="shared" ref="DO948" si="189">IF(DK948="Ionizador", 10, IF(DK948="Mesa", 1000000000, IF(DK948="Rack", 1000000000, IF(DK948="Piso", 1000000000, IF(DK948="Tapete", 1000000000, IF(DK948="Carrito", 1000000000, IF(DK948="Cautín", 10, 1)))))))</f>
        <v>1000000000</v>
      </c>
      <c r="DP948" s="4" t="str">
        <f t="shared" ref="DP948" si="190">IF(DK948="Ionizador", "Segundos", "Ohms")</f>
        <v>Ohms</v>
      </c>
      <c r="DQ948" s="6">
        <v>148000000</v>
      </c>
      <c r="DR948" s="6" t="str">
        <f t="shared" ref="DR948" si="191">DP948</f>
        <v>Ohms</v>
      </c>
      <c r="DS948" s="2" t="str">
        <f t="shared" ref="DS948" si="192">IF(DK948="Ionizador", "Plato de carga", IF(DK948="Cautín", "PTG", "RTG"))</f>
        <v>RTG</v>
      </c>
      <c r="DT948" s="7">
        <v>45992</v>
      </c>
      <c r="DU948" s="7">
        <f t="shared" ref="DU948" si="193">IF(DV948="Trimestral", DT948+90, IF(DV948="Semestral", DT948+180, DT948+365))</f>
        <v>46172</v>
      </c>
      <c r="DV948" s="7" t="str">
        <f t="shared" ref="DV948" si="194">IF(DK948="Ionizador", "Trimestral", IF(DK948="Rack", "Semestral", IF(DK948="Mesa", "Semestral", IF(DK948="Tapete", "Semestral", IF(DK948="Cautín", "Semestral", IF(DK948="Silla", "Semestral", "Anual"))))))</f>
        <v>Semestral</v>
      </c>
      <c r="DW948" s="2" t="str">
        <f t="shared" ref="DW948" ca="1" si="195">IF(DU948&lt;TODAY(),"VENCIDO",IF(DU948=TODAY(),"VENCE HOY",IF(DU948&gt;TODAY(),"VIGENTE")))</f>
        <v>VIGENTE</v>
      </c>
      <c r="DX948" s="6" t="s">
        <v>25</v>
      </c>
      <c r="DY948" s="23" t="s">
        <v>138</v>
      </c>
      <c r="DZ948" s="2" t="s">
        <v>433</v>
      </c>
      <c r="EA948" s="3" t="s">
        <v>22</v>
      </c>
      <c r="EB948" s="3" t="s">
        <v>23</v>
      </c>
      <c r="EC948" s="2" t="s">
        <v>24</v>
      </c>
      <c r="ED948" s="4">
        <v>0</v>
      </c>
      <c r="EE948" s="8">
        <f t="shared" ref="EE948" si="196">IF(EA948="Ionizador", 10, IF(EA948="Mesa", 1000000000, IF(EA948="Rack", 1000000000, IF(EA948="Piso", 1000000000, IF(EA948="Tapete", 1000000000, IF(EA948="Carrito", 1000000000, IF(EA948="Cautín", 10, 1)))))))</f>
        <v>1000000000</v>
      </c>
      <c r="EF948" s="4" t="str">
        <f t="shared" ref="EF948" si="197">IF(EA948="Ionizador", "Segundos", "Ohms")</f>
        <v>Ohms</v>
      </c>
      <c r="EG948" s="6">
        <v>148000000</v>
      </c>
      <c r="EH948" s="6" t="str">
        <f t="shared" ref="EH948" si="198">EF948</f>
        <v>Ohms</v>
      </c>
      <c r="EI948" s="2" t="str">
        <f t="shared" ref="EI948" si="199">IF(EA948="Ionizador", "Plato de carga", IF(EA948="Cautín", "PTG", "RTG"))</f>
        <v>RTG</v>
      </c>
      <c r="EJ948" s="7">
        <v>45992</v>
      </c>
      <c r="EK948" s="7">
        <f t="shared" ref="EK948" si="200">IF(EL948="Trimestral", EJ948+90, IF(EL948="Semestral", EJ948+180, EJ948+365))</f>
        <v>46172</v>
      </c>
      <c r="EL948" s="7" t="str">
        <f t="shared" ref="EL948" si="201">IF(EA948="Ionizador", "Trimestral", IF(EA948="Rack", "Semestral", IF(EA948="Mesa", "Semestral", IF(EA948="Tapete", "Semestral", IF(EA948="Cautín", "Semestral", IF(EA948="Silla", "Semestral", "Anual"))))))</f>
        <v>Semestral</v>
      </c>
      <c r="EM948" s="2" t="str">
        <f t="shared" ref="EM948" ca="1" si="202">IF(EK948&lt;TODAY(),"VENCIDO",IF(EK948=TODAY(),"VENCE HOY",IF(EK948&gt;TODAY(),"VIGENTE")))</f>
        <v>VIGENTE</v>
      </c>
      <c r="EN948" s="6" t="s">
        <v>25</v>
      </c>
      <c r="EO948" s="23" t="s">
        <v>138</v>
      </c>
      <c r="EP948" s="2" t="s">
        <v>433</v>
      </c>
      <c r="EQ948" s="3" t="s">
        <v>22</v>
      </c>
      <c r="ER948" s="3" t="s">
        <v>23</v>
      </c>
      <c r="ES948" s="2" t="s">
        <v>24</v>
      </c>
      <c r="ET948" s="4">
        <v>0</v>
      </c>
      <c r="EU948" s="8">
        <f t="shared" ref="EU948" si="203">IF(EQ948="Ionizador", 10, IF(EQ948="Mesa", 1000000000, IF(EQ948="Rack", 1000000000, IF(EQ948="Piso", 1000000000, IF(EQ948="Tapete", 1000000000, IF(EQ948="Carrito", 1000000000, IF(EQ948="Cautín", 10, 1)))))))</f>
        <v>1000000000</v>
      </c>
      <c r="EV948" s="4" t="str">
        <f t="shared" ref="EV948" si="204">IF(EQ948="Ionizador", "Segundos", "Ohms")</f>
        <v>Ohms</v>
      </c>
      <c r="EW948" s="6">
        <v>148000000</v>
      </c>
      <c r="EX948" s="6" t="str">
        <f t="shared" ref="EX948" si="205">EV948</f>
        <v>Ohms</v>
      </c>
      <c r="EY948" s="2" t="str">
        <f t="shared" ref="EY948" si="206">IF(EQ948="Ionizador", "Plato de carga", IF(EQ948="Cautín", "PTG", "RTG"))</f>
        <v>RTG</v>
      </c>
      <c r="EZ948" s="7">
        <v>45992</v>
      </c>
      <c r="FA948" s="7">
        <f t="shared" ref="FA948" si="207">IF(FB948="Trimestral", EZ948+90, IF(FB948="Semestral", EZ948+180, EZ948+365))</f>
        <v>46172</v>
      </c>
      <c r="FB948" s="7" t="str">
        <f t="shared" ref="FB948" si="208">IF(EQ948="Ionizador", "Trimestral", IF(EQ948="Rack", "Semestral", IF(EQ948="Mesa", "Semestral", IF(EQ948="Tapete", "Semestral", IF(EQ948="Cautín", "Semestral", IF(EQ948="Silla", "Semestral", "Anual"))))))</f>
        <v>Semestral</v>
      </c>
      <c r="FC948" s="2" t="str">
        <f t="shared" ref="FC948" ca="1" si="209">IF(FA948&lt;TODAY(),"VENCIDO",IF(FA948=TODAY(),"VENCE HOY",IF(FA948&gt;TODAY(),"VIGENTE")))</f>
        <v>VIGENTE</v>
      </c>
      <c r="FD948" s="6" t="s">
        <v>25</v>
      </c>
      <c r="FE948" s="23" t="s">
        <v>138</v>
      </c>
      <c r="FF948" s="2" t="s">
        <v>433</v>
      </c>
      <c r="FG948" s="3" t="s">
        <v>22</v>
      </c>
      <c r="FH948" s="3" t="s">
        <v>23</v>
      </c>
      <c r="FI948" s="2" t="s">
        <v>24</v>
      </c>
      <c r="FJ948" s="4">
        <v>0</v>
      </c>
      <c r="FK948" s="8">
        <f t="shared" ref="FK948" si="210">IF(FG948="Ionizador", 10, IF(FG948="Mesa", 1000000000, IF(FG948="Rack", 1000000000, IF(FG948="Piso", 1000000000, IF(FG948="Tapete", 1000000000, IF(FG948="Carrito", 1000000000, IF(FG948="Cautín", 10, 1)))))))</f>
        <v>1000000000</v>
      </c>
      <c r="FL948" s="4" t="str">
        <f t="shared" ref="FL948" si="211">IF(FG948="Ionizador", "Segundos", "Ohms")</f>
        <v>Ohms</v>
      </c>
      <c r="FM948" s="6">
        <v>148000000</v>
      </c>
      <c r="FN948" s="6" t="str">
        <f t="shared" ref="FN948" si="212">FL948</f>
        <v>Ohms</v>
      </c>
      <c r="FO948" s="2" t="str">
        <f t="shared" ref="FO948" si="213">IF(FG948="Ionizador", "Plato de carga", IF(FG948="Cautín", "PTG", "RTG"))</f>
        <v>RTG</v>
      </c>
      <c r="FP948" s="7">
        <v>45992</v>
      </c>
      <c r="FQ948" s="7">
        <f t="shared" ref="FQ948" si="214">IF(FR948="Trimestral", FP948+90, IF(FR948="Semestral", FP948+180, FP948+365))</f>
        <v>46172</v>
      </c>
      <c r="FR948" s="7" t="str">
        <f t="shared" ref="FR948" si="215">IF(FG948="Ionizador", "Trimestral", IF(FG948="Rack", "Semestral", IF(FG948="Mesa", "Semestral", IF(FG948="Tapete", "Semestral", IF(FG948="Cautín", "Semestral", IF(FG948="Silla", "Semestral", "Anual"))))))</f>
        <v>Semestral</v>
      </c>
      <c r="FS948" s="2" t="str">
        <f t="shared" ref="FS948" ca="1" si="216">IF(FQ948&lt;TODAY(),"VENCIDO",IF(FQ948=TODAY(),"VENCE HOY",IF(FQ948&gt;TODAY(),"VIGENTE")))</f>
        <v>VIGENTE</v>
      </c>
      <c r="FT948" s="6" t="s">
        <v>25</v>
      </c>
      <c r="FU948" s="23" t="s">
        <v>138</v>
      </c>
      <c r="FV948" s="2" t="s">
        <v>433</v>
      </c>
      <c r="FW948" s="3" t="s">
        <v>22</v>
      </c>
      <c r="FX948" s="3" t="s">
        <v>23</v>
      </c>
      <c r="FY948" s="2" t="s">
        <v>24</v>
      </c>
      <c r="FZ948" s="4">
        <v>0</v>
      </c>
      <c r="GA948" s="8">
        <f t="shared" ref="GA948" si="217">IF(FW948="Ionizador", 10, IF(FW948="Mesa", 1000000000, IF(FW948="Rack", 1000000000, IF(FW948="Piso", 1000000000, IF(FW948="Tapete", 1000000000, IF(FW948="Carrito", 1000000000, IF(FW948="Cautín", 10, 1)))))))</f>
        <v>1000000000</v>
      </c>
      <c r="GB948" s="4" t="str">
        <f t="shared" ref="GB948" si="218">IF(FW948="Ionizador", "Segundos", "Ohms")</f>
        <v>Ohms</v>
      </c>
      <c r="GC948" s="6">
        <v>148000000</v>
      </c>
      <c r="GD948" s="6" t="str">
        <f t="shared" ref="GD948" si="219">GB948</f>
        <v>Ohms</v>
      </c>
      <c r="GE948" s="2" t="str">
        <f t="shared" ref="GE948" si="220">IF(FW948="Ionizador", "Plato de carga", IF(FW948="Cautín", "PTG", "RTG"))</f>
        <v>RTG</v>
      </c>
      <c r="GF948" s="7">
        <v>45992</v>
      </c>
      <c r="GG948" s="7">
        <f t="shared" ref="GG948" si="221">IF(GH948="Trimestral", GF948+90, IF(GH948="Semestral", GF948+180, GF948+365))</f>
        <v>46172</v>
      </c>
      <c r="GH948" s="7" t="str">
        <f t="shared" ref="GH948" si="222">IF(FW948="Ionizador", "Trimestral", IF(FW948="Rack", "Semestral", IF(FW948="Mesa", "Semestral", IF(FW948="Tapete", "Semestral", IF(FW948="Cautín", "Semestral", IF(FW948="Silla", "Semestral", "Anual"))))))</f>
        <v>Semestral</v>
      </c>
      <c r="GI948" s="2" t="str">
        <f t="shared" ref="GI948" ca="1" si="223">IF(GG948&lt;TODAY(),"VENCIDO",IF(GG948=TODAY(),"VENCE HOY",IF(GG948&gt;TODAY(),"VIGENTE")))</f>
        <v>VIGENTE</v>
      </c>
      <c r="GJ948" s="6" t="s">
        <v>25</v>
      </c>
      <c r="GK948" s="23" t="s">
        <v>138</v>
      </c>
      <c r="GL948" s="2" t="s">
        <v>433</v>
      </c>
      <c r="GM948" s="3" t="s">
        <v>22</v>
      </c>
      <c r="GN948" s="3" t="s">
        <v>23</v>
      </c>
      <c r="GO948" s="2" t="s">
        <v>24</v>
      </c>
      <c r="GP948" s="4">
        <v>0</v>
      </c>
      <c r="GQ948" s="8">
        <f t="shared" ref="GQ948" si="224">IF(GM948="Ionizador", 10, IF(GM948="Mesa", 1000000000, IF(GM948="Rack", 1000000000, IF(GM948="Piso", 1000000000, IF(GM948="Tapete", 1000000000, IF(GM948="Carrito", 1000000000, IF(GM948="Cautín", 10, 1)))))))</f>
        <v>1000000000</v>
      </c>
      <c r="GR948" s="4" t="str">
        <f t="shared" ref="GR948" si="225">IF(GM948="Ionizador", "Segundos", "Ohms")</f>
        <v>Ohms</v>
      </c>
      <c r="GS948" s="6">
        <v>148000000</v>
      </c>
      <c r="GT948" s="6" t="str">
        <f t="shared" ref="GT948" si="226">GR948</f>
        <v>Ohms</v>
      </c>
      <c r="GU948" s="2" t="str">
        <f t="shared" ref="GU948" si="227">IF(GM948="Ionizador", "Plato de carga", IF(GM948="Cautín", "PTG", "RTG"))</f>
        <v>RTG</v>
      </c>
      <c r="GV948" s="7">
        <v>45992</v>
      </c>
      <c r="GW948" s="7">
        <f t="shared" ref="GW948" si="228">IF(GX948="Trimestral", GV948+90, IF(GX948="Semestral", GV948+180, GV948+365))</f>
        <v>46172</v>
      </c>
      <c r="GX948" s="7" t="str">
        <f t="shared" ref="GX948" si="229">IF(GM948="Ionizador", "Trimestral", IF(GM948="Rack", "Semestral", IF(GM948="Mesa", "Semestral", IF(GM948="Tapete", "Semestral", IF(GM948="Cautín", "Semestral", IF(GM948="Silla", "Semestral", "Anual"))))))</f>
        <v>Semestral</v>
      </c>
      <c r="GY948" s="2" t="str">
        <f t="shared" ref="GY948" ca="1" si="230">IF(GW948&lt;TODAY(),"VENCIDO",IF(GW948=TODAY(),"VENCE HOY",IF(GW948&gt;TODAY(),"VIGENTE")))</f>
        <v>VIGENTE</v>
      </c>
      <c r="GZ948" s="6" t="s">
        <v>25</v>
      </c>
      <c r="HA948" s="23" t="s">
        <v>138</v>
      </c>
      <c r="HB948" s="2" t="s">
        <v>433</v>
      </c>
      <c r="HC948" s="3" t="s">
        <v>22</v>
      </c>
      <c r="HD948" s="3" t="s">
        <v>23</v>
      </c>
      <c r="HE948" s="2" t="s">
        <v>24</v>
      </c>
      <c r="HF948" s="4">
        <v>0</v>
      </c>
      <c r="HG948" s="8">
        <f t="shared" ref="HG948" si="231">IF(HC948="Ionizador", 10, IF(HC948="Mesa", 1000000000, IF(HC948="Rack", 1000000000, IF(HC948="Piso", 1000000000, IF(HC948="Tapete", 1000000000, IF(HC948="Carrito", 1000000000, IF(HC948="Cautín", 10, 1)))))))</f>
        <v>1000000000</v>
      </c>
      <c r="HH948" s="4" t="str">
        <f t="shared" ref="HH948" si="232">IF(HC948="Ionizador", "Segundos", "Ohms")</f>
        <v>Ohms</v>
      </c>
      <c r="HI948" s="6">
        <v>148000000</v>
      </c>
      <c r="HJ948" s="6" t="str">
        <f t="shared" ref="HJ948" si="233">HH948</f>
        <v>Ohms</v>
      </c>
      <c r="HK948" s="2" t="str">
        <f t="shared" ref="HK948" si="234">IF(HC948="Ionizador", "Plato de carga", IF(HC948="Cautín", "PTG", "RTG"))</f>
        <v>RTG</v>
      </c>
      <c r="HL948" s="7">
        <v>45992</v>
      </c>
      <c r="HM948" s="7">
        <f t="shared" ref="HM948" si="235">IF(HN948="Trimestral", HL948+90, IF(HN948="Semestral", HL948+180, HL948+365))</f>
        <v>46172</v>
      </c>
      <c r="HN948" s="7" t="str">
        <f t="shared" ref="HN948" si="236">IF(HC948="Ionizador", "Trimestral", IF(HC948="Rack", "Semestral", IF(HC948="Mesa", "Semestral", IF(HC948="Tapete", "Semestral", IF(HC948="Cautín", "Semestral", IF(HC948="Silla", "Semestral", "Anual"))))))</f>
        <v>Semestral</v>
      </c>
      <c r="HO948" s="2" t="str">
        <f t="shared" ref="HO948" ca="1" si="237">IF(HM948&lt;TODAY(),"VENCIDO",IF(HM948=TODAY(),"VENCE HOY",IF(HM948&gt;TODAY(),"VIGENTE")))</f>
        <v>VIGENTE</v>
      </c>
      <c r="HP948" s="6" t="s">
        <v>25</v>
      </c>
      <c r="HQ948" s="23" t="s">
        <v>138</v>
      </c>
      <c r="HR948" s="2" t="s">
        <v>433</v>
      </c>
      <c r="HS948" s="3" t="s">
        <v>22</v>
      </c>
      <c r="HT948" s="3" t="s">
        <v>23</v>
      </c>
      <c r="HU948" s="2" t="s">
        <v>24</v>
      </c>
      <c r="HV948" s="4">
        <v>0</v>
      </c>
      <c r="HW948" s="8">
        <f t="shared" ref="HW948" si="238">IF(HS948="Ionizador", 10, IF(HS948="Mesa", 1000000000, IF(HS948="Rack", 1000000000, IF(HS948="Piso", 1000000000, IF(HS948="Tapete", 1000000000, IF(HS948="Carrito", 1000000000, IF(HS948="Cautín", 10, 1)))))))</f>
        <v>1000000000</v>
      </c>
      <c r="HX948" s="4" t="str">
        <f t="shared" ref="HX948" si="239">IF(HS948="Ionizador", "Segundos", "Ohms")</f>
        <v>Ohms</v>
      </c>
      <c r="HY948" s="6">
        <v>148000000</v>
      </c>
      <c r="HZ948" s="6" t="str">
        <f t="shared" ref="HZ948" si="240">HX948</f>
        <v>Ohms</v>
      </c>
      <c r="IA948" s="2" t="str">
        <f t="shared" ref="IA948" si="241">IF(HS948="Ionizador", "Plato de carga", IF(HS948="Cautín", "PTG", "RTG"))</f>
        <v>RTG</v>
      </c>
      <c r="IB948" s="7">
        <v>45992</v>
      </c>
      <c r="IC948" s="7">
        <f t="shared" ref="IC948" si="242">IF(ID948="Trimestral", IB948+90, IF(ID948="Semestral", IB948+180, IB948+365))</f>
        <v>46172</v>
      </c>
      <c r="ID948" s="7" t="str">
        <f t="shared" ref="ID948" si="243">IF(HS948="Ionizador", "Trimestral", IF(HS948="Rack", "Semestral", IF(HS948="Mesa", "Semestral", IF(HS948="Tapete", "Semestral", IF(HS948="Cautín", "Semestral", IF(HS948="Silla", "Semestral", "Anual"))))))</f>
        <v>Semestral</v>
      </c>
      <c r="IE948" s="2" t="str">
        <f t="shared" ref="IE948" ca="1" si="244">IF(IC948&lt;TODAY(),"VENCIDO",IF(IC948=TODAY(),"VENCE HOY",IF(IC948&gt;TODAY(),"VIGENTE")))</f>
        <v>VIGENTE</v>
      </c>
      <c r="IF948" s="6" t="s">
        <v>25</v>
      </c>
      <c r="IG948" s="23" t="s">
        <v>138</v>
      </c>
      <c r="IH948" s="2" t="s">
        <v>433</v>
      </c>
      <c r="II948" s="3" t="s">
        <v>22</v>
      </c>
      <c r="IJ948" s="3" t="s">
        <v>23</v>
      </c>
      <c r="IK948" s="2" t="s">
        <v>24</v>
      </c>
      <c r="IL948" s="4">
        <v>0</v>
      </c>
      <c r="IM948" s="8">
        <f t="shared" ref="IM948" si="245">IF(II948="Ionizador", 10, IF(II948="Mesa", 1000000000, IF(II948="Rack", 1000000000, IF(II948="Piso", 1000000000, IF(II948="Tapete", 1000000000, IF(II948="Carrito", 1000000000, IF(II948="Cautín", 10, 1)))))))</f>
        <v>1000000000</v>
      </c>
      <c r="IN948" s="4" t="str">
        <f t="shared" ref="IN948" si="246">IF(II948="Ionizador", "Segundos", "Ohms")</f>
        <v>Ohms</v>
      </c>
      <c r="IO948" s="6">
        <v>148000000</v>
      </c>
      <c r="IP948" s="6" t="str">
        <f t="shared" ref="IP948" si="247">IN948</f>
        <v>Ohms</v>
      </c>
      <c r="IQ948" s="2" t="str">
        <f t="shared" ref="IQ948" si="248">IF(II948="Ionizador", "Plato de carga", IF(II948="Cautín", "PTG", "RTG"))</f>
        <v>RTG</v>
      </c>
      <c r="IR948" s="7">
        <v>45992</v>
      </c>
      <c r="IS948" s="7">
        <f t="shared" ref="IS948" si="249">IF(IT948="Trimestral", IR948+90, IF(IT948="Semestral", IR948+180, IR948+365))</f>
        <v>46172</v>
      </c>
      <c r="IT948" s="7" t="str">
        <f t="shared" ref="IT948" si="250">IF(II948="Ionizador", "Trimestral", IF(II948="Rack", "Semestral", IF(II948="Mesa", "Semestral", IF(II948="Tapete", "Semestral", IF(II948="Cautín", "Semestral", IF(II948="Silla", "Semestral", "Anual"))))))</f>
        <v>Semestral</v>
      </c>
      <c r="IU948" s="2" t="str">
        <f t="shared" ref="IU948" ca="1" si="251">IF(IS948&lt;TODAY(),"VENCIDO",IF(IS948=TODAY(),"VENCE HOY",IF(IS948&gt;TODAY(),"VIGENTE")))</f>
        <v>VIGENTE</v>
      </c>
      <c r="IV948" s="6" t="s">
        <v>25</v>
      </c>
      <c r="IW948" s="23" t="s">
        <v>138</v>
      </c>
      <c r="IX948" s="2" t="s">
        <v>433</v>
      </c>
      <c r="IY948" s="3" t="s">
        <v>22</v>
      </c>
      <c r="IZ948" s="3" t="s">
        <v>23</v>
      </c>
      <c r="JA948" s="2" t="s">
        <v>24</v>
      </c>
      <c r="JB948" s="4">
        <v>0</v>
      </c>
      <c r="JC948" s="8">
        <f t="shared" ref="JC948" si="252">IF(IY948="Ionizador", 10, IF(IY948="Mesa", 1000000000, IF(IY948="Rack", 1000000000, IF(IY948="Piso", 1000000000, IF(IY948="Tapete", 1000000000, IF(IY948="Carrito", 1000000000, IF(IY948="Cautín", 10, 1)))))))</f>
        <v>1000000000</v>
      </c>
      <c r="JD948" s="4" t="str">
        <f t="shared" ref="JD948" si="253">IF(IY948="Ionizador", "Segundos", "Ohms")</f>
        <v>Ohms</v>
      </c>
      <c r="JE948" s="6">
        <v>148000000</v>
      </c>
      <c r="JF948" s="6" t="str">
        <f t="shared" ref="JF948" si="254">JD948</f>
        <v>Ohms</v>
      </c>
      <c r="JG948" s="2" t="str">
        <f t="shared" ref="JG948" si="255">IF(IY948="Ionizador", "Plato de carga", IF(IY948="Cautín", "PTG", "RTG"))</f>
        <v>RTG</v>
      </c>
      <c r="JH948" s="7">
        <v>45992</v>
      </c>
      <c r="JI948" s="7">
        <f t="shared" ref="JI948" si="256">IF(JJ948="Trimestral", JH948+90, IF(JJ948="Semestral", JH948+180, JH948+365))</f>
        <v>46172</v>
      </c>
      <c r="JJ948" s="7" t="str">
        <f t="shared" ref="JJ948" si="257">IF(IY948="Ionizador", "Trimestral", IF(IY948="Rack", "Semestral", IF(IY948="Mesa", "Semestral", IF(IY948="Tapete", "Semestral", IF(IY948="Cautín", "Semestral", IF(IY948="Silla", "Semestral", "Anual"))))))</f>
        <v>Semestral</v>
      </c>
      <c r="JK948" s="2" t="str">
        <f t="shared" ref="JK948" ca="1" si="258">IF(JI948&lt;TODAY(),"VENCIDO",IF(JI948=TODAY(),"VENCE HOY",IF(JI948&gt;TODAY(),"VIGENTE")))</f>
        <v>VIGENTE</v>
      </c>
      <c r="JL948" s="6" t="s">
        <v>25</v>
      </c>
      <c r="JM948" s="23" t="s">
        <v>138</v>
      </c>
      <c r="JN948" s="2" t="s">
        <v>433</v>
      </c>
      <c r="JO948" s="3" t="s">
        <v>22</v>
      </c>
      <c r="JP948" s="3" t="s">
        <v>23</v>
      </c>
      <c r="JQ948" s="2" t="s">
        <v>24</v>
      </c>
      <c r="JR948" s="4">
        <v>0</v>
      </c>
      <c r="JS948" s="8">
        <f t="shared" ref="JS948" si="259">IF(JO948="Ionizador", 10, IF(JO948="Mesa", 1000000000, IF(JO948="Rack", 1000000000, IF(JO948="Piso", 1000000000, IF(JO948="Tapete", 1000000000, IF(JO948="Carrito", 1000000000, IF(JO948="Cautín", 10, 1)))))))</f>
        <v>1000000000</v>
      </c>
      <c r="JT948" s="4" t="str">
        <f t="shared" ref="JT948" si="260">IF(JO948="Ionizador", "Segundos", "Ohms")</f>
        <v>Ohms</v>
      </c>
      <c r="JU948" s="6">
        <v>148000000</v>
      </c>
      <c r="JV948" s="6" t="str">
        <f t="shared" ref="JV948" si="261">JT948</f>
        <v>Ohms</v>
      </c>
      <c r="JW948" s="2" t="str">
        <f t="shared" ref="JW948" si="262">IF(JO948="Ionizador", "Plato de carga", IF(JO948="Cautín", "PTG", "RTG"))</f>
        <v>RTG</v>
      </c>
      <c r="JX948" s="7">
        <v>45992</v>
      </c>
      <c r="JY948" s="7">
        <f t="shared" ref="JY948" si="263">IF(JZ948="Trimestral", JX948+90, IF(JZ948="Semestral", JX948+180, JX948+365))</f>
        <v>46172</v>
      </c>
      <c r="JZ948" s="7" t="str">
        <f t="shared" ref="JZ948" si="264">IF(JO948="Ionizador", "Trimestral", IF(JO948="Rack", "Semestral", IF(JO948="Mesa", "Semestral", IF(JO948="Tapete", "Semestral", IF(JO948="Cautín", "Semestral", IF(JO948="Silla", "Semestral", "Anual"))))))</f>
        <v>Semestral</v>
      </c>
      <c r="KA948" s="2" t="str">
        <f t="shared" ref="KA948" ca="1" si="265">IF(JY948&lt;TODAY(),"VENCIDO",IF(JY948=TODAY(),"VENCE HOY",IF(JY948&gt;TODAY(),"VIGENTE")))</f>
        <v>VIGENTE</v>
      </c>
      <c r="KB948" s="6" t="s">
        <v>25</v>
      </c>
      <c r="KC948" s="23" t="s">
        <v>138</v>
      </c>
      <c r="KD948" s="2" t="s">
        <v>433</v>
      </c>
      <c r="KE948" s="3" t="s">
        <v>22</v>
      </c>
      <c r="KF948" s="3" t="s">
        <v>23</v>
      </c>
      <c r="KG948" s="2" t="s">
        <v>24</v>
      </c>
      <c r="KH948" s="4">
        <v>0</v>
      </c>
      <c r="KI948" s="8">
        <f t="shared" ref="KI948" si="266">IF(KE948="Ionizador", 10, IF(KE948="Mesa", 1000000000, IF(KE948="Rack", 1000000000, IF(KE948="Piso", 1000000000, IF(KE948="Tapete", 1000000000, IF(KE948="Carrito", 1000000000, IF(KE948="Cautín", 10, 1)))))))</f>
        <v>1000000000</v>
      </c>
      <c r="KJ948" s="4" t="str">
        <f t="shared" ref="KJ948" si="267">IF(KE948="Ionizador", "Segundos", "Ohms")</f>
        <v>Ohms</v>
      </c>
      <c r="KK948" s="6">
        <v>148000000</v>
      </c>
      <c r="KL948" s="6" t="str">
        <f t="shared" ref="KL948" si="268">KJ948</f>
        <v>Ohms</v>
      </c>
      <c r="KM948" s="2" t="str">
        <f t="shared" ref="KM948" si="269">IF(KE948="Ionizador", "Plato de carga", IF(KE948="Cautín", "PTG", "RTG"))</f>
        <v>RTG</v>
      </c>
      <c r="KN948" s="7">
        <v>45992</v>
      </c>
      <c r="KO948" s="7">
        <f t="shared" ref="KO948" si="270">IF(KP948="Trimestral", KN948+90, IF(KP948="Semestral", KN948+180, KN948+365))</f>
        <v>46172</v>
      </c>
      <c r="KP948" s="7" t="str">
        <f t="shared" ref="KP948" si="271">IF(KE948="Ionizador", "Trimestral", IF(KE948="Rack", "Semestral", IF(KE948="Mesa", "Semestral", IF(KE948="Tapete", "Semestral", IF(KE948="Cautín", "Semestral", IF(KE948="Silla", "Semestral", "Anual"))))))</f>
        <v>Semestral</v>
      </c>
      <c r="KQ948" s="2" t="str">
        <f t="shared" ref="KQ948" ca="1" si="272">IF(KO948&lt;TODAY(),"VENCIDO",IF(KO948=TODAY(),"VENCE HOY",IF(KO948&gt;TODAY(),"VIGENTE")))</f>
        <v>VIGENTE</v>
      </c>
      <c r="KR948" s="6" t="s">
        <v>25</v>
      </c>
      <c r="KS948" s="23" t="s">
        <v>138</v>
      </c>
      <c r="KT948" s="2" t="s">
        <v>433</v>
      </c>
      <c r="KU948" s="3" t="s">
        <v>22</v>
      </c>
      <c r="KV948" s="3" t="s">
        <v>23</v>
      </c>
      <c r="KW948" s="2" t="s">
        <v>24</v>
      </c>
      <c r="KX948" s="4">
        <v>0</v>
      </c>
      <c r="KY948" s="8">
        <f t="shared" ref="KY948" si="273">IF(KU948="Ionizador", 10, IF(KU948="Mesa", 1000000000, IF(KU948="Rack", 1000000000, IF(KU948="Piso", 1000000000, IF(KU948="Tapete", 1000000000, IF(KU948="Carrito", 1000000000, IF(KU948="Cautín", 10, 1)))))))</f>
        <v>1000000000</v>
      </c>
      <c r="KZ948" s="4" t="str">
        <f t="shared" ref="KZ948" si="274">IF(KU948="Ionizador", "Segundos", "Ohms")</f>
        <v>Ohms</v>
      </c>
      <c r="LA948" s="6">
        <v>148000000</v>
      </c>
      <c r="LB948" s="6" t="str">
        <f t="shared" ref="LB948" si="275">KZ948</f>
        <v>Ohms</v>
      </c>
      <c r="LC948" s="2" t="str">
        <f t="shared" ref="LC948" si="276">IF(KU948="Ionizador", "Plato de carga", IF(KU948="Cautín", "PTG", "RTG"))</f>
        <v>RTG</v>
      </c>
      <c r="LD948" s="7">
        <v>45992</v>
      </c>
      <c r="LE948" s="7">
        <f t="shared" ref="LE948" si="277">IF(LF948="Trimestral", LD948+90, IF(LF948="Semestral", LD948+180, LD948+365))</f>
        <v>46172</v>
      </c>
      <c r="LF948" s="7" t="str">
        <f t="shared" ref="LF948" si="278">IF(KU948="Ionizador", "Trimestral", IF(KU948="Rack", "Semestral", IF(KU948="Mesa", "Semestral", IF(KU948="Tapete", "Semestral", IF(KU948="Cautín", "Semestral", IF(KU948="Silla", "Semestral", "Anual"))))))</f>
        <v>Semestral</v>
      </c>
      <c r="LG948" s="2" t="str">
        <f t="shared" ref="LG948" ca="1" si="279">IF(LE948&lt;TODAY(),"VENCIDO",IF(LE948=TODAY(),"VENCE HOY",IF(LE948&gt;TODAY(),"VIGENTE")))</f>
        <v>VIGENTE</v>
      </c>
      <c r="LH948" s="6" t="s">
        <v>25</v>
      </c>
      <c r="LI948" s="23" t="s">
        <v>138</v>
      </c>
      <c r="LJ948" s="2" t="s">
        <v>433</v>
      </c>
      <c r="LK948" s="3" t="s">
        <v>22</v>
      </c>
      <c r="LL948" s="3" t="s">
        <v>23</v>
      </c>
      <c r="LM948" s="2" t="s">
        <v>24</v>
      </c>
      <c r="LN948" s="4">
        <v>0</v>
      </c>
      <c r="LO948" s="8">
        <f t="shared" ref="LO948" si="280">IF(LK948="Ionizador", 10, IF(LK948="Mesa", 1000000000, IF(LK948="Rack", 1000000000, IF(LK948="Piso", 1000000000, IF(LK948="Tapete", 1000000000, IF(LK948="Carrito", 1000000000, IF(LK948="Cautín", 10, 1)))))))</f>
        <v>1000000000</v>
      </c>
      <c r="LP948" s="4" t="str">
        <f t="shared" ref="LP948" si="281">IF(LK948="Ionizador", "Segundos", "Ohms")</f>
        <v>Ohms</v>
      </c>
      <c r="LQ948" s="6">
        <v>148000000</v>
      </c>
      <c r="LR948" s="6" t="str">
        <f t="shared" ref="LR948" si="282">LP948</f>
        <v>Ohms</v>
      </c>
      <c r="LS948" s="2" t="str">
        <f t="shared" ref="LS948" si="283">IF(LK948="Ionizador", "Plato de carga", IF(LK948="Cautín", "PTG", "RTG"))</f>
        <v>RTG</v>
      </c>
      <c r="LT948" s="7">
        <v>45992</v>
      </c>
      <c r="LU948" s="7">
        <f t="shared" ref="LU948" si="284">IF(LV948="Trimestral", LT948+90, IF(LV948="Semestral", LT948+180, LT948+365))</f>
        <v>46172</v>
      </c>
      <c r="LV948" s="7" t="str">
        <f t="shared" ref="LV948" si="285">IF(LK948="Ionizador", "Trimestral", IF(LK948="Rack", "Semestral", IF(LK948="Mesa", "Semestral", IF(LK948="Tapete", "Semestral", IF(LK948="Cautín", "Semestral", IF(LK948="Silla", "Semestral", "Anual"))))))</f>
        <v>Semestral</v>
      </c>
      <c r="LW948" s="2" t="str">
        <f t="shared" ref="LW948" ca="1" si="286">IF(LU948&lt;TODAY(),"VENCIDO",IF(LU948=TODAY(),"VENCE HOY",IF(LU948&gt;TODAY(),"VIGENTE")))</f>
        <v>VIGENTE</v>
      </c>
      <c r="LX948" s="6" t="s">
        <v>25</v>
      </c>
      <c r="LY948" s="23" t="s">
        <v>138</v>
      </c>
      <c r="LZ948" s="2" t="s">
        <v>433</v>
      </c>
      <c r="MA948" s="3" t="s">
        <v>22</v>
      </c>
      <c r="MB948" s="3" t="s">
        <v>23</v>
      </c>
      <c r="MC948" s="2" t="s">
        <v>24</v>
      </c>
      <c r="MD948" s="4">
        <v>0</v>
      </c>
      <c r="ME948" s="8">
        <f t="shared" ref="ME948" si="287">IF(MA948="Ionizador", 10, IF(MA948="Mesa", 1000000000, IF(MA948="Rack", 1000000000, IF(MA948="Piso", 1000000000, IF(MA948="Tapete", 1000000000, IF(MA948="Carrito", 1000000000, IF(MA948="Cautín", 10, 1)))))))</f>
        <v>1000000000</v>
      </c>
      <c r="MF948" s="4" t="str">
        <f t="shared" ref="MF948" si="288">IF(MA948="Ionizador", "Segundos", "Ohms")</f>
        <v>Ohms</v>
      </c>
      <c r="MG948" s="6">
        <v>148000000</v>
      </c>
      <c r="MH948" s="6" t="str">
        <f t="shared" ref="MH948" si="289">MF948</f>
        <v>Ohms</v>
      </c>
      <c r="MI948" s="2" t="str">
        <f t="shared" ref="MI948" si="290">IF(MA948="Ionizador", "Plato de carga", IF(MA948="Cautín", "PTG", "RTG"))</f>
        <v>RTG</v>
      </c>
      <c r="MJ948" s="7">
        <v>45992</v>
      </c>
      <c r="MK948" s="7">
        <f t="shared" ref="MK948" si="291">IF(ML948="Trimestral", MJ948+90, IF(ML948="Semestral", MJ948+180, MJ948+365))</f>
        <v>46172</v>
      </c>
      <c r="ML948" s="7" t="str">
        <f t="shared" ref="ML948" si="292">IF(MA948="Ionizador", "Trimestral", IF(MA948="Rack", "Semestral", IF(MA948="Mesa", "Semestral", IF(MA948="Tapete", "Semestral", IF(MA948="Cautín", "Semestral", IF(MA948="Silla", "Semestral", "Anual"))))))</f>
        <v>Semestral</v>
      </c>
      <c r="MM948" s="2" t="str">
        <f t="shared" ref="MM948" ca="1" si="293">IF(MK948&lt;TODAY(),"VENCIDO",IF(MK948=TODAY(),"VENCE HOY",IF(MK948&gt;TODAY(),"VIGENTE")))</f>
        <v>VIGENTE</v>
      </c>
      <c r="MN948" s="6" t="s">
        <v>25</v>
      </c>
      <c r="MO948" s="23" t="s">
        <v>138</v>
      </c>
      <c r="MP948" s="2" t="s">
        <v>433</v>
      </c>
      <c r="MQ948" s="3" t="s">
        <v>22</v>
      </c>
      <c r="MR948" s="3" t="s">
        <v>23</v>
      </c>
      <c r="MS948" s="2" t="s">
        <v>24</v>
      </c>
      <c r="MT948" s="4">
        <v>0</v>
      </c>
      <c r="MU948" s="8">
        <f t="shared" ref="MU948" si="294">IF(MQ948="Ionizador", 10, IF(MQ948="Mesa", 1000000000, IF(MQ948="Rack", 1000000000, IF(MQ948="Piso", 1000000000, IF(MQ948="Tapete", 1000000000, IF(MQ948="Carrito", 1000000000, IF(MQ948="Cautín", 10, 1)))))))</f>
        <v>1000000000</v>
      </c>
      <c r="MV948" s="4" t="str">
        <f t="shared" ref="MV948" si="295">IF(MQ948="Ionizador", "Segundos", "Ohms")</f>
        <v>Ohms</v>
      </c>
      <c r="MW948" s="6">
        <v>148000000</v>
      </c>
      <c r="MX948" s="6" t="str">
        <f t="shared" ref="MX948" si="296">MV948</f>
        <v>Ohms</v>
      </c>
      <c r="MY948" s="2" t="str">
        <f t="shared" ref="MY948" si="297">IF(MQ948="Ionizador", "Plato de carga", IF(MQ948="Cautín", "PTG", "RTG"))</f>
        <v>RTG</v>
      </c>
      <c r="MZ948" s="7">
        <v>45992</v>
      </c>
      <c r="NA948" s="7">
        <f t="shared" ref="NA948" si="298">IF(NB948="Trimestral", MZ948+90, IF(NB948="Semestral", MZ948+180, MZ948+365))</f>
        <v>46172</v>
      </c>
      <c r="NB948" s="7" t="str">
        <f t="shared" ref="NB948" si="299">IF(MQ948="Ionizador", "Trimestral", IF(MQ948="Rack", "Semestral", IF(MQ948="Mesa", "Semestral", IF(MQ948="Tapete", "Semestral", IF(MQ948="Cautín", "Semestral", IF(MQ948="Silla", "Semestral", "Anual"))))))</f>
        <v>Semestral</v>
      </c>
      <c r="NC948" s="2" t="str">
        <f t="shared" ref="NC948" ca="1" si="300">IF(NA948&lt;TODAY(),"VENCIDO",IF(NA948=TODAY(),"VENCE HOY",IF(NA948&gt;TODAY(),"VIGENTE")))</f>
        <v>VIGENTE</v>
      </c>
      <c r="ND948" s="6" t="s">
        <v>25</v>
      </c>
      <c r="NE948" s="23" t="s">
        <v>138</v>
      </c>
      <c r="NF948" s="2" t="s">
        <v>433</v>
      </c>
      <c r="NG948" s="3" t="s">
        <v>22</v>
      </c>
      <c r="NH948" s="3" t="s">
        <v>23</v>
      </c>
      <c r="NI948" s="2" t="s">
        <v>24</v>
      </c>
      <c r="NJ948" s="4">
        <v>0</v>
      </c>
      <c r="NK948" s="8">
        <f t="shared" ref="NK948" si="301">IF(NG948="Ionizador", 10, IF(NG948="Mesa", 1000000000, IF(NG948="Rack", 1000000000, IF(NG948="Piso", 1000000000, IF(NG948="Tapete", 1000000000, IF(NG948="Carrito", 1000000000, IF(NG948="Cautín", 10, 1)))))))</f>
        <v>1000000000</v>
      </c>
      <c r="NL948" s="4" t="str">
        <f t="shared" ref="NL948" si="302">IF(NG948="Ionizador", "Segundos", "Ohms")</f>
        <v>Ohms</v>
      </c>
      <c r="NM948" s="6">
        <v>148000000</v>
      </c>
      <c r="NN948" s="6" t="str">
        <f t="shared" ref="NN948" si="303">NL948</f>
        <v>Ohms</v>
      </c>
      <c r="NO948" s="2" t="str">
        <f t="shared" ref="NO948" si="304">IF(NG948="Ionizador", "Plato de carga", IF(NG948="Cautín", "PTG", "RTG"))</f>
        <v>RTG</v>
      </c>
      <c r="NP948" s="7">
        <v>45992</v>
      </c>
      <c r="NQ948" s="7">
        <f t="shared" ref="NQ948" si="305">IF(NR948="Trimestral", NP948+90, IF(NR948="Semestral", NP948+180, NP948+365))</f>
        <v>46172</v>
      </c>
      <c r="NR948" s="7" t="str">
        <f t="shared" ref="NR948" si="306">IF(NG948="Ionizador", "Trimestral", IF(NG948="Rack", "Semestral", IF(NG948="Mesa", "Semestral", IF(NG948="Tapete", "Semestral", IF(NG948="Cautín", "Semestral", IF(NG948="Silla", "Semestral", "Anual"))))))</f>
        <v>Semestral</v>
      </c>
      <c r="NS948" s="2" t="str">
        <f t="shared" ref="NS948" ca="1" si="307">IF(NQ948&lt;TODAY(),"VENCIDO",IF(NQ948=TODAY(),"VENCE HOY",IF(NQ948&gt;TODAY(),"VIGENTE")))</f>
        <v>VIGENTE</v>
      </c>
      <c r="NT948" s="6" t="s">
        <v>25</v>
      </c>
      <c r="NU948" s="23" t="s">
        <v>138</v>
      </c>
      <c r="NV948" s="2" t="s">
        <v>433</v>
      </c>
      <c r="NW948" s="3" t="s">
        <v>22</v>
      </c>
      <c r="NX948" s="3" t="s">
        <v>23</v>
      </c>
      <c r="NY948" s="2" t="s">
        <v>24</v>
      </c>
      <c r="NZ948" s="4">
        <v>0</v>
      </c>
      <c r="OA948" s="8">
        <f t="shared" ref="OA948" si="308">IF(NW948="Ionizador", 10, IF(NW948="Mesa", 1000000000, IF(NW948="Rack", 1000000000, IF(NW948="Piso", 1000000000, IF(NW948="Tapete", 1000000000, IF(NW948="Carrito", 1000000000, IF(NW948="Cautín", 10, 1)))))))</f>
        <v>1000000000</v>
      </c>
      <c r="OB948" s="4" t="str">
        <f t="shared" ref="OB948" si="309">IF(NW948="Ionizador", "Segundos", "Ohms")</f>
        <v>Ohms</v>
      </c>
      <c r="OC948" s="6">
        <v>148000000</v>
      </c>
      <c r="OD948" s="6" t="str">
        <f t="shared" ref="OD948" si="310">OB948</f>
        <v>Ohms</v>
      </c>
      <c r="OE948" s="2" t="str">
        <f t="shared" ref="OE948" si="311">IF(NW948="Ionizador", "Plato de carga", IF(NW948="Cautín", "PTG", "RTG"))</f>
        <v>RTG</v>
      </c>
      <c r="OF948" s="7">
        <v>45992</v>
      </c>
      <c r="OG948" s="7">
        <f t="shared" ref="OG948" si="312">IF(OH948="Trimestral", OF948+90, IF(OH948="Semestral", OF948+180, OF948+365))</f>
        <v>46172</v>
      </c>
      <c r="OH948" s="7" t="str">
        <f t="shared" ref="OH948" si="313">IF(NW948="Ionizador", "Trimestral", IF(NW948="Rack", "Semestral", IF(NW948="Mesa", "Semestral", IF(NW948="Tapete", "Semestral", IF(NW948="Cautín", "Semestral", IF(NW948="Silla", "Semestral", "Anual"))))))</f>
        <v>Semestral</v>
      </c>
      <c r="OI948" s="2" t="str">
        <f t="shared" ref="OI948" ca="1" si="314">IF(OG948&lt;TODAY(),"VENCIDO",IF(OG948=TODAY(),"VENCE HOY",IF(OG948&gt;TODAY(),"VIGENTE")))</f>
        <v>VIGENTE</v>
      </c>
      <c r="OJ948" s="6" t="s">
        <v>25</v>
      </c>
      <c r="OK948" s="23" t="s">
        <v>138</v>
      </c>
      <c r="OL948" s="2" t="s">
        <v>433</v>
      </c>
      <c r="OM948" s="3" t="s">
        <v>22</v>
      </c>
      <c r="ON948" s="3" t="s">
        <v>23</v>
      </c>
      <c r="OO948" s="2" t="s">
        <v>24</v>
      </c>
      <c r="OP948" s="4">
        <v>0</v>
      </c>
      <c r="OQ948" s="8">
        <f t="shared" ref="OQ948" si="315">IF(OM948="Ionizador", 10, IF(OM948="Mesa", 1000000000, IF(OM948="Rack", 1000000000, IF(OM948="Piso", 1000000000, IF(OM948="Tapete", 1000000000, IF(OM948="Carrito", 1000000000, IF(OM948="Cautín", 10, 1)))))))</f>
        <v>1000000000</v>
      </c>
      <c r="OR948" s="4" t="str">
        <f t="shared" ref="OR948" si="316">IF(OM948="Ionizador", "Segundos", "Ohms")</f>
        <v>Ohms</v>
      </c>
      <c r="OS948" s="6">
        <v>148000000</v>
      </c>
      <c r="OT948" s="6" t="str">
        <f t="shared" ref="OT948" si="317">OR948</f>
        <v>Ohms</v>
      </c>
      <c r="OU948" s="2" t="str">
        <f t="shared" ref="OU948" si="318">IF(OM948="Ionizador", "Plato de carga", IF(OM948="Cautín", "PTG", "RTG"))</f>
        <v>RTG</v>
      </c>
      <c r="OV948" s="7">
        <v>45992</v>
      </c>
      <c r="OW948" s="7">
        <f t="shared" ref="OW948" si="319">IF(OX948="Trimestral", OV948+90, IF(OX948="Semestral", OV948+180, OV948+365))</f>
        <v>46172</v>
      </c>
      <c r="OX948" s="7" t="str">
        <f t="shared" ref="OX948" si="320">IF(OM948="Ionizador", "Trimestral", IF(OM948="Rack", "Semestral", IF(OM948="Mesa", "Semestral", IF(OM948="Tapete", "Semestral", IF(OM948="Cautín", "Semestral", IF(OM948="Silla", "Semestral", "Anual"))))))</f>
        <v>Semestral</v>
      </c>
      <c r="OY948" s="2" t="str">
        <f t="shared" ref="OY948" ca="1" si="321">IF(OW948&lt;TODAY(),"VENCIDO",IF(OW948=TODAY(),"VENCE HOY",IF(OW948&gt;TODAY(),"VIGENTE")))</f>
        <v>VIGENTE</v>
      </c>
      <c r="OZ948" s="6" t="s">
        <v>25</v>
      </c>
      <c r="PA948" s="23" t="s">
        <v>138</v>
      </c>
      <c r="PB948" s="2" t="s">
        <v>433</v>
      </c>
      <c r="PC948" s="3" t="s">
        <v>22</v>
      </c>
      <c r="PD948" s="3" t="s">
        <v>23</v>
      </c>
      <c r="PE948" s="2" t="s">
        <v>24</v>
      </c>
      <c r="PF948" s="4">
        <v>0</v>
      </c>
      <c r="PG948" s="8">
        <f t="shared" ref="PG948" si="322">IF(PC948="Ionizador", 10, IF(PC948="Mesa", 1000000000, IF(PC948="Rack", 1000000000, IF(PC948="Piso", 1000000000, IF(PC948="Tapete", 1000000000, IF(PC948="Carrito", 1000000000, IF(PC948="Cautín", 10, 1)))))))</f>
        <v>1000000000</v>
      </c>
      <c r="PH948" s="4" t="str">
        <f t="shared" ref="PH948" si="323">IF(PC948="Ionizador", "Segundos", "Ohms")</f>
        <v>Ohms</v>
      </c>
      <c r="PI948" s="6">
        <v>148000000</v>
      </c>
      <c r="PJ948" s="6" t="str">
        <f t="shared" ref="PJ948" si="324">PH948</f>
        <v>Ohms</v>
      </c>
      <c r="PK948" s="2" t="str">
        <f t="shared" ref="PK948" si="325">IF(PC948="Ionizador", "Plato de carga", IF(PC948="Cautín", "PTG", "RTG"))</f>
        <v>RTG</v>
      </c>
      <c r="PL948" s="7">
        <v>45992</v>
      </c>
      <c r="PM948" s="7">
        <f t="shared" ref="PM948" si="326">IF(PN948="Trimestral", PL948+90, IF(PN948="Semestral", PL948+180, PL948+365))</f>
        <v>46172</v>
      </c>
      <c r="PN948" s="7" t="str">
        <f t="shared" ref="PN948" si="327">IF(PC948="Ionizador", "Trimestral", IF(PC948="Rack", "Semestral", IF(PC948="Mesa", "Semestral", IF(PC948="Tapete", "Semestral", IF(PC948="Cautín", "Semestral", IF(PC948="Silla", "Semestral", "Anual"))))))</f>
        <v>Semestral</v>
      </c>
      <c r="PO948" s="2" t="str">
        <f t="shared" ref="PO948" ca="1" si="328">IF(PM948&lt;TODAY(),"VENCIDO",IF(PM948=TODAY(),"VENCE HOY",IF(PM948&gt;TODAY(),"VIGENTE")))</f>
        <v>VIGENTE</v>
      </c>
      <c r="PP948" s="6" t="s">
        <v>25</v>
      </c>
      <c r="PQ948" s="23" t="s">
        <v>138</v>
      </c>
      <c r="PR948" s="2" t="s">
        <v>433</v>
      </c>
      <c r="PS948" s="3" t="s">
        <v>22</v>
      </c>
      <c r="PT948" s="3" t="s">
        <v>23</v>
      </c>
      <c r="PU948" s="2" t="s">
        <v>24</v>
      </c>
      <c r="PV948" s="4">
        <v>0</v>
      </c>
      <c r="PW948" s="8">
        <f t="shared" ref="PW948" si="329">IF(PS948="Ionizador", 10, IF(PS948="Mesa", 1000000000, IF(PS948="Rack", 1000000000, IF(PS948="Piso", 1000000000, IF(PS948="Tapete", 1000000000, IF(PS948="Carrito", 1000000000, IF(PS948="Cautín", 10, 1)))))))</f>
        <v>1000000000</v>
      </c>
      <c r="PX948" s="4" t="str">
        <f t="shared" ref="PX948" si="330">IF(PS948="Ionizador", "Segundos", "Ohms")</f>
        <v>Ohms</v>
      </c>
      <c r="PY948" s="6">
        <v>148000000</v>
      </c>
      <c r="PZ948" s="6" t="str">
        <f t="shared" ref="PZ948" si="331">PX948</f>
        <v>Ohms</v>
      </c>
      <c r="QA948" s="2" t="str">
        <f t="shared" ref="QA948" si="332">IF(PS948="Ionizador", "Plato de carga", IF(PS948="Cautín", "PTG", "RTG"))</f>
        <v>RTG</v>
      </c>
      <c r="QB948" s="7">
        <v>45992</v>
      </c>
      <c r="QC948" s="7">
        <f t="shared" ref="QC948" si="333">IF(QD948="Trimestral", QB948+90, IF(QD948="Semestral", QB948+180, QB948+365))</f>
        <v>46172</v>
      </c>
      <c r="QD948" s="7" t="str">
        <f t="shared" ref="QD948" si="334">IF(PS948="Ionizador", "Trimestral", IF(PS948="Rack", "Semestral", IF(PS948="Mesa", "Semestral", IF(PS948="Tapete", "Semestral", IF(PS948="Cautín", "Semestral", IF(PS948="Silla", "Semestral", "Anual"))))))</f>
        <v>Semestral</v>
      </c>
      <c r="QE948" s="2" t="str">
        <f t="shared" ref="QE948" ca="1" si="335">IF(QC948&lt;TODAY(),"VENCIDO",IF(QC948=TODAY(),"VENCE HOY",IF(QC948&gt;TODAY(),"VIGENTE")))</f>
        <v>VIGENTE</v>
      </c>
      <c r="QF948" s="6" t="s">
        <v>25</v>
      </c>
      <c r="QG948" s="23" t="s">
        <v>138</v>
      </c>
      <c r="QH948" s="2" t="s">
        <v>433</v>
      </c>
      <c r="QI948" s="3" t="s">
        <v>22</v>
      </c>
      <c r="QJ948" s="3" t="s">
        <v>23</v>
      </c>
      <c r="QK948" s="2" t="s">
        <v>24</v>
      </c>
      <c r="QL948" s="4">
        <v>0</v>
      </c>
      <c r="QM948" s="8">
        <f t="shared" ref="QM948" si="336">IF(QI948="Ionizador", 10, IF(QI948="Mesa", 1000000000, IF(QI948="Rack", 1000000000, IF(QI948="Piso", 1000000000, IF(QI948="Tapete", 1000000000, IF(QI948="Carrito", 1000000000, IF(QI948="Cautín", 10, 1)))))))</f>
        <v>1000000000</v>
      </c>
      <c r="QN948" s="4" t="str">
        <f t="shared" ref="QN948" si="337">IF(QI948="Ionizador", "Segundos", "Ohms")</f>
        <v>Ohms</v>
      </c>
      <c r="QO948" s="6">
        <v>148000000</v>
      </c>
      <c r="QP948" s="6" t="str">
        <f t="shared" ref="QP948" si="338">QN948</f>
        <v>Ohms</v>
      </c>
      <c r="QQ948" s="2" t="str">
        <f t="shared" ref="QQ948" si="339">IF(QI948="Ionizador", "Plato de carga", IF(QI948="Cautín", "PTG", "RTG"))</f>
        <v>RTG</v>
      </c>
      <c r="QR948" s="7">
        <v>45992</v>
      </c>
      <c r="QS948" s="7">
        <f t="shared" ref="QS948" si="340">IF(QT948="Trimestral", QR948+90, IF(QT948="Semestral", QR948+180, QR948+365))</f>
        <v>46172</v>
      </c>
      <c r="QT948" s="7" t="str">
        <f t="shared" ref="QT948" si="341">IF(QI948="Ionizador", "Trimestral", IF(QI948="Rack", "Semestral", IF(QI948="Mesa", "Semestral", IF(QI948="Tapete", "Semestral", IF(QI948="Cautín", "Semestral", IF(QI948="Silla", "Semestral", "Anual"))))))</f>
        <v>Semestral</v>
      </c>
      <c r="QU948" s="2" t="str">
        <f t="shared" ref="QU948" ca="1" si="342">IF(QS948&lt;TODAY(),"VENCIDO",IF(QS948=TODAY(),"VENCE HOY",IF(QS948&gt;TODAY(),"VIGENTE")))</f>
        <v>VIGENTE</v>
      </c>
      <c r="QV948" s="6" t="s">
        <v>25</v>
      </c>
      <c r="QW948" s="23" t="s">
        <v>138</v>
      </c>
      <c r="QX948" s="2" t="s">
        <v>433</v>
      </c>
      <c r="QY948" s="3" t="s">
        <v>22</v>
      </c>
      <c r="QZ948" s="3" t="s">
        <v>23</v>
      </c>
      <c r="RA948" s="2" t="s">
        <v>24</v>
      </c>
      <c r="RB948" s="4">
        <v>0</v>
      </c>
      <c r="RC948" s="8">
        <f t="shared" ref="RC948" si="343">IF(QY948="Ionizador", 10, IF(QY948="Mesa", 1000000000, IF(QY948="Rack", 1000000000, IF(QY948="Piso", 1000000000, IF(QY948="Tapete", 1000000000, IF(QY948="Carrito", 1000000000, IF(QY948="Cautín", 10, 1)))))))</f>
        <v>1000000000</v>
      </c>
      <c r="RD948" s="4" t="str">
        <f t="shared" ref="RD948" si="344">IF(QY948="Ionizador", "Segundos", "Ohms")</f>
        <v>Ohms</v>
      </c>
      <c r="RE948" s="6">
        <v>148000000</v>
      </c>
      <c r="RF948" s="6" t="str">
        <f t="shared" ref="RF948" si="345">RD948</f>
        <v>Ohms</v>
      </c>
      <c r="RG948" s="2" t="str">
        <f t="shared" ref="RG948" si="346">IF(QY948="Ionizador", "Plato de carga", IF(QY948="Cautín", "PTG", "RTG"))</f>
        <v>RTG</v>
      </c>
      <c r="RH948" s="7">
        <v>45992</v>
      </c>
      <c r="RI948" s="7">
        <f t="shared" ref="RI948" si="347">IF(RJ948="Trimestral", RH948+90, IF(RJ948="Semestral", RH948+180, RH948+365))</f>
        <v>46172</v>
      </c>
      <c r="RJ948" s="7" t="str">
        <f t="shared" ref="RJ948" si="348">IF(QY948="Ionizador", "Trimestral", IF(QY948="Rack", "Semestral", IF(QY948="Mesa", "Semestral", IF(QY948="Tapete", "Semestral", IF(QY948="Cautín", "Semestral", IF(QY948="Silla", "Semestral", "Anual"))))))</f>
        <v>Semestral</v>
      </c>
      <c r="RK948" s="2" t="str">
        <f t="shared" ref="RK948" ca="1" si="349">IF(RI948&lt;TODAY(),"VENCIDO",IF(RI948=TODAY(),"VENCE HOY",IF(RI948&gt;TODAY(),"VIGENTE")))</f>
        <v>VIGENTE</v>
      </c>
      <c r="RL948" s="6" t="s">
        <v>25</v>
      </c>
      <c r="RM948" s="23" t="s">
        <v>138</v>
      </c>
      <c r="RN948" s="2" t="s">
        <v>433</v>
      </c>
      <c r="RO948" s="3" t="s">
        <v>22</v>
      </c>
      <c r="RP948" s="3" t="s">
        <v>23</v>
      </c>
      <c r="RQ948" s="2" t="s">
        <v>24</v>
      </c>
      <c r="RR948" s="4">
        <v>0</v>
      </c>
      <c r="RS948" s="8">
        <f t="shared" ref="RS948" si="350">IF(RO948="Ionizador", 10, IF(RO948="Mesa", 1000000000, IF(RO948="Rack", 1000000000, IF(RO948="Piso", 1000000000, IF(RO948="Tapete", 1000000000, IF(RO948="Carrito", 1000000000, IF(RO948="Cautín", 10, 1)))))))</f>
        <v>1000000000</v>
      </c>
      <c r="RT948" s="4" t="str">
        <f t="shared" ref="RT948" si="351">IF(RO948="Ionizador", "Segundos", "Ohms")</f>
        <v>Ohms</v>
      </c>
      <c r="RU948" s="6">
        <v>148000000</v>
      </c>
      <c r="RV948" s="6" t="str">
        <f t="shared" ref="RV948" si="352">RT948</f>
        <v>Ohms</v>
      </c>
      <c r="RW948" s="2" t="str">
        <f t="shared" ref="RW948" si="353">IF(RO948="Ionizador", "Plato de carga", IF(RO948="Cautín", "PTG", "RTG"))</f>
        <v>RTG</v>
      </c>
      <c r="RX948" s="7">
        <v>45992</v>
      </c>
      <c r="RY948" s="7">
        <f t="shared" ref="RY948" si="354">IF(RZ948="Trimestral", RX948+90, IF(RZ948="Semestral", RX948+180, RX948+365))</f>
        <v>46172</v>
      </c>
      <c r="RZ948" s="7" t="str">
        <f t="shared" ref="RZ948" si="355">IF(RO948="Ionizador", "Trimestral", IF(RO948="Rack", "Semestral", IF(RO948="Mesa", "Semestral", IF(RO948="Tapete", "Semestral", IF(RO948="Cautín", "Semestral", IF(RO948="Silla", "Semestral", "Anual"))))))</f>
        <v>Semestral</v>
      </c>
      <c r="SA948" s="2" t="str">
        <f t="shared" ref="SA948" ca="1" si="356">IF(RY948&lt;TODAY(),"VENCIDO",IF(RY948=TODAY(),"VENCE HOY",IF(RY948&gt;TODAY(),"VIGENTE")))</f>
        <v>VIGENTE</v>
      </c>
      <c r="SB948" s="6" t="s">
        <v>25</v>
      </c>
      <c r="SC948" s="23" t="s">
        <v>138</v>
      </c>
      <c r="SD948" s="2" t="s">
        <v>433</v>
      </c>
      <c r="SE948" s="3" t="s">
        <v>22</v>
      </c>
      <c r="SF948" s="3" t="s">
        <v>23</v>
      </c>
      <c r="SG948" s="2" t="s">
        <v>24</v>
      </c>
      <c r="SH948" s="4">
        <v>0</v>
      </c>
      <c r="SI948" s="8">
        <f t="shared" ref="SI948" si="357">IF(SE948="Ionizador", 10, IF(SE948="Mesa", 1000000000, IF(SE948="Rack", 1000000000, IF(SE948="Piso", 1000000000, IF(SE948="Tapete", 1000000000, IF(SE948="Carrito", 1000000000, IF(SE948="Cautín", 10, 1)))))))</f>
        <v>1000000000</v>
      </c>
      <c r="SJ948" s="4" t="str">
        <f t="shared" ref="SJ948" si="358">IF(SE948="Ionizador", "Segundos", "Ohms")</f>
        <v>Ohms</v>
      </c>
      <c r="SK948" s="6">
        <v>148000000</v>
      </c>
      <c r="SL948" s="6" t="str">
        <f t="shared" ref="SL948" si="359">SJ948</f>
        <v>Ohms</v>
      </c>
      <c r="SM948" s="2" t="str">
        <f t="shared" ref="SM948" si="360">IF(SE948="Ionizador", "Plato de carga", IF(SE948="Cautín", "PTG", "RTG"))</f>
        <v>RTG</v>
      </c>
      <c r="SN948" s="7">
        <v>45992</v>
      </c>
      <c r="SO948" s="7">
        <f t="shared" ref="SO948" si="361">IF(SP948="Trimestral", SN948+90, IF(SP948="Semestral", SN948+180, SN948+365))</f>
        <v>46172</v>
      </c>
      <c r="SP948" s="7" t="str">
        <f t="shared" ref="SP948" si="362">IF(SE948="Ionizador", "Trimestral", IF(SE948="Rack", "Semestral", IF(SE948="Mesa", "Semestral", IF(SE948="Tapete", "Semestral", IF(SE948="Cautín", "Semestral", IF(SE948="Silla", "Semestral", "Anual"))))))</f>
        <v>Semestral</v>
      </c>
      <c r="SQ948" s="2" t="str">
        <f t="shared" ref="SQ948" ca="1" si="363">IF(SO948&lt;TODAY(),"VENCIDO",IF(SO948=TODAY(),"VENCE HOY",IF(SO948&gt;TODAY(),"VIGENTE")))</f>
        <v>VIGENTE</v>
      </c>
      <c r="SR948" s="6" t="s">
        <v>25</v>
      </c>
      <c r="SS948" s="23" t="s">
        <v>138</v>
      </c>
      <c r="ST948" s="2" t="s">
        <v>433</v>
      </c>
      <c r="SU948" s="3" t="s">
        <v>22</v>
      </c>
      <c r="SV948" s="3" t="s">
        <v>23</v>
      </c>
      <c r="SW948" s="2" t="s">
        <v>24</v>
      </c>
      <c r="SX948" s="4">
        <v>0</v>
      </c>
      <c r="SY948" s="8">
        <f t="shared" ref="SY948" si="364">IF(SU948="Ionizador", 10, IF(SU948="Mesa", 1000000000, IF(SU948="Rack", 1000000000, IF(SU948="Piso", 1000000000, IF(SU948="Tapete", 1000000000, IF(SU948="Carrito", 1000000000, IF(SU948="Cautín", 10, 1)))))))</f>
        <v>1000000000</v>
      </c>
      <c r="SZ948" s="4" t="str">
        <f t="shared" ref="SZ948" si="365">IF(SU948="Ionizador", "Segundos", "Ohms")</f>
        <v>Ohms</v>
      </c>
      <c r="TA948" s="6">
        <v>148000000</v>
      </c>
      <c r="TB948" s="6" t="str">
        <f t="shared" ref="TB948" si="366">SZ948</f>
        <v>Ohms</v>
      </c>
      <c r="TC948" s="2" t="str">
        <f t="shared" ref="TC948" si="367">IF(SU948="Ionizador", "Plato de carga", IF(SU948="Cautín", "PTG", "RTG"))</f>
        <v>RTG</v>
      </c>
      <c r="TD948" s="7">
        <v>45992</v>
      </c>
      <c r="TE948" s="7">
        <f t="shared" ref="TE948" si="368">IF(TF948="Trimestral", TD948+90, IF(TF948="Semestral", TD948+180, TD948+365))</f>
        <v>46172</v>
      </c>
      <c r="TF948" s="7" t="str">
        <f t="shared" ref="TF948" si="369">IF(SU948="Ionizador", "Trimestral", IF(SU948="Rack", "Semestral", IF(SU948="Mesa", "Semestral", IF(SU948="Tapete", "Semestral", IF(SU948="Cautín", "Semestral", IF(SU948="Silla", "Semestral", "Anual"))))))</f>
        <v>Semestral</v>
      </c>
      <c r="TG948" s="2" t="str">
        <f t="shared" ref="TG948" ca="1" si="370">IF(TE948&lt;TODAY(),"VENCIDO",IF(TE948=TODAY(),"VENCE HOY",IF(TE948&gt;TODAY(),"VIGENTE")))</f>
        <v>VIGENTE</v>
      </c>
      <c r="TH948" s="6" t="s">
        <v>25</v>
      </c>
      <c r="TI948" s="23" t="s">
        <v>138</v>
      </c>
      <c r="TJ948" s="2" t="s">
        <v>433</v>
      </c>
      <c r="TK948" s="3" t="s">
        <v>22</v>
      </c>
      <c r="TL948" s="3" t="s">
        <v>23</v>
      </c>
      <c r="TM948" s="2" t="s">
        <v>24</v>
      </c>
      <c r="TN948" s="4">
        <v>0</v>
      </c>
      <c r="TO948" s="8">
        <f t="shared" ref="TO948" si="371">IF(TK948="Ionizador", 10, IF(TK948="Mesa", 1000000000, IF(TK948="Rack", 1000000000, IF(TK948="Piso", 1000000000, IF(TK948="Tapete", 1000000000, IF(TK948="Carrito", 1000000000, IF(TK948="Cautín", 10, 1)))))))</f>
        <v>1000000000</v>
      </c>
      <c r="TP948" s="4" t="str">
        <f t="shared" ref="TP948" si="372">IF(TK948="Ionizador", "Segundos", "Ohms")</f>
        <v>Ohms</v>
      </c>
      <c r="TQ948" s="6">
        <v>148000000</v>
      </c>
      <c r="TR948" s="6" t="str">
        <f t="shared" ref="TR948" si="373">TP948</f>
        <v>Ohms</v>
      </c>
      <c r="TS948" s="2" t="str">
        <f t="shared" ref="TS948" si="374">IF(TK948="Ionizador", "Plato de carga", IF(TK948="Cautín", "PTG", "RTG"))</f>
        <v>RTG</v>
      </c>
      <c r="TT948" s="7">
        <v>45992</v>
      </c>
      <c r="TU948" s="7">
        <f t="shared" ref="TU948" si="375">IF(TV948="Trimestral", TT948+90, IF(TV948="Semestral", TT948+180, TT948+365))</f>
        <v>46172</v>
      </c>
      <c r="TV948" s="7" t="str">
        <f t="shared" ref="TV948" si="376">IF(TK948="Ionizador", "Trimestral", IF(TK948="Rack", "Semestral", IF(TK948="Mesa", "Semestral", IF(TK948="Tapete", "Semestral", IF(TK948="Cautín", "Semestral", IF(TK948="Silla", "Semestral", "Anual"))))))</f>
        <v>Semestral</v>
      </c>
      <c r="TW948" s="2" t="str">
        <f t="shared" ref="TW948" ca="1" si="377">IF(TU948&lt;TODAY(),"VENCIDO",IF(TU948=TODAY(),"VENCE HOY",IF(TU948&gt;TODAY(),"VIGENTE")))</f>
        <v>VIGENTE</v>
      </c>
      <c r="TX948" s="6" t="s">
        <v>25</v>
      </c>
      <c r="TY948" s="23" t="s">
        <v>138</v>
      </c>
      <c r="TZ948" s="2" t="s">
        <v>433</v>
      </c>
      <c r="UA948" s="3" t="s">
        <v>22</v>
      </c>
      <c r="UB948" s="3" t="s">
        <v>23</v>
      </c>
      <c r="UC948" s="2" t="s">
        <v>24</v>
      </c>
      <c r="UD948" s="4">
        <v>0</v>
      </c>
      <c r="UE948" s="8">
        <f t="shared" ref="UE948" si="378">IF(UA948="Ionizador", 10, IF(UA948="Mesa", 1000000000, IF(UA948="Rack", 1000000000, IF(UA948="Piso", 1000000000, IF(UA948="Tapete", 1000000000, IF(UA948="Carrito", 1000000000, IF(UA948="Cautín", 10, 1)))))))</f>
        <v>1000000000</v>
      </c>
      <c r="UF948" s="4" t="str">
        <f t="shared" ref="UF948" si="379">IF(UA948="Ionizador", "Segundos", "Ohms")</f>
        <v>Ohms</v>
      </c>
      <c r="UG948" s="6">
        <v>148000000</v>
      </c>
      <c r="UH948" s="6" t="str">
        <f t="shared" ref="UH948" si="380">UF948</f>
        <v>Ohms</v>
      </c>
      <c r="UI948" s="2" t="str">
        <f t="shared" ref="UI948" si="381">IF(UA948="Ionizador", "Plato de carga", IF(UA948="Cautín", "PTG", "RTG"))</f>
        <v>RTG</v>
      </c>
      <c r="UJ948" s="7">
        <v>45992</v>
      </c>
      <c r="UK948" s="7">
        <f t="shared" ref="UK948" si="382">IF(UL948="Trimestral", UJ948+90, IF(UL948="Semestral", UJ948+180, UJ948+365))</f>
        <v>46172</v>
      </c>
      <c r="UL948" s="7" t="str">
        <f t="shared" ref="UL948" si="383">IF(UA948="Ionizador", "Trimestral", IF(UA948="Rack", "Semestral", IF(UA948="Mesa", "Semestral", IF(UA948="Tapete", "Semestral", IF(UA948="Cautín", "Semestral", IF(UA948="Silla", "Semestral", "Anual"))))))</f>
        <v>Semestral</v>
      </c>
      <c r="UM948" s="2" t="str">
        <f t="shared" ref="UM948" ca="1" si="384">IF(UK948&lt;TODAY(),"VENCIDO",IF(UK948=TODAY(),"VENCE HOY",IF(UK948&gt;TODAY(),"VIGENTE")))</f>
        <v>VIGENTE</v>
      </c>
      <c r="UN948" s="6" t="s">
        <v>25</v>
      </c>
      <c r="UO948" s="23" t="s">
        <v>138</v>
      </c>
      <c r="UP948" s="2" t="s">
        <v>433</v>
      </c>
      <c r="UQ948" s="3" t="s">
        <v>22</v>
      </c>
      <c r="UR948" s="3" t="s">
        <v>23</v>
      </c>
      <c r="US948" s="2" t="s">
        <v>24</v>
      </c>
      <c r="UT948" s="4">
        <v>0</v>
      </c>
      <c r="UU948" s="8">
        <f t="shared" ref="UU948" si="385">IF(UQ948="Ionizador", 10, IF(UQ948="Mesa", 1000000000, IF(UQ948="Rack", 1000000000, IF(UQ948="Piso", 1000000000, IF(UQ948="Tapete", 1000000000, IF(UQ948="Carrito", 1000000000, IF(UQ948="Cautín", 10, 1)))))))</f>
        <v>1000000000</v>
      </c>
      <c r="UV948" s="4" t="str">
        <f t="shared" ref="UV948" si="386">IF(UQ948="Ionizador", "Segundos", "Ohms")</f>
        <v>Ohms</v>
      </c>
      <c r="UW948" s="6">
        <v>148000000</v>
      </c>
      <c r="UX948" s="6" t="str">
        <f t="shared" ref="UX948" si="387">UV948</f>
        <v>Ohms</v>
      </c>
      <c r="UY948" s="2" t="str">
        <f t="shared" ref="UY948" si="388">IF(UQ948="Ionizador", "Plato de carga", IF(UQ948="Cautín", "PTG", "RTG"))</f>
        <v>RTG</v>
      </c>
      <c r="UZ948" s="7">
        <v>45992</v>
      </c>
      <c r="VA948" s="7">
        <f t="shared" ref="VA948" si="389">IF(VB948="Trimestral", UZ948+90, IF(VB948="Semestral", UZ948+180, UZ948+365))</f>
        <v>46172</v>
      </c>
      <c r="VB948" s="7" t="str">
        <f t="shared" ref="VB948" si="390">IF(UQ948="Ionizador", "Trimestral", IF(UQ948="Rack", "Semestral", IF(UQ948="Mesa", "Semestral", IF(UQ948="Tapete", "Semestral", IF(UQ948="Cautín", "Semestral", IF(UQ948="Silla", "Semestral", "Anual"))))))</f>
        <v>Semestral</v>
      </c>
      <c r="VC948" s="2" t="str">
        <f t="shared" ref="VC948" ca="1" si="391">IF(VA948&lt;TODAY(),"VENCIDO",IF(VA948=TODAY(),"VENCE HOY",IF(VA948&gt;TODAY(),"VIGENTE")))</f>
        <v>VIGENTE</v>
      </c>
      <c r="VD948" s="6" t="s">
        <v>25</v>
      </c>
      <c r="VE948" s="23" t="s">
        <v>138</v>
      </c>
      <c r="VF948" s="2" t="s">
        <v>433</v>
      </c>
      <c r="VG948" s="3" t="s">
        <v>22</v>
      </c>
      <c r="VH948" s="3" t="s">
        <v>23</v>
      </c>
      <c r="VI948" s="2" t="s">
        <v>24</v>
      </c>
      <c r="VJ948" s="4">
        <v>0</v>
      </c>
      <c r="VK948" s="8">
        <f t="shared" ref="VK948" si="392">IF(VG948="Ionizador", 10, IF(VG948="Mesa", 1000000000, IF(VG948="Rack", 1000000000, IF(VG948="Piso", 1000000000, IF(VG948="Tapete", 1000000000, IF(VG948="Carrito", 1000000000, IF(VG948="Cautín", 10, 1)))))))</f>
        <v>1000000000</v>
      </c>
      <c r="VL948" s="4" t="str">
        <f t="shared" ref="VL948" si="393">IF(VG948="Ionizador", "Segundos", "Ohms")</f>
        <v>Ohms</v>
      </c>
      <c r="VM948" s="6">
        <v>148000000</v>
      </c>
      <c r="VN948" s="6" t="str">
        <f t="shared" ref="VN948" si="394">VL948</f>
        <v>Ohms</v>
      </c>
      <c r="VO948" s="2" t="str">
        <f t="shared" ref="VO948" si="395">IF(VG948="Ionizador", "Plato de carga", IF(VG948="Cautín", "PTG", "RTG"))</f>
        <v>RTG</v>
      </c>
      <c r="VP948" s="7">
        <v>45992</v>
      </c>
      <c r="VQ948" s="7">
        <f t="shared" ref="VQ948" si="396">IF(VR948="Trimestral", VP948+90, IF(VR948="Semestral", VP948+180, VP948+365))</f>
        <v>46172</v>
      </c>
      <c r="VR948" s="7" t="str">
        <f t="shared" ref="VR948" si="397">IF(VG948="Ionizador", "Trimestral", IF(VG948="Rack", "Semestral", IF(VG948="Mesa", "Semestral", IF(VG948="Tapete", "Semestral", IF(VG948="Cautín", "Semestral", IF(VG948="Silla", "Semestral", "Anual"))))))</f>
        <v>Semestral</v>
      </c>
      <c r="VS948" s="2" t="str">
        <f t="shared" ref="VS948" ca="1" si="398">IF(VQ948&lt;TODAY(),"VENCIDO",IF(VQ948=TODAY(),"VENCE HOY",IF(VQ948&gt;TODAY(),"VIGENTE")))</f>
        <v>VIGENTE</v>
      </c>
      <c r="VT948" s="6" t="s">
        <v>25</v>
      </c>
      <c r="VU948" s="23" t="s">
        <v>138</v>
      </c>
      <c r="VV948" s="2" t="s">
        <v>433</v>
      </c>
      <c r="VW948" s="3" t="s">
        <v>22</v>
      </c>
      <c r="VX948" s="3" t="s">
        <v>23</v>
      </c>
      <c r="VY948" s="2" t="s">
        <v>24</v>
      </c>
      <c r="VZ948" s="4">
        <v>0</v>
      </c>
      <c r="WA948" s="8">
        <f t="shared" ref="WA948" si="399">IF(VW948="Ionizador", 10, IF(VW948="Mesa", 1000000000, IF(VW948="Rack", 1000000000, IF(VW948="Piso", 1000000000, IF(VW948="Tapete", 1000000000, IF(VW948="Carrito", 1000000000, IF(VW948="Cautín", 10, 1)))))))</f>
        <v>1000000000</v>
      </c>
      <c r="WB948" s="4" t="str">
        <f t="shared" ref="WB948" si="400">IF(VW948="Ionizador", "Segundos", "Ohms")</f>
        <v>Ohms</v>
      </c>
      <c r="WC948" s="6">
        <v>148000000</v>
      </c>
      <c r="WD948" s="6" t="str">
        <f t="shared" ref="WD948" si="401">WB948</f>
        <v>Ohms</v>
      </c>
      <c r="WE948" s="2" t="str">
        <f t="shared" ref="WE948" si="402">IF(VW948="Ionizador", "Plato de carga", IF(VW948="Cautín", "PTG", "RTG"))</f>
        <v>RTG</v>
      </c>
      <c r="WF948" s="7">
        <v>45992</v>
      </c>
      <c r="WG948" s="7">
        <f t="shared" ref="WG948" si="403">IF(WH948="Trimestral", WF948+90, IF(WH948="Semestral", WF948+180, WF948+365))</f>
        <v>46172</v>
      </c>
      <c r="WH948" s="7" t="str">
        <f t="shared" ref="WH948" si="404">IF(VW948="Ionizador", "Trimestral", IF(VW948="Rack", "Semestral", IF(VW948="Mesa", "Semestral", IF(VW948="Tapete", "Semestral", IF(VW948="Cautín", "Semestral", IF(VW948="Silla", "Semestral", "Anual"))))))</f>
        <v>Semestral</v>
      </c>
      <c r="WI948" s="2" t="str">
        <f t="shared" ref="WI948" ca="1" si="405">IF(WG948&lt;TODAY(),"VENCIDO",IF(WG948=TODAY(),"VENCE HOY",IF(WG948&gt;TODAY(),"VIGENTE")))</f>
        <v>VIGENTE</v>
      </c>
      <c r="WJ948" s="6" t="s">
        <v>25</v>
      </c>
      <c r="WK948" s="23" t="s">
        <v>138</v>
      </c>
      <c r="WL948" s="2" t="s">
        <v>433</v>
      </c>
      <c r="WM948" s="3" t="s">
        <v>22</v>
      </c>
      <c r="WN948" s="3" t="s">
        <v>23</v>
      </c>
      <c r="WO948" s="2" t="s">
        <v>24</v>
      </c>
      <c r="WP948" s="4">
        <v>0</v>
      </c>
      <c r="WQ948" s="8">
        <f t="shared" ref="WQ948" si="406">IF(WM948="Ionizador", 10, IF(WM948="Mesa", 1000000000, IF(WM948="Rack", 1000000000, IF(WM948="Piso", 1000000000, IF(WM948="Tapete", 1000000000, IF(WM948="Carrito", 1000000000, IF(WM948="Cautín", 10, 1)))))))</f>
        <v>1000000000</v>
      </c>
      <c r="WR948" s="4" t="str">
        <f t="shared" ref="WR948" si="407">IF(WM948="Ionizador", "Segundos", "Ohms")</f>
        <v>Ohms</v>
      </c>
      <c r="WS948" s="6">
        <v>148000000</v>
      </c>
      <c r="WT948" s="6" t="str">
        <f t="shared" ref="WT948" si="408">WR948</f>
        <v>Ohms</v>
      </c>
      <c r="WU948" s="2" t="str">
        <f t="shared" ref="WU948" si="409">IF(WM948="Ionizador", "Plato de carga", IF(WM948="Cautín", "PTG", "RTG"))</f>
        <v>RTG</v>
      </c>
      <c r="WV948" s="7">
        <v>45992</v>
      </c>
      <c r="WW948" s="7">
        <f t="shared" ref="WW948" si="410">IF(WX948="Trimestral", WV948+90, IF(WX948="Semestral", WV948+180, WV948+365))</f>
        <v>46172</v>
      </c>
      <c r="WX948" s="7" t="str">
        <f t="shared" ref="WX948" si="411">IF(WM948="Ionizador", "Trimestral", IF(WM948="Rack", "Semestral", IF(WM948="Mesa", "Semestral", IF(WM948="Tapete", "Semestral", IF(WM948="Cautín", "Semestral", IF(WM948="Silla", "Semestral", "Anual"))))))</f>
        <v>Semestral</v>
      </c>
      <c r="WY948" s="2" t="str">
        <f t="shared" ref="WY948" ca="1" si="412">IF(WW948&lt;TODAY(),"VENCIDO",IF(WW948=TODAY(),"VENCE HOY",IF(WW948&gt;TODAY(),"VIGENTE")))</f>
        <v>VIGENTE</v>
      </c>
      <c r="WZ948" s="6" t="s">
        <v>25</v>
      </c>
      <c r="XA948" s="23" t="s">
        <v>138</v>
      </c>
      <c r="XB948" s="2" t="s">
        <v>433</v>
      </c>
      <c r="XC948" s="3" t="s">
        <v>22</v>
      </c>
      <c r="XD948" s="3" t="s">
        <v>23</v>
      </c>
      <c r="XE948" s="2" t="s">
        <v>24</v>
      </c>
      <c r="XF948" s="4">
        <v>0</v>
      </c>
      <c r="XG948" s="8">
        <f t="shared" ref="XG948" si="413">IF(XC948="Ionizador", 10, IF(XC948="Mesa", 1000000000, IF(XC948="Rack", 1000000000, IF(XC948="Piso", 1000000000, IF(XC948="Tapete", 1000000000, IF(XC948="Carrito", 1000000000, IF(XC948="Cautín", 10, 1)))))))</f>
        <v>1000000000</v>
      </c>
      <c r="XH948" s="4" t="str">
        <f t="shared" ref="XH948" si="414">IF(XC948="Ionizador", "Segundos", "Ohms")</f>
        <v>Ohms</v>
      </c>
      <c r="XI948" s="6">
        <v>148000000</v>
      </c>
      <c r="XJ948" s="6" t="str">
        <f t="shared" ref="XJ948" si="415">XH948</f>
        <v>Ohms</v>
      </c>
      <c r="XK948" s="2" t="str">
        <f t="shared" ref="XK948" si="416">IF(XC948="Ionizador", "Plato de carga", IF(XC948="Cautín", "PTG", "RTG"))</f>
        <v>RTG</v>
      </c>
      <c r="XL948" s="7">
        <v>45992</v>
      </c>
      <c r="XM948" s="7">
        <f t="shared" ref="XM948" si="417">IF(XN948="Trimestral", XL948+90, IF(XN948="Semestral", XL948+180, XL948+365))</f>
        <v>46172</v>
      </c>
      <c r="XN948" s="7" t="str">
        <f t="shared" ref="XN948" si="418">IF(XC948="Ionizador", "Trimestral", IF(XC948="Rack", "Semestral", IF(XC948="Mesa", "Semestral", IF(XC948="Tapete", "Semestral", IF(XC948="Cautín", "Semestral", IF(XC948="Silla", "Semestral", "Anual"))))))</f>
        <v>Semestral</v>
      </c>
      <c r="XO948" s="2" t="str">
        <f t="shared" ref="XO948" ca="1" si="419">IF(XM948&lt;TODAY(),"VENCIDO",IF(XM948=TODAY(),"VENCE HOY",IF(XM948&gt;TODAY(),"VIGENTE")))</f>
        <v>VIGENTE</v>
      </c>
      <c r="XP948" s="6" t="s">
        <v>25</v>
      </c>
      <c r="XQ948" s="23" t="s">
        <v>138</v>
      </c>
      <c r="XR948" s="2" t="s">
        <v>433</v>
      </c>
      <c r="XS948" s="3" t="s">
        <v>22</v>
      </c>
      <c r="XT948" s="3" t="s">
        <v>23</v>
      </c>
      <c r="XU948" s="2" t="s">
        <v>24</v>
      </c>
      <c r="XV948" s="4">
        <v>0</v>
      </c>
      <c r="XW948" s="8">
        <f t="shared" ref="XW948" si="420">IF(XS948="Ionizador", 10, IF(XS948="Mesa", 1000000000, IF(XS948="Rack", 1000000000, IF(XS948="Piso", 1000000000, IF(XS948="Tapete", 1000000000, IF(XS948="Carrito", 1000000000, IF(XS948="Cautín", 10, 1)))))))</f>
        <v>1000000000</v>
      </c>
      <c r="XX948" s="4" t="str">
        <f t="shared" ref="XX948" si="421">IF(XS948="Ionizador", "Segundos", "Ohms")</f>
        <v>Ohms</v>
      </c>
      <c r="XY948" s="6">
        <v>148000000</v>
      </c>
      <c r="XZ948" s="6" t="str">
        <f t="shared" ref="XZ948" si="422">XX948</f>
        <v>Ohms</v>
      </c>
      <c r="YA948" s="2" t="str">
        <f t="shared" ref="YA948" si="423">IF(XS948="Ionizador", "Plato de carga", IF(XS948="Cautín", "PTG", "RTG"))</f>
        <v>RTG</v>
      </c>
      <c r="YB948" s="7">
        <v>45992</v>
      </c>
      <c r="YC948" s="7">
        <f t="shared" ref="YC948" si="424">IF(YD948="Trimestral", YB948+90, IF(YD948="Semestral", YB948+180, YB948+365))</f>
        <v>46172</v>
      </c>
      <c r="YD948" s="7" t="str">
        <f t="shared" ref="YD948" si="425">IF(XS948="Ionizador", "Trimestral", IF(XS948="Rack", "Semestral", IF(XS948="Mesa", "Semestral", IF(XS948="Tapete", "Semestral", IF(XS948="Cautín", "Semestral", IF(XS948="Silla", "Semestral", "Anual"))))))</f>
        <v>Semestral</v>
      </c>
      <c r="YE948" s="2" t="str">
        <f t="shared" ref="YE948" ca="1" si="426">IF(YC948&lt;TODAY(),"VENCIDO",IF(YC948=TODAY(),"VENCE HOY",IF(YC948&gt;TODAY(),"VIGENTE")))</f>
        <v>VIGENTE</v>
      </c>
      <c r="YF948" s="6" t="s">
        <v>25</v>
      </c>
      <c r="YG948" s="23" t="s">
        <v>138</v>
      </c>
      <c r="YH948" s="2" t="s">
        <v>433</v>
      </c>
      <c r="YI948" s="3" t="s">
        <v>22</v>
      </c>
      <c r="YJ948" s="3" t="s">
        <v>23</v>
      </c>
      <c r="YK948" s="2" t="s">
        <v>24</v>
      </c>
      <c r="YL948" s="4">
        <v>0</v>
      </c>
      <c r="YM948" s="8">
        <f t="shared" ref="YM948" si="427">IF(YI948="Ionizador", 10, IF(YI948="Mesa", 1000000000, IF(YI948="Rack", 1000000000, IF(YI948="Piso", 1000000000, IF(YI948="Tapete", 1000000000, IF(YI948="Carrito", 1000000000, IF(YI948="Cautín", 10, 1)))))))</f>
        <v>1000000000</v>
      </c>
      <c r="YN948" s="4" t="str">
        <f t="shared" ref="YN948" si="428">IF(YI948="Ionizador", "Segundos", "Ohms")</f>
        <v>Ohms</v>
      </c>
      <c r="YO948" s="6">
        <v>148000000</v>
      </c>
      <c r="YP948" s="6" t="str">
        <f t="shared" ref="YP948" si="429">YN948</f>
        <v>Ohms</v>
      </c>
      <c r="YQ948" s="2" t="str">
        <f t="shared" ref="YQ948" si="430">IF(YI948="Ionizador", "Plato de carga", IF(YI948="Cautín", "PTG", "RTG"))</f>
        <v>RTG</v>
      </c>
      <c r="YR948" s="7">
        <v>45992</v>
      </c>
      <c r="YS948" s="7">
        <f t="shared" ref="YS948" si="431">IF(YT948="Trimestral", YR948+90, IF(YT948="Semestral", YR948+180, YR948+365))</f>
        <v>46172</v>
      </c>
      <c r="YT948" s="7" t="str">
        <f t="shared" ref="YT948" si="432">IF(YI948="Ionizador", "Trimestral", IF(YI948="Rack", "Semestral", IF(YI948="Mesa", "Semestral", IF(YI948="Tapete", "Semestral", IF(YI948="Cautín", "Semestral", IF(YI948="Silla", "Semestral", "Anual"))))))</f>
        <v>Semestral</v>
      </c>
      <c r="YU948" s="2" t="str">
        <f t="shared" ref="YU948" ca="1" si="433">IF(YS948&lt;TODAY(),"VENCIDO",IF(YS948=TODAY(),"VENCE HOY",IF(YS948&gt;TODAY(),"VIGENTE")))</f>
        <v>VIGENTE</v>
      </c>
      <c r="YV948" s="6" t="s">
        <v>25</v>
      </c>
      <c r="YW948" s="23" t="s">
        <v>138</v>
      </c>
      <c r="YX948" s="2" t="s">
        <v>433</v>
      </c>
      <c r="YY948" s="3" t="s">
        <v>22</v>
      </c>
      <c r="YZ948" s="3" t="s">
        <v>23</v>
      </c>
      <c r="ZA948" s="2" t="s">
        <v>24</v>
      </c>
      <c r="ZB948" s="4">
        <v>0</v>
      </c>
      <c r="ZC948" s="8">
        <f t="shared" ref="ZC948" si="434">IF(YY948="Ionizador", 10, IF(YY948="Mesa", 1000000000, IF(YY948="Rack", 1000000000, IF(YY948="Piso", 1000000000, IF(YY948="Tapete", 1000000000, IF(YY948="Carrito", 1000000000, IF(YY948="Cautín", 10, 1)))))))</f>
        <v>1000000000</v>
      </c>
      <c r="ZD948" s="4" t="str">
        <f t="shared" ref="ZD948" si="435">IF(YY948="Ionizador", "Segundos", "Ohms")</f>
        <v>Ohms</v>
      </c>
      <c r="ZE948" s="6">
        <v>148000000</v>
      </c>
      <c r="ZF948" s="6" t="str">
        <f t="shared" ref="ZF948" si="436">ZD948</f>
        <v>Ohms</v>
      </c>
      <c r="ZG948" s="2" t="str">
        <f t="shared" ref="ZG948" si="437">IF(YY948="Ionizador", "Plato de carga", IF(YY948="Cautín", "PTG", "RTG"))</f>
        <v>RTG</v>
      </c>
      <c r="ZH948" s="7">
        <v>45992</v>
      </c>
      <c r="ZI948" s="7">
        <f t="shared" ref="ZI948" si="438">IF(ZJ948="Trimestral", ZH948+90, IF(ZJ948="Semestral", ZH948+180, ZH948+365))</f>
        <v>46172</v>
      </c>
      <c r="ZJ948" s="7" t="str">
        <f t="shared" ref="ZJ948" si="439">IF(YY948="Ionizador", "Trimestral", IF(YY948="Rack", "Semestral", IF(YY948="Mesa", "Semestral", IF(YY948="Tapete", "Semestral", IF(YY948="Cautín", "Semestral", IF(YY948="Silla", "Semestral", "Anual"))))))</f>
        <v>Semestral</v>
      </c>
      <c r="ZK948" s="2" t="str">
        <f t="shared" ref="ZK948" ca="1" si="440">IF(ZI948&lt;TODAY(),"VENCIDO",IF(ZI948=TODAY(),"VENCE HOY",IF(ZI948&gt;TODAY(),"VIGENTE")))</f>
        <v>VIGENTE</v>
      </c>
      <c r="ZL948" s="6" t="s">
        <v>25</v>
      </c>
      <c r="ZM948" s="23" t="s">
        <v>138</v>
      </c>
      <c r="ZN948" s="2" t="s">
        <v>433</v>
      </c>
      <c r="ZO948" s="3" t="s">
        <v>22</v>
      </c>
      <c r="ZP948" s="3" t="s">
        <v>23</v>
      </c>
      <c r="ZQ948" s="2" t="s">
        <v>24</v>
      </c>
      <c r="ZR948" s="4">
        <v>0</v>
      </c>
      <c r="ZS948" s="8">
        <f t="shared" ref="ZS948" si="441">IF(ZO948="Ionizador", 10, IF(ZO948="Mesa", 1000000000, IF(ZO948="Rack", 1000000000, IF(ZO948="Piso", 1000000000, IF(ZO948="Tapete", 1000000000, IF(ZO948="Carrito", 1000000000, IF(ZO948="Cautín", 10, 1)))))))</f>
        <v>1000000000</v>
      </c>
      <c r="ZT948" s="4" t="str">
        <f t="shared" ref="ZT948" si="442">IF(ZO948="Ionizador", "Segundos", "Ohms")</f>
        <v>Ohms</v>
      </c>
      <c r="ZU948" s="6">
        <v>148000000</v>
      </c>
      <c r="ZV948" s="6" t="str">
        <f t="shared" ref="ZV948" si="443">ZT948</f>
        <v>Ohms</v>
      </c>
      <c r="ZW948" s="2" t="str">
        <f t="shared" ref="ZW948" si="444">IF(ZO948="Ionizador", "Plato de carga", IF(ZO948="Cautín", "PTG", "RTG"))</f>
        <v>RTG</v>
      </c>
      <c r="ZX948" s="7">
        <v>45992</v>
      </c>
      <c r="ZY948" s="7">
        <f t="shared" ref="ZY948" si="445">IF(ZZ948="Trimestral", ZX948+90, IF(ZZ948="Semestral", ZX948+180, ZX948+365))</f>
        <v>46172</v>
      </c>
      <c r="ZZ948" s="7" t="str">
        <f t="shared" ref="ZZ948" si="446">IF(ZO948="Ionizador", "Trimestral", IF(ZO948="Rack", "Semestral", IF(ZO948="Mesa", "Semestral", IF(ZO948="Tapete", "Semestral", IF(ZO948="Cautín", "Semestral", IF(ZO948="Silla", "Semestral", "Anual"))))))</f>
        <v>Semestral</v>
      </c>
      <c r="AAA948" s="2" t="str">
        <f t="shared" ref="AAA948" ca="1" si="447">IF(ZY948&lt;TODAY(),"VENCIDO",IF(ZY948=TODAY(),"VENCE HOY",IF(ZY948&gt;TODAY(),"VIGENTE")))</f>
        <v>VIGENTE</v>
      </c>
      <c r="AAB948" s="6" t="s">
        <v>25</v>
      </c>
      <c r="AAC948" s="23" t="s">
        <v>138</v>
      </c>
      <c r="AAD948" s="2" t="s">
        <v>433</v>
      </c>
      <c r="AAE948" s="3" t="s">
        <v>22</v>
      </c>
      <c r="AAF948" s="3" t="s">
        <v>23</v>
      </c>
      <c r="AAG948" s="2" t="s">
        <v>24</v>
      </c>
      <c r="AAH948" s="4">
        <v>0</v>
      </c>
      <c r="AAI948" s="8">
        <f t="shared" ref="AAI948" si="448">IF(AAE948="Ionizador", 10, IF(AAE948="Mesa", 1000000000, IF(AAE948="Rack", 1000000000, IF(AAE948="Piso", 1000000000, IF(AAE948="Tapete", 1000000000, IF(AAE948="Carrito", 1000000000, IF(AAE948="Cautín", 10, 1)))))))</f>
        <v>1000000000</v>
      </c>
      <c r="AAJ948" s="4" t="str">
        <f t="shared" ref="AAJ948" si="449">IF(AAE948="Ionizador", "Segundos", "Ohms")</f>
        <v>Ohms</v>
      </c>
      <c r="AAK948" s="6">
        <v>148000000</v>
      </c>
      <c r="AAL948" s="6" t="str">
        <f t="shared" ref="AAL948" si="450">AAJ948</f>
        <v>Ohms</v>
      </c>
      <c r="AAM948" s="2" t="str">
        <f t="shared" ref="AAM948" si="451">IF(AAE948="Ionizador", "Plato de carga", IF(AAE948="Cautín", "PTG", "RTG"))</f>
        <v>RTG</v>
      </c>
      <c r="AAN948" s="7">
        <v>45992</v>
      </c>
      <c r="AAO948" s="7">
        <f t="shared" ref="AAO948" si="452">IF(AAP948="Trimestral", AAN948+90, IF(AAP948="Semestral", AAN948+180, AAN948+365))</f>
        <v>46172</v>
      </c>
      <c r="AAP948" s="7" t="str">
        <f t="shared" ref="AAP948" si="453">IF(AAE948="Ionizador", "Trimestral", IF(AAE948="Rack", "Semestral", IF(AAE948="Mesa", "Semestral", IF(AAE948="Tapete", "Semestral", IF(AAE948="Cautín", "Semestral", IF(AAE948="Silla", "Semestral", "Anual"))))))</f>
        <v>Semestral</v>
      </c>
      <c r="AAQ948" s="2" t="str">
        <f t="shared" ref="AAQ948" ca="1" si="454">IF(AAO948&lt;TODAY(),"VENCIDO",IF(AAO948=TODAY(),"VENCE HOY",IF(AAO948&gt;TODAY(),"VIGENTE")))</f>
        <v>VIGENTE</v>
      </c>
      <c r="AAR948" s="6" t="s">
        <v>25</v>
      </c>
      <c r="AAS948" s="23" t="s">
        <v>138</v>
      </c>
      <c r="AAT948" s="2" t="s">
        <v>433</v>
      </c>
      <c r="AAU948" s="3" t="s">
        <v>22</v>
      </c>
      <c r="AAV948" s="3" t="s">
        <v>23</v>
      </c>
      <c r="AAW948" s="2" t="s">
        <v>24</v>
      </c>
      <c r="AAX948" s="4">
        <v>0</v>
      </c>
      <c r="AAY948" s="8">
        <f t="shared" ref="AAY948" si="455">IF(AAU948="Ionizador", 10, IF(AAU948="Mesa", 1000000000, IF(AAU948="Rack", 1000000000, IF(AAU948="Piso", 1000000000, IF(AAU948="Tapete", 1000000000, IF(AAU948="Carrito", 1000000000, IF(AAU948="Cautín", 10, 1)))))))</f>
        <v>1000000000</v>
      </c>
      <c r="AAZ948" s="4" t="str">
        <f t="shared" ref="AAZ948" si="456">IF(AAU948="Ionizador", "Segundos", "Ohms")</f>
        <v>Ohms</v>
      </c>
      <c r="ABA948" s="6">
        <v>148000000</v>
      </c>
      <c r="ABB948" s="6" t="str">
        <f t="shared" ref="ABB948" si="457">AAZ948</f>
        <v>Ohms</v>
      </c>
      <c r="ABC948" s="2" t="str">
        <f t="shared" ref="ABC948" si="458">IF(AAU948="Ionizador", "Plato de carga", IF(AAU948="Cautín", "PTG", "RTG"))</f>
        <v>RTG</v>
      </c>
      <c r="ABD948" s="7">
        <v>45992</v>
      </c>
      <c r="ABE948" s="7">
        <f t="shared" ref="ABE948" si="459">IF(ABF948="Trimestral", ABD948+90, IF(ABF948="Semestral", ABD948+180, ABD948+365))</f>
        <v>46172</v>
      </c>
      <c r="ABF948" s="7" t="str">
        <f t="shared" ref="ABF948" si="460">IF(AAU948="Ionizador", "Trimestral", IF(AAU948="Rack", "Semestral", IF(AAU948="Mesa", "Semestral", IF(AAU948="Tapete", "Semestral", IF(AAU948="Cautín", "Semestral", IF(AAU948="Silla", "Semestral", "Anual"))))))</f>
        <v>Semestral</v>
      </c>
      <c r="ABG948" s="2" t="str">
        <f t="shared" ref="ABG948" ca="1" si="461">IF(ABE948&lt;TODAY(),"VENCIDO",IF(ABE948=TODAY(),"VENCE HOY",IF(ABE948&gt;TODAY(),"VIGENTE")))</f>
        <v>VIGENTE</v>
      </c>
      <c r="ABH948" s="6" t="s">
        <v>25</v>
      </c>
      <c r="ABI948" s="23" t="s">
        <v>138</v>
      </c>
      <c r="ABJ948" s="2" t="s">
        <v>433</v>
      </c>
      <c r="ABK948" s="3" t="s">
        <v>22</v>
      </c>
      <c r="ABL948" s="3" t="s">
        <v>23</v>
      </c>
      <c r="ABM948" s="2" t="s">
        <v>24</v>
      </c>
      <c r="ABN948" s="4">
        <v>0</v>
      </c>
      <c r="ABO948" s="8">
        <f t="shared" ref="ABO948" si="462">IF(ABK948="Ionizador", 10, IF(ABK948="Mesa", 1000000000, IF(ABK948="Rack", 1000000000, IF(ABK948="Piso", 1000000000, IF(ABK948="Tapete", 1000000000, IF(ABK948="Carrito", 1000000000, IF(ABK948="Cautín", 10, 1)))))))</f>
        <v>1000000000</v>
      </c>
      <c r="ABP948" s="4" t="str">
        <f t="shared" ref="ABP948" si="463">IF(ABK948="Ionizador", "Segundos", "Ohms")</f>
        <v>Ohms</v>
      </c>
      <c r="ABQ948" s="6">
        <v>148000000</v>
      </c>
      <c r="ABR948" s="6" t="str">
        <f t="shared" ref="ABR948" si="464">ABP948</f>
        <v>Ohms</v>
      </c>
      <c r="ABS948" s="2" t="str">
        <f t="shared" ref="ABS948" si="465">IF(ABK948="Ionizador", "Plato de carga", IF(ABK948="Cautín", "PTG", "RTG"))</f>
        <v>RTG</v>
      </c>
      <c r="ABT948" s="7">
        <v>45992</v>
      </c>
      <c r="ABU948" s="7">
        <f t="shared" ref="ABU948" si="466">IF(ABV948="Trimestral", ABT948+90, IF(ABV948="Semestral", ABT948+180, ABT948+365))</f>
        <v>46172</v>
      </c>
      <c r="ABV948" s="7" t="str">
        <f t="shared" ref="ABV948" si="467">IF(ABK948="Ionizador", "Trimestral", IF(ABK948="Rack", "Semestral", IF(ABK948="Mesa", "Semestral", IF(ABK948="Tapete", "Semestral", IF(ABK948="Cautín", "Semestral", IF(ABK948="Silla", "Semestral", "Anual"))))))</f>
        <v>Semestral</v>
      </c>
      <c r="ABW948" s="2" t="str">
        <f t="shared" ref="ABW948" ca="1" si="468">IF(ABU948&lt;TODAY(),"VENCIDO",IF(ABU948=TODAY(),"VENCE HOY",IF(ABU948&gt;TODAY(),"VIGENTE")))</f>
        <v>VIGENTE</v>
      </c>
      <c r="ABX948" s="6" t="s">
        <v>25</v>
      </c>
      <c r="ABY948" s="23" t="s">
        <v>138</v>
      </c>
      <c r="ABZ948" s="2" t="s">
        <v>433</v>
      </c>
      <c r="ACA948" s="3" t="s">
        <v>22</v>
      </c>
      <c r="ACB948" s="3" t="s">
        <v>23</v>
      </c>
      <c r="ACC948" s="2" t="s">
        <v>24</v>
      </c>
      <c r="ACD948" s="4">
        <v>0</v>
      </c>
      <c r="ACE948" s="8">
        <f t="shared" ref="ACE948" si="469">IF(ACA948="Ionizador", 10, IF(ACA948="Mesa", 1000000000, IF(ACA948="Rack", 1000000000, IF(ACA948="Piso", 1000000000, IF(ACA948="Tapete", 1000000000, IF(ACA948="Carrito", 1000000000, IF(ACA948="Cautín", 10, 1)))))))</f>
        <v>1000000000</v>
      </c>
      <c r="ACF948" s="4" t="str">
        <f t="shared" ref="ACF948" si="470">IF(ACA948="Ionizador", "Segundos", "Ohms")</f>
        <v>Ohms</v>
      </c>
      <c r="ACG948" s="6">
        <v>148000000</v>
      </c>
      <c r="ACH948" s="6" t="str">
        <f t="shared" ref="ACH948" si="471">ACF948</f>
        <v>Ohms</v>
      </c>
      <c r="ACI948" s="2" t="str">
        <f t="shared" ref="ACI948" si="472">IF(ACA948="Ionizador", "Plato de carga", IF(ACA948="Cautín", "PTG", "RTG"))</f>
        <v>RTG</v>
      </c>
      <c r="ACJ948" s="7">
        <v>45992</v>
      </c>
      <c r="ACK948" s="7">
        <f t="shared" ref="ACK948" si="473">IF(ACL948="Trimestral", ACJ948+90, IF(ACL948="Semestral", ACJ948+180, ACJ948+365))</f>
        <v>46172</v>
      </c>
      <c r="ACL948" s="7" t="str">
        <f t="shared" ref="ACL948" si="474">IF(ACA948="Ionizador", "Trimestral", IF(ACA948="Rack", "Semestral", IF(ACA948="Mesa", "Semestral", IF(ACA948="Tapete", "Semestral", IF(ACA948="Cautín", "Semestral", IF(ACA948="Silla", "Semestral", "Anual"))))))</f>
        <v>Semestral</v>
      </c>
      <c r="ACM948" s="2" t="str">
        <f t="shared" ref="ACM948" ca="1" si="475">IF(ACK948&lt;TODAY(),"VENCIDO",IF(ACK948=TODAY(),"VENCE HOY",IF(ACK948&gt;TODAY(),"VIGENTE")))</f>
        <v>VIGENTE</v>
      </c>
      <c r="ACN948" s="6" t="s">
        <v>25</v>
      </c>
      <c r="ACO948" s="23" t="s">
        <v>138</v>
      </c>
      <c r="ACP948" s="2" t="s">
        <v>433</v>
      </c>
      <c r="ACQ948" s="3" t="s">
        <v>22</v>
      </c>
      <c r="ACR948" s="3" t="s">
        <v>23</v>
      </c>
      <c r="ACS948" s="2" t="s">
        <v>24</v>
      </c>
      <c r="ACT948" s="4">
        <v>0</v>
      </c>
      <c r="ACU948" s="8">
        <f t="shared" ref="ACU948" si="476">IF(ACQ948="Ionizador", 10, IF(ACQ948="Mesa", 1000000000, IF(ACQ948="Rack", 1000000000, IF(ACQ948="Piso", 1000000000, IF(ACQ948="Tapete", 1000000000, IF(ACQ948="Carrito", 1000000000, IF(ACQ948="Cautín", 10, 1)))))))</f>
        <v>1000000000</v>
      </c>
      <c r="ACV948" s="4" t="str">
        <f t="shared" ref="ACV948" si="477">IF(ACQ948="Ionizador", "Segundos", "Ohms")</f>
        <v>Ohms</v>
      </c>
      <c r="ACW948" s="6">
        <v>148000000</v>
      </c>
      <c r="ACX948" s="6" t="str">
        <f t="shared" ref="ACX948" si="478">ACV948</f>
        <v>Ohms</v>
      </c>
      <c r="ACY948" s="2" t="str">
        <f t="shared" ref="ACY948" si="479">IF(ACQ948="Ionizador", "Plato de carga", IF(ACQ948="Cautín", "PTG", "RTG"))</f>
        <v>RTG</v>
      </c>
      <c r="ACZ948" s="7">
        <v>45992</v>
      </c>
      <c r="ADA948" s="7">
        <f t="shared" ref="ADA948" si="480">IF(ADB948="Trimestral", ACZ948+90, IF(ADB948="Semestral", ACZ948+180, ACZ948+365))</f>
        <v>46172</v>
      </c>
      <c r="ADB948" s="7" t="str">
        <f t="shared" ref="ADB948" si="481">IF(ACQ948="Ionizador", "Trimestral", IF(ACQ948="Rack", "Semestral", IF(ACQ948="Mesa", "Semestral", IF(ACQ948="Tapete", "Semestral", IF(ACQ948="Cautín", "Semestral", IF(ACQ948="Silla", "Semestral", "Anual"))))))</f>
        <v>Semestral</v>
      </c>
      <c r="ADC948" s="2" t="str">
        <f t="shared" ref="ADC948" ca="1" si="482">IF(ADA948&lt;TODAY(),"VENCIDO",IF(ADA948=TODAY(),"VENCE HOY",IF(ADA948&gt;TODAY(),"VIGENTE")))</f>
        <v>VIGENTE</v>
      </c>
      <c r="ADD948" s="6" t="s">
        <v>25</v>
      </c>
      <c r="ADE948" s="23" t="s">
        <v>138</v>
      </c>
      <c r="ADF948" s="2" t="s">
        <v>433</v>
      </c>
      <c r="ADG948" s="3" t="s">
        <v>22</v>
      </c>
      <c r="ADH948" s="3" t="s">
        <v>23</v>
      </c>
      <c r="ADI948" s="2" t="s">
        <v>24</v>
      </c>
      <c r="ADJ948" s="4">
        <v>0</v>
      </c>
      <c r="ADK948" s="8">
        <f t="shared" ref="ADK948" si="483">IF(ADG948="Ionizador", 10, IF(ADG948="Mesa", 1000000000, IF(ADG948="Rack", 1000000000, IF(ADG948="Piso", 1000000000, IF(ADG948="Tapete", 1000000000, IF(ADG948="Carrito", 1000000000, IF(ADG948="Cautín", 10, 1)))))))</f>
        <v>1000000000</v>
      </c>
      <c r="ADL948" s="4" t="str">
        <f t="shared" ref="ADL948" si="484">IF(ADG948="Ionizador", "Segundos", "Ohms")</f>
        <v>Ohms</v>
      </c>
      <c r="ADM948" s="6">
        <v>148000000</v>
      </c>
      <c r="ADN948" s="6" t="str">
        <f t="shared" ref="ADN948" si="485">ADL948</f>
        <v>Ohms</v>
      </c>
      <c r="ADO948" s="2" t="str">
        <f t="shared" ref="ADO948" si="486">IF(ADG948="Ionizador", "Plato de carga", IF(ADG948="Cautín", "PTG", "RTG"))</f>
        <v>RTG</v>
      </c>
      <c r="ADP948" s="7">
        <v>45992</v>
      </c>
      <c r="ADQ948" s="7">
        <f t="shared" ref="ADQ948" si="487">IF(ADR948="Trimestral", ADP948+90, IF(ADR948="Semestral", ADP948+180, ADP948+365))</f>
        <v>46172</v>
      </c>
      <c r="ADR948" s="7" t="str">
        <f t="shared" ref="ADR948" si="488">IF(ADG948="Ionizador", "Trimestral", IF(ADG948="Rack", "Semestral", IF(ADG948="Mesa", "Semestral", IF(ADG948="Tapete", "Semestral", IF(ADG948="Cautín", "Semestral", IF(ADG948="Silla", "Semestral", "Anual"))))))</f>
        <v>Semestral</v>
      </c>
      <c r="ADS948" s="2" t="str">
        <f t="shared" ref="ADS948" ca="1" si="489">IF(ADQ948&lt;TODAY(),"VENCIDO",IF(ADQ948=TODAY(),"VENCE HOY",IF(ADQ948&gt;TODAY(),"VIGENTE")))</f>
        <v>VIGENTE</v>
      </c>
      <c r="ADT948" s="6" t="s">
        <v>25</v>
      </c>
      <c r="ADU948" s="23" t="s">
        <v>138</v>
      </c>
      <c r="ADV948" s="2" t="s">
        <v>433</v>
      </c>
      <c r="ADW948" s="3" t="s">
        <v>22</v>
      </c>
      <c r="ADX948" s="3" t="s">
        <v>23</v>
      </c>
      <c r="ADY948" s="2" t="s">
        <v>24</v>
      </c>
      <c r="ADZ948" s="4">
        <v>0</v>
      </c>
      <c r="AEA948" s="8">
        <f t="shared" ref="AEA948" si="490">IF(ADW948="Ionizador", 10, IF(ADW948="Mesa", 1000000000, IF(ADW948="Rack", 1000000000, IF(ADW948="Piso", 1000000000, IF(ADW948="Tapete", 1000000000, IF(ADW948="Carrito", 1000000000, IF(ADW948="Cautín", 10, 1)))))))</f>
        <v>1000000000</v>
      </c>
      <c r="AEB948" s="4" t="str">
        <f t="shared" ref="AEB948" si="491">IF(ADW948="Ionizador", "Segundos", "Ohms")</f>
        <v>Ohms</v>
      </c>
      <c r="AEC948" s="6">
        <v>148000000</v>
      </c>
      <c r="AED948" s="6" t="str">
        <f t="shared" ref="AED948" si="492">AEB948</f>
        <v>Ohms</v>
      </c>
      <c r="AEE948" s="2" t="str">
        <f t="shared" ref="AEE948" si="493">IF(ADW948="Ionizador", "Plato de carga", IF(ADW948="Cautín", "PTG", "RTG"))</f>
        <v>RTG</v>
      </c>
      <c r="AEF948" s="7">
        <v>45992</v>
      </c>
      <c r="AEG948" s="7">
        <f t="shared" ref="AEG948" si="494">IF(AEH948="Trimestral", AEF948+90, IF(AEH948="Semestral", AEF948+180, AEF948+365))</f>
        <v>46172</v>
      </c>
      <c r="AEH948" s="7" t="str">
        <f t="shared" ref="AEH948" si="495">IF(ADW948="Ionizador", "Trimestral", IF(ADW948="Rack", "Semestral", IF(ADW948="Mesa", "Semestral", IF(ADW948="Tapete", "Semestral", IF(ADW948="Cautín", "Semestral", IF(ADW948="Silla", "Semestral", "Anual"))))))</f>
        <v>Semestral</v>
      </c>
      <c r="AEI948" s="2" t="str">
        <f t="shared" ref="AEI948" ca="1" si="496">IF(AEG948&lt;TODAY(),"VENCIDO",IF(AEG948=TODAY(),"VENCE HOY",IF(AEG948&gt;TODAY(),"VIGENTE")))</f>
        <v>VIGENTE</v>
      </c>
      <c r="AEJ948" s="6" t="s">
        <v>25</v>
      </c>
      <c r="AEK948" s="23" t="s">
        <v>138</v>
      </c>
      <c r="AEL948" s="2" t="s">
        <v>433</v>
      </c>
      <c r="AEM948" s="3" t="s">
        <v>22</v>
      </c>
      <c r="AEN948" s="3" t="s">
        <v>23</v>
      </c>
      <c r="AEO948" s="2" t="s">
        <v>24</v>
      </c>
      <c r="AEP948" s="4">
        <v>0</v>
      </c>
      <c r="AEQ948" s="8">
        <f t="shared" ref="AEQ948" si="497">IF(AEM948="Ionizador", 10, IF(AEM948="Mesa", 1000000000, IF(AEM948="Rack", 1000000000, IF(AEM948="Piso", 1000000000, IF(AEM948="Tapete", 1000000000, IF(AEM948="Carrito", 1000000000, IF(AEM948="Cautín", 10, 1)))))))</f>
        <v>1000000000</v>
      </c>
      <c r="AER948" s="4" t="str">
        <f t="shared" ref="AER948" si="498">IF(AEM948="Ionizador", "Segundos", "Ohms")</f>
        <v>Ohms</v>
      </c>
      <c r="AES948" s="6">
        <v>148000000</v>
      </c>
      <c r="AET948" s="6" t="str">
        <f t="shared" ref="AET948" si="499">AER948</f>
        <v>Ohms</v>
      </c>
      <c r="AEU948" s="2" t="str">
        <f t="shared" ref="AEU948" si="500">IF(AEM948="Ionizador", "Plato de carga", IF(AEM948="Cautín", "PTG", "RTG"))</f>
        <v>RTG</v>
      </c>
      <c r="AEV948" s="7">
        <v>45992</v>
      </c>
      <c r="AEW948" s="7">
        <f t="shared" ref="AEW948" si="501">IF(AEX948="Trimestral", AEV948+90, IF(AEX948="Semestral", AEV948+180, AEV948+365))</f>
        <v>46172</v>
      </c>
      <c r="AEX948" s="7" t="str">
        <f t="shared" ref="AEX948" si="502">IF(AEM948="Ionizador", "Trimestral", IF(AEM948="Rack", "Semestral", IF(AEM948="Mesa", "Semestral", IF(AEM948="Tapete", "Semestral", IF(AEM948="Cautín", "Semestral", IF(AEM948="Silla", "Semestral", "Anual"))))))</f>
        <v>Semestral</v>
      </c>
      <c r="AEY948" s="2" t="str">
        <f t="shared" ref="AEY948" ca="1" si="503">IF(AEW948&lt;TODAY(),"VENCIDO",IF(AEW948=TODAY(),"VENCE HOY",IF(AEW948&gt;TODAY(),"VIGENTE")))</f>
        <v>VIGENTE</v>
      </c>
      <c r="AEZ948" s="6" t="s">
        <v>25</v>
      </c>
      <c r="AFA948" s="23" t="s">
        <v>138</v>
      </c>
      <c r="AFB948" s="2" t="s">
        <v>433</v>
      </c>
      <c r="AFC948" s="3" t="s">
        <v>22</v>
      </c>
      <c r="AFD948" s="3" t="s">
        <v>23</v>
      </c>
      <c r="AFE948" s="2" t="s">
        <v>24</v>
      </c>
      <c r="AFF948" s="4">
        <v>0</v>
      </c>
      <c r="AFG948" s="8">
        <f t="shared" ref="AFG948" si="504">IF(AFC948="Ionizador", 10, IF(AFC948="Mesa", 1000000000, IF(AFC948="Rack", 1000000000, IF(AFC948="Piso", 1000000000, IF(AFC948="Tapete", 1000000000, IF(AFC948="Carrito", 1000000000, IF(AFC948="Cautín", 10, 1)))))))</f>
        <v>1000000000</v>
      </c>
      <c r="AFH948" s="4" t="str">
        <f t="shared" ref="AFH948" si="505">IF(AFC948="Ionizador", "Segundos", "Ohms")</f>
        <v>Ohms</v>
      </c>
      <c r="AFI948" s="6">
        <v>148000000</v>
      </c>
      <c r="AFJ948" s="6" t="str">
        <f t="shared" ref="AFJ948" si="506">AFH948</f>
        <v>Ohms</v>
      </c>
      <c r="AFK948" s="2" t="str">
        <f t="shared" ref="AFK948" si="507">IF(AFC948="Ionizador", "Plato de carga", IF(AFC948="Cautín", "PTG", "RTG"))</f>
        <v>RTG</v>
      </c>
      <c r="AFL948" s="7">
        <v>45992</v>
      </c>
      <c r="AFM948" s="7">
        <f t="shared" ref="AFM948" si="508">IF(AFN948="Trimestral", AFL948+90, IF(AFN948="Semestral", AFL948+180, AFL948+365))</f>
        <v>46172</v>
      </c>
      <c r="AFN948" s="7" t="str">
        <f t="shared" ref="AFN948" si="509">IF(AFC948="Ionizador", "Trimestral", IF(AFC948="Rack", "Semestral", IF(AFC948="Mesa", "Semestral", IF(AFC948="Tapete", "Semestral", IF(AFC948="Cautín", "Semestral", IF(AFC948="Silla", "Semestral", "Anual"))))))</f>
        <v>Semestral</v>
      </c>
      <c r="AFO948" s="2" t="str">
        <f t="shared" ref="AFO948" ca="1" si="510">IF(AFM948&lt;TODAY(),"VENCIDO",IF(AFM948=TODAY(),"VENCE HOY",IF(AFM948&gt;TODAY(),"VIGENTE")))</f>
        <v>VIGENTE</v>
      </c>
      <c r="AFP948" s="6" t="s">
        <v>25</v>
      </c>
      <c r="AFQ948" s="23" t="s">
        <v>138</v>
      </c>
      <c r="AFR948" s="2" t="s">
        <v>433</v>
      </c>
      <c r="AFS948" s="3" t="s">
        <v>22</v>
      </c>
      <c r="AFT948" s="3" t="s">
        <v>23</v>
      </c>
      <c r="AFU948" s="2" t="s">
        <v>24</v>
      </c>
      <c r="AFV948" s="4">
        <v>0</v>
      </c>
      <c r="AFW948" s="8">
        <f t="shared" ref="AFW948" si="511">IF(AFS948="Ionizador", 10, IF(AFS948="Mesa", 1000000000, IF(AFS948="Rack", 1000000000, IF(AFS948="Piso", 1000000000, IF(AFS948="Tapete", 1000000000, IF(AFS948="Carrito", 1000000000, IF(AFS948="Cautín", 10, 1)))))))</f>
        <v>1000000000</v>
      </c>
      <c r="AFX948" s="4" t="str">
        <f t="shared" ref="AFX948" si="512">IF(AFS948="Ionizador", "Segundos", "Ohms")</f>
        <v>Ohms</v>
      </c>
      <c r="AFY948" s="6">
        <v>148000000</v>
      </c>
      <c r="AFZ948" s="6" t="str">
        <f t="shared" ref="AFZ948" si="513">AFX948</f>
        <v>Ohms</v>
      </c>
      <c r="AGA948" s="2" t="str">
        <f t="shared" ref="AGA948" si="514">IF(AFS948="Ionizador", "Plato de carga", IF(AFS948="Cautín", "PTG", "RTG"))</f>
        <v>RTG</v>
      </c>
      <c r="AGB948" s="7">
        <v>45992</v>
      </c>
      <c r="AGC948" s="7">
        <f t="shared" ref="AGC948" si="515">IF(AGD948="Trimestral", AGB948+90, IF(AGD948="Semestral", AGB948+180, AGB948+365))</f>
        <v>46172</v>
      </c>
      <c r="AGD948" s="7" t="str">
        <f t="shared" ref="AGD948" si="516">IF(AFS948="Ionizador", "Trimestral", IF(AFS948="Rack", "Semestral", IF(AFS948="Mesa", "Semestral", IF(AFS948="Tapete", "Semestral", IF(AFS948="Cautín", "Semestral", IF(AFS948="Silla", "Semestral", "Anual"))))))</f>
        <v>Semestral</v>
      </c>
      <c r="AGE948" s="2" t="str">
        <f t="shared" ref="AGE948" ca="1" si="517">IF(AGC948&lt;TODAY(),"VENCIDO",IF(AGC948=TODAY(),"VENCE HOY",IF(AGC948&gt;TODAY(),"VIGENTE")))</f>
        <v>VIGENTE</v>
      </c>
      <c r="AGF948" s="6" t="s">
        <v>25</v>
      </c>
      <c r="AGG948" s="23" t="s">
        <v>138</v>
      </c>
      <c r="AGH948" s="2" t="s">
        <v>433</v>
      </c>
      <c r="AGI948" s="3" t="s">
        <v>22</v>
      </c>
      <c r="AGJ948" s="3" t="s">
        <v>23</v>
      </c>
      <c r="AGK948" s="2" t="s">
        <v>24</v>
      </c>
      <c r="AGL948" s="4">
        <v>0</v>
      </c>
      <c r="AGM948" s="8">
        <f t="shared" ref="AGM948" si="518">IF(AGI948="Ionizador", 10, IF(AGI948="Mesa", 1000000000, IF(AGI948="Rack", 1000000000, IF(AGI948="Piso", 1000000000, IF(AGI948="Tapete", 1000000000, IF(AGI948="Carrito", 1000000000, IF(AGI948="Cautín", 10, 1)))))))</f>
        <v>1000000000</v>
      </c>
      <c r="AGN948" s="4" t="str">
        <f t="shared" ref="AGN948" si="519">IF(AGI948="Ionizador", "Segundos", "Ohms")</f>
        <v>Ohms</v>
      </c>
      <c r="AGO948" s="6">
        <v>148000000</v>
      </c>
      <c r="AGP948" s="6" t="str">
        <f t="shared" ref="AGP948" si="520">AGN948</f>
        <v>Ohms</v>
      </c>
      <c r="AGQ948" s="2" t="str">
        <f t="shared" ref="AGQ948" si="521">IF(AGI948="Ionizador", "Plato de carga", IF(AGI948="Cautín", "PTG", "RTG"))</f>
        <v>RTG</v>
      </c>
      <c r="AGR948" s="7">
        <v>45992</v>
      </c>
      <c r="AGS948" s="7">
        <f t="shared" ref="AGS948" si="522">IF(AGT948="Trimestral", AGR948+90, IF(AGT948="Semestral", AGR948+180, AGR948+365))</f>
        <v>46172</v>
      </c>
      <c r="AGT948" s="7" t="str">
        <f t="shared" ref="AGT948" si="523">IF(AGI948="Ionizador", "Trimestral", IF(AGI948="Rack", "Semestral", IF(AGI948="Mesa", "Semestral", IF(AGI948="Tapete", "Semestral", IF(AGI948="Cautín", "Semestral", IF(AGI948="Silla", "Semestral", "Anual"))))))</f>
        <v>Semestral</v>
      </c>
      <c r="AGU948" s="2" t="str">
        <f t="shared" ref="AGU948" ca="1" si="524">IF(AGS948&lt;TODAY(),"VENCIDO",IF(AGS948=TODAY(),"VENCE HOY",IF(AGS948&gt;TODAY(),"VIGENTE")))</f>
        <v>VIGENTE</v>
      </c>
      <c r="AGV948" s="6" t="s">
        <v>25</v>
      </c>
      <c r="AGW948" s="23" t="s">
        <v>138</v>
      </c>
      <c r="AGX948" s="2" t="s">
        <v>433</v>
      </c>
      <c r="AGY948" s="3" t="s">
        <v>22</v>
      </c>
      <c r="AGZ948" s="3" t="s">
        <v>23</v>
      </c>
      <c r="AHA948" s="2" t="s">
        <v>24</v>
      </c>
      <c r="AHB948" s="4">
        <v>0</v>
      </c>
      <c r="AHC948" s="8">
        <f t="shared" ref="AHC948" si="525">IF(AGY948="Ionizador", 10, IF(AGY948="Mesa", 1000000000, IF(AGY948="Rack", 1000000000, IF(AGY948="Piso", 1000000000, IF(AGY948="Tapete", 1000000000, IF(AGY948="Carrito", 1000000000, IF(AGY948="Cautín", 10, 1)))))))</f>
        <v>1000000000</v>
      </c>
      <c r="AHD948" s="4" t="str">
        <f t="shared" ref="AHD948" si="526">IF(AGY948="Ionizador", "Segundos", "Ohms")</f>
        <v>Ohms</v>
      </c>
      <c r="AHE948" s="6">
        <v>148000000</v>
      </c>
      <c r="AHF948" s="6" t="str">
        <f t="shared" ref="AHF948" si="527">AHD948</f>
        <v>Ohms</v>
      </c>
      <c r="AHG948" s="2" t="str">
        <f t="shared" ref="AHG948" si="528">IF(AGY948="Ionizador", "Plato de carga", IF(AGY948="Cautín", "PTG", "RTG"))</f>
        <v>RTG</v>
      </c>
      <c r="AHH948" s="7">
        <v>45992</v>
      </c>
      <c r="AHI948" s="7">
        <f t="shared" ref="AHI948" si="529">IF(AHJ948="Trimestral", AHH948+90, IF(AHJ948="Semestral", AHH948+180, AHH948+365))</f>
        <v>46172</v>
      </c>
      <c r="AHJ948" s="7" t="str">
        <f t="shared" ref="AHJ948" si="530">IF(AGY948="Ionizador", "Trimestral", IF(AGY948="Rack", "Semestral", IF(AGY948="Mesa", "Semestral", IF(AGY948="Tapete", "Semestral", IF(AGY948="Cautín", "Semestral", IF(AGY948="Silla", "Semestral", "Anual"))))))</f>
        <v>Semestral</v>
      </c>
      <c r="AHK948" s="2" t="str">
        <f t="shared" ref="AHK948" ca="1" si="531">IF(AHI948&lt;TODAY(),"VENCIDO",IF(AHI948=TODAY(),"VENCE HOY",IF(AHI948&gt;TODAY(),"VIGENTE")))</f>
        <v>VIGENTE</v>
      </c>
      <c r="AHL948" s="6" t="s">
        <v>25</v>
      </c>
      <c r="AHM948" s="23" t="s">
        <v>138</v>
      </c>
      <c r="AHN948" s="2" t="s">
        <v>433</v>
      </c>
      <c r="AHO948" s="3" t="s">
        <v>22</v>
      </c>
      <c r="AHP948" s="3" t="s">
        <v>23</v>
      </c>
      <c r="AHQ948" s="2" t="s">
        <v>24</v>
      </c>
      <c r="AHR948" s="4">
        <v>0</v>
      </c>
      <c r="AHS948" s="8">
        <f t="shared" ref="AHS948" si="532">IF(AHO948="Ionizador", 10, IF(AHO948="Mesa", 1000000000, IF(AHO948="Rack", 1000000000, IF(AHO948="Piso", 1000000000, IF(AHO948="Tapete", 1000000000, IF(AHO948="Carrito", 1000000000, IF(AHO948="Cautín", 10, 1)))))))</f>
        <v>1000000000</v>
      </c>
      <c r="AHT948" s="4" t="str">
        <f t="shared" ref="AHT948" si="533">IF(AHO948="Ionizador", "Segundos", "Ohms")</f>
        <v>Ohms</v>
      </c>
      <c r="AHU948" s="6">
        <v>148000000</v>
      </c>
      <c r="AHV948" s="6" t="str">
        <f t="shared" ref="AHV948" si="534">AHT948</f>
        <v>Ohms</v>
      </c>
      <c r="AHW948" s="2" t="str">
        <f t="shared" ref="AHW948" si="535">IF(AHO948="Ionizador", "Plato de carga", IF(AHO948="Cautín", "PTG", "RTG"))</f>
        <v>RTG</v>
      </c>
      <c r="AHX948" s="7">
        <v>45992</v>
      </c>
      <c r="AHY948" s="7">
        <f t="shared" ref="AHY948" si="536">IF(AHZ948="Trimestral", AHX948+90, IF(AHZ948="Semestral", AHX948+180, AHX948+365))</f>
        <v>46172</v>
      </c>
      <c r="AHZ948" s="7" t="str">
        <f t="shared" ref="AHZ948" si="537">IF(AHO948="Ionizador", "Trimestral", IF(AHO948="Rack", "Semestral", IF(AHO948="Mesa", "Semestral", IF(AHO948="Tapete", "Semestral", IF(AHO948="Cautín", "Semestral", IF(AHO948="Silla", "Semestral", "Anual"))))))</f>
        <v>Semestral</v>
      </c>
      <c r="AIA948" s="2" t="str">
        <f t="shared" ref="AIA948" ca="1" si="538">IF(AHY948&lt;TODAY(),"VENCIDO",IF(AHY948=TODAY(),"VENCE HOY",IF(AHY948&gt;TODAY(),"VIGENTE")))</f>
        <v>VIGENTE</v>
      </c>
      <c r="AIB948" s="6" t="s">
        <v>25</v>
      </c>
      <c r="AIC948" s="23" t="s">
        <v>138</v>
      </c>
      <c r="AID948" s="2" t="s">
        <v>433</v>
      </c>
      <c r="AIE948" s="3" t="s">
        <v>22</v>
      </c>
      <c r="AIF948" s="3" t="s">
        <v>23</v>
      </c>
      <c r="AIG948" s="2" t="s">
        <v>24</v>
      </c>
      <c r="AIH948" s="4">
        <v>0</v>
      </c>
      <c r="AII948" s="8">
        <f t="shared" ref="AII948" si="539">IF(AIE948="Ionizador", 10, IF(AIE948="Mesa", 1000000000, IF(AIE948="Rack", 1000000000, IF(AIE948="Piso", 1000000000, IF(AIE948="Tapete", 1000000000, IF(AIE948="Carrito", 1000000000, IF(AIE948="Cautín", 10, 1)))))))</f>
        <v>1000000000</v>
      </c>
      <c r="AIJ948" s="4" t="str">
        <f t="shared" ref="AIJ948" si="540">IF(AIE948="Ionizador", "Segundos", "Ohms")</f>
        <v>Ohms</v>
      </c>
      <c r="AIK948" s="6">
        <v>148000000</v>
      </c>
      <c r="AIL948" s="6" t="str">
        <f t="shared" ref="AIL948" si="541">AIJ948</f>
        <v>Ohms</v>
      </c>
      <c r="AIM948" s="2" t="str">
        <f t="shared" ref="AIM948" si="542">IF(AIE948="Ionizador", "Plato de carga", IF(AIE948="Cautín", "PTG", "RTG"))</f>
        <v>RTG</v>
      </c>
      <c r="AIN948" s="7">
        <v>45992</v>
      </c>
      <c r="AIO948" s="7">
        <f t="shared" ref="AIO948" si="543">IF(AIP948="Trimestral", AIN948+90, IF(AIP948="Semestral", AIN948+180, AIN948+365))</f>
        <v>46172</v>
      </c>
      <c r="AIP948" s="7" t="str">
        <f t="shared" ref="AIP948" si="544">IF(AIE948="Ionizador", "Trimestral", IF(AIE948="Rack", "Semestral", IF(AIE948="Mesa", "Semestral", IF(AIE948="Tapete", "Semestral", IF(AIE948="Cautín", "Semestral", IF(AIE948="Silla", "Semestral", "Anual"))))))</f>
        <v>Semestral</v>
      </c>
      <c r="AIQ948" s="2" t="str">
        <f t="shared" ref="AIQ948" ca="1" si="545">IF(AIO948&lt;TODAY(),"VENCIDO",IF(AIO948=TODAY(),"VENCE HOY",IF(AIO948&gt;TODAY(),"VIGENTE")))</f>
        <v>VIGENTE</v>
      </c>
      <c r="AIR948" s="6" t="s">
        <v>25</v>
      </c>
      <c r="AIS948" s="23" t="s">
        <v>138</v>
      </c>
      <c r="AIT948" s="2" t="s">
        <v>433</v>
      </c>
      <c r="AIU948" s="3" t="s">
        <v>22</v>
      </c>
      <c r="AIV948" s="3" t="s">
        <v>23</v>
      </c>
      <c r="AIW948" s="2" t="s">
        <v>24</v>
      </c>
      <c r="AIX948" s="4">
        <v>0</v>
      </c>
      <c r="AIY948" s="8">
        <f t="shared" ref="AIY948" si="546">IF(AIU948="Ionizador", 10, IF(AIU948="Mesa", 1000000000, IF(AIU948="Rack", 1000000000, IF(AIU948="Piso", 1000000000, IF(AIU948="Tapete", 1000000000, IF(AIU948="Carrito", 1000000000, IF(AIU948="Cautín", 10, 1)))))))</f>
        <v>1000000000</v>
      </c>
      <c r="AIZ948" s="4" t="str">
        <f t="shared" ref="AIZ948" si="547">IF(AIU948="Ionizador", "Segundos", "Ohms")</f>
        <v>Ohms</v>
      </c>
      <c r="AJA948" s="6">
        <v>148000000</v>
      </c>
      <c r="AJB948" s="6" t="str">
        <f t="shared" ref="AJB948" si="548">AIZ948</f>
        <v>Ohms</v>
      </c>
      <c r="AJC948" s="2" t="str">
        <f t="shared" ref="AJC948" si="549">IF(AIU948="Ionizador", "Plato de carga", IF(AIU948="Cautín", "PTG", "RTG"))</f>
        <v>RTG</v>
      </c>
      <c r="AJD948" s="7">
        <v>45992</v>
      </c>
      <c r="AJE948" s="7">
        <f t="shared" ref="AJE948" si="550">IF(AJF948="Trimestral", AJD948+90, IF(AJF948="Semestral", AJD948+180, AJD948+365))</f>
        <v>46172</v>
      </c>
      <c r="AJF948" s="7" t="str">
        <f t="shared" ref="AJF948" si="551">IF(AIU948="Ionizador", "Trimestral", IF(AIU948="Rack", "Semestral", IF(AIU948="Mesa", "Semestral", IF(AIU948="Tapete", "Semestral", IF(AIU948="Cautín", "Semestral", IF(AIU948="Silla", "Semestral", "Anual"))))))</f>
        <v>Semestral</v>
      </c>
      <c r="AJG948" s="2" t="str">
        <f t="shared" ref="AJG948" ca="1" si="552">IF(AJE948&lt;TODAY(),"VENCIDO",IF(AJE948=TODAY(),"VENCE HOY",IF(AJE948&gt;TODAY(),"VIGENTE")))</f>
        <v>VIGENTE</v>
      </c>
      <c r="AJH948" s="6" t="s">
        <v>25</v>
      </c>
      <c r="AJI948" s="23" t="s">
        <v>138</v>
      </c>
      <c r="AJJ948" s="2" t="s">
        <v>433</v>
      </c>
      <c r="AJK948" s="3" t="s">
        <v>22</v>
      </c>
      <c r="AJL948" s="3" t="s">
        <v>23</v>
      </c>
      <c r="AJM948" s="2" t="s">
        <v>24</v>
      </c>
      <c r="AJN948" s="4">
        <v>0</v>
      </c>
      <c r="AJO948" s="8">
        <f t="shared" ref="AJO948" si="553">IF(AJK948="Ionizador", 10, IF(AJK948="Mesa", 1000000000, IF(AJK948="Rack", 1000000000, IF(AJK948="Piso", 1000000000, IF(AJK948="Tapete", 1000000000, IF(AJK948="Carrito", 1000000000, IF(AJK948="Cautín", 10, 1)))))))</f>
        <v>1000000000</v>
      </c>
      <c r="AJP948" s="4" t="str">
        <f t="shared" ref="AJP948" si="554">IF(AJK948="Ionizador", "Segundos", "Ohms")</f>
        <v>Ohms</v>
      </c>
      <c r="AJQ948" s="6">
        <v>148000000</v>
      </c>
      <c r="AJR948" s="6" t="str">
        <f t="shared" ref="AJR948" si="555">AJP948</f>
        <v>Ohms</v>
      </c>
      <c r="AJS948" s="2" t="str">
        <f t="shared" ref="AJS948" si="556">IF(AJK948="Ionizador", "Plato de carga", IF(AJK948="Cautín", "PTG", "RTG"))</f>
        <v>RTG</v>
      </c>
      <c r="AJT948" s="7">
        <v>45992</v>
      </c>
      <c r="AJU948" s="7">
        <f t="shared" ref="AJU948" si="557">IF(AJV948="Trimestral", AJT948+90, IF(AJV948="Semestral", AJT948+180, AJT948+365))</f>
        <v>46172</v>
      </c>
      <c r="AJV948" s="7" t="str">
        <f t="shared" ref="AJV948" si="558">IF(AJK948="Ionizador", "Trimestral", IF(AJK948="Rack", "Semestral", IF(AJK948="Mesa", "Semestral", IF(AJK948="Tapete", "Semestral", IF(AJK948="Cautín", "Semestral", IF(AJK948="Silla", "Semestral", "Anual"))))))</f>
        <v>Semestral</v>
      </c>
      <c r="AJW948" s="2" t="str">
        <f t="shared" ref="AJW948" ca="1" si="559">IF(AJU948&lt;TODAY(),"VENCIDO",IF(AJU948=TODAY(),"VENCE HOY",IF(AJU948&gt;TODAY(),"VIGENTE")))</f>
        <v>VIGENTE</v>
      </c>
      <c r="AJX948" s="6" t="s">
        <v>25</v>
      </c>
      <c r="AJY948" s="23" t="s">
        <v>138</v>
      </c>
      <c r="AJZ948" s="2" t="s">
        <v>433</v>
      </c>
      <c r="AKA948" s="3" t="s">
        <v>22</v>
      </c>
      <c r="AKB948" s="3" t="s">
        <v>23</v>
      </c>
      <c r="AKC948" s="2" t="s">
        <v>24</v>
      </c>
      <c r="AKD948" s="4">
        <v>0</v>
      </c>
      <c r="AKE948" s="8">
        <f t="shared" ref="AKE948" si="560">IF(AKA948="Ionizador", 10, IF(AKA948="Mesa", 1000000000, IF(AKA948="Rack", 1000000000, IF(AKA948="Piso", 1000000000, IF(AKA948="Tapete", 1000000000, IF(AKA948="Carrito", 1000000000, IF(AKA948="Cautín", 10, 1)))))))</f>
        <v>1000000000</v>
      </c>
      <c r="AKF948" s="4" t="str">
        <f t="shared" ref="AKF948" si="561">IF(AKA948="Ionizador", "Segundos", "Ohms")</f>
        <v>Ohms</v>
      </c>
      <c r="AKG948" s="6">
        <v>148000000</v>
      </c>
      <c r="AKH948" s="6" t="str">
        <f t="shared" ref="AKH948" si="562">AKF948</f>
        <v>Ohms</v>
      </c>
      <c r="AKI948" s="2" t="str">
        <f t="shared" ref="AKI948" si="563">IF(AKA948="Ionizador", "Plato de carga", IF(AKA948="Cautín", "PTG", "RTG"))</f>
        <v>RTG</v>
      </c>
      <c r="AKJ948" s="7">
        <v>45992</v>
      </c>
      <c r="AKK948" s="7">
        <f t="shared" ref="AKK948" si="564">IF(AKL948="Trimestral", AKJ948+90, IF(AKL948="Semestral", AKJ948+180, AKJ948+365))</f>
        <v>46172</v>
      </c>
      <c r="AKL948" s="7" t="str">
        <f t="shared" ref="AKL948" si="565">IF(AKA948="Ionizador", "Trimestral", IF(AKA948="Rack", "Semestral", IF(AKA948="Mesa", "Semestral", IF(AKA948="Tapete", "Semestral", IF(AKA948="Cautín", "Semestral", IF(AKA948="Silla", "Semestral", "Anual"))))))</f>
        <v>Semestral</v>
      </c>
      <c r="AKM948" s="2" t="str">
        <f t="shared" ref="AKM948" ca="1" si="566">IF(AKK948&lt;TODAY(),"VENCIDO",IF(AKK948=TODAY(),"VENCE HOY",IF(AKK948&gt;TODAY(),"VIGENTE")))</f>
        <v>VIGENTE</v>
      </c>
      <c r="AKN948" s="6" t="s">
        <v>25</v>
      </c>
      <c r="AKO948" s="23" t="s">
        <v>138</v>
      </c>
      <c r="AKP948" s="2" t="s">
        <v>433</v>
      </c>
      <c r="AKQ948" s="3" t="s">
        <v>22</v>
      </c>
      <c r="AKR948" s="3" t="s">
        <v>23</v>
      </c>
      <c r="AKS948" s="2" t="s">
        <v>24</v>
      </c>
      <c r="AKT948" s="4">
        <v>0</v>
      </c>
      <c r="AKU948" s="8">
        <f t="shared" ref="AKU948" si="567">IF(AKQ948="Ionizador", 10, IF(AKQ948="Mesa", 1000000000, IF(AKQ948="Rack", 1000000000, IF(AKQ948="Piso", 1000000000, IF(AKQ948="Tapete", 1000000000, IF(AKQ948="Carrito", 1000000000, IF(AKQ948="Cautín", 10, 1)))))))</f>
        <v>1000000000</v>
      </c>
      <c r="AKV948" s="4" t="str">
        <f t="shared" ref="AKV948" si="568">IF(AKQ948="Ionizador", "Segundos", "Ohms")</f>
        <v>Ohms</v>
      </c>
      <c r="AKW948" s="6">
        <v>148000000</v>
      </c>
      <c r="AKX948" s="6" t="str">
        <f t="shared" ref="AKX948" si="569">AKV948</f>
        <v>Ohms</v>
      </c>
      <c r="AKY948" s="2" t="str">
        <f t="shared" ref="AKY948" si="570">IF(AKQ948="Ionizador", "Plato de carga", IF(AKQ948="Cautín", "PTG", "RTG"))</f>
        <v>RTG</v>
      </c>
      <c r="AKZ948" s="7">
        <v>45992</v>
      </c>
      <c r="ALA948" s="7">
        <f t="shared" ref="ALA948" si="571">IF(ALB948="Trimestral", AKZ948+90, IF(ALB948="Semestral", AKZ948+180, AKZ948+365))</f>
        <v>46172</v>
      </c>
      <c r="ALB948" s="7" t="str">
        <f t="shared" ref="ALB948" si="572">IF(AKQ948="Ionizador", "Trimestral", IF(AKQ948="Rack", "Semestral", IF(AKQ948="Mesa", "Semestral", IF(AKQ948="Tapete", "Semestral", IF(AKQ948="Cautín", "Semestral", IF(AKQ948="Silla", "Semestral", "Anual"))))))</f>
        <v>Semestral</v>
      </c>
      <c r="ALC948" s="2" t="str">
        <f t="shared" ref="ALC948" ca="1" si="573">IF(ALA948&lt;TODAY(),"VENCIDO",IF(ALA948=TODAY(),"VENCE HOY",IF(ALA948&gt;TODAY(),"VIGENTE")))</f>
        <v>VIGENTE</v>
      </c>
      <c r="ALD948" s="6" t="s">
        <v>25</v>
      </c>
      <c r="ALE948" s="23" t="s">
        <v>138</v>
      </c>
      <c r="ALF948" s="2" t="s">
        <v>433</v>
      </c>
      <c r="ALG948" s="3" t="s">
        <v>22</v>
      </c>
      <c r="ALH948" s="3" t="s">
        <v>23</v>
      </c>
      <c r="ALI948" s="2" t="s">
        <v>24</v>
      </c>
      <c r="ALJ948" s="4">
        <v>0</v>
      </c>
      <c r="ALK948" s="8">
        <f t="shared" ref="ALK948" si="574">IF(ALG948="Ionizador", 10, IF(ALG948="Mesa", 1000000000, IF(ALG948="Rack", 1000000000, IF(ALG948="Piso", 1000000000, IF(ALG948="Tapete", 1000000000, IF(ALG948="Carrito", 1000000000, IF(ALG948="Cautín", 10, 1)))))))</f>
        <v>1000000000</v>
      </c>
      <c r="ALL948" s="4" t="str">
        <f t="shared" ref="ALL948" si="575">IF(ALG948="Ionizador", "Segundos", "Ohms")</f>
        <v>Ohms</v>
      </c>
      <c r="ALM948" s="6">
        <v>148000000</v>
      </c>
      <c r="ALN948" s="6" t="str">
        <f t="shared" ref="ALN948" si="576">ALL948</f>
        <v>Ohms</v>
      </c>
      <c r="ALO948" s="2" t="str">
        <f t="shared" ref="ALO948" si="577">IF(ALG948="Ionizador", "Plato de carga", IF(ALG948="Cautín", "PTG", "RTG"))</f>
        <v>RTG</v>
      </c>
      <c r="ALP948" s="7">
        <v>45992</v>
      </c>
      <c r="ALQ948" s="7">
        <f t="shared" ref="ALQ948" si="578">IF(ALR948="Trimestral", ALP948+90, IF(ALR948="Semestral", ALP948+180, ALP948+365))</f>
        <v>46172</v>
      </c>
      <c r="ALR948" s="7" t="str">
        <f t="shared" ref="ALR948" si="579">IF(ALG948="Ionizador", "Trimestral", IF(ALG948="Rack", "Semestral", IF(ALG948="Mesa", "Semestral", IF(ALG948="Tapete", "Semestral", IF(ALG948="Cautín", "Semestral", IF(ALG948="Silla", "Semestral", "Anual"))))))</f>
        <v>Semestral</v>
      </c>
      <c r="ALS948" s="2" t="str">
        <f t="shared" ref="ALS948" ca="1" si="580">IF(ALQ948&lt;TODAY(),"VENCIDO",IF(ALQ948=TODAY(),"VENCE HOY",IF(ALQ948&gt;TODAY(),"VIGENTE")))</f>
        <v>VIGENTE</v>
      </c>
      <c r="ALT948" s="6" t="s">
        <v>25</v>
      </c>
      <c r="ALU948" s="23" t="s">
        <v>138</v>
      </c>
      <c r="ALV948" s="2" t="s">
        <v>433</v>
      </c>
      <c r="ALW948" s="3" t="s">
        <v>22</v>
      </c>
      <c r="ALX948" s="3" t="s">
        <v>23</v>
      </c>
      <c r="ALY948" s="2" t="s">
        <v>24</v>
      </c>
      <c r="ALZ948" s="4">
        <v>0</v>
      </c>
      <c r="AMA948" s="8">
        <f t="shared" ref="AMA948" si="581">IF(ALW948="Ionizador", 10, IF(ALW948="Mesa", 1000000000, IF(ALW948="Rack", 1000000000, IF(ALW948="Piso", 1000000000, IF(ALW948="Tapete", 1000000000, IF(ALW948="Carrito", 1000000000, IF(ALW948="Cautín", 10, 1)))))))</f>
        <v>1000000000</v>
      </c>
      <c r="AMB948" s="4" t="str">
        <f t="shared" ref="AMB948" si="582">IF(ALW948="Ionizador", "Segundos", "Ohms")</f>
        <v>Ohms</v>
      </c>
      <c r="AMC948" s="6">
        <v>148000000</v>
      </c>
      <c r="AMD948" s="6" t="str">
        <f t="shared" ref="AMD948" si="583">AMB948</f>
        <v>Ohms</v>
      </c>
      <c r="AME948" s="2" t="str">
        <f t="shared" ref="AME948" si="584">IF(ALW948="Ionizador", "Plato de carga", IF(ALW948="Cautín", "PTG", "RTG"))</f>
        <v>RTG</v>
      </c>
      <c r="AMF948" s="7">
        <v>45992</v>
      </c>
      <c r="AMG948" s="7">
        <f t="shared" ref="AMG948" si="585">IF(AMH948="Trimestral", AMF948+90, IF(AMH948="Semestral", AMF948+180, AMF948+365))</f>
        <v>46172</v>
      </c>
      <c r="AMH948" s="7" t="str">
        <f t="shared" ref="AMH948" si="586">IF(ALW948="Ionizador", "Trimestral", IF(ALW948="Rack", "Semestral", IF(ALW948="Mesa", "Semestral", IF(ALW948="Tapete", "Semestral", IF(ALW948="Cautín", "Semestral", IF(ALW948="Silla", "Semestral", "Anual"))))))</f>
        <v>Semestral</v>
      </c>
      <c r="AMI948" s="2" t="str">
        <f t="shared" ref="AMI948" ca="1" si="587">IF(AMG948&lt;TODAY(),"VENCIDO",IF(AMG948=TODAY(),"VENCE HOY",IF(AMG948&gt;TODAY(),"VIGENTE")))</f>
        <v>VIGENTE</v>
      </c>
      <c r="AMJ948" s="6" t="s">
        <v>25</v>
      </c>
      <c r="AMK948" s="23" t="s">
        <v>138</v>
      </c>
      <c r="AML948" s="2" t="s">
        <v>433</v>
      </c>
      <c r="AMM948" s="3" t="s">
        <v>22</v>
      </c>
      <c r="AMN948" s="3" t="s">
        <v>23</v>
      </c>
      <c r="AMO948" s="2" t="s">
        <v>24</v>
      </c>
      <c r="AMP948" s="4">
        <v>0</v>
      </c>
      <c r="AMQ948" s="8">
        <f t="shared" ref="AMQ948" si="588">IF(AMM948="Ionizador", 10, IF(AMM948="Mesa", 1000000000, IF(AMM948="Rack", 1000000000, IF(AMM948="Piso", 1000000000, IF(AMM948="Tapete", 1000000000, IF(AMM948="Carrito", 1000000000, IF(AMM948="Cautín", 10, 1)))))))</f>
        <v>1000000000</v>
      </c>
      <c r="AMR948" s="4" t="str">
        <f t="shared" ref="AMR948" si="589">IF(AMM948="Ionizador", "Segundos", "Ohms")</f>
        <v>Ohms</v>
      </c>
      <c r="AMS948" s="6">
        <v>148000000</v>
      </c>
      <c r="AMT948" s="6" t="str">
        <f t="shared" ref="AMT948" si="590">AMR948</f>
        <v>Ohms</v>
      </c>
      <c r="AMU948" s="2" t="str">
        <f t="shared" ref="AMU948" si="591">IF(AMM948="Ionizador", "Plato de carga", IF(AMM948="Cautín", "PTG", "RTG"))</f>
        <v>RTG</v>
      </c>
      <c r="AMV948" s="7">
        <v>45992</v>
      </c>
      <c r="AMW948" s="7">
        <f t="shared" ref="AMW948" si="592">IF(AMX948="Trimestral", AMV948+90, IF(AMX948="Semestral", AMV948+180, AMV948+365))</f>
        <v>46172</v>
      </c>
      <c r="AMX948" s="7" t="str">
        <f t="shared" ref="AMX948" si="593">IF(AMM948="Ionizador", "Trimestral", IF(AMM948="Rack", "Semestral", IF(AMM948="Mesa", "Semestral", IF(AMM948="Tapete", "Semestral", IF(AMM948="Cautín", "Semestral", IF(AMM948="Silla", "Semestral", "Anual"))))))</f>
        <v>Semestral</v>
      </c>
      <c r="AMY948" s="2" t="str">
        <f t="shared" ref="AMY948" ca="1" si="594">IF(AMW948&lt;TODAY(),"VENCIDO",IF(AMW948=TODAY(),"VENCE HOY",IF(AMW948&gt;TODAY(),"VIGENTE")))</f>
        <v>VIGENTE</v>
      </c>
      <c r="AMZ948" s="6" t="s">
        <v>25</v>
      </c>
      <c r="ANA948" s="23" t="s">
        <v>138</v>
      </c>
      <c r="ANB948" s="2" t="s">
        <v>433</v>
      </c>
      <c r="ANC948" s="3" t="s">
        <v>22</v>
      </c>
      <c r="AND948" s="3" t="s">
        <v>23</v>
      </c>
      <c r="ANE948" s="2" t="s">
        <v>24</v>
      </c>
      <c r="ANF948" s="4">
        <v>0</v>
      </c>
      <c r="ANG948" s="8">
        <f t="shared" ref="ANG948" si="595">IF(ANC948="Ionizador", 10, IF(ANC948="Mesa", 1000000000, IF(ANC948="Rack", 1000000000, IF(ANC948="Piso", 1000000000, IF(ANC948="Tapete", 1000000000, IF(ANC948="Carrito", 1000000000, IF(ANC948="Cautín", 10, 1)))))))</f>
        <v>1000000000</v>
      </c>
      <c r="ANH948" s="4" t="str">
        <f t="shared" ref="ANH948" si="596">IF(ANC948="Ionizador", "Segundos", "Ohms")</f>
        <v>Ohms</v>
      </c>
      <c r="ANI948" s="6">
        <v>148000000</v>
      </c>
      <c r="ANJ948" s="6" t="str">
        <f t="shared" ref="ANJ948" si="597">ANH948</f>
        <v>Ohms</v>
      </c>
      <c r="ANK948" s="2" t="str">
        <f t="shared" ref="ANK948" si="598">IF(ANC948="Ionizador", "Plato de carga", IF(ANC948="Cautín", "PTG", "RTG"))</f>
        <v>RTG</v>
      </c>
      <c r="ANL948" s="7">
        <v>45992</v>
      </c>
      <c r="ANM948" s="7">
        <f t="shared" ref="ANM948" si="599">IF(ANN948="Trimestral", ANL948+90, IF(ANN948="Semestral", ANL948+180, ANL948+365))</f>
        <v>46172</v>
      </c>
      <c r="ANN948" s="7" t="str">
        <f t="shared" ref="ANN948" si="600">IF(ANC948="Ionizador", "Trimestral", IF(ANC948="Rack", "Semestral", IF(ANC948="Mesa", "Semestral", IF(ANC948="Tapete", "Semestral", IF(ANC948="Cautín", "Semestral", IF(ANC948="Silla", "Semestral", "Anual"))))))</f>
        <v>Semestral</v>
      </c>
      <c r="ANO948" s="2" t="str">
        <f t="shared" ref="ANO948" ca="1" si="601">IF(ANM948&lt;TODAY(),"VENCIDO",IF(ANM948=TODAY(),"VENCE HOY",IF(ANM948&gt;TODAY(),"VIGENTE")))</f>
        <v>VIGENTE</v>
      </c>
      <c r="ANP948" s="6" t="s">
        <v>25</v>
      </c>
      <c r="ANQ948" s="23" t="s">
        <v>138</v>
      </c>
      <c r="ANR948" s="2" t="s">
        <v>433</v>
      </c>
      <c r="ANS948" s="3" t="s">
        <v>22</v>
      </c>
      <c r="ANT948" s="3" t="s">
        <v>23</v>
      </c>
      <c r="ANU948" s="2" t="s">
        <v>24</v>
      </c>
      <c r="ANV948" s="4">
        <v>0</v>
      </c>
      <c r="ANW948" s="8">
        <f t="shared" ref="ANW948" si="602">IF(ANS948="Ionizador", 10, IF(ANS948="Mesa", 1000000000, IF(ANS948="Rack", 1000000000, IF(ANS948="Piso", 1000000000, IF(ANS948="Tapete", 1000000000, IF(ANS948="Carrito", 1000000000, IF(ANS948="Cautín", 10, 1)))))))</f>
        <v>1000000000</v>
      </c>
      <c r="ANX948" s="4" t="str">
        <f t="shared" ref="ANX948" si="603">IF(ANS948="Ionizador", "Segundos", "Ohms")</f>
        <v>Ohms</v>
      </c>
      <c r="ANY948" s="6">
        <v>148000000</v>
      </c>
      <c r="ANZ948" s="6" t="str">
        <f t="shared" ref="ANZ948" si="604">ANX948</f>
        <v>Ohms</v>
      </c>
      <c r="AOA948" s="2" t="str">
        <f t="shared" ref="AOA948" si="605">IF(ANS948="Ionizador", "Plato de carga", IF(ANS948="Cautín", "PTG", "RTG"))</f>
        <v>RTG</v>
      </c>
      <c r="AOB948" s="7">
        <v>45992</v>
      </c>
      <c r="AOC948" s="7">
        <f t="shared" ref="AOC948" si="606">IF(AOD948="Trimestral", AOB948+90, IF(AOD948="Semestral", AOB948+180, AOB948+365))</f>
        <v>46172</v>
      </c>
      <c r="AOD948" s="7" t="str">
        <f t="shared" ref="AOD948" si="607">IF(ANS948="Ionizador", "Trimestral", IF(ANS948="Rack", "Semestral", IF(ANS948="Mesa", "Semestral", IF(ANS948="Tapete", "Semestral", IF(ANS948="Cautín", "Semestral", IF(ANS948="Silla", "Semestral", "Anual"))))))</f>
        <v>Semestral</v>
      </c>
      <c r="AOE948" s="2" t="str">
        <f t="shared" ref="AOE948" ca="1" si="608">IF(AOC948&lt;TODAY(),"VENCIDO",IF(AOC948=TODAY(),"VENCE HOY",IF(AOC948&gt;TODAY(),"VIGENTE")))</f>
        <v>VIGENTE</v>
      </c>
      <c r="AOF948" s="6" t="s">
        <v>25</v>
      </c>
      <c r="AOG948" s="23" t="s">
        <v>138</v>
      </c>
      <c r="AOH948" s="2" t="s">
        <v>433</v>
      </c>
      <c r="AOI948" s="3" t="s">
        <v>22</v>
      </c>
      <c r="AOJ948" s="3" t="s">
        <v>23</v>
      </c>
      <c r="AOK948" s="2" t="s">
        <v>24</v>
      </c>
      <c r="AOL948" s="4">
        <v>0</v>
      </c>
      <c r="AOM948" s="8">
        <f t="shared" ref="AOM948" si="609">IF(AOI948="Ionizador", 10, IF(AOI948="Mesa", 1000000000, IF(AOI948="Rack", 1000000000, IF(AOI948="Piso", 1000000000, IF(AOI948="Tapete", 1000000000, IF(AOI948="Carrito", 1000000000, IF(AOI948="Cautín", 10, 1)))))))</f>
        <v>1000000000</v>
      </c>
      <c r="AON948" s="4" t="str">
        <f t="shared" ref="AON948" si="610">IF(AOI948="Ionizador", "Segundos", "Ohms")</f>
        <v>Ohms</v>
      </c>
      <c r="AOO948" s="6">
        <v>148000000</v>
      </c>
      <c r="AOP948" s="6" t="str">
        <f t="shared" ref="AOP948" si="611">AON948</f>
        <v>Ohms</v>
      </c>
      <c r="AOQ948" s="2" t="str">
        <f t="shared" ref="AOQ948" si="612">IF(AOI948="Ionizador", "Plato de carga", IF(AOI948="Cautín", "PTG", "RTG"))</f>
        <v>RTG</v>
      </c>
      <c r="AOR948" s="7">
        <v>45992</v>
      </c>
      <c r="AOS948" s="7">
        <f t="shared" ref="AOS948" si="613">IF(AOT948="Trimestral", AOR948+90, IF(AOT948="Semestral", AOR948+180, AOR948+365))</f>
        <v>46172</v>
      </c>
      <c r="AOT948" s="7" t="str">
        <f t="shared" ref="AOT948" si="614">IF(AOI948="Ionizador", "Trimestral", IF(AOI948="Rack", "Semestral", IF(AOI948="Mesa", "Semestral", IF(AOI948="Tapete", "Semestral", IF(AOI948="Cautín", "Semestral", IF(AOI948="Silla", "Semestral", "Anual"))))))</f>
        <v>Semestral</v>
      </c>
      <c r="AOU948" s="2" t="str">
        <f t="shared" ref="AOU948" ca="1" si="615">IF(AOS948&lt;TODAY(),"VENCIDO",IF(AOS948=TODAY(),"VENCE HOY",IF(AOS948&gt;TODAY(),"VIGENTE")))</f>
        <v>VIGENTE</v>
      </c>
      <c r="AOV948" s="6" t="s">
        <v>25</v>
      </c>
      <c r="AOW948" s="23" t="s">
        <v>138</v>
      </c>
      <c r="AOX948" s="2" t="s">
        <v>433</v>
      </c>
      <c r="AOY948" s="3" t="s">
        <v>22</v>
      </c>
      <c r="AOZ948" s="3" t="s">
        <v>23</v>
      </c>
      <c r="APA948" s="2" t="s">
        <v>24</v>
      </c>
      <c r="APB948" s="4">
        <v>0</v>
      </c>
      <c r="APC948" s="8">
        <f t="shared" ref="APC948" si="616">IF(AOY948="Ionizador", 10, IF(AOY948="Mesa", 1000000000, IF(AOY948="Rack", 1000000000, IF(AOY948="Piso", 1000000000, IF(AOY948="Tapete", 1000000000, IF(AOY948="Carrito", 1000000000, IF(AOY948="Cautín", 10, 1)))))))</f>
        <v>1000000000</v>
      </c>
      <c r="APD948" s="4" t="str">
        <f t="shared" ref="APD948" si="617">IF(AOY948="Ionizador", "Segundos", "Ohms")</f>
        <v>Ohms</v>
      </c>
      <c r="APE948" s="6">
        <v>148000000</v>
      </c>
      <c r="APF948" s="6" t="str">
        <f t="shared" ref="APF948" si="618">APD948</f>
        <v>Ohms</v>
      </c>
      <c r="APG948" s="2" t="str">
        <f t="shared" ref="APG948" si="619">IF(AOY948="Ionizador", "Plato de carga", IF(AOY948="Cautín", "PTG", "RTG"))</f>
        <v>RTG</v>
      </c>
      <c r="APH948" s="7">
        <v>45992</v>
      </c>
      <c r="API948" s="7">
        <f t="shared" ref="API948" si="620">IF(APJ948="Trimestral", APH948+90, IF(APJ948="Semestral", APH948+180, APH948+365))</f>
        <v>46172</v>
      </c>
      <c r="APJ948" s="7" t="str">
        <f t="shared" ref="APJ948" si="621">IF(AOY948="Ionizador", "Trimestral", IF(AOY948="Rack", "Semestral", IF(AOY948="Mesa", "Semestral", IF(AOY948="Tapete", "Semestral", IF(AOY948="Cautín", "Semestral", IF(AOY948="Silla", "Semestral", "Anual"))))))</f>
        <v>Semestral</v>
      </c>
      <c r="APK948" s="2" t="str">
        <f t="shared" ref="APK948" ca="1" si="622">IF(API948&lt;TODAY(),"VENCIDO",IF(API948=TODAY(),"VENCE HOY",IF(API948&gt;TODAY(),"VIGENTE")))</f>
        <v>VIGENTE</v>
      </c>
      <c r="APL948" s="6" t="s">
        <v>25</v>
      </c>
      <c r="APM948" s="23" t="s">
        <v>138</v>
      </c>
      <c r="APN948" s="2" t="s">
        <v>433</v>
      </c>
      <c r="APO948" s="3" t="s">
        <v>22</v>
      </c>
      <c r="APP948" s="3" t="s">
        <v>23</v>
      </c>
      <c r="APQ948" s="2" t="s">
        <v>24</v>
      </c>
      <c r="APR948" s="4">
        <v>0</v>
      </c>
      <c r="APS948" s="8">
        <f t="shared" ref="APS948" si="623">IF(APO948="Ionizador", 10, IF(APO948="Mesa", 1000000000, IF(APO948="Rack", 1000000000, IF(APO948="Piso", 1000000000, IF(APO948="Tapete", 1000000000, IF(APO948="Carrito", 1000000000, IF(APO948="Cautín", 10, 1)))))))</f>
        <v>1000000000</v>
      </c>
      <c r="APT948" s="4" t="str">
        <f t="shared" ref="APT948" si="624">IF(APO948="Ionizador", "Segundos", "Ohms")</f>
        <v>Ohms</v>
      </c>
      <c r="APU948" s="6">
        <v>148000000</v>
      </c>
      <c r="APV948" s="6" t="str">
        <f t="shared" ref="APV948" si="625">APT948</f>
        <v>Ohms</v>
      </c>
      <c r="APW948" s="2" t="str">
        <f t="shared" ref="APW948" si="626">IF(APO948="Ionizador", "Plato de carga", IF(APO948="Cautín", "PTG", "RTG"))</f>
        <v>RTG</v>
      </c>
      <c r="APX948" s="7">
        <v>45992</v>
      </c>
      <c r="APY948" s="7">
        <f t="shared" ref="APY948" si="627">IF(APZ948="Trimestral", APX948+90, IF(APZ948="Semestral", APX948+180, APX948+365))</f>
        <v>46172</v>
      </c>
      <c r="APZ948" s="7" t="str">
        <f t="shared" ref="APZ948" si="628">IF(APO948="Ionizador", "Trimestral", IF(APO948="Rack", "Semestral", IF(APO948="Mesa", "Semestral", IF(APO948="Tapete", "Semestral", IF(APO948="Cautín", "Semestral", IF(APO948="Silla", "Semestral", "Anual"))))))</f>
        <v>Semestral</v>
      </c>
      <c r="AQA948" s="2" t="str">
        <f t="shared" ref="AQA948" ca="1" si="629">IF(APY948&lt;TODAY(),"VENCIDO",IF(APY948=TODAY(),"VENCE HOY",IF(APY948&gt;TODAY(),"VIGENTE")))</f>
        <v>VIGENTE</v>
      </c>
      <c r="AQB948" s="6" t="s">
        <v>25</v>
      </c>
      <c r="AQC948" s="23" t="s">
        <v>138</v>
      </c>
      <c r="AQD948" s="2" t="s">
        <v>433</v>
      </c>
      <c r="AQE948" s="3" t="s">
        <v>22</v>
      </c>
      <c r="AQF948" s="3" t="s">
        <v>23</v>
      </c>
      <c r="AQG948" s="2" t="s">
        <v>24</v>
      </c>
      <c r="AQH948" s="4">
        <v>0</v>
      </c>
      <c r="AQI948" s="8">
        <f t="shared" ref="AQI948" si="630">IF(AQE948="Ionizador", 10, IF(AQE948="Mesa", 1000000000, IF(AQE948="Rack", 1000000000, IF(AQE948="Piso", 1000000000, IF(AQE948="Tapete", 1000000000, IF(AQE948="Carrito", 1000000000, IF(AQE948="Cautín", 10, 1)))))))</f>
        <v>1000000000</v>
      </c>
      <c r="AQJ948" s="4" t="str">
        <f t="shared" ref="AQJ948" si="631">IF(AQE948="Ionizador", "Segundos", "Ohms")</f>
        <v>Ohms</v>
      </c>
      <c r="AQK948" s="6">
        <v>148000000</v>
      </c>
      <c r="AQL948" s="6" t="str">
        <f t="shared" ref="AQL948" si="632">AQJ948</f>
        <v>Ohms</v>
      </c>
      <c r="AQM948" s="2" t="str">
        <f t="shared" ref="AQM948" si="633">IF(AQE948="Ionizador", "Plato de carga", IF(AQE948="Cautín", "PTG", "RTG"))</f>
        <v>RTG</v>
      </c>
      <c r="AQN948" s="7">
        <v>45992</v>
      </c>
      <c r="AQO948" s="7">
        <f t="shared" ref="AQO948" si="634">IF(AQP948="Trimestral", AQN948+90, IF(AQP948="Semestral", AQN948+180, AQN948+365))</f>
        <v>46172</v>
      </c>
      <c r="AQP948" s="7" t="str">
        <f t="shared" ref="AQP948" si="635">IF(AQE948="Ionizador", "Trimestral", IF(AQE948="Rack", "Semestral", IF(AQE948="Mesa", "Semestral", IF(AQE948="Tapete", "Semestral", IF(AQE948="Cautín", "Semestral", IF(AQE948="Silla", "Semestral", "Anual"))))))</f>
        <v>Semestral</v>
      </c>
      <c r="AQQ948" s="2" t="str">
        <f t="shared" ref="AQQ948" ca="1" si="636">IF(AQO948&lt;TODAY(),"VENCIDO",IF(AQO948=TODAY(),"VENCE HOY",IF(AQO948&gt;TODAY(),"VIGENTE")))</f>
        <v>VIGENTE</v>
      </c>
      <c r="AQR948" s="6" t="s">
        <v>25</v>
      </c>
      <c r="AQS948" s="23" t="s">
        <v>138</v>
      </c>
      <c r="AQT948" s="2" t="s">
        <v>433</v>
      </c>
      <c r="AQU948" s="3" t="s">
        <v>22</v>
      </c>
      <c r="AQV948" s="3" t="s">
        <v>23</v>
      </c>
      <c r="AQW948" s="2" t="s">
        <v>24</v>
      </c>
      <c r="AQX948" s="4">
        <v>0</v>
      </c>
      <c r="AQY948" s="8">
        <f t="shared" ref="AQY948" si="637">IF(AQU948="Ionizador", 10, IF(AQU948="Mesa", 1000000000, IF(AQU948="Rack", 1000000000, IF(AQU948="Piso", 1000000000, IF(AQU948="Tapete", 1000000000, IF(AQU948="Carrito", 1000000000, IF(AQU948="Cautín", 10, 1)))))))</f>
        <v>1000000000</v>
      </c>
      <c r="AQZ948" s="4" t="str">
        <f t="shared" ref="AQZ948" si="638">IF(AQU948="Ionizador", "Segundos", "Ohms")</f>
        <v>Ohms</v>
      </c>
      <c r="ARA948" s="6">
        <v>148000000</v>
      </c>
      <c r="ARB948" s="6" t="str">
        <f t="shared" ref="ARB948" si="639">AQZ948</f>
        <v>Ohms</v>
      </c>
      <c r="ARC948" s="2" t="str">
        <f t="shared" ref="ARC948" si="640">IF(AQU948="Ionizador", "Plato de carga", IF(AQU948="Cautín", "PTG", "RTG"))</f>
        <v>RTG</v>
      </c>
      <c r="ARD948" s="7">
        <v>45992</v>
      </c>
      <c r="ARE948" s="7">
        <f t="shared" ref="ARE948" si="641">IF(ARF948="Trimestral", ARD948+90, IF(ARF948="Semestral", ARD948+180, ARD948+365))</f>
        <v>46172</v>
      </c>
      <c r="ARF948" s="7" t="str">
        <f t="shared" ref="ARF948" si="642">IF(AQU948="Ionizador", "Trimestral", IF(AQU948="Rack", "Semestral", IF(AQU948="Mesa", "Semestral", IF(AQU948="Tapete", "Semestral", IF(AQU948="Cautín", "Semestral", IF(AQU948="Silla", "Semestral", "Anual"))))))</f>
        <v>Semestral</v>
      </c>
      <c r="ARG948" s="2" t="str">
        <f t="shared" ref="ARG948" ca="1" si="643">IF(ARE948&lt;TODAY(),"VENCIDO",IF(ARE948=TODAY(),"VENCE HOY",IF(ARE948&gt;TODAY(),"VIGENTE")))</f>
        <v>VIGENTE</v>
      </c>
      <c r="ARH948" s="6" t="s">
        <v>25</v>
      </c>
      <c r="ARI948" s="23" t="s">
        <v>138</v>
      </c>
      <c r="ARJ948" s="2" t="s">
        <v>433</v>
      </c>
      <c r="ARK948" s="3" t="s">
        <v>22</v>
      </c>
      <c r="ARL948" s="3" t="s">
        <v>23</v>
      </c>
      <c r="ARM948" s="2" t="s">
        <v>24</v>
      </c>
      <c r="ARN948" s="4">
        <v>0</v>
      </c>
      <c r="ARO948" s="8">
        <f t="shared" ref="ARO948" si="644">IF(ARK948="Ionizador", 10, IF(ARK948="Mesa", 1000000000, IF(ARK948="Rack", 1000000000, IF(ARK948="Piso", 1000000000, IF(ARK948="Tapete", 1000000000, IF(ARK948="Carrito", 1000000000, IF(ARK948="Cautín", 10, 1)))))))</f>
        <v>1000000000</v>
      </c>
      <c r="ARP948" s="4" t="str">
        <f t="shared" ref="ARP948" si="645">IF(ARK948="Ionizador", "Segundos", "Ohms")</f>
        <v>Ohms</v>
      </c>
      <c r="ARQ948" s="6">
        <v>148000000</v>
      </c>
      <c r="ARR948" s="6" t="str">
        <f t="shared" ref="ARR948" si="646">ARP948</f>
        <v>Ohms</v>
      </c>
      <c r="ARS948" s="2" t="str">
        <f t="shared" ref="ARS948" si="647">IF(ARK948="Ionizador", "Plato de carga", IF(ARK948="Cautín", "PTG", "RTG"))</f>
        <v>RTG</v>
      </c>
      <c r="ART948" s="7">
        <v>45992</v>
      </c>
      <c r="ARU948" s="7">
        <f t="shared" ref="ARU948" si="648">IF(ARV948="Trimestral", ART948+90, IF(ARV948="Semestral", ART948+180, ART948+365))</f>
        <v>46172</v>
      </c>
      <c r="ARV948" s="7" t="str">
        <f t="shared" ref="ARV948" si="649">IF(ARK948="Ionizador", "Trimestral", IF(ARK948="Rack", "Semestral", IF(ARK948="Mesa", "Semestral", IF(ARK948="Tapete", "Semestral", IF(ARK948="Cautín", "Semestral", IF(ARK948="Silla", "Semestral", "Anual"))))))</f>
        <v>Semestral</v>
      </c>
      <c r="ARW948" s="2" t="str">
        <f t="shared" ref="ARW948" ca="1" si="650">IF(ARU948&lt;TODAY(),"VENCIDO",IF(ARU948=TODAY(),"VENCE HOY",IF(ARU948&gt;TODAY(),"VIGENTE")))</f>
        <v>VIGENTE</v>
      </c>
      <c r="ARX948" s="6" t="s">
        <v>25</v>
      </c>
      <c r="ARY948" s="23" t="s">
        <v>138</v>
      </c>
      <c r="ARZ948" s="2" t="s">
        <v>433</v>
      </c>
      <c r="ASA948" s="3" t="s">
        <v>22</v>
      </c>
      <c r="ASB948" s="3" t="s">
        <v>23</v>
      </c>
      <c r="ASC948" s="2" t="s">
        <v>24</v>
      </c>
      <c r="ASD948" s="4">
        <v>0</v>
      </c>
      <c r="ASE948" s="8">
        <f t="shared" ref="ASE948" si="651">IF(ASA948="Ionizador", 10, IF(ASA948="Mesa", 1000000000, IF(ASA948="Rack", 1000000000, IF(ASA948="Piso", 1000000000, IF(ASA948="Tapete", 1000000000, IF(ASA948="Carrito", 1000000000, IF(ASA948="Cautín", 10, 1)))))))</f>
        <v>1000000000</v>
      </c>
      <c r="ASF948" s="4" t="str">
        <f t="shared" ref="ASF948" si="652">IF(ASA948="Ionizador", "Segundos", "Ohms")</f>
        <v>Ohms</v>
      </c>
      <c r="ASG948" s="6">
        <v>148000000</v>
      </c>
      <c r="ASH948" s="6" t="str">
        <f t="shared" ref="ASH948" si="653">ASF948</f>
        <v>Ohms</v>
      </c>
      <c r="ASI948" s="2" t="str">
        <f t="shared" ref="ASI948" si="654">IF(ASA948="Ionizador", "Plato de carga", IF(ASA948="Cautín", "PTG", "RTG"))</f>
        <v>RTG</v>
      </c>
      <c r="ASJ948" s="7">
        <v>45992</v>
      </c>
      <c r="ASK948" s="7">
        <f t="shared" ref="ASK948" si="655">IF(ASL948="Trimestral", ASJ948+90, IF(ASL948="Semestral", ASJ948+180, ASJ948+365))</f>
        <v>46172</v>
      </c>
      <c r="ASL948" s="7" t="str">
        <f t="shared" ref="ASL948" si="656">IF(ASA948="Ionizador", "Trimestral", IF(ASA948="Rack", "Semestral", IF(ASA948="Mesa", "Semestral", IF(ASA948="Tapete", "Semestral", IF(ASA948="Cautín", "Semestral", IF(ASA948="Silla", "Semestral", "Anual"))))))</f>
        <v>Semestral</v>
      </c>
      <c r="ASM948" s="2" t="str">
        <f t="shared" ref="ASM948" ca="1" si="657">IF(ASK948&lt;TODAY(),"VENCIDO",IF(ASK948=TODAY(),"VENCE HOY",IF(ASK948&gt;TODAY(),"VIGENTE")))</f>
        <v>VIGENTE</v>
      </c>
      <c r="ASN948" s="6" t="s">
        <v>25</v>
      </c>
      <c r="ASO948" s="23" t="s">
        <v>138</v>
      </c>
      <c r="ASP948" s="2" t="s">
        <v>433</v>
      </c>
      <c r="ASQ948" s="3" t="s">
        <v>22</v>
      </c>
      <c r="ASR948" s="3" t="s">
        <v>23</v>
      </c>
      <c r="ASS948" s="2" t="s">
        <v>24</v>
      </c>
      <c r="AST948" s="4">
        <v>0</v>
      </c>
      <c r="ASU948" s="8">
        <f t="shared" ref="ASU948" si="658">IF(ASQ948="Ionizador", 10, IF(ASQ948="Mesa", 1000000000, IF(ASQ948="Rack", 1000000000, IF(ASQ948="Piso", 1000000000, IF(ASQ948="Tapete", 1000000000, IF(ASQ948="Carrito", 1000000000, IF(ASQ948="Cautín", 10, 1)))))))</f>
        <v>1000000000</v>
      </c>
      <c r="ASV948" s="4" t="str">
        <f t="shared" ref="ASV948" si="659">IF(ASQ948="Ionizador", "Segundos", "Ohms")</f>
        <v>Ohms</v>
      </c>
      <c r="ASW948" s="6">
        <v>148000000</v>
      </c>
      <c r="ASX948" s="6" t="str">
        <f t="shared" ref="ASX948" si="660">ASV948</f>
        <v>Ohms</v>
      </c>
      <c r="ASY948" s="2" t="str">
        <f t="shared" ref="ASY948" si="661">IF(ASQ948="Ionizador", "Plato de carga", IF(ASQ948="Cautín", "PTG", "RTG"))</f>
        <v>RTG</v>
      </c>
      <c r="ASZ948" s="7">
        <v>45992</v>
      </c>
      <c r="ATA948" s="7">
        <f t="shared" ref="ATA948" si="662">IF(ATB948="Trimestral", ASZ948+90, IF(ATB948="Semestral", ASZ948+180, ASZ948+365))</f>
        <v>46172</v>
      </c>
      <c r="ATB948" s="7" t="str">
        <f t="shared" ref="ATB948" si="663">IF(ASQ948="Ionizador", "Trimestral", IF(ASQ948="Rack", "Semestral", IF(ASQ948="Mesa", "Semestral", IF(ASQ948="Tapete", "Semestral", IF(ASQ948="Cautín", "Semestral", IF(ASQ948="Silla", "Semestral", "Anual"))))))</f>
        <v>Semestral</v>
      </c>
      <c r="ATC948" s="2" t="str">
        <f t="shared" ref="ATC948" ca="1" si="664">IF(ATA948&lt;TODAY(),"VENCIDO",IF(ATA948=TODAY(),"VENCE HOY",IF(ATA948&gt;TODAY(),"VIGENTE")))</f>
        <v>VIGENTE</v>
      </c>
      <c r="ATD948" s="6" t="s">
        <v>25</v>
      </c>
      <c r="ATE948" s="23" t="s">
        <v>138</v>
      </c>
      <c r="ATF948" s="2" t="s">
        <v>433</v>
      </c>
      <c r="ATG948" s="3" t="s">
        <v>22</v>
      </c>
      <c r="ATH948" s="3" t="s">
        <v>23</v>
      </c>
      <c r="ATI948" s="2" t="s">
        <v>24</v>
      </c>
      <c r="ATJ948" s="4">
        <v>0</v>
      </c>
      <c r="ATK948" s="8">
        <f t="shared" ref="ATK948" si="665">IF(ATG948="Ionizador", 10, IF(ATG948="Mesa", 1000000000, IF(ATG948="Rack", 1000000000, IF(ATG948="Piso", 1000000000, IF(ATG948="Tapete", 1000000000, IF(ATG948="Carrito", 1000000000, IF(ATG948="Cautín", 10, 1)))))))</f>
        <v>1000000000</v>
      </c>
      <c r="ATL948" s="4" t="str">
        <f t="shared" ref="ATL948" si="666">IF(ATG948="Ionizador", "Segundos", "Ohms")</f>
        <v>Ohms</v>
      </c>
      <c r="ATM948" s="6">
        <v>148000000</v>
      </c>
      <c r="ATN948" s="6" t="str">
        <f t="shared" ref="ATN948" si="667">ATL948</f>
        <v>Ohms</v>
      </c>
      <c r="ATO948" s="2" t="str">
        <f t="shared" ref="ATO948" si="668">IF(ATG948="Ionizador", "Plato de carga", IF(ATG948="Cautín", "PTG", "RTG"))</f>
        <v>RTG</v>
      </c>
      <c r="ATP948" s="7">
        <v>45992</v>
      </c>
      <c r="ATQ948" s="7">
        <f t="shared" ref="ATQ948" si="669">IF(ATR948="Trimestral", ATP948+90, IF(ATR948="Semestral", ATP948+180, ATP948+365))</f>
        <v>46172</v>
      </c>
      <c r="ATR948" s="7" t="str">
        <f t="shared" ref="ATR948" si="670">IF(ATG948="Ionizador", "Trimestral", IF(ATG948="Rack", "Semestral", IF(ATG948="Mesa", "Semestral", IF(ATG948="Tapete", "Semestral", IF(ATG948="Cautín", "Semestral", IF(ATG948="Silla", "Semestral", "Anual"))))))</f>
        <v>Semestral</v>
      </c>
      <c r="ATS948" s="2" t="str">
        <f t="shared" ref="ATS948" ca="1" si="671">IF(ATQ948&lt;TODAY(),"VENCIDO",IF(ATQ948=TODAY(),"VENCE HOY",IF(ATQ948&gt;TODAY(),"VIGENTE")))</f>
        <v>VIGENTE</v>
      </c>
      <c r="ATT948" s="6" t="s">
        <v>25</v>
      </c>
      <c r="ATU948" s="23" t="s">
        <v>138</v>
      </c>
      <c r="ATV948" s="2" t="s">
        <v>433</v>
      </c>
      <c r="ATW948" s="3" t="s">
        <v>22</v>
      </c>
      <c r="ATX948" s="3" t="s">
        <v>23</v>
      </c>
      <c r="ATY948" s="2" t="s">
        <v>24</v>
      </c>
      <c r="ATZ948" s="4">
        <v>0</v>
      </c>
      <c r="AUA948" s="8">
        <f t="shared" ref="AUA948" si="672">IF(ATW948="Ionizador", 10, IF(ATW948="Mesa", 1000000000, IF(ATW948="Rack", 1000000000, IF(ATW948="Piso", 1000000000, IF(ATW948="Tapete", 1000000000, IF(ATW948="Carrito", 1000000000, IF(ATW948="Cautín", 10, 1)))))))</f>
        <v>1000000000</v>
      </c>
      <c r="AUB948" s="4" t="str">
        <f t="shared" ref="AUB948" si="673">IF(ATW948="Ionizador", "Segundos", "Ohms")</f>
        <v>Ohms</v>
      </c>
      <c r="AUC948" s="6">
        <v>148000000</v>
      </c>
      <c r="AUD948" s="6" t="str">
        <f t="shared" ref="AUD948" si="674">AUB948</f>
        <v>Ohms</v>
      </c>
      <c r="AUE948" s="2" t="str">
        <f t="shared" ref="AUE948" si="675">IF(ATW948="Ionizador", "Plato de carga", IF(ATW948="Cautín", "PTG", "RTG"))</f>
        <v>RTG</v>
      </c>
      <c r="AUF948" s="7">
        <v>45992</v>
      </c>
      <c r="AUG948" s="7">
        <f t="shared" ref="AUG948" si="676">IF(AUH948="Trimestral", AUF948+90, IF(AUH948="Semestral", AUF948+180, AUF948+365))</f>
        <v>46172</v>
      </c>
      <c r="AUH948" s="7" t="str">
        <f t="shared" ref="AUH948" si="677">IF(ATW948="Ionizador", "Trimestral", IF(ATW948="Rack", "Semestral", IF(ATW948="Mesa", "Semestral", IF(ATW948="Tapete", "Semestral", IF(ATW948="Cautín", "Semestral", IF(ATW948="Silla", "Semestral", "Anual"))))))</f>
        <v>Semestral</v>
      </c>
      <c r="AUI948" s="2" t="str">
        <f t="shared" ref="AUI948" ca="1" si="678">IF(AUG948&lt;TODAY(),"VENCIDO",IF(AUG948=TODAY(),"VENCE HOY",IF(AUG948&gt;TODAY(),"VIGENTE")))</f>
        <v>VIGENTE</v>
      </c>
      <c r="AUJ948" s="6" t="s">
        <v>25</v>
      </c>
      <c r="AUK948" s="23" t="s">
        <v>138</v>
      </c>
      <c r="AUL948" s="2" t="s">
        <v>433</v>
      </c>
      <c r="AUM948" s="3" t="s">
        <v>22</v>
      </c>
      <c r="AUN948" s="3" t="s">
        <v>23</v>
      </c>
      <c r="AUO948" s="2" t="s">
        <v>24</v>
      </c>
      <c r="AUP948" s="4">
        <v>0</v>
      </c>
      <c r="AUQ948" s="8">
        <f t="shared" ref="AUQ948" si="679">IF(AUM948="Ionizador", 10, IF(AUM948="Mesa", 1000000000, IF(AUM948="Rack", 1000000000, IF(AUM948="Piso", 1000000000, IF(AUM948="Tapete", 1000000000, IF(AUM948="Carrito", 1000000000, IF(AUM948="Cautín", 10, 1)))))))</f>
        <v>1000000000</v>
      </c>
      <c r="AUR948" s="4" t="str">
        <f t="shared" ref="AUR948" si="680">IF(AUM948="Ionizador", "Segundos", "Ohms")</f>
        <v>Ohms</v>
      </c>
      <c r="AUS948" s="6">
        <v>148000000</v>
      </c>
      <c r="AUT948" s="6" t="str">
        <f t="shared" ref="AUT948" si="681">AUR948</f>
        <v>Ohms</v>
      </c>
      <c r="AUU948" s="2" t="str">
        <f t="shared" ref="AUU948" si="682">IF(AUM948="Ionizador", "Plato de carga", IF(AUM948="Cautín", "PTG", "RTG"))</f>
        <v>RTG</v>
      </c>
      <c r="AUV948" s="7">
        <v>45992</v>
      </c>
      <c r="AUW948" s="7">
        <f t="shared" ref="AUW948" si="683">IF(AUX948="Trimestral", AUV948+90, IF(AUX948="Semestral", AUV948+180, AUV948+365))</f>
        <v>46172</v>
      </c>
      <c r="AUX948" s="7" t="str">
        <f t="shared" ref="AUX948" si="684">IF(AUM948="Ionizador", "Trimestral", IF(AUM948="Rack", "Semestral", IF(AUM948="Mesa", "Semestral", IF(AUM948="Tapete", "Semestral", IF(AUM948="Cautín", "Semestral", IF(AUM948="Silla", "Semestral", "Anual"))))))</f>
        <v>Semestral</v>
      </c>
      <c r="AUY948" s="2" t="str">
        <f t="shared" ref="AUY948" ca="1" si="685">IF(AUW948&lt;TODAY(),"VENCIDO",IF(AUW948=TODAY(),"VENCE HOY",IF(AUW948&gt;TODAY(),"VIGENTE")))</f>
        <v>VIGENTE</v>
      </c>
      <c r="AUZ948" s="6" t="s">
        <v>25</v>
      </c>
      <c r="AVA948" s="23" t="s">
        <v>138</v>
      </c>
      <c r="AVB948" s="2" t="s">
        <v>433</v>
      </c>
      <c r="AVC948" s="3" t="s">
        <v>22</v>
      </c>
      <c r="AVD948" s="3" t="s">
        <v>23</v>
      </c>
      <c r="AVE948" s="2" t="s">
        <v>24</v>
      </c>
      <c r="AVF948" s="4">
        <v>0</v>
      </c>
      <c r="AVG948" s="8">
        <f t="shared" ref="AVG948" si="686">IF(AVC948="Ionizador", 10, IF(AVC948="Mesa", 1000000000, IF(AVC948="Rack", 1000000000, IF(AVC948="Piso", 1000000000, IF(AVC948="Tapete", 1000000000, IF(AVC948="Carrito", 1000000000, IF(AVC948="Cautín", 10, 1)))))))</f>
        <v>1000000000</v>
      </c>
      <c r="AVH948" s="4" t="str">
        <f t="shared" ref="AVH948" si="687">IF(AVC948="Ionizador", "Segundos", "Ohms")</f>
        <v>Ohms</v>
      </c>
      <c r="AVI948" s="6">
        <v>148000000</v>
      </c>
      <c r="AVJ948" s="6" t="str">
        <f t="shared" ref="AVJ948" si="688">AVH948</f>
        <v>Ohms</v>
      </c>
      <c r="AVK948" s="2" t="str">
        <f t="shared" ref="AVK948" si="689">IF(AVC948="Ionizador", "Plato de carga", IF(AVC948="Cautín", "PTG", "RTG"))</f>
        <v>RTG</v>
      </c>
      <c r="AVL948" s="7">
        <v>45992</v>
      </c>
      <c r="AVM948" s="7">
        <f t="shared" ref="AVM948" si="690">IF(AVN948="Trimestral", AVL948+90, IF(AVN948="Semestral", AVL948+180, AVL948+365))</f>
        <v>46172</v>
      </c>
      <c r="AVN948" s="7" t="str">
        <f t="shared" ref="AVN948" si="691">IF(AVC948="Ionizador", "Trimestral", IF(AVC948="Rack", "Semestral", IF(AVC948="Mesa", "Semestral", IF(AVC948="Tapete", "Semestral", IF(AVC948="Cautín", "Semestral", IF(AVC948="Silla", "Semestral", "Anual"))))))</f>
        <v>Semestral</v>
      </c>
      <c r="AVO948" s="2" t="str">
        <f t="shared" ref="AVO948" ca="1" si="692">IF(AVM948&lt;TODAY(),"VENCIDO",IF(AVM948=TODAY(),"VENCE HOY",IF(AVM948&gt;TODAY(),"VIGENTE")))</f>
        <v>VIGENTE</v>
      </c>
      <c r="AVP948" s="6" t="s">
        <v>25</v>
      </c>
      <c r="AVQ948" s="23" t="s">
        <v>138</v>
      </c>
      <c r="AVR948" s="2" t="s">
        <v>433</v>
      </c>
      <c r="AVS948" s="3" t="s">
        <v>22</v>
      </c>
      <c r="AVT948" s="3" t="s">
        <v>23</v>
      </c>
      <c r="AVU948" s="2" t="s">
        <v>24</v>
      </c>
      <c r="AVV948" s="4">
        <v>0</v>
      </c>
      <c r="AVW948" s="8">
        <f t="shared" ref="AVW948" si="693">IF(AVS948="Ionizador", 10, IF(AVS948="Mesa", 1000000000, IF(AVS948="Rack", 1000000000, IF(AVS948="Piso", 1000000000, IF(AVS948="Tapete", 1000000000, IF(AVS948="Carrito", 1000000000, IF(AVS948="Cautín", 10, 1)))))))</f>
        <v>1000000000</v>
      </c>
      <c r="AVX948" s="4" t="str">
        <f t="shared" ref="AVX948" si="694">IF(AVS948="Ionizador", "Segundos", "Ohms")</f>
        <v>Ohms</v>
      </c>
      <c r="AVY948" s="6">
        <v>148000000</v>
      </c>
      <c r="AVZ948" s="6" t="str">
        <f t="shared" ref="AVZ948" si="695">AVX948</f>
        <v>Ohms</v>
      </c>
      <c r="AWA948" s="2" t="str">
        <f t="shared" ref="AWA948" si="696">IF(AVS948="Ionizador", "Plato de carga", IF(AVS948="Cautín", "PTG", "RTG"))</f>
        <v>RTG</v>
      </c>
      <c r="AWB948" s="7">
        <v>45992</v>
      </c>
      <c r="AWC948" s="7">
        <f t="shared" ref="AWC948" si="697">IF(AWD948="Trimestral", AWB948+90, IF(AWD948="Semestral", AWB948+180, AWB948+365))</f>
        <v>46172</v>
      </c>
      <c r="AWD948" s="7" t="str">
        <f t="shared" ref="AWD948" si="698">IF(AVS948="Ionizador", "Trimestral", IF(AVS948="Rack", "Semestral", IF(AVS948="Mesa", "Semestral", IF(AVS948="Tapete", "Semestral", IF(AVS948="Cautín", "Semestral", IF(AVS948="Silla", "Semestral", "Anual"))))))</f>
        <v>Semestral</v>
      </c>
      <c r="AWE948" s="2" t="str">
        <f t="shared" ref="AWE948" ca="1" si="699">IF(AWC948&lt;TODAY(),"VENCIDO",IF(AWC948=TODAY(),"VENCE HOY",IF(AWC948&gt;TODAY(),"VIGENTE")))</f>
        <v>VIGENTE</v>
      </c>
      <c r="AWF948" s="6" t="s">
        <v>25</v>
      </c>
      <c r="AWG948" s="23" t="s">
        <v>138</v>
      </c>
      <c r="AWH948" s="2" t="s">
        <v>433</v>
      </c>
      <c r="AWI948" s="3" t="s">
        <v>22</v>
      </c>
      <c r="AWJ948" s="3" t="s">
        <v>23</v>
      </c>
      <c r="AWK948" s="2" t="s">
        <v>24</v>
      </c>
      <c r="AWL948" s="4">
        <v>0</v>
      </c>
      <c r="AWM948" s="8">
        <f t="shared" ref="AWM948" si="700">IF(AWI948="Ionizador", 10, IF(AWI948="Mesa", 1000000000, IF(AWI948="Rack", 1000000000, IF(AWI948="Piso", 1000000000, IF(AWI948="Tapete", 1000000000, IF(AWI948="Carrito", 1000000000, IF(AWI948="Cautín", 10, 1)))))))</f>
        <v>1000000000</v>
      </c>
      <c r="AWN948" s="4" t="str">
        <f t="shared" ref="AWN948" si="701">IF(AWI948="Ionizador", "Segundos", "Ohms")</f>
        <v>Ohms</v>
      </c>
      <c r="AWO948" s="6">
        <v>148000000</v>
      </c>
      <c r="AWP948" s="6" t="str">
        <f t="shared" ref="AWP948" si="702">AWN948</f>
        <v>Ohms</v>
      </c>
      <c r="AWQ948" s="2" t="str">
        <f t="shared" ref="AWQ948" si="703">IF(AWI948="Ionizador", "Plato de carga", IF(AWI948="Cautín", "PTG", "RTG"))</f>
        <v>RTG</v>
      </c>
      <c r="AWR948" s="7">
        <v>45992</v>
      </c>
      <c r="AWS948" s="7">
        <f t="shared" ref="AWS948" si="704">IF(AWT948="Trimestral", AWR948+90, IF(AWT948="Semestral", AWR948+180, AWR948+365))</f>
        <v>46172</v>
      </c>
      <c r="AWT948" s="7" t="str">
        <f t="shared" ref="AWT948" si="705">IF(AWI948="Ionizador", "Trimestral", IF(AWI948="Rack", "Semestral", IF(AWI948="Mesa", "Semestral", IF(AWI948="Tapete", "Semestral", IF(AWI948="Cautín", "Semestral", IF(AWI948="Silla", "Semestral", "Anual"))))))</f>
        <v>Semestral</v>
      </c>
      <c r="AWU948" s="2" t="str">
        <f t="shared" ref="AWU948" ca="1" si="706">IF(AWS948&lt;TODAY(),"VENCIDO",IF(AWS948=TODAY(),"VENCE HOY",IF(AWS948&gt;TODAY(),"VIGENTE")))</f>
        <v>VIGENTE</v>
      </c>
      <c r="AWV948" s="6" t="s">
        <v>25</v>
      </c>
      <c r="AWW948" s="23" t="s">
        <v>138</v>
      </c>
      <c r="AWX948" s="2" t="s">
        <v>433</v>
      </c>
      <c r="AWY948" s="3" t="s">
        <v>22</v>
      </c>
      <c r="AWZ948" s="3" t="s">
        <v>23</v>
      </c>
      <c r="AXA948" s="2" t="s">
        <v>24</v>
      </c>
      <c r="AXB948" s="4">
        <v>0</v>
      </c>
      <c r="AXC948" s="8">
        <f t="shared" ref="AXC948" si="707">IF(AWY948="Ionizador", 10, IF(AWY948="Mesa", 1000000000, IF(AWY948="Rack", 1000000000, IF(AWY948="Piso", 1000000000, IF(AWY948="Tapete", 1000000000, IF(AWY948="Carrito", 1000000000, IF(AWY948="Cautín", 10, 1)))))))</f>
        <v>1000000000</v>
      </c>
      <c r="AXD948" s="4" t="str">
        <f t="shared" ref="AXD948" si="708">IF(AWY948="Ionizador", "Segundos", "Ohms")</f>
        <v>Ohms</v>
      </c>
      <c r="AXE948" s="6">
        <v>148000000</v>
      </c>
      <c r="AXF948" s="6" t="str">
        <f t="shared" ref="AXF948" si="709">AXD948</f>
        <v>Ohms</v>
      </c>
      <c r="AXG948" s="2" t="str">
        <f t="shared" ref="AXG948" si="710">IF(AWY948="Ionizador", "Plato de carga", IF(AWY948="Cautín", "PTG", "RTG"))</f>
        <v>RTG</v>
      </c>
      <c r="AXH948" s="7">
        <v>45992</v>
      </c>
      <c r="AXI948" s="7">
        <f t="shared" ref="AXI948" si="711">IF(AXJ948="Trimestral", AXH948+90, IF(AXJ948="Semestral", AXH948+180, AXH948+365))</f>
        <v>46172</v>
      </c>
      <c r="AXJ948" s="7" t="str">
        <f t="shared" ref="AXJ948" si="712">IF(AWY948="Ionizador", "Trimestral", IF(AWY948="Rack", "Semestral", IF(AWY948="Mesa", "Semestral", IF(AWY948="Tapete", "Semestral", IF(AWY948="Cautín", "Semestral", IF(AWY948="Silla", "Semestral", "Anual"))))))</f>
        <v>Semestral</v>
      </c>
      <c r="AXK948" s="2" t="str">
        <f t="shared" ref="AXK948" ca="1" si="713">IF(AXI948&lt;TODAY(),"VENCIDO",IF(AXI948=TODAY(),"VENCE HOY",IF(AXI948&gt;TODAY(),"VIGENTE")))</f>
        <v>VIGENTE</v>
      </c>
      <c r="AXL948" s="6" t="s">
        <v>25</v>
      </c>
      <c r="AXM948" s="23" t="s">
        <v>138</v>
      </c>
      <c r="AXN948" s="2" t="s">
        <v>433</v>
      </c>
      <c r="AXO948" s="3" t="s">
        <v>22</v>
      </c>
      <c r="AXP948" s="3" t="s">
        <v>23</v>
      </c>
      <c r="AXQ948" s="2" t="s">
        <v>24</v>
      </c>
      <c r="AXR948" s="4">
        <v>0</v>
      </c>
      <c r="AXS948" s="8">
        <f t="shared" ref="AXS948" si="714">IF(AXO948="Ionizador", 10, IF(AXO948="Mesa", 1000000000, IF(AXO948="Rack", 1000000000, IF(AXO948="Piso", 1000000000, IF(AXO948="Tapete", 1000000000, IF(AXO948="Carrito", 1000000000, IF(AXO948="Cautín", 10, 1)))))))</f>
        <v>1000000000</v>
      </c>
      <c r="AXT948" s="4" t="str">
        <f t="shared" ref="AXT948" si="715">IF(AXO948="Ionizador", "Segundos", "Ohms")</f>
        <v>Ohms</v>
      </c>
      <c r="AXU948" s="6">
        <v>148000000</v>
      </c>
      <c r="AXV948" s="6" t="str">
        <f t="shared" ref="AXV948" si="716">AXT948</f>
        <v>Ohms</v>
      </c>
      <c r="AXW948" s="2" t="str">
        <f t="shared" ref="AXW948" si="717">IF(AXO948="Ionizador", "Plato de carga", IF(AXO948="Cautín", "PTG", "RTG"))</f>
        <v>RTG</v>
      </c>
      <c r="AXX948" s="7">
        <v>45992</v>
      </c>
      <c r="AXY948" s="7">
        <f t="shared" ref="AXY948" si="718">IF(AXZ948="Trimestral", AXX948+90, IF(AXZ948="Semestral", AXX948+180, AXX948+365))</f>
        <v>46172</v>
      </c>
      <c r="AXZ948" s="7" t="str">
        <f t="shared" ref="AXZ948" si="719">IF(AXO948="Ionizador", "Trimestral", IF(AXO948="Rack", "Semestral", IF(AXO948="Mesa", "Semestral", IF(AXO948="Tapete", "Semestral", IF(AXO948="Cautín", "Semestral", IF(AXO948="Silla", "Semestral", "Anual"))))))</f>
        <v>Semestral</v>
      </c>
      <c r="AYA948" s="2" t="str">
        <f t="shared" ref="AYA948" ca="1" si="720">IF(AXY948&lt;TODAY(),"VENCIDO",IF(AXY948=TODAY(),"VENCE HOY",IF(AXY948&gt;TODAY(),"VIGENTE")))</f>
        <v>VIGENTE</v>
      </c>
      <c r="AYB948" s="6" t="s">
        <v>25</v>
      </c>
      <c r="AYC948" s="23" t="s">
        <v>138</v>
      </c>
      <c r="AYD948" s="2" t="s">
        <v>433</v>
      </c>
      <c r="AYE948" s="3" t="s">
        <v>22</v>
      </c>
      <c r="AYF948" s="3" t="s">
        <v>23</v>
      </c>
      <c r="AYG948" s="2" t="s">
        <v>24</v>
      </c>
      <c r="AYH948" s="4">
        <v>0</v>
      </c>
      <c r="AYI948" s="8">
        <f t="shared" ref="AYI948" si="721">IF(AYE948="Ionizador", 10, IF(AYE948="Mesa", 1000000000, IF(AYE948="Rack", 1000000000, IF(AYE948="Piso", 1000000000, IF(AYE948="Tapete", 1000000000, IF(AYE948="Carrito", 1000000000, IF(AYE948="Cautín", 10, 1)))))))</f>
        <v>1000000000</v>
      </c>
      <c r="AYJ948" s="4" t="str">
        <f t="shared" ref="AYJ948" si="722">IF(AYE948="Ionizador", "Segundos", "Ohms")</f>
        <v>Ohms</v>
      </c>
      <c r="AYK948" s="6">
        <v>148000000</v>
      </c>
      <c r="AYL948" s="6" t="str">
        <f t="shared" ref="AYL948" si="723">AYJ948</f>
        <v>Ohms</v>
      </c>
      <c r="AYM948" s="2" t="str">
        <f t="shared" ref="AYM948" si="724">IF(AYE948="Ionizador", "Plato de carga", IF(AYE948="Cautín", "PTG", "RTG"))</f>
        <v>RTG</v>
      </c>
      <c r="AYN948" s="7">
        <v>45992</v>
      </c>
      <c r="AYO948" s="7">
        <f t="shared" ref="AYO948" si="725">IF(AYP948="Trimestral", AYN948+90, IF(AYP948="Semestral", AYN948+180, AYN948+365))</f>
        <v>46172</v>
      </c>
      <c r="AYP948" s="7" t="str">
        <f t="shared" ref="AYP948" si="726">IF(AYE948="Ionizador", "Trimestral", IF(AYE948="Rack", "Semestral", IF(AYE948="Mesa", "Semestral", IF(AYE948="Tapete", "Semestral", IF(AYE948="Cautín", "Semestral", IF(AYE948="Silla", "Semestral", "Anual"))))))</f>
        <v>Semestral</v>
      </c>
      <c r="AYQ948" s="2" t="str">
        <f t="shared" ref="AYQ948" ca="1" si="727">IF(AYO948&lt;TODAY(),"VENCIDO",IF(AYO948=TODAY(),"VENCE HOY",IF(AYO948&gt;TODAY(),"VIGENTE")))</f>
        <v>VIGENTE</v>
      </c>
      <c r="AYR948" s="6" t="s">
        <v>25</v>
      </c>
      <c r="AYS948" s="23" t="s">
        <v>138</v>
      </c>
      <c r="AYT948" s="2" t="s">
        <v>433</v>
      </c>
      <c r="AYU948" s="3" t="s">
        <v>22</v>
      </c>
      <c r="AYV948" s="3" t="s">
        <v>23</v>
      </c>
      <c r="AYW948" s="2" t="s">
        <v>24</v>
      </c>
      <c r="AYX948" s="4">
        <v>0</v>
      </c>
      <c r="AYY948" s="8">
        <f t="shared" ref="AYY948" si="728">IF(AYU948="Ionizador", 10, IF(AYU948="Mesa", 1000000000, IF(AYU948="Rack", 1000000000, IF(AYU948="Piso", 1000000000, IF(AYU948="Tapete", 1000000000, IF(AYU948="Carrito", 1000000000, IF(AYU948="Cautín", 10, 1)))))))</f>
        <v>1000000000</v>
      </c>
      <c r="AYZ948" s="4" t="str">
        <f t="shared" ref="AYZ948" si="729">IF(AYU948="Ionizador", "Segundos", "Ohms")</f>
        <v>Ohms</v>
      </c>
      <c r="AZA948" s="6">
        <v>148000000</v>
      </c>
      <c r="AZB948" s="6" t="str">
        <f t="shared" ref="AZB948" si="730">AYZ948</f>
        <v>Ohms</v>
      </c>
      <c r="AZC948" s="2" t="str">
        <f t="shared" ref="AZC948" si="731">IF(AYU948="Ionizador", "Plato de carga", IF(AYU948="Cautín", "PTG", "RTG"))</f>
        <v>RTG</v>
      </c>
      <c r="AZD948" s="7">
        <v>45992</v>
      </c>
      <c r="AZE948" s="7">
        <f t="shared" ref="AZE948" si="732">IF(AZF948="Trimestral", AZD948+90, IF(AZF948="Semestral", AZD948+180, AZD948+365))</f>
        <v>46172</v>
      </c>
      <c r="AZF948" s="7" t="str">
        <f t="shared" ref="AZF948" si="733">IF(AYU948="Ionizador", "Trimestral", IF(AYU948="Rack", "Semestral", IF(AYU948="Mesa", "Semestral", IF(AYU948="Tapete", "Semestral", IF(AYU948="Cautín", "Semestral", IF(AYU948="Silla", "Semestral", "Anual"))))))</f>
        <v>Semestral</v>
      </c>
      <c r="AZG948" s="2" t="str">
        <f t="shared" ref="AZG948" ca="1" si="734">IF(AZE948&lt;TODAY(),"VENCIDO",IF(AZE948=TODAY(),"VENCE HOY",IF(AZE948&gt;TODAY(),"VIGENTE")))</f>
        <v>VIGENTE</v>
      </c>
      <c r="AZH948" s="6" t="s">
        <v>25</v>
      </c>
      <c r="AZI948" s="23" t="s">
        <v>138</v>
      </c>
      <c r="AZJ948" s="2" t="s">
        <v>433</v>
      </c>
      <c r="AZK948" s="3" t="s">
        <v>22</v>
      </c>
      <c r="AZL948" s="3" t="s">
        <v>23</v>
      </c>
      <c r="AZM948" s="2" t="s">
        <v>24</v>
      </c>
      <c r="AZN948" s="4">
        <v>0</v>
      </c>
      <c r="AZO948" s="8">
        <f t="shared" ref="AZO948" si="735">IF(AZK948="Ionizador", 10, IF(AZK948="Mesa", 1000000000, IF(AZK948="Rack", 1000000000, IF(AZK948="Piso", 1000000000, IF(AZK948="Tapete", 1000000000, IF(AZK948="Carrito", 1000000000, IF(AZK948="Cautín", 10, 1)))))))</f>
        <v>1000000000</v>
      </c>
      <c r="AZP948" s="4" t="str">
        <f t="shared" ref="AZP948" si="736">IF(AZK948="Ionizador", "Segundos", "Ohms")</f>
        <v>Ohms</v>
      </c>
      <c r="AZQ948" s="6">
        <v>148000000</v>
      </c>
      <c r="AZR948" s="6" t="str">
        <f t="shared" ref="AZR948" si="737">AZP948</f>
        <v>Ohms</v>
      </c>
      <c r="AZS948" s="2" t="str">
        <f t="shared" ref="AZS948" si="738">IF(AZK948="Ionizador", "Plato de carga", IF(AZK948="Cautín", "PTG", "RTG"))</f>
        <v>RTG</v>
      </c>
      <c r="AZT948" s="7">
        <v>45992</v>
      </c>
      <c r="AZU948" s="7">
        <f t="shared" ref="AZU948" si="739">IF(AZV948="Trimestral", AZT948+90, IF(AZV948="Semestral", AZT948+180, AZT948+365))</f>
        <v>46172</v>
      </c>
      <c r="AZV948" s="7" t="str">
        <f t="shared" ref="AZV948" si="740">IF(AZK948="Ionizador", "Trimestral", IF(AZK948="Rack", "Semestral", IF(AZK948="Mesa", "Semestral", IF(AZK948="Tapete", "Semestral", IF(AZK948="Cautín", "Semestral", IF(AZK948="Silla", "Semestral", "Anual"))))))</f>
        <v>Semestral</v>
      </c>
      <c r="AZW948" s="2" t="str">
        <f t="shared" ref="AZW948" ca="1" si="741">IF(AZU948&lt;TODAY(),"VENCIDO",IF(AZU948=TODAY(),"VENCE HOY",IF(AZU948&gt;TODAY(),"VIGENTE")))</f>
        <v>VIGENTE</v>
      </c>
      <c r="AZX948" s="6" t="s">
        <v>25</v>
      </c>
      <c r="AZY948" s="23" t="s">
        <v>138</v>
      </c>
      <c r="AZZ948" s="2" t="s">
        <v>433</v>
      </c>
      <c r="BAA948" s="3" t="s">
        <v>22</v>
      </c>
      <c r="BAB948" s="3" t="s">
        <v>23</v>
      </c>
      <c r="BAC948" s="2" t="s">
        <v>24</v>
      </c>
      <c r="BAD948" s="4">
        <v>0</v>
      </c>
      <c r="BAE948" s="8">
        <f t="shared" ref="BAE948" si="742">IF(BAA948="Ionizador", 10, IF(BAA948="Mesa", 1000000000, IF(BAA948="Rack", 1000000000, IF(BAA948="Piso", 1000000000, IF(BAA948="Tapete", 1000000000, IF(BAA948="Carrito", 1000000000, IF(BAA948="Cautín", 10, 1)))))))</f>
        <v>1000000000</v>
      </c>
      <c r="BAF948" s="4" t="str">
        <f t="shared" ref="BAF948" si="743">IF(BAA948="Ionizador", "Segundos", "Ohms")</f>
        <v>Ohms</v>
      </c>
      <c r="BAG948" s="6">
        <v>148000000</v>
      </c>
      <c r="BAH948" s="6" t="str">
        <f t="shared" ref="BAH948" si="744">BAF948</f>
        <v>Ohms</v>
      </c>
      <c r="BAI948" s="2" t="str">
        <f t="shared" ref="BAI948" si="745">IF(BAA948="Ionizador", "Plato de carga", IF(BAA948="Cautín", "PTG", "RTG"))</f>
        <v>RTG</v>
      </c>
      <c r="BAJ948" s="7">
        <v>45992</v>
      </c>
      <c r="BAK948" s="7">
        <f t="shared" ref="BAK948" si="746">IF(BAL948="Trimestral", BAJ948+90, IF(BAL948="Semestral", BAJ948+180, BAJ948+365))</f>
        <v>46172</v>
      </c>
      <c r="BAL948" s="7" t="str">
        <f t="shared" ref="BAL948" si="747">IF(BAA948="Ionizador", "Trimestral", IF(BAA948="Rack", "Semestral", IF(BAA948="Mesa", "Semestral", IF(BAA948="Tapete", "Semestral", IF(BAA948="Cautín", "Semestral", IF(BAA948="Silla", "Semestral", "Anual"))))))</f>
        <v>Semestral</v>
      </c>
      <c r="BAM948" s="2" t="str">
        <f t="shared" ref="BAM948" ca="1" si="748">IF(BAK948&lt;TODAY(),"VENCIDO",IF(BAK948=TODAY(),"VENCE HOY",IF(BAK948&gt;TODAY(),"VIGENTE")))</f>
        <v>VIGENTE</v>
      </c>
      <c r="BAN948" s="6" t="s">
        <v>25</v>
      </c>
      <c r="BAO948" s="23" t="s">
        <v>138</v>
      </c>
      <c r="BAP948" s="2" t="s">
        <v>433</v>
      </c>
      <c r="BAQ948" s="3" t="s">
        <v>22</v>
      </c>
      <c r="BAR948" s="3" t="s">
        <v>23</v>
      </c>
      <c r="BAS948" s="2" t="s">
        <v>24</v>
      </c>
      <c r="BAT948" s="4">
        <v>0</v>
      </c>
      <c r="BAU948" s="8">
        <f t="shared" ref="BAU948" si="749">IF(BAQ948="Ionizador", 10, IF(BAQ948="Mesa", 1000000000, IF(BAQ948="Rack", 1000000000, IF(BAQ948="Piso", 1000000000, IF(BAQ948="Tapete", 1000000000, IF(BAQ948="Carrito", 1000000000, IF(BAQ948="Cautín", 10, 1)))))))</f>
        <v>1000000000</v>
      </c>
      <c r="BAV948" s="4" t="str">
        <f t="shared" ref="BAV948" si="750">IF(BAQ948="Ionizador", "Segundos", "Ohms")</f>
        <v>Ohms</v>
      </c>
      <c r="BAW948" s="6">
        <v>148000000</v>
      </c>
      <c r="BAX948" s="6" t="str">
        <f t="shared" ref="BAX948" si="751">BAV948</f>
        <v>Ohms</v>
      </c>
      <c r="BAY948" s="2" t="str">
        <f t="shared" ref="BAY948" si="752">IF(BAQ948="Ionizador", "Plato de carga", IF(BAQ948="Cautín", "PTG", "RTG"))</f>
        <v>RTG</v>
      </c>
      <c r="BAZ948" s="7">
        <v>45992</v>
      </c>
      <c r="BBA948" s="7">
        <f t="shared" ref="BBA948" si="753">IF(BBB948="Trimestral", BAZ948+90, IF(BBB948="Semestral", BAZ948+180, BAZ948+365))</f>
        <v>46172</v>
      </c>
      <c r="BBB948" s="7" t="str">
        <f t="shared" ref="BBB948" si="754">IF(BAQ948="Ionizador", "Trimestral", IF(BAQ948="Rack", "Semestral", IF(BAQ948="Mesa", "Semestral", IF(BAQ948="Tapete", "Semestral", IF(BAQ948="Cautín", "Semestral", IF(BAQ948="Silla", "Semestral", "Anual"))))))</f>
        <v>Semestral</v>
      </c>
      <c r="BBC948" s="2" t="str">
        <f t="shared" ref="BBC948" ca="1" si="755">IF(BBA948&lt;TODAY(),"VENCIDO",IF(BBA948=TODAY(),"VENCE HOY",IF(BBA948&gt;TODAY(),"VIGENTE")))</f>
        <v>VIGENTE</v>
      </c>
      <c r="BBD948" s="6" t="s">
        <v>25</v>
      </c>
      <c r="BBE948" s="23" t="s">
        <v>138</v>
      </c>
      <c r="BBF948" s="2" t="s">
        <v>433</v>
      </c>
      <c r="BBG948" s="3" t="s">
        <v>22</v>
      </c>
      <c r="BBH948" s="3" t="s">
        <v>23</v>
      </c>
      <c r="BBI948" s="2" t="s">
        <v>24</v>
      </c>
      <c r="BBJ948" s="4">
        <v>0</v>
      </c>
      <c r="BBK948" s="8">
        <f t="shared" ref="BBK948" si="756">IF(BBG948="Ionizador", 10, IF(BBG948="Mesa", 1000000000, IF(BBG948="Rack", 1000000000, IF(BBG948="Piso", 1000000000, IF(BBG948="Tapete", 1000000000, IF(BBG948="Carrito", 1000000000, IF(BBG948="Cautín", 10, 1)))))))</f>
        <v>1000000000</v>
      </c>
      <c r="BBL948" s="4" t="str">
        <f t="shared" ref="BBL948" si="757">IF(BBG948="Ionizador", "Segundos", "Ohms")</f>
        <v>Ohms</v>
      </c>
      <c r="BBM948" s="6">
        <v>148000000</v>
      </c>
      <c r="BBN948" s="6" t="str">
        <f t="shared" ref="BBN948" si="758">BBL948</f>
        <v>Ohms</v>
      </c>
      <c r="BBO948" s="2" t="str">
        <f t="shared" ref="BBO948" si="759">IF(BBG948="Ionizador", "Plato de carga", IF(BBG948="Cautín", "PTG", "RTG"))</f>
        <v>RTG</v>
      </c>
      <c r="BBP948" s="7">
        <v>45992</v>
      </c>
      <c r="BBQ948" s="7">
        <f t="shared" ref="BBQ948" si="760">IF(BBR948="Trimestral", BBP948+90, IF(BBR948="Semestral", BBP948+180, BBP948+365))</f>
        <v>46172</v>
      </c>
      <c r="BBR948" s="7" t="str">
        <f t="shared" ref="BBR948" si="761">IF(BBG948="Ionizador", "Trimestral", IF(BBG948="Rack", "Semestral", IF(BBG948="Mesa", "Semestral", IF(BBG948="Tapete", "Semestral", IF(BBG948="Cautín", "Semestral", IF(BBG948="Silla", "Semestral", "Anual"))))))</f>
        <v>Semestral</v>
      </c>
      <c r="BBS948" s="2" t="str">
        <f t="shared" ref="BBS948" ca="1" si="762">IF(BBQ948&lt;TODAY(),"VENCIDO",IF(BBQ948=TODAY(),"VENCE HOY",IF(BBQ948&gt;TODAY(),"VIGENTE")))</f>
        <v>VIGENTE</v>
      </c>
      <c r="BBT948" s="6" t="s">
        <v>25</v>
      </c>
      <c r="BBU948" s="23" t="s">
        <v>138</v>
      </c>
      <c r="BBV948" s="2" t="s">
        <v>433</v>
      </c>
      <c r="BBW948" s="3" t="s">
        <v>22</v>
      </c>
      <c r="BBX948" s="3" t="s">
        <v>23</v>
      </c>
      <c r="BBY948" s="2" t="s">
        <v>24</v>
      </c>
      <c r="BBZ948" s="4">
        <v>0</v>
      </c>
      <c r="BCA948" s="8">
        <f t="shared" ref="BCA948" si="763">IF(BBW948="Ionizador", 10, IF(BBW948="Mesa", 1000000000, IF(BBW948="Rack", 1000000000, IF(BBW948="Piso", 1000000000, IF(BBW948="Tapete", 1000000000, IF(BBW948="Carrito", 1000000000, IF(BBW948="Cautín", 10, 1)))))))</f>
        <v>1000000000</v>
      </c>
      <c r="BCB948" s="4" t="str">
        <f t="shared" ref="BCB948" si="764">IF(BBW948="Ionizador", "Segundos", "Ohms")</f>
        <v>Ohms</v>
      </c>
      <c r="BCC948" s="6">
        <v>148000000</v>
      </c>
      <c r="BCD948" s="6" t="str">
        <f t="shared" ref="BCD948" si="765">BCB948</f>
        <v>Ohms</v>
      </c>
      <c r="BCE948" s="2" t="str">
        <f t="shared" ref="BCE948" si="766">IF(BBW948="Ionizador", "Plato de carga", IF(BBW948="Cautín", "PTG", "RTG"))</f>
        <v>RTG</v>
      </c>
      <c r="BCF948" s="7">
        <v>45992</v>
      </c>
      <c r="BCG948" s="7">
        <f t="shared" ref="BCG948" si="767">IF(BCH948="Trimestral", BCF948+90, IF(BCH948="Semestral", BCF948+180, BCF948+365))</f>
        <v>46172</v>
      </c>
      <c r="BCH948" s="7" t="str">
        <f t="shared" ref="BCH948" si="768">IF(BBW948="Ionizador", "Trimestral", IF(BBW948="Rack", "Semestral", IF(BBW948="Mesa", "Semestral", IF(BBW948="Tapete", "Semestral", IF(BBW948="Cautín", "Semestral", IF(BBW948="Silla", "Semestral", "Anual"))))))</f>
        <v>Semestral</v>
      </c>
      <c r="BCI948" s="2" t="str">
        <f t="shared" ref="BCI948" ca="1" si="769">IF(BCG948&lt;TODAY(),"VENCIDO",IF(BCG948=TODAY(),"VENCE HOY",IF(BCG948&gt;TODAY(),"VIGENTE")))</f>
        <v>VIGENTE</v>
      </c>
      <c r="BCJ948" s="6" t="s">
        <v>25</v>
      </c>
      <c r="BCK948" s="23" t="s">
        <v>138</v>
      </c>
      <c r="BCL948" s="2" t="s">
        <v>433</v>
      </c>
      <c r="BCM948" s="3" t="s">
        <v>22</v>
      </c>
      <c r="BCN948" s="3" t="s">
        <v>23</v>
      </c>
      <c r="BCO948" s="2" t="s">
        <v>24</v>
      </c>
      <c r="BCP948" s="4">
        <v>0</v>
      </c>
      <c r="BCQ948" s="8">
        <f t="shared" ref="BCQ948" si="770">IF(BCM948="Ionizador", 10, IF(BCM948="Mesa", 1000000000, IF(BCM948="Rack", 1000000000, IF(BCM948="Piso", 1000000000, IF(BCM948="Tapete", 1000000000, IF(BCM948="Carrito", 1000000000, IF(BCM948="Cautín", 10, 1)))))))</f>
        <v>1000000000</v>
      </c>
      <c r="BCR948" s="4" t="str">
        <f t="shared" ref="BCR948" si="771">IF(BCM948="Ionizador", "Segundos", "Ohms")</f>
        <v>Ohms</v>
      </c>
      <c r="BCS948" s="6">
        <v>148000000</v>
      </c>
      <c r="BCT948" s="6" t="str">
        <f t="shared" ref="BCT948" si="772">BCR948</f>
        <v>Ohms</v>
      </c>
      <c r="BCU948" s="2" t="str">
        <f t="shared" ref="BCU948" si="773">IF(BCM948="Ionizador", "Plato de carga", IF(BCM948="Cautín", "PTG", "RTG"))</f>
        <v>RTG</v>
      </c>
      <c r="BCV948" s="7">
        <v>45992</v>
      </c>
      <c r="BCW948" s="7">
        <f t="shared" ref="BCW948" si="774">IF(BCX948="Trimestral", BCV948+90, IF(BCX948="Semestral", BCV948+180, BCV948+365))</f>
        <v>46172</v>
      </c>
      <c r="BCX948" s="7" t="str">
        <f t="shared" ref="BCX948" si="775">IF(BCM948="Ionizador", "Trimestral", IF(BCM948="Rack", "Semestral", IF(BCM948="Mesa", "Semestral", IF(BCM948="Tapete", "Semestral", IF(BCM948="Cautín", "Semestral", IF(BCM948="Silla", "Semestral", "Anual"))))))</f>
        <v>Semestral</v>
      </c>
      <c r="BCY948" s="2" t="str">
        <f t="shared" ref="BCY948" ca="1" si="776">IF(BCW948&lt;TODAY(),"VENCIDO",IF(BCW948=TODAY(),"VENCE HOY",IF(BCW948&gt;TODAY(),"VIGENTE")))</f>
        <v>VIGENTE</v>
      </c>
      <c r="BCZ948" s="6" t="s">
        <v>25</v>
      </c>
      <c r="BDA948" s="23" t="s">
        <v>138</v>
      </c>
      <c r="BDB948" s="2" t="s">
        <v>433</v>
      </c>
      <c r="BDC948" s="3" t="s">
        <v>22</v>
      </c>
      <c r="BDD948" s="3" t="s">
        <v>23</v>
      </c>
      <c r="BDE948" s="2" t="s">
        <v>24</v>
      </c>
      <c r="BDF948" s="4">
        <v>0</v>
      </c>
      <c r="BDG948" s="8">
        <f t="shared" ref="BDG948" si="777">IF(BDC948="Ionizador", 10, IF(BDC948="Mesa", 1000000000, IF(BDC948="Rack", 1000000000, IF(BDC948="Piso", 1000000000, IF(BDC948="Tapete", 1000000000, IF(BDC948="Carrito", 1000000000, IF(BDC948="Cautín", 10, 1)))))))</f>
        <v>1000000000</v>
      </c>
      <c r="BDH948" s="4" t="str">
        <f t="shared" ref="BDH948" si="778">IF(BDC948="Ionizador", "Segundos", "Ohms")</f>
        <v>Ohms</v>
      </c>
      <c r="BDI948" s="6">
        <v>148000000</v>
      </c>
      <c r="BDJ948" s="6" t="str">
        <f t="shared" ref="BDJ948" si="779">BDH948</f>
        <v>Ohms</v>
      </c>
      <c r="BDK948" s="2" t="str">
        <f t="shared" ref="BDK948" si="780">IF(BDC948="Ionizador", "Plato de carga", IF(BDC948="Cautín", "PTG", "RTG"))</f>
        <v>RTG</v>
      </c>
      <c r="BDL948" s="7">
        <v>45992</v>
      </c>
      <c r="BDM948" s="7">
        <f t="shared" ref="BDM948" si="781">IF(BDN948="Trimestral", BDL948+90, IF(BDN948="Semestral", BDL948+180, BDL948+365))</f>
        <v>46172</v>
      </c>
      <c r="BDN948" s="7" t="str">
        <f t="shared" ref="BDN948" si="782">IF(BDC948="Ionizador", "Trimestral", IF(BDC948="Rack", "Semestral", IF(BDC948="Mesa", "Semestral", IF(BDC948="Tapete", "Semestral", IF(BDC948="Cautín", "Semestral", IF(BDC948="Silla", "Semestral", "Anual"))))))</f>
        <v>Semestral</v>
      </c>
      <c r="BDO948" s="2" t="str">
        <f t="shared" ref="BDO948" ca="1" si="783">IF(BDM948&lt;TODAY(),"VENCIDO",IF(BDM948=TODAY(),"VENCE HOY",IF(BDM948&gt;TODAY(),"VIGENTE")))</f>
        <v>VIGENTE</v>
      </c>
      <c r="BDP948" s="6" t="s">
        <v>25</v>
      </c>
      <c r="BDQ948" s="23" t="s">
        <v>138</v>
      </c>
      <c r="BDR948" s="2" t="s">
        <v>433</v>
      </c>
      <c r="BDS948" s="3" t="s">
        <v>22</v>
      </c>
      <c r="BDT948" s="3" t="s">
        <v>23</v>
      </c>
      <c r="BDU948" s="2" t="s">
        <v>24</v>
      </c>
      <c r="BDV948" s="4">
        <v>0</v>
      </c>
      <c r="BDW948" s="8">
        <f t="shared" ref="BDW948" si="784">IF(BDS948="Ionizador", 10, IF(BDS948="Mesa", 1000000000, IF(BDS948="Rack", 1000000000, IF(BDS948="Piso", 1000000000, IF(BDS948="Tapete", 1000000000, IF(BDS948="Carrito", 1000000000, IF(BDS948="Cautín", 10, 1)))))))</f>
        <v>1000000000</v>
      </c>
      <c r="BDX948" s="4" t="str">
        <f t="shared" ref="BDX948" si="785">IF(BDS948="Ionizador", "Segundos", "Ohms")</f>
        <v>Ohms</v>
      </c>
      <c r="BDY948" s="6">
        <v>148000000</v>
      </c>
      <c r="BDZ948" s="6" t="str">
        <f t="shared" ref="BDZ948" si="786">BDX948</f>
        <v>Ohms</v>
      </c>
      <c r="BEA948" s="2" t="str">
        <f t="shared" ref="BEA948" si="787">IF(BDS948="Ionizador", "Plato de carga", IF(BDS948="Cautín", "PTG", "RTG"))</f>
        <v>RTG</v>
      </c>
      <c r="BEB948" s="7">
        <v>45992</v>
      </c>
      <c r="BEC948" s="7">
        <f t="shared" ref="BEC948" si="788">IF(BED948="Trimestral", BEB948+90, IF(BED948="Semestral", BEB948+180, BEB948+365))</f>
        <v>46172</v>
      </c>
      <c r="BED948" s="7" t="str">
        <f t="shared" ref="BED948" si="789">IF(BDS948="Ionizador", "Trimestral", IF(BDS948="Rack", "Semestral", IF(BDS948="Mesa", "Semestral", IF(BDS948="Tapete", "Semestral", IF(BDS948="Cautín", "Semestral", IF(BDS948="Silla", "Semestral", "Anual"))))))</f>
        <v>Semestral</v>
      </c>
      <c r="BEE948" s="2" t="str">
        <f t="shared" ref="BEE948" ca="1" si="790">IF(BEC948&lt;TODAY(),"VENCIDO",IF(BEC948=TODAY(),"VENCE HOY",IF(BEC948&gt;TODAY(),"VIGENTE")))</f>
        <v>VIGENTE</v>
      </c>
      <c r="BEF948" s="6" t="s">
        <v>25</v>
      </c>
      <c r="BEG948" s="23" t="s">
        <v>138</v>
      </c>
      <c r="BEH948" s="2" t="s">
        <v>433</v>
      </c>
      <c r="BEI948" s="3" t="s">
        <v>22</v>
      </c>
      <c r="BEJ948" s="3" t="s">
        <v>23</v>
      </c>
      <c r="BEK948" s="2" t="s">
        <v>24</v>
      </c>
      <c r="BEL948" s="4">
        <v>0</v>
      </c>
      <c r="BEM948" s="8">
        <f t="shared" ref="BEM948" si="791">IF(BEI948="Ionizador", 10, IF(BEI948="Mesa", 1000000000, IF(BEI948="Rack", 1000000000, IF(BEI948="Piso", 1000000000, IF(BEI948="Tapete", 1000000000, IF(BEI948="Carrito", 1000000000, IF(BEI948="Cautín", 10, 1)))))))</f>
        <v>1000000000</v>
      </c>
      <c r="BEN948" s="4" t="str">
        <f t="shared" ref="BEN948" si="792">IF(BEI948="Ionizador", "Segundos", "Ohms")</f>
        <v>Ohms</v>
      </c>
      <c r="BEO948" s="6">
        <v>148000000</v>
      </c>
      <c r="BEP948" s="6" t="str">
        <f t="shared" ref="BEP948" si="793">BEN948</f>
        <v>Ohms</v>
      </c>
      <c r="BEQ948" s="2" t="str">
        <f t="shared" ref="BEQ948" si="794">IF(BEI948="Ionizador", "Plato de carga", IF(BEI948="Cautín", "PTG", "RTG"))</f>
        <v>RTG</v>
      </c>
      <c r="BER948" s="7">
        <v>45992</v>
      </c>
      <c r="BES948" s="7">
        <f t="shared" ref="BES948" si="795">IF(BET948="Trimestral", BER948+90, IF(BET948="Semestral", BER948+180, BER948+365))</f>
        <v>46172</v>
      </c>
      <c r="BET948" s="7" t="str">
        <f t="shared" ref="BET948" si="796">IF(BEI948="Ionizador", "Trimestral", IF(BEI948="Rack", "Semestral", IF(BEI948="Mesa", "Semestral", IF(BEI948="Tapete", "Semestral", IF(BEI948="Cautín", "Semestral", IF(BEI948="Silla", "Semestral", "Anual"))))))</f>
        <v>Semestral</v>
      </c>
      <c r="BEU948" s="2" t="str">
        <f t="shared" ref="BEU948" ca="1" si="797">IF(BES948&lt;TODAY(),"VENCIDO",IF(BES948=TODAY(),"VENCE HOY",IF(BES948&gt;TODAY(),"VIGENTE")))</f>
        <v>VIGENTE</v>
      </c>
      <c r="BEV948" s="6" t="s">
        <v>25</v>
      </c>
      <c r="BEW948" s="23" t="s">
        <v>138</v>
      </c>
      <c r="BEX948" s="2" t="s">
        <v>433</v>
      </c>
      <c r="BEY948" s="3" t="s">
        <v>22</v>
      </c>
      <c r="BEZ948" s="3" t="s">
        <v>23</v>
      </c>
      <c r="BFA948" s="2" t="s">
        <v>24</v>
      </c>
      <c r="BFB948" s="4">
        <v>0</v>
      </c>
      <c r="BFC948" s="8">
        <f t="shared" ref="BFC948" si="798">IF(BEY948="Ionizador", 10, IF(BEY948="Mesa", 1000000000, IF(BEY948="Rack", 1000000000, IF(BEY948="Piso", 1000000000, IF(BEY948="Tapete", 1000000000, IF(BEY948="Carrito", 1000000000, IF(BEY948="Cautín", 10, 1)))))))</f>
        <v>1000000000</v>
      </c>
      <c r="BFD948" s="4" t="str">
        <f t="shared" ref="BFD948" si="799">IF(BEY948="Ionizador", "Segundos", "Ohms")</f>
        <v>Ohms</v>
      </c>
      <c r="BFE948" s="6">
        <v>148000000</v>
      </c>
      <c r="BFF948" s="6" t="str">
        <f t="shared" ref="BFF948" si="800">BFD948</f>
        <v>Ohms</v>
      </c>
      <c r="BFG948" s="2" t="str">
        <f t="shared" ref="BFG948" si="801">IF(BEY948="Ionizador", "Plato de carga", IF(BEY948="Cautín", "PTG", "RTG"))</f>
        <v>RTG</v>
      </c>
      <c r="BFH948" s="7">
        <v>45992</v>
      </c>
      <c r="BFI948" s="7">
        <f t="shared" ref="BFI948" si="802">IF(BFJ948="Trimestral", BFH948+90, IF(BFJ948="Semestral", BFH948+180, BFH948+365))</f>
        <v>46172</v>
      </c>
      <c r="BFJ948" s="7" t="str">
        <f t="shared" ref="BFJ948" si="803">IF(BEY948="Ionizador", "Trimestral", IF(BEY948="Rack", "Semestral", IF(BEY948="Mesa", "Semestral", IF(BEY948="Tapete", "Semestral", IF(BEY948="Cautín", "Semestral", IF(BEY948="Silla", "Semestral", "Anual"))))))</f>
        <v>Semestral</v>
      </c>
      <c r="BFK948" s="2" t="str">
        <f t="shared" ref="BFK948" ca="1" si="804">IF(BFI948&lt;TODAY(),"VENCIDO",IF(BFI948=TODAY(),"VENCE HOY",IF(BFI948&gt;TODAY(),"VIGENTE")))</f>
        <v>VIGENTE</v>
      </c>
      <c r="BFL948" s="6" t="s">
        <v>25</v>
      </c>
      <c r="BFM948" s="23" t="s">
        <v>138</v>
      </c>
      <c r="BFN948" s="2" t="s">
        <v>433</v>
      </c>
      <c r="BFO948" s="3" t="s">
        <v>22</v>
      </c>
      <c r="BFP948" s="3" t="s">
        <v>23</v>
      </c>
      <c r="BFQ948" s="2" t="s">
        <v>24</v>
      </c>
      <c r="BFR948" s="4">
        <v>0</v>
      </c>
      <c r="BFS948" s="8">
        <f t="shared" ref="BFS948" si="805">IF(BFO948="Ionizador", 10, IF(BFO948="Mesa", 1000000000, IF(BFO948="Rack", 1000000000, IF(BFO948="Piso", 1000000000, IF(BFO948="Tapete", 1000000000, IF(BFO948="Carrito", 1000000000, IF(BFO948="Cautín", 10, 1)))))))</f>
        <v>1000000000</v>
      </c>
      <c r="BFT948" s="4" t="str">
        <f t="shared" ref="BFT948" si="806">IF(BFO948="Ionizador", "Segundos", "Ohms")</f>
        <v>Ohms</v>
      </c>
      <c r="BFU948" s="6">
        <v>148000000</v>
      </c>
      <c r="BFV948" s="6" t="str">
        <f t="shared" ref="BFV948" si="807">BFT948</f>
        <v>Ohms</v>
      </c>
      <c r="BFW948" s="2" t="str">
        <f t="shared" ref="BFW948" si="808">IF(BFO948="Ionizador", "Plato de carga", IF(BFO948="Cautín", "PTG", "RTG"))</f>
        <v>RTG</v>
      </c>
      <c r="BFX948" s="7">
        <v>45992</v>
      </c>
      <c r="BFY948" s="7">
        <f t="shared" ref="BFY948" si="809">IF(BFZ948="Trimestral", BFX948+90, IF(BFZ948="Semestral", BFX948+180, BFX948+365))</f>
        <v>46172</v>
      </c>
      <c r="BFZ948" s="7" t="str">
        <f t="shared" ref="BFZ948" si="810">IF(BFO948="Ionizador", "Trimestral", IF(BFO948="Rack", "Semestral", IF(BFO948="Mesa", "Semestral", IF(BFO948="Tapete", "Semestral", IF(BFO948="Cautín", "Semestral", IF(BFO948="Silla", "Semestral", "Anual"))))))</f>
        <v>Semestral</v>
      </c>
      <c r="BGA948" s="2" t="str">
        <f t="shared" ref="BGA948" ca="1" si="811">IF(BFY948&lt;TODAY(),"VENCIDO",IF(BFY948=TODAY(),"VENCE HOY",IF(BFY948&gt;TODAY(),"VIGENTE")))</f>
        <v>VIGENTE</v>
      </c>
      <c r="BGB948" s="6" t="s">
        <v>25</v>
      </c>
      <c r="BGC948" s="23" t="s">
        <v>138</v>
      </c>
      <c r="BGD948" s="2" t="s">
        <v>433</v>
      </c>
      <c r="BGE948" s="3" t="s">
        <v>22</v>
      </c>
      <c r="BGF948" s="3" t="s">
        <v>23</v>
      </c>
      <c r="BGG948" s="2" t="s">
        <v>24</v>
      </c>
      <c r="BGH948" s="4">
        <v>0</v>
      </c>
      <c r="BGI948" s="8">
        <f t="shared" ref="BGI948" si="812">IF(BGE948="Ionizador", 10, IF(BGE948="Mesa", 1000000000, IF(BGE948="Rack", 1000000000, IF(BGE948="Piso", 1000000000, IF(BGE948="Tapete", 1000000000, IF(BGE948="Carrito", 1000000000, IF(BGE948="Cautín", 10, 1)))))))</f>
        <v>1000000000</v>
      </c>
      <c r="BGJ948" s="4" t="str">
        <f t="shared" ref="BGJ948" si="813">IF(BGE948="Ionizador", "Segundos", "Ohms")</f>
        <v>Ohms</v>
      </c>
      <c r="BGK948" s="6">
        <v>148000000</v>
      </c>
      <c r="BGL948" s="6" t="str">
        <f t="shared" ref="BGL948" si="814">BGJ948</f>
        <v>Ohms</v>
      </c>
      <c r="BGM948" s="2" t="str">
        <f t="shared" ref="BGM948" si="815">IF(BGE948="Ionizador", "Plato de carga", IF(BGE948="Cautín", "PTG", "RTG"))</f>
        <v>RTG</v>
      </c>
      <c r="BGN948" s="7">
        <v>45992</v>
      </c>
      <c r="BGO948" s="7">
        <f t="shared" ref="BGO948" si="816">IF(BGP948="Trimestral", BGN948+90, IF(BGP948="Semestral", BGN948+180, BGN948+365))</f>
        <v>46172</v>
      </c>
      <c r="BGP948" s="7" t="str">
        <f t="shared" ref="BGP948" si="817">IF(BGE948="Ionizador", "Trimestral", IF(BGE948="Rack", "Semestral", IF(BGE948="Mesa", "Semestral", IF(BGE948="Tapete", "Semestral", IF(BGE948="Cautín", "Semestral", IF(BGE948="Silla", "Semestral", "Anual"))))))</f>
        <v>Semestral</v>
      </c>
      <c r="BGQ948" s="2" t="str">
        <f t="shared" ref="BGQ948" ca="1" si="818">IF(BGO948&lt;TODAY(),"VENCIDO",IF(BGO948=TODAY(),"VENCE HOY",IF(BGO948&gt;TODAY(),"VIGENTE")))</f>
        <v>VIGENTE</v>
      </c>
      <c r="BGR948" s="6" t="s">
        <v>25</v>
      </c>
      <c r="BGS948" s="23" t="s">
        <v>138</v>
      </c>
      <c r="BGT948" s="2" t="s">
        <v>433</v>
      </c>
      <c r="BGU948" s="3" t="s">
        <v>22</v>
      </c>
      <c r="BGV948" s="3" t="s">
        <v>23</v>
      </c>
      <c r="BGW948" s="2" t="s">
        <v>24</v>
      </c>
      <c r="BGX948" s="4">
        <v>0</v>
      </c>
      <c r="BGY948" s="8">
        <f t="shared" ref="BGY948" si="819">IF(BGU948="Ionizador", 10, IF(BGU948="Mesa", 1000000000, IF(BGU948="Rack", 1000000000, IF(BGU948="Piso", 1000000000, IF(BGU948="Tapete", 1000000000, IF(BGU948="Carrito", 1000000000, IF(BGU948="Cautín", 10, 1)))))))</f>
        <v>1000000000</v>
      </c>
      <c r="BGZ948" s="4" t="str">
        <f t="shared" ref="BGZ948" si="820">IF(BGU948="Ionizador", "Segundos", "Ohms")</f>
        <v>Ohms</v>
      </c>
      <c r="BHA948" s="6">
        <v>148000000</v>
      </c>
      <c r="BHB948" s="6" t="str">
        <f t="shared" ref="BHB948" si="821">BGZ948</f>
        <v>Ohms</v>
      </c>
      <c r="BHC948" s="2" t="str">
        <f t="shared" ref="BHC948" si="822">IF(BGU948="Ionizador", "Plato de carga", IF(BGU948="Cautín", "PTG", "RTG"))</f>
        <v>RTG</v>
      </c>
      <c r="BHD948" s="7">
        <v>45992</v>
      </c>
      <c r="BHE948" s="7">
        <f t="shared" ref="BHE948" si="823">IF(BHF948="Trimestral", BHD948+90, IF(BHF948="Semestral", BHD948+180, BHD948+365))</f>
        <v>46172</v>
      </c>
      <c r="BHF948" s="7" t="str">
        <f t="shared" ref="BHF948" si="824">IF(BGU948="Ionizador", "Trimestral", IF(BGU948="Rack", "Semestral", IF(BGU948="Mesa", "Semestral", IF(BGU948="Tapete", "Semestral", IF(BGU948="Cautín", "Semestral", IF(BGU948="Silla", "Semestral", "Anual"))))))</f>
        <v>Semestral</v>
      </c>
      <c r="BHG948" s="2" t="str">
        <f t="shared" ref="BHG948" ca="1" si="825">IF(BHE948&lt;TODAY(),"VENCIDO",IF(BHE948=TODAY(),"VENCE HOY",IF(BHE948&gt;TODAY(),"VIGENTE")))</f>
        <v>VIGENTE</v>
      </c>
      <c r="BHH948" s="6" t="s">
        <v>25</v>
      </c>
      <c r="BHI948" s="23" t="s">
        <v>138</v>
      </c>
      <c r="BHJ948" s="2" t="s">
        <v>433</v>
      </c>
      <c r="BHK948" s="3" t="s">
        <v>22</v>
      </c>
      <c r="BHL948" s="3" t="s">
        <v>23</v>
      </c>
      <c r="BHM948" s="2" t="s">
        <v>24</v>
      </c>
      <c r="BHN948" s="4">
        <v>0</v>
      </c>
      <c r="BHO948" s="8">
        <f t="shared" ref="BHO948" si="826">IF(BHK948="Ionizador", 10, IF(BHK948="Mesa", 1000000000, IF(BHK948="Rack", 1000000000, IF(BHK948="Piso", 1000000000, IF(BHK948="Tapete", 1000000000, IF(BHK948="Carrito", 1000000000, IF(BHK948="Cautín", 10, 1)))))))</f>
        <v>1000000000</v>
      </c>
      <c r="BHP948" s="4" t="str">
        <f t="shared" ref="BHP948" si="827">IF(BHK948="Ionizador", "Segundos", "Ohms")</f>
        <v>Ohms</v>
      </c>
      <c r="BHQ948" s="6">
        <v>148000000</v>
      </c>
      <c r="BHR948" s="6" t="str">
        <f t="shared" ref="BHR948" si="828">BHP948</f>
        <v>Ohms</v>
      </c>
      <c r="BHS948" s="2" t="str">
        <f t="shared" ref="BHS948" si="829">IF(BHK948="Ionizador", "Plato de carga", IF(BHK948="Cautín", "PTG", "RTG"))</f>
        <v>RTG</v>
      </c>
      <c r="BHT948" s="7">
        <v>45992</v>
      </c>
      <c r="BHU948" s="7">
        <f t="shared" ref="BHU948" si="830">IF(BHV948="Trimestral", BHT948+90, IF(BHV948="Semestral", BHT948+180, BHT948+365))</f>
        <v>46172</v>
      </c>
      <c r="BHV948" s="7" t="str">
        <f t="shared" ref="BHV948" si="831">IF(BHK948="Ionizador", "Trimestral", IF(BHK948="Rack", "Semestral", IF(BHK948="Mesa", "Semestral", IF(BHK948="Tapete", "Semestral", IF(BHK948="Cautín", "Semestral", IF(BHK948="Silla", "Semestral", "Anual"))))))</f>
        <v>Semestral</v>
      </c>
      <c r="BHW948" s="2" t="str">
        <f t="shared" ref="BHW948" ca="1" si="832">IF(BHU948&lt;TODAY(),"VENCIDO",IF(BHU948=TODAY(),"VENCE HOY",IF(BHU948&gt;TODAY(),"VIGENTE")))</f>
        <v>VIGENTE</v>
      </c>
      <c r="BHX948" s="6" t="s">
        <v>25</v>
      </c>
      <c r="BHY948" s="23" t="s">
        <v>138</v>
      </c>
      <c r="BHZ948" s="2" t="s">
        <v>433</v>
      </c>
      <c r="BIA948" s="3" t="s">
        <v>22</v>
      </c>
      <c r="BIB948" s="3" t="s">
        <v>23</v>
      </c>
      <c r="BIC948" s="2" t="s">
        <v>24</v>
      </c>
      <c r="BID948" s="4">
        <v>0</v>
      </c>
      <c r="BIE948" s="8">
        <f t="shared" ref="BIE948" si="833">IF(BIA948="Ionizador", 10, IF(BIA948="Mesa", 1000000000, IF(BIA948="Rack", 1000000000, IF(BIA948="Piso", 1000000000, IF(BIA948="Tapete", 1000000000, IF(BIA948="Carrito", 1000000000, IF(BIA948="Cautín", 10, 1)))))))</f>
        <v>1000000000</v>
      </c>
      <c r="BIF948" s="4" t="str">
        <f t="shared" ref="BIF948" si="834">IF(BIA948="Ionizador", "Segundos", "Ohms")</f>
        <v>Ohms</v>
      </c>
      <c r="BIG948" s="6">
        <v>148000000</v>
      </c>
      <c r="BIH948" s="6" t="str">
        <f t="shared" ref="BIH948" si="835">BIF948</f>
        <v>Ohms</v>
      </c>
      <c r="BII948" s="2" t="str">
        <f t="shared" ref="BII948" si="836">IF(BIA948="Ionizador", "Plato de carga", IF(BIA948="Cautín", "PTG", "RTG"))</f>
        <v>RTG</v>
      </c>
      <c r="BIJ948" s="7">
        <v>45992</v>
      </c>
      <c r="BIK948" s="7">
        <f t="shared" ref="BIK948" si="837">IF(BIL948="Trimestral", BIJ948+90, IF(BIL948="Semestral", BIJ948+180, BIJ948+365))</f>
        <v>46172</v>
      </c>
      <c r="BIL948" s="7" t="str">
        <f t="shared" ref="BIL948" si="838">IF(BIA948="Ionizador", "Trimestral", IF(BIA948="Rack", "Semestral", IF(BIA948="Mesa", "Semestral", IF(BIA948="Tapete", "Semestral", IF(BIA948="Cautín", "Semestral", IF(BIA948="Silla", "Semestral", "Anual"))))))</f>
        <v>Semestral</v>
      </c>
      <c r="BIM948" s="2" t="str">
        <f t="shared" ref="BIM948" ca="1" si="839">IF(BIK948&lt;TODAY(),"VENCIDO",IF(BIK948=TODAY(),"VENCE HOY",IF(BIK948&gt;TODAY(),"VIGENTE")))</f>
        <v>VIGENTE</v>
      </c>
      <c r="BIN948" s="6" t="s">
        <v>25</v>
      </c>
      <c r="BIO948" s="23" t="s">
        <v>138</v>
      </c>
      <c r="BIP948" s="2" t="s">
        <v>433</v>
      </c>
      <c r="BIQ948" s="3" t="s">
        <v>22</v>
      </c>
      <c r="BIR948" s="3" t="s">
        <v>23</v>
      </c>
      <c r="BIS948" s="2" t="s">
        <v>24</v>
      </c>
      <c r="BIT948" s="4">
        <v>0</v>
      </c>
      <c r="BIU948" s="8">
        <f t="shared" ref="BIU948" si="840">IF(BIQ948="Ionizador", 10, IF(BIQ948="Mesa", 1000000000, IF(BIQ948="Rack", 1000000000, IF(BIQ948="Piso", 1000000000, IF(BIQ948="Tapete", 1000000000, IF(BIQ948="Carrito", 1000000000, IF(BIQ948="Cautín", 10, 1)))))))</f>
        <v>1000000000</v>
      </c>
      <c r="BIV948" s="4" t="str">
        <f t="shared" ref="BIV948" si="841">IF(BIQ948="Ionizador", "Segundos", "Ohms")</f>
        <v>Ohms</v>
      </c>
      <c r="BIW948" s="6">
        <v>148000000</v>
      </c>
      <c r="BIX948" s="6" t="str">
        <f t="shared" ref="BIX948" si="842">BIV948</f>
        <v>Ohms</v>
      </c>
      <c r="BIY948" s="2" t="str">
        <f t="shared" ref="BIY948" si="843">IF(BIQ948="Ionizador", "Plato de carga", IF(BIQ948="Cautín", "PTG", "RTG"))</f>
        <v>RTG</v>
      </c>
      <c r="BIZ948" s="7">
        <v>45992</v>
      </c>
      <c r="BJA948" s="7">
        <f t="shared" ref="BJA948" si="844">IF(BJB948="Trimestral", BIZ948+90, IF(BJB948="Semestral", BIZ948+180, BIZ948+365))</f>
        <v>46172</v>
      </c>
      <c r="BJB948" s="7" t="str">
        <f t="shared" ref="BJB948" si="845">IF(BIQ948="Ionizador", "Trimestral", IF(BIQ948="Rack", "Semestral", IF(BIQ948="Mesa", "Semestral", IF(BIQ948="Tapete", "Semestral", IF(BIQ948="Cautín", "Semestral", IF(BIQ948="Silla", "Semestral", "Anual"))))))</f>
        <v>Semestral</v>
      </c>
      <c r="BJC948" s="2" t="str">
        <f t="shared" ref="BJC948" ca="1" si="846">IF(BJA948&lt;TODAY(),"VENCIDO",IF(BJA948=TODAY(),"VENCE HOY",IF(BJA948&gt;TODAY(),"VIGENTE")))</f>
        <v>VIGENTE</v>
      </c>
      <c r="BJD948" s="6" t="s">
        <v>25</v>
      </c>
      <c r="BJE948" s="23" t="s">
        <v>138</v>
      </c>
      <c r="BJF948" s="2" t="s">
        <v>433</v>
      </c>
      <c r="BJG948" s="3" t="s">
        <v>22</v>
      </c>
      <c r="BJH948" s="3" t="s">
        <v>23</v>
      </c>
      <c r="BJI948" s="2" t="s">
        <v>24</v>
      </c>
      <c r="BJJ948" s="4">
        <v>0</v>
      </c>
      <c r="BJK948" s="8">
        <f t="shared" ref="BJK948" si="847">IF(BJG948="Ionizador", 10, IF(BJG948="Mesa", 1000000000, IF(BJG948="Rack", 1000000000, IF(BJG948="Piso", 1000000000, IF(BJG948="Tapete", 1000000000, IF(BJG948="Carrito", 1000000000, IF(BJG948="Cautín", 10, 1)))))))</f>
        <v>1000000000</v>
      </c>
      <c r="BJL948" s="4" t="str">
        <f t="shared" ref="BJL948" si="848">IF(BJG948="Ionizador", "Segundos", "Ohms")</f>
        <v>Ohms</v>
      </c>
      <c r="BJM948" s="6">
        <v>148000000</v>
      </c>
      <c r="BJN948" s="6" t="str">
        <f t="shared" ref="BJN948" si="849">BJL948</f>
        <v>Ohms</v>
      </c>
      <c r="BJO948" s="2" t="str">
        <f t="shared" ref="BJO948" si="850">IF(BJG948="Ionizador", "Plato de carga", IF(BJG948="Cautín", "PTG", "RTG"))</f>
        <v>RTG</v>
      </c>
      <c r="BJP948" s="7">
        <v>45992</v>
      </c>
      <c r="BJQ948" s="7">
        <f t="shared" ref="BJQ948" si="851">IF(BJR948="Trimestral", BJP948+90, IF(BJR948="Semestral", BJP948+180, BJP948+365))</f>
        <v>46172</v>
      </c>
      <c r="BJR948" s="7" t="str">
        <f t="shared" ref="BJR948" si="852">IF(BJG948="Ionizador", "Trimestral", IF(BJG948="Rack", "Semestral", IF(BJG948="Mesa", "Semestral", IF(BJG948="Tapete", "Semestral", IF(BJG948="Cautín", "Semestral", IF(BJG948="Silla", "Semestral", "Anual"))))))</f>
        <v>Semestral</v>
      </c>
      <c r="BJS948" s="2" t="str">
        <f t="shared" ref="BJS948" ca="1" si="853">IF(BJQ948&lt;TODAY(),"VENCIDO",IF(BJQ948=TODAY(),"VENCE HOY",IF(BJQ948&gt;TODAY(),"VIGENTE")))</f>
        <v>VIGENTE</v>
      </c>
      <c r="BJT948" s="6" t="s">
        <v>25</v>
      </c>
      <c r="BJU948" s="23" t="s">
        <v>138</v>
      </c>
      <c r="BJV948" s="2" t="s">
        <v>433</v>
      </c>
      <c r="BJW948" s="3" t="s">
        <v>22</v>
      </c>
      <c r="BJX948" s="3" t="s">
        <v>23</v>
      </c>
      <c r="BJY948" s="2" t="s">
        <v>24</v>
      </c>
      <c r="BJZ948" s="4">
        <v>0</v>
      </c>
      <c r="BKA948" s="8">
        <f t="shared" ref="BKA948" si="854">IF(BJW948="Ionizador", 10, IF(BJW948="Mesa", 1000000000, IF(BJW948="Rack", 1000000000, IF(BJW948="Piso", 1000000000, IF(BJW948="Tapete", 1000000000, IF(BJW948="Carrito", 1000000000, IF(BJW948="Cautín", 10, 1)))))))</f>
        <v>1000000000</v>
      </c>
      <c r="BKB948" s="4" t="str">
        <f t="shared" ref="BKB948" si="855">IF(BJW948="Ionizador", "Segundos", "Ohms")</f>
        <v>Ohms</v>
      </c>
      <c r="BKC948" s="6">
        <v>148000000</v>
      </c>
      <c r="BKD948" s="6" t="str">
        <f t="shared" ref="BKD948" si="856">BKB948</f>
        <v>Ohms</v>
      </c>
      <c r="BKE948" s="2" t="str">
        <f t="shared" ref="BKE948" si="857">IF(BJW948="Ionizador", "Plato de carga", IF(BJW948="Cautín", "PTG", "RTG"))</f>
        <v>RTG</v>
      </c>
      <c r="BKF948" s="7">
        <v>45992</v>
      </c>
      <c r="BKG948" s="7">
        <f t="shared" ref="BKG948" si="858">IF(BKH948="Trimestral", BKF948+90, IF(BKH948="Semestral", BKF948+180, BKF948+365))</f>
        <v>46172</v>
      </c>
      <c r="BKH948" s="7" t="str">
        <f t="shared" ref="BKH948" si="859">IF(BJW948="Ionizador", "Trimestral", IF(BJW948="Rack", "Semestral", IF(BJW948="Mesa", "Semestral", IF(BJW948="Tapete", "Semestral", IF(BJW948="Cautín", "Semestral", IF(BJW948="Silla", "Semestral", "Anual"))))))</f>
        <v>Semestral</v>
      </c>
      <c r="BKI948" s="2" t="str">
        <f t="shared" ref="BKI948" ca="1" si="860">IF(BKG948&lt;TODAY(),"VENCIDO",IF(BKG948=TODAY(),"VENCE HOY",IF(BKG948&gt;TODAY(),"VIGENTE")))</f>
        <v>VIGENTE</v>
      </c>
      <c r="BKJ948" s="6" t="s">
        <v>25</v>
      </c>
      <c r="BKK948" s="23" t="s">
        <v>138</v>
      </c>
      <c r="BKL948" s="2" t="s">
        <v>433</v>
      </c>
      <c r="BKM948" s="3" t="s">
        <v>22</v>
      </c>
      <c r="BKN948" s="3" t="s">
        <v>23</v>
      </c>
      <c r="BKO948" s="2" t="s">
        <v>24</v>
      </c>
      <c r="BKP948" s="4">
        <v>0</v>
      </c>
      <c r="BKQ948" s="8">
        <f t="shared" ref="BKQ948" si="861">IF(BKM948="Ionizador", 10, IF(BKM948="Mesa", 1000000000, IF(BKM948="Rack", 1000000000, IF(BKM948="Piso", 1000000000, IF(BKM948="Tapete", 1000000000, IF(BKM948="Carrito", 1000000000, IF(BKM948="Cautín", 10, 1)))))))</f>
        <v>1000000000</v>
      </c>
      <c r="BKR948" s="4" t="str">
        <f t="shared" ref="BKR948" si="862">IF(BKM948="Ionizador", "Segundos", "Ohms")</f>
        <v>Ohms</v>
      </c>
      <c r="BKS948" s="6">
        <v>148000000</v>
      </c>
      <c r="BKT948" s="6" t="str">
        <f t="shared" ref="BKT948" si="863">BKR948</f>
        <v>Ohms</v>
      </c>
      <c r="BKU948" s="2" t="str">
        <f t="shared" ref="BKU948" si="864">IF(BKM948="Ionizador", "Plato de carga", IF(BKM948="Cautín", "PTG", "RTG"))</f>
        <v>RTG</v>
      </c>
      <c r="BKV948" s="7">
        <v>45992</v>
      </c>
      <c r="BKW948" s="7">
        <f t="shared" ref="BKW948" si="865">IF(BKX948="Trimestral", BKV948+90, IF(BKX948="Semestral", BKV948+180, BKV948+365))</f>
        <v>46172</v>
      </c>
      <c r="BKX948" s="7" t="str">
        <f t="shared" ref="BKX948" si="866">IF(BKM948="Ionizador", "Trimestral", IF(BKM948="Rack", "Semestral", IF(BKM948="Mesa", "Semestral", IF(BKM948="Tapete", "Semestral", IF(BKM948="Cautín", "Semestral", IF(BKM948="Silla", "Semestral", "Anual"))))))</f>
        <v>Semestral</v>
      </c>
      <c r="BKY948" s="2" t="str">
        <f t="shared" ref="BKY948" ca="1" si="867">IF(BKW948&lt;TODAY(),"VENCIDO",IF(BKW948=TODAY(),"VENCE HOY",IF(BKW948&gt;TODAY(),"VIGENTE")))</f>
        <v>VIGENTE</v>
      </c>
      <c r="BKZ948" s="6" t="s">
        <v>25</v>
      </c>
      <c r="BLA948" s="23" t="s">
        <v>138</v>
      </c>
      <c r="BLB948" s="2" t="s">
        <v>433</v>
      </c>
      <c r="BLC948" s="3" t="s">
        <v>22</v>
      </c>
      <c r="BLD948" s="3" t="s">
        <v>23</v>
      </c>
      <c r="BLE948" s="2" t="s">
        <v>24</v>
      </c>
      <c r="BLF948" s="4">
        <v>0</v>
      </c>
      <c r="BLG948" s="8">
        <f t="shared" ref="BLG948" si="868">IF(BLC948="Ionizador", 10, IF(BLC948="Mesa", 1000000000, IF(BLC948="Rack", 1000000000, IF(BLC948="Piso", 1000000000, IF(BLC948="Tapete", 1000000000, IF(BLC948="Carrito", 1000000000, IF(BLC948="Cautín", 10, 1)))))))</f>
        <v>1000000000</v>
      </c>
      <c r="BLH948" s="4" t="str">
        <f t="shared" ref="BLH948" si="869">IF(BLC948="Ionizador", "Segundos", "Ohms")</f>
        <v>Ohms</v>
      </c>
      <c r="BLI948" s="6">
        <v>148000000</v>
      </c>
      <c r="BLJ948" s="6" t="str">
        <f t="shared" ref="BLJ948" si="870">BLH948</f>
        <v>Ohms</v>
      </c>
      <c r="BLK948" s="2" t="str">
        <f t="shared" ref="BLK948" si="871">IF(BLC948="Ionizador", "Plato de carga", IF(BLC948="Cautín", "PTG", "RTG"))</f>
        <v>RTG</v>
      </c>
      <c r="BLL948" s="7">
        <v>45992</v>
      </c>
      <c r="BLM948" s="7">
        <f t="shared" ref="BLM948" si="872">IF(BLN948="Trimestral", BLL948+90, IF(BLN948="Semestral", BLL948+180, BLL948+365))</f>
        <v>46172</v>
      </c>
      <c r="BLN948" s="7" t="str">
        <f t="shared" ref="BLN948" si="873">IF(BLC948="Ionizador", "Trimestral", IF(BLC948="Rack", "Semestral", IF(BLC948="Mesa", "Semestral", IF(BLC948="Tapete", "Semestral", IF(BLC948="Cautín", "Semestral", IF(BLC948="Silla", "Semestral", "Anual"))))))</f>
        <v>Semestral</v>
      </c>
      <c r="BLO948" s="2" t="str">
        <f t="shared" ref="BLO948" ca="1" si="874">IF(BLM948&lt;TODAY(),"VENCIDO",IF(BLM948=TODAY(),"VENCE HOY",IF(BLM948&gt;TODAY(),"VIGENTE")))</f>
        <v>VIGENTE</v>
      </c>
      <c r="BLP948" s="6" t="s">
        <v>25</v>
      </c>
      <c r="BLQ948" s="23" t="s">
        <v>138</v>
      </c>
      <c r="BLR948" s="2" t="s">
        <v>433</v>
      </c>
      <c r="BLS948" s="3" t="s">
        <v>22</v>
      </c>
      <c r="BLT948" s="3" t="s">
        <v>23</v>
      </c>
      <c r="BLU948" s="2" t="s">
        <v>24</v>
      </c>
      <c r="BLV948" s="4">
        <v>0</v>
      </c>
      <c r="BLW948" s="8">
        <f t="shared" ref="BLW948" si="875">IF(BLS948="Ionizador", 10, IF(BLS948="Mesa", 1000000000, IF(BLS948="Rack", 1000000000, IF(BLS948="Piso", 1000000000, IF(BLS948="Tapete", 1000000000, IF(BLS948="Carrito", 1000000000, IF(BLS948="Cautín", 10, 1)))))))</f>
        <v>1000000000</v>
      </c>
      <c r="BLX948" s="4" t="str">
        <f t="shared" ref="BLX948" si="876">IF(BLS948="Ionizador", "Segundos", "Ohms")</f>
        <v>Ohms</v>
      </c>
      <c r="BLY948" s="6">
        <v>148000000</v>
      </c>
      <c r="BLZ948" s="6" t="str">
        <f t="shared" ref="BLZ948" si="877">BLX948</f>
        <v>Ohms</v>
      </c>
      <c r="BMA948" s="2" t="str">
        <f t="shared" ref="BMA948" si="878">IF(BLS948="Ionizador", "Plato de carga", IF(BLS948="Cautín", "PTG", "RTG"))</f>
        <v>RTG</v>
      </c>
      <c r="BMB948" s="7">
        <v>45992</v>
      </c>
      <c r="BMC948" s="7">
        <f t="shared" ref="BMC948" si="879">IF(BMD948="Trimestral", BMB948+90, IF(BMD948="Semestral", BMB948+180, BMB948+365))</f>
        <v>46172</v>
      </c>
      <c r="BMD948" s="7" t="str">
        <f t="shared" ref="BMD948" si="880">IF(BLS948="Ionizador", "Trimestral", IF(BLS948="Rack", "Semestral", IF(BLS948="Mesa", "Semestral", IF(BLS948="Tapete", "Semestral", IF(BLS948="Cautín", "Semestral", IF(BLS948="Silla", "Semestral", "Anual"))))))</f>
        <v>Semestral</v>
      </c>
      <c r="BME948" s="2" t="str">
        <f t="shared" ref="BME948" ca="1" si="881">IF(BMC948&lt;TODAY(),"VENCIDO",IF(BMC948=TODAY(),"VENCE HOY",IF(BMC948&gt;TODAY(),"VIGENTE")))</f>
        <v>VIGENTE</v>
      </c>
      <c r="BMF948" s="6" t="s">
        <v>25</v>
      </c>
      <c r="BMG948" s="23" t="s">
        <v>138</v>
      </c>
      <c r="BMH948" s="2" t="s">
        <v>433</v>
      </c>
      <c r="BMI948" s="3" t="s">
        <v>22</v>
      </c>
      <c r="BMJ948" s="3" t="s">
        <v>23</v>
      </c>
      <c r="BMK948" s="2" t="s">
        <v>24</v>
      </c>
      <c r="BML948" s="4">
        <v>0</v>
      </c>
      <c r="BMM948" s="8">
        <f t="shared" ref="BMM948" si="882">IF(BMI948="Ionizador", 10, IF(BMI948="Mesa", 1000000000, IF(BMI948="Rack", 1000000000, IF(BMI948="Piso", 1000000000, IF(BMI948="Tapete", 1000000000, IF(BMI948="Carrito", 1000000000, IF(BMI948="Cautín", 10, 1)))))))</f>
        <v>1000000000</v>
      </c>
      <c r="BMN948" s="4" t="str">
        <f t="shared" ref="BMN948" si="883">IF(BMI948="Ionizador", "Segundos", "Ohms")</f>
        <v>Ohms</v>
      </c>
      <c r="BMO948" s="6">
        <v>148000000</v>
      </c>
      <c r="BMP948" s="6" t="str">
        <f t="shared" ref="BMP948" si="884">BMN948</f>
        <v>Ohms</v>
      </c>
      <c r="BMQ948" s="2" t="str">
        <f t="shared" ref="BMQ948" si="885">IF(BMI948="Ionizador", "Plato de carga", IF(BMI948="Cautín", "PTG", "RTG"))</f>
        <v>RTG</v>
      </c>
      <c r="BMR948" s="7">
        <v>45992</v>
      </c>
      <c r="BMS948" s="7">
        <f t="shared" ref="BMS948" si="886">IF(BMT948="Trimestral", BMR948+90, IF(BMT948="Semestral", BMR948+180, BMR948+365))</f>
        <v>46172</v>
      </c>
      <c r="BMT948" s="7" t="str">
        <f t="shared" ref="BMT948" si="887">IF(BMI948="Ionizador", "Trimestral", IF(BMI948="Rack", "Semestral", IF(BMI948="Mesa", "Semestral", IF(BMI948="Tapete", "Semestral", IF(BMI948="Cautín", "Semestral", IF(BMI948="Silla", "Semestral", "Anual"))))))</f>
        <v>Semestral</v>
      </c>
      <c r="BMU948" s="2" t="str">
        <f t="shared" ref="BMU948" ca="1" si="888">IF(BMS948&lt;TODAY(),"VENCIDO",IF(BMS948=TODAY(),"VENCE HOY",IF(BMS948&gt;TODAY(),"VIGENTE")))</f>
        <v>VIGENTE</v>
      </c>
      <c r="BMV948" s="6" t="s">
        <v>25</v>
      </c>
      <c r="BMW948" s="23" t="s">
        <v>138</v>
      </c>
      <c r="BMX948" s="2" t="s">
        <v>433</v>
      </c>
      <c r="BMY948" s="3" t="s">
        <v>22</v>
      </c>
      <c r="BMZ948" s="3" t="s">
        <v>23</v>
      </c>
      <c r="BNA948" s="2" t="s">
        <v>24</v>
      </c>
      <c r="BNB948" s="4">
        <v>0</v>
      </c>
      <c r="BNC948" s="8">
        <f t="shared" ref="BNC948" si="889">IF(BMY948="Ionizador", 10, IF(BMY948="Mesa", 1000000000, IF(BMY948="Rack", 1000000000, IF(BMY948="Piso", 1000000000, IF(BMY948="Tapete", 1000000000, IF(BMY948="Carrito", 1000000000, IF(BMY948="Cautín", 10, 1)))))))</f>
        <v>1000000000</v>
      </c>
      <c r="BND948" s="4" t="str">
        <f t="shared" ref="BND948" si="890">IF(BMY948="Ionizador", "Segundos", "Ohms")</f>
        <v>Ohms</v>
      </c>
      <c r="BNE948" s="6">
        <v>148000000</v>
      </c>
      <c r="BNF948" s="6" t="str">
        <f t="shared" ref="BNF948" si="891">BND948</f>
        <v>Ohms</v>
      </c>
      <c r="BNG948" s="2" t="str">
        <f t="shared" ref="BNG948" si="892">IF(BMY948="Ionizador", "Plato de carga", IF(BMY948="Cautín", "PTG", "RTG"))</f>
        <v>RTG</v>
      </c>
      <c r="BNH948" s="7">
        <v>45992</v>
      </c>
      <c r="BNI948" s="7">
        <f t="shared" ref="BNI948" si="893">IF(BNJ948="Trimestral", BNH948+90, IF(BNJ948="Semestral", BNH948+180, BNH948+365))</f>
        <v>46172</v>
      </c>
      <c r="BNJ948" s="7" t="str">
        <f t="shared" ref="BNJ948" si="894">IF(BMY948="Ionizador", "Trimestral", IF(BMY948="Rack", "Semestral", IF(BMY948="Mesa", "Semestral", IF(BMY948="Tapete", "Semestral", IF(BMY948="Cautín", "Semestral", IF(BMY948="Silla", "Semestral", "Anual"))))))</f>
        <v>Semestral</v>
      </c>
      <c r="BNK948" s="2" t="str">
        <f t="shared" ref="BNK948" ca="1" si="895">IF(BNI948&lt;TODAY(),"VENCIDO",IF(BNI948=TODAY(),"VENCE HOY",IF(BNI948&gt;TODAY(),"VIGENTE")))</f>
        <v>VIGENTE</v>
      </c>
      <c r="BNL948" s="6" t="s">
        <v>25</v>
      </c>
      <c r="BNM948" s="23" t="s">
        <v>138</v>
      </c>
      <c r="BNN948" s="2" t="s">
        <v>433</v>
      </c>
      <c r="BNO948" s="3" t="s">
        <v>22</v>
      </c>
      <c r="BNP948" s="3" t="s">
        <v>23</v>
      </c>
      <c r="BNQ948" s="2" t="s">
        <v>24</v>
      </c>
      <c r="BNR948" s="4">
        <v>0</v>
      </c>
      <c r="BNS948" s="8">
        <f t="shared" ref="BNS948" si="896">IF(BNO948="Ionizador", 10, IF(BNO948="Mesa", 1000000000, IF(BNO948="Rack", 1000000000, IF(BNO948="Piso", 1000000000, IF(BNO948="Tapete", 1000000000, IF(BNO948="Carrito", 1000000000, IF(BNO948="Cautín", 10, 1)))))))</f>
        <v>1000000000</v>
      </c>
      <c r="BNT948" s="4" t="str">
        <f t="shared" ref="BNT948" si="897">IF(BNO948="Ionizador", "Segundos", "Ohms")</f>
        <v>Ohms</v>
      </c>
      <c r="BNU948" s="6">
        <v>148000000</v>
      </c>
      <c r="BNV948" s="6" t="str">
        <f t="shared" ref="BNV948" si="898">BNT948</f>
        <v>Ohms</v>
      </c>
      <c r="BNW948" s="2" t="str">
        <f t="shared" ref="BNW948" si="899">IF(BNO948="Ionizador", "Plato de carga", IF(BNO948="Cautín", "PTG", "RTG"))</f>
        <v>RTG</v>
      </c>
      <c r="BNX948" s="7">
        <v>45992</v>
      </c>
      <c r="BNY948" s="7">
        <f t="shared" ref="BNY948" si="900">IF(BNZ948="Trimestral", BNX948+90, IF(BNZ948="Semestral", BNX948+180, BNX948+365))</f>
        <v>46172</v>
      </c>
      <c r="BNZ948" s="7" t="str">
        <f t="shared" ref="BNZ948" si="901">IF(BNO948="Ionizador", "Trimestral", IF(BNO948="Rack", "Semestral", IF(BNO948="Mesa", "Semestral", IF(BNO948="Tapete", "Semestral", IF(BNO948="Cautín", "Semestral", IF(BNO948="Silla", "Semestral", "Anual"))))))</f>
        <v>Semestral</v>
      </c>
      <c r="BOA948" s="2" t="str">
        <f t="shared" ref="BOA948" ca="1" si="902">IF(BNY948&lt;TODAY(),"VENCIDO",IF(BNY948=TODAY(),"VENCE HOY",IF(BNY948&gt;TODAY(),"VIGENTE")))</f>
        <v>VIGENTE</v>
      </c>
      <c r="BOB948" s="6" t="s">
        <v>25</v>
      </c>
      <c r="BOC948" s="23" t="s">
        <v>138</v>
      </c>
      <c r="BOD948" s="2" t="s">
        <v>433</v>
      </c>
      <c r="BOE948" s="3" t="s">
        <v>22</v>
      </c>
      <c r="BOF948" s="3" t="s">
        <v>23</v>
      </c>
      <c r="BOG948" s="2" t="s">
        <v>24</v>
      </c>
      <c r="BOH948" s="4">
        <v>0</v>
      </c>
      <c r="BOI948" s="8">
        <f t="shared" ref="BOI948" si="903">IF(BOE948="Ionizador", 10, IF(BOE948="Mesa", 1000000000, IF(BOE948="Rack", 1000000000, IF(BOE948="Piso", 1000000000, IF(BOE948="Tapete", 1000000000, IF(BOE948="Carrito", 1000000000, IF(BOE948="Cautín", 10, 1)))))))</f>
        <v>1000000000</v>
      </c>
      <c r="BOJ948" s="4" t="str">
        <f t="shared" ref="BOJ948" si="904">IF(BOE948="Ionizador", "Segundos", "Ohms")</f>
        <v>Ohms</v>
      </c>
      <c r="BOK948" s="6">
        <v>148000000</v>
      </c>
      <c r="BOL948" s="6" t="str">
        <f t="shared" ref="BOL948" si="905">BOJ948</f>
        <v>Ohms</v>
      </c>
      <c r="BOM948" s="2" t="str">
        <f t="shared" ref="BOM948" si="906">IF(BOE948="Ionizador", "Plato de carga", IF(BOE948="Cautín", "PTG", "RTG"))</f>
        <v>RTG</v>
      </c>
      <c r="BON948" s="7">
        <v>45992</v>
      </c>
      <c r="BOO948" s="7">
        <f t="shared" ref="BOO948" si="907">IF(BOP948="Trimestral", BON948+90, IF(BOP948="Semestral", BON948+180, BON948+365))</f>
        <v>46172</v>
      </c>
      <c r="BOP948" s="7" t="str">
        <f t="shared" ref="BOP948" si="908">IF(BOE948="Ionizador", "Trimestral", IF(BOE948="Rack", "Semestral", IF(BOE948="Mesa", "Semestral", IF(BOE948="Tapete", "Semestral", IF(BOE948="Cautín", "Semestral", IF(BOE948="Silla", "Semestral", "Anual"))))))</f>
        <v>Semestral</v>
      </c>
      <c r="BOQ948" s="2" t="str">
        <f t="shared" ref="BOQ948" ca="1" si="909">IF(BOO948&lt;TODAY(),"VENCIDO",IF(BOO948=TODAY(),"VENCE HOY",IF(BOO948&gt;TODAY(),"VIGENTE")))</f>
        <v>VIGENTE</v>
      </c>
      <c r="BOR948" s="6" t="s">
        <v>25</v>
      </c>
      <c r="BOS948" s="23" t="s">
        <v>138</v>
      </c>
      <c r="BOT948" s="2" t="s">
        <v>433</v>
      </c>
      <c r="BOU948" s="3" t="s">
        <v>22</v>
      </c>
      <c r="BOV948" s="3" t="s">
        <v>23</v>
      </c>
      <c r="BOW948" s="2" t="s">
        <v>24</v>
      </c>
      <c r="BOX948" s="4">
        <v>0</v>
      </c>
      <c r="BOY948" s="8">
        <f t="shared" ref="BOY948" si="910">IF(BOU948="Ionizador", 10, IF(BOU948="Mesa", 1000000000, IF(BOU948="Rack", 1000000000, IF(BOU948="Piso", 1000000000, IF(BOU948="Tapete", 1000000000, IF(BOU948="Carrito", 1000000000, IF(BOU948="Cautín", 10, 1)))))))</f>
        <v>1000000000</v>
      </c>
      <c r="BOZ948" s="4" t="str">
        <f t="shared" ref="BOZ948" si="911">IF(BOU948="Ionizador", "Segundos", "Ohms")</f>
        <v>Ohms</v>
      </c>
      <c r="BPA948" s="6">
        <v>148000000</v>
      </c>
      <c r="BPB948" s="6" t="str">
        <f t="shared" ref="BPB948" si="912">BOZ948</f>
        <v>Ohms</v>
      </c>
      <c r="BPC948" s="2" t="str">
        <f t="shared" ref="BPC948" si="913">IF(BOU948="Ionizador", "Plato de carga", IF(BOU948="Cautín", "PTG", "RTG"))</f>
        <v>RTG</v>
      </c>
      <c r="BPD948" s="7">
        <v>45992</v>
      </c>
      <c r="BPE948" s="7">
        <f t="shared" ref="BPE948" si="914">IF(BPF948="Trimestral", BPD948+90, IF(BPF948="Semestral", BPD948+180, BPD948+365))</f>
        <v>46172</v>
      </c>
      <c r="BPF948" s="7" t="str">
        <f t="shared" ref="BPF948" si="915">IF(BOU948="Ionizador", "Trimestral", IF(BOU948="Rack", "Semestral", IF(BOU948="Mesa", "Semestral", IF(BOU948="Tapete", "Semestral", IF(BOU948="Cautín", "Semestral", IF(BOU948="Silla", "Semestral", "Anual"))))))</f>
        <v>Semestral</v>
      </c>
      <c r="BPG948" s="2" t="str">
        <f t="shared" ref="BPG948" ca="1" si="916">IF(BPE948&lt;TODAY(),"VENCIDO",IF(BPE948=TODAY(),"VENCE HOY",IF(BPE948&gt;TODAY(),"VIGENTE")))</f>
        <v>VIGENTE</v>
      </c>
      <c r="BPH948" s="6" t="s">
        <v>25</v>
      </c>
      <c r="BPI948" s="23" t="s">
        <v>138</v>
      </c>
      <c r="BPJ948" s="2" t="s">
        <v>433</v>
      </c>
      <c r="BPK948" s="3" t="s">
        <v>22</v>
      </c>
      <c r="BPL948" s="3" t="s">
        <v>23</v>
      </c>
      <c r="BPM948" s="2" t="s">
        <v>24</v>
      </c>
      <c r="BPN948" s="4">
        <v>0</v>
      </c>
      <c r="BPO948" s="8">
        <f t="shared" ref="BPO948" si="917">IF(BPK948="Ionizador", 10, IF(BPK948="Mesa", 1000000000, IF(BPK948="Rack", 1000000000, IF(BPK948="Piso", 1000000000, IF(BPK948="Tapete", 1000000000, IF(BPK948="Carrito", 1000000000, IF(BPK948="Cautín", 10, 1)))))))</f>
        <v>1000000000</v>
      </c>
      <c r="BPP948" s="4" t="str">
        <f t="shared" ref="BPP948" si="918">IF(BPK948="Ionizador", "Segundos", "Ohms")</f>
        <v>Ohms</v>
      </c>
      <c r="BPQ948" s="6">
        <v>148000000</v>
      </c>
      <c r="BPR948" s="6" t="str">
        <f t="shared" ref="BPR948" si="919">BPP948</f>
        <v>Ohms</v>
      </c>
      <c r="BPS948" s="2" t="str">
        <f t="shared" ref="BPS948" si="920">IF(BPK948="Ionizador", "Plato de carga", IF(BPK948="Cautín", "PTG", "RTG"))</f>
        <v>RTG</v>
      </c>
      <c r="BPT948" s="7">
        <v>45992</v>
      </c>
      <c r="BPU948" s="7">
        <f t="shared" ref="BPU948" si="921">IF(BPV948="Trimestral", BPT948+90, IF(BPV948="Semestral", BPT948+180, BPT948+365))</f>
        <v>46172</v>
      </c>
      <c r="BPV948" s="7" t="str">
        <f t="shared" ref="BPV948" si="922">IF(BPK948="Ionizador", "Trimestral", IF(BPK948="Rack", "Semestral", IF(BPK948="Mesa", "Semestral", IF(BPK948="Tapete", "Semestral", IF(BPK948="Cautín", "Semestral", IF(BPK948="Silla", "Semestral", "Anual"))))))</f>
        <v>Semestral</v>
      </c>
      <c r="BPW948" s="2" t="str">
        <f t="shared" ref="BPW948" ca="1" si="923">IF(BPU948&lt;TODAY(),"VENCIDO",IF(BPU948=TODAY(),"VENCE HOY",IF(BPU948&gt;TODAY(),"VIGENTE")))</f>
        <v>VIGENTE</v>
      </c>
      <c r="BPX948" s="6" t="s">
        <v>25</v>
      </c>
      <c r="BPY948" s="23" t="s">
        <v>138</v>
      </c>
      <c r="BPZ948" s="2" t="s">
        <v>433</v>
      </c>
      <c r="BQA948" s="3" t="s">
        <v>22</v>
      </c>
      <c r="BQB948" s="3" t="s">
        <v>23</v>
      </c>
      <c r="BQC948" s="2" t="s">
        <v>24</v>
      </c>
      <c r="BQD948" s="4">
        <v>0</v>
      </c>
      <c r="BQE948" s="8">
        <f t="shared" ref="BQE948" si="924">IF(BQA948="Ionizador", 10, IF(BQA948="Mesa", 1000000000, IF(BQA948="Rack", 1000000000, IF(BQA948="Piso", 1000000000, IF(BQA948="Tapete", 1000000000, IF(BQA948="Carrito", 1000000000, IF(BQA948="Cautín", 10, 1)))))))</f>
        <v>1000000000</v>
      </c>
      <c r="BQF948" s="4" t="str">
        <f t="shared" ref="BQF948" si="925">IF(BQA948="Ionizador", "Segundos", "Ohms")</f>
        <v>Ohms</v>
      </c>
      <c r="BQG948" s="6">
        <v>148000000</v>
      </c>
      <c r="BQH948" s="6" t="str">
        <f t="shared" ref="BQH948" si="926">BQF948</f>
        <v>Ohms</v>
      </c>
      <c r="BQI948" s="2" t="str">
        <f t="shared" ref="BQI948" si="927">IF(BQA948="Ionizador", "Plato de carga", IF(BQA948="Cautín", "PTG", "RTG"))</f>
        <v>RTG</v>
      </c>
      <c r="BQJ948" s="7">
        <v>45992</v>
      </c>
      <c r="BQK948" s="7">
        <f t="shared" ref="BQK948" si="928">IF(BQL948="Trimestral", BQJ948+90, IF(BQL948="Semestral", BQJ948+180, BQJ948+365))</f>
        <v>46172</v>
      </c>
      <c r="BQL948" s="7" t="str">
        <f t="shared" ref="BQL948" si="929">IF(BQA948="Ionizador", "Trimestral", IF(BQA948="Rack", "Semestral", IF(BQA948="Mesa", "Semestral", IF(BQA948="Tapete", "Semestral", IF(BQA948="Cautín", "Semestral", IF(BQA948="Silla", "Semestral", "Anual"))))))</f>
        <v>Semestral</v>
      </c>
      <c r="BQM948" s="2" t="str">
        <f t="shared" ref="BQM948" ca="1" si="930">IF(BQK948&lt;TODAY(),"VENCIDO",IF(BQK948=TODAY(),"VENCE HOY",IF(BQK948&gt;TODAY(),"VIGENTE")))</f>
        <v>VIGENTE</v>
      </c>
      <c r="BQN948" s="6" t="s">
        <v>25</v>
      </c>
      <c r="BQO948" s="23" t="s">
        <v>138</v>
      </c>
      <c r="BQP948" s="2" t="s">
        <v>433</v>
      </c>
      <c r="BQQ948" s="3" t="s">
        <v>22</v>
      </c>
      <c r="BQR948" s="3" t="s">
        <v>23</v>
      </c>
      <c r="BQS948" s="2" t="s">
        <v>24</v>
      </c>
      <c r="BQT948" s="4">
        <v>0</v>
      </c>
      <c r="BQU948" s="8">
        <f t="shared" ref="BQU948" si="931">IF(BQQ948="Ionizador", 10, IF(BQQ948="Mesa", 1000000000, IF(BQQ948="Rack", 1000000000, IF(BQQ948="Piso", 1000000000, IF(BQQ948="Tapete", 1000000000, IF(BQQ948="Carrito", 1000000000, IF(BQQ948="Cautín", 10, 1)))))))</f>
        <v>1000000000</v>
      </c>
      <c r="BQV948" s="4" t="str">
        <f t="shared" ref="BQV948" si="932">IF(BQQ948="Ionizador", "Segundos", "Ohms")</f>
        <v>Ohms</v>
      </c>
      <c r="BQW948" s="6">
        <v>148000000</v>
      </c>
      <c r="BQX948" s="6" t="str">
        <f t="shared" ref="BQX948" si="933">BQV948</f>
        <v>Ohms</v>
      </c>
      <c r="BQY948" s="2" t="str">
        <f t="shared" ref="BQY948" si="934">IF(BQQ948="Ionizador", "Plato de carga", IF(BQQ948="Cautín", "PTG", "RTG"))</f>
        <v>RTG</v>
      </c>
      <c r="BQZ948" s="7">
        <v>45992</v>
      </c>
      <c r="BRA948" s="7">
        <f t="shared" ref="BRA948" si="935">IF(BRB948="Trimestral", BQZ948+90, IF(BRB948="Semestral", BQZ948+180, BQZ948+365))</f>
        <v>46172</v>
      </c>
      <c r="BRB948" s="7" t="str">
        <f t="shared" ref="BRB948" si="936">IF(BQQ948="Ionizador", "Trimestral", IF(BQQ948="Rack", "Semestral", IF(BQQ948="Mesa", "Semestral", IF(BQQ948="Tapete", "Semestral", IF(BQQ948="Cautín", "Semestral", IF(BQQ948="Silla", "Semestral", "Anual"))))))</f>
        <v>Semestral</v>
      </c>
      <c r="BRC948" s="2" t="str">
        <f t="shared" ref="BRC948" ca="1" si="937">IF(BRA948&lt;TODAY(),"VENCIDO",IF(BRA948=TODAY(),"VENCE HOY",IF(BRA948&gt;TODAY(),"VIGENTE")))</f>
        <v>VIGENTE</v>
      </c>
      <c r="BRD948" s="6" t="s">
        <v>25</v>
      </c>
      <c r="BRE948" s="23" t="s">
        <v>138</v>
      </c>
      <c r="BRF948" s="2" t="s">
        <v>433</v>
      </c>
      <c r="BRG948" s="3" t="s">
        <v>22</v>
      </c>
      <c r="BRH948" s="3" t="s">
        <v>23</v>
      </c>
      <c r="BRI948" s="2" t="s">
        <v>24</v>
      </c>
      <c r="BRJ948" s="4">
        <v>0</v>
      </c>
      <c r="BRK948" s="8">
        <f t="shared" ref="BRK948" si="938">IF(BRG948="Ionizador", 10, IF(BRG948="Mesa", 1000000000, IF(BRG948="Rack", 1000000000, IF(BRG948="Piso", 1000000000, IF(BRG948="Tapete", 1000000000, IF(BRG948="Carrito", 1000000000, IF(BRG948="Cautín", 10, 1)))))))</f>
        <v>1000000000</v>
      </c>
      <c r="BRL948" s="4" t="str">
        <f t="shared" ref="BRL948" si="939">IF(BRG948="Ionizador", "Segundos", "Ohms")</f>
        <v>Ohms</v>
      </c>
      <c r="BRM948" s="6">
        <v>148000000</v>
      </c>
      <c r="BRN948" s="6" t="str">
        <f t="shared" ref="BRN948" si="940">BRL948</f>
        <v>Ohms</v>
      </c>
      <c r="BRO948" s="2" t="str">
        <f t="shared" ref="BRO948" si="941">IF(BRG948="Ionizador", "Plato de carga", IF(BRG948="Cautín", "PTG", "RTG"))</f>
        <v>RTG</v>
      </c>
      <c r="BRP948" s="7">
        <v>45992</v>
      </c>
      <c r="BRQ948" s="7">
        <f t="shared" ref="BRQ948" si="942">IF(BRR948="Trimestral", BRP948+90, IF(BRR948="Semestral", BRP948+180, BRP948+365))</f>
        <v>46172</v>
      </c>
      <c r="BRR948" s="7" t="str">
        <f t="shared" ref="BRR948" si="943">IF(BRG948="Ionizador", "Trimestral", IF(BRG948="Rack", "Semestral", IF(BRG948="Mesa", "Semestral", IF(BRG948="Tapete", "Semestral", IF(BRG948="Cautín", "Semestral", IF(BRG948="Silla", "Semestral", "Anual"))))))</f>
        <v>Semestral</v>
      </c>
      <c r="BRS948" s="2" t="str">
        <f t="shared" ref="BRS948" ca="1" si="944">IF(BRQ948&lt;TODAY(),"VENCIDO",IF(BRQ948=TODAY(),"VENCE HOY",IF(BRQ948&gt;TODAY(),"VIGENTE")))</f>
        <v>VIGENTE</v>
      </c>
      <c r="BRT948" s="6" t="s">
        <v>25</v>
      </c>
      <c r="BRU948" s="23" t="s">
        <v>138</v>
      </c>
      <c r="BRV948" s="2" t="s">
        <v>433</v>
      </c>
      <c r="BRW948" s="3" t="s">
        <v>22</v>
      </c>
      <c r="BRX948" s="3" t="s">
        <v>23</v>
      </c>
      <c r="BRY948" s="2" t="s">
        <v>24</v>
      </c>
      <c r="BRZ948" s="4">
        <v>0</v>
      </c>
      <c r="BSA948" s="8">
        <f t="shared" ref="BSA948" si="945">IF(BRW948="Ionizador", 10, IF(BRW948="Mesa", 1000000000, IF(BRW948="Rack", 1000000000, IF(BRW948="Piso", 1000000000, IF(BRW948="Tapete", 1000000000, IF(BRW948="Carrito", 1000000000, IF(BRW948="Cautín", 10, 1)))))))</f>
        <v>1000000000</v>
      </c>
      <c r="BSB948" s="4" t="str">
        <f t="shared" ref="BSB948" si="946">IF(BRW948="Ionizador", "Segundos", "Ohms")</f>
        <v>Ohms</v>
      </c>
      <c r="BSC948" s="6">
        <v>148000000</v>
      </c>
      <c r="BSD948" s="6" t="str">
        <f t="shared" ref="BSD948" si="947">BSB948</f>
        <v>Ohms</v>
      </c>
      <c r="BSE948" s="2" t="str">
        <f t="shared" ref="BSE948" si="948">IF(BRW948="Ionizador", "Plato de carga", IF(BRW948="Cautín", "PTG", "RTG"))</f>
        <v>RTG</v>
      </c>
      <c r="BSF948" s="7">
        <v>45992</v>
      </c>
      <c r="BSG948" s="7">
        <f t="shared" ref="BSG948" si="949">IF(BSH948="Trimestral", BSF948+90, IF(BSH948="Semestral", BSF948+180, BSF948+365))</f>
        <v>46172</v>
      </c>
      <c r="BSH948" s="7" t="str">
        <f t="shared" ref="BSH948" si="950">IF(BRW948="Ionizador", "Trimestral", IF(BRW948="Rack", "Semestral", IF(BRW948="Mesa", "Semestral", IF(BRW948="Tapete", "Semestral", IF(BRW948="Cautín", "Semestral", IF(BRW948="Silla", "Semestral", "Anual"))))))</f>
        <v>Semestral</v>
      </c>
      <c r="BSI948" s="2" t="str">
        <f t="shared" ref="BSI948" ca="1" si="951">IF(BSG948&lt;TODAY(),"VENCIDO",IF(BSG948=TODAY(),"VENCE HOY",IF(BSG948&gt;TODAY(),"VIGENTE")))</f>
        <v>VIGENTE</v>
      </c>
      <c r="BSJ948" s="6" t="s">
        <v>25</v>
      </c>
      <c r="BSK948" s="23" t="s">
        <v>138</v>
      </c>
      <c r="BSL948" s="2" t="s">
        <v>433</v>
      </c>
      <c r="BSM948" s="3" t="s">
        <v>22</v>
      </c>
      <c r="BSN948" s="3" t="s">
        <v>23</v>
      </c>
      <c r="BSO948" s="2" t="s">
        <v>24</v>
      </c>
      <c r="BSP948" s="4">
        <v>0</v>
      </c>
      <c r="BSQ948" s="8">
        <f t="shared" ref="BSQ948" si="952">IF(BSM948="Ionizador", 10, IF(BSM948="Mesa", 1000000000, IF(BSM948="Rack", 1000000000, IF(BSM948="Piso", 1000000000, IF(BSM948="Tapete", 1000000000, IF(BSM948="Carrito", 1000000000, IF(BSM948="Cautín", 10, 1)))))))</f>
        <v>1000000000</v>
      </c>
      <c r="BSR948" s="4" t="str">
        <f t="shared" ref="BSR948" si="953">IF(BSM948="Ionizador", "Segundos", "Ohms")</f>
        <v>Ohms</v>
      </c>
      <c r="BSS948" s="6">
        <v>148000000</v>
      </c>
      <c r="BST948" s="6" t="str">
        <f t="shared" ref="BST948" si="954">BSR948</f>
        <v>Ohms</v>
      </c>
      <c r="BSU948" s="2" t="str">
        <f t="shared" ref="BSU948" si="955">IF(BSM948="Ionizador", "Plato de carga", IF(BSM948="Cautín", "PTG", "RTG"))</f>
        <v>RTG</v>
      </c>
      <c r="BSV948" s="7">
        <v>45992</v>
      </c>
      <c r="BSW948" s="7">
        <f t="shared" ref="BSW948" si="956">IF(BSX948="Trimestral", BSV948+90, IF(BSX948="Semestral", BSV948+180, BSV948+365))</f>
        <v>46172</v>
      </c>
      <c r="BSX948" s="7" t="str">
        <f t="shared" ref="BSX948" si="957">IF(BSM948="Ionizador", "Trimestral", IF(BSM948="Rack", "Semestral", IF(BSM948="Mesa", "Semestral", IF(BSM948="Tapete", "Semestral", IF(BSM948="Cautín", "Semestral", IF(BSM948="Silla", "Semestral", "Anual"))))))</f>
        <v>Semestral</v>
      </c>
      <c r="BSY948" s="2" t="str">
        <f t="shared" ref="BSY948" ca="1" si="958">IF(BSW948&lt;TODAY(),"VENCIDO",IF(BSW948=TODAY(),"VENCE HOY",IF(BSW948&gt;TODAY(),"VIGENTE")))</f>
        <v>VIGENTE</v>
      </c>
      <c r="BSZ948" s="6" t="s">
        <v>25</v>
      </c>
      <c r="BTA948" s="23" t="s">
        <v>138</v>
      </c>
      <c r="BTB948" s="2" t="s">
        <v>433</v>
      </c>
      <c r="BTC948" s="3" t="s">
        <v>22</v>
      </c>
      <c r="BTD948" s="3" t="s">
        <v>23</v>
      </c>
      <c r="BTE948" s="2" t="s">
        <v>24</v>
      </c>
      <c r="BTF948" s="4">
        <v>0</v>
      </c>
      <c r="BTG948" s="8">
        <f t="shared" ref="BTG948" si="959">IF(BTC948="Ionizador", 10, IF(BTC948="Mesa", 1000000000, IF(BTC948="Rack", 1000000000, IF(BTC948="Piso", 1000000000, IF(BTC948="Tapete", 1000000000, IF(BTC948="Carrito", 1000000000, IF(BTC948="Cautín", 10, 1)))))))</f>
        <v>1000000000</v>
      </c>
      <c r="BTH948" s="4" t="str">
        <f t="shared" ref="BTH948" si="960">IF(BTC948="Ionizador", "Segundos", "Ohms")</f>
        <v>Ohms</v>
      </c>
      <c r="BTI948" s="6">
        <v>148000000</v>
      </c>
      <c r="BTJ948" s="6" t="str">
        <f t="shared" ref="BTJ948" si="961">BTH948</f>
        <v>Ohms</v>
      </c>
      <c r="BTK948" s="2" t="str">
        <f t="shared" ref="BTK948" si="962">IF(BTC948="Ionizador", "Plato de carga", IF(BTC948="Cautín", "PTG", "RTG"))</f>
        <v>RTG</v>
      </c>
      <c r="BTL948" s="7">
        <v>45992</v>
      </c>
      <c r="BTM948" s="7">
        <f t="shared" ref="BTM948" si="963">IF(BTN948="Trimestral", BTL948+90, IF(BTN948="Semestral", BTL948+180, BTL948+365))</f>
        <v>46172</v>
      </c>
      <c r="BTN948" s="7" t="str">
        <f t="shared" ref="BTN948" si="964">IF(BTC948="Ionizador", "Trimestral", IF(BTC948="Rack", "Semestral", IF(BTC948="Mesa", "Semestral", IF(BTC948="Tapete", "Semestral", IF(BTC948="Cautín", "Semestral", IF(BTC948="Silla", "Semestral", "Anual"))))))</f>
        <v>Semestral</v>
      </c>
      <c r="BTO948" s="2" t="str">
        <f t="shared" ref="BTO948" ca="1" si="965">IF(BTM948&lt;TODAY(),"VENCIDO",IF(BTM948=TODAY(),"VENCE HOY",IF(BTM948&gt;TODAY(),"VIGENTE")))</f>
        <v>VIGENTE</v>
      </c>
      <c r="BTP948" s="6" t="s">
        <v>25</v>
      </c>
      <c r="BTQ948" s="23" t="s">
        <v>138</v>
      </c>
      <c r="BTR948" s="2" t="s">
        <v>433</v>
      </c>
      <c r="BTS948" s="3" t="s">
        <v>22</v>
      </c>
      <c r="BTT948" s="3" t="s">
        <v>23</v>
      </c>
      <c r="BTU948" s="2" t="s">
        <v>24</v>
      </c>
      <c r="BTV948" s="4">
        <v>0</v>
      </c>
      <c r="BTW948" s="8">
        <f t="shared" ref="BTW948" si="966">IF(BTS948="Ionizador", 10, IF(BTS948="Mesa", 1000000000, IF(BTS948="Rack", 1000000000, IF(BTS948="Piso", 1000000000, IF(BTS948="Tapete", 1000000000, IF(BTS948="Carrito", 1000000000, IF(BTS948="Cautín", 10, 1)))))))</f>
        <v>1000000000</v>
      </c>
      <c r="BTX948" s="4" t="str">
        <f t="shared" ref="BTX948" si="967">IF(BTS948="Ionizador", "Segundos", "Ohms")</f>
        <v>Ohms</v>
      </c>
      <c r="BTY948" s="6">
        <v>148000000</v>
      </c>
      <c r="BTZ948" s="6" t="str">
        <f t="shared" ref="BTZ948" si="968">BTX948</f>
        <v>Ohms</v>
      </c>
      <c r="BUA948" s="2" t="str">
        <f t="shared" ref="BUA948" si="969">IF(BTS948="Ionizador", "Plato de carga", IF(BTS948="Cautín", "PTG", "RTG"))</f>
        <v>RTG</v>
      </c>
      <c r="BUB948" s="7">
        <v>45992</v>
      </c>
      <c r="BUC948" s="7">
        <f t="shared" ref="BUC948" si="970">IF(BUD948="Trimestral", BUB948+90, IF(BUD948="Semestral", BUB948+180, BUB948+365))</f>
        <v>46172</v>
      </c>
      <c r="BUD948" s="7" t="str">
        <f t="shared" ref="BUD948" si="971">IF(BTS948="Ionizador", "Trimestral", IF(BTS948="Rack", "Semestral", IF(BTS948="Mesa", "Semestral", IF(BTS948="Tapete", "Semestral", IF(BTS948="Cautín", "Semestral", IF(BTS948="Silla", "Semestral", "Anual"))))))</f>
        <v>Semestral</v>
      </c>
      <c r="BUE948" s="2" t="str">
        <f t="shared" ref="BUE948" ca="1" si="972">IF(BUC948&lt;TODAY(),"VENCIDO",IF(BUC948=TODAY(),"VENCE HOY",IF(BUC948&gt;TODAY(),"VIGENTE")))</f>
        <v>VIGENTE</v>
      </c>
      <c r="BUF948" s="6" t="s">
        <v>25</v>
      </c>
      <c r="BUG948" s="23" t="s">
        <v>138</v>
      </c>
      <c r="BUH948" s="2" t="s">
        <v>433</v>
      </c>
      <c r="BUI948" s="3" t="s">
        <v>22</v>
      </c>
      <c r="BUJ948" s="3" t="s">
        <v>23</v>
      </c>
      <c r="BUK948" s="2" t="s">
        <v>24</v>
      </c>
      <c r="BUL948" s="4">
        <v>0</v>
      </c>
      <c r="BUM948" s="8">
        <f t="shared" ref="BUM948" si="973">IF(BUI948="Ionizador", 10, IF(BUI948="Mesa", 1000000000, IF(BUI948="Rack", 1000000000, IF(BUI948="Piso", 1000000000, IF(BUI948="Tapete", 1000000000, IF(BUI948="Carrito", 1000000000, IF(BUI948="Cautín", 10, 1)))))))</f>
        <v>1000000000</v>
      </c>
      <c r="BUN948" s="4" t="str">
        <f t="shared" ref="BUN948" si="974">IF(BUI948="Ionizador", "Segundos", "Ohms")</f>
        <v>Ohms</v>
      </c>
      <c r="BUO948" s="6">
        <v>148000000</v>
      </c>
      <c r="BUP948" s="6" t="str">
        <f t="shared" ref="BUP948" si="975">BUN948</f>
        <v>Ohms</v>
      </c>
      <c r="BUQ948" s="2" t="str">
        <f t="shared" ref="BUQ948" si="976">IF(BUI948="Ionizador", "Plato de carga", IF(BUI948="Cautín", "PTG", "RTG"))</f>
        <v>RTG</v>
      </c>
      <c r="BUR948" s="7">
        <v>45992</v>
      </c>
      <c r="BUS948" s="7">
        <f t="shared" ref="BUS948" si="977">IF(BUT948="Trimestral", BUR948+90, IF(BUT948="Semestral", BUR948+180, BUR948+365))</f>
        <v>46172</v>
      </c>
      <c r="BUT948" s="7" t="str">
        <f t="shared" ref="BUT948" si="978">IF(BUI948="Ionizador", "Trimestral", IF(BUI948="Rack", "Semestral", IF(BUI948="Mesa", "Semestral", IF(BUI948="Tapete", "Semestral", IF(BUI948="Cautín", "Semestral", IF(BUI948="Silla", "Semestral", "Anual"))))))</f>
        <v>Semestral</v>
      </c>
      <c r="BUU948" s="2" t="str">
        <f t="shared" ref="BUU948" ca="1" si="979">IF(BUS948&lt;TODAY(),"VENCIDO",IF(BUS948=TODAY(),"VENCE HOY",IF(BUS948&gt;TODAY(),"VIGENTE")))</f>
        <v>VIGENTE</v>
      </c>
      <c r="BUV948" s="6" t="s">
        <v>25</v>
      </c>
      <c r="BUW948" s="23" t="s">
        <v>138</v>
      </c>
      <c r="BUX948" s="2" t="s">
        <v>433</v>
      </c>
      <c r="BUY948" s="3" t="s">
        <v>22</v>
      </c>
      <c r="BUZ948" s="3" t="s">
        <v>23</v>
      </c>
      <c r="BVA948" s="2" t="s">
        <v>24</v>
      </c>
      <c r="BVB948" s="4">
        <v>0</v>
      </c>
      <c r="BVC948" s="8">
        <f t="shared" ref="BVC948" si="980">IF(BUY948="Ionizador", 10, IF(BUY948="Mesa", 1000000000, IF(BUY948="Rack", 1000000000, IF(BUY948="Piso", 1000000000, IF(BUY948="Tapete", 1000000000, IF(BUY948="Carrito", 1000000000, IF(BUY948="Cautín", 10, 1)))))))</f>
        <v>1000000000</v>
      </c>
      <c r="BVD948" s="4" t="str">
        <f t="shared" ref="BVD948" si="981">IF(BUY948="Ionizador", "Segundos", "Ohms")</f>
        <v>Ohms</v>
      </c>
      <c r="BVE948" s="6">
        <v>148000000</v>
      </c>
      <c r="BVF948" s="6" t="str">
        <f t="shared" ref="BVF948" si="982">BVD948</f>
        <v>Ohms</v>
      </c>
      <c r="BVG948" s="2" t="str">
        <f t="shared" ref="BVG948" si="983">IF(BUY948="Ionizador", "Plato de carga", IF(BUY948="Cautín", "PTG", "RTG"))</f>
        <v>RTG</v>
      </c>
      <c r="BVH948" s="7">
        <v>45992</v>
      </c>
      <c r="BVI948" s="7">
        <f t="shared" ref="BVI948" si="984">IF(BVJ948="Trimestral", BVH948+90, IF(BVJ948="Semestral", BVH948+180, BVH948+365))</f>
        <v>46172</v>
      </c>
      <c r="BVJ948" s="7" t="str">
        <f t="shared" ref="BVJ948" si="985">IF(BUY948="Ionizador", "Trimestral", IF(BUY948="Rack", "Semestral", IF(BUY948="Mesa", "Semestral", IF(BUY948="Tapete", "Semestral", IF(BUY948="Cautín", "Semestral", IF(BUY948="Silla", "Semestral", "Anual"))))))</f>
        <v>Semestral</v>
      </c>
      <c r="BVK948" s="2" t="str">
        <f t="shared" ref="BVK948" ca="1" si="986">IF(BVI948&lt;TODAY(),"VENCIDO",IF(BVI948=TODAY(),"VENCE HOY",IF(BVI948&gt;TODAY(),"VIGENTE")))</f>
        <v>VIGENTE</v>
      </c>
      <c r="BVL948" s="6" t="s">
        <v>25</v>
      </c>
      <c r="BVM948" s="23" t="s">
        <v>138</v>
      </c>
      <c r="BVN948" s="2" t="s">
        <v>433</v>
      </c>
      <c r="BVO948" s="3" t="s">
        <v>22</v>
      </c>
      <c r="BVP948" s="3" t="s">
        <v>23</v>
      </c>
      <c r="BVQ948" s="2" t="s">
        <v>24</v>
      </c>
      <c r="BVR948" s="4">
        <v>0</v>
      </c>
      <c r="BVS948" s="8">
        <f t="shared" ref="BVS948" si="987">IF(BVO948="Ionizador", 10, IF(BVO948="Mesa", 1000000000, IF(BVO948="Rack", 1000000000, IF(BVO948="Piso", 1000000000, IF(BVO948="Tapete", 1000000000, IF(BVO948="Carrito", 1000000000, IF(BVO948="Cautín", 10, 1)))))))</f>
        <v>1000000000</v>
      </c>
      <c r="BVT948" s="4" t="str">
        <f t="shared" ref="BVT948" si="988">IF(BVO948="Ionizador", "Segundos", "Ohms")</f>
        <v>Ohms</v>
      </c>
      <c r="BVU948" s="6">
        <v>148000000</v>
      </c>
      <c r="BVV948" s="6" t="str">
        <f t="shared" ref="BVV948" si="989">BVT948</f>
        <v>Ohms</v>
      </c>
      <c r="BVW948" s="2" t="str">
        <f t="shared" ref="BVW948" si="990">IF(BVO948="Ionizador", "Plato de carga", IF(BVO948="Cautín", "PTG", "RTG"))</f>
        <v>RTG</v>
      </c>
      <c r="BVX948" s="7">
        <v>45992</v>
      </c>
      <c r="BVY948" s="7">
        <f t="shared" ref="BVY948" si="991">IF(BVZ948="Trimestral", BVX948+90, IF(BVZ948="Semestral", BVX948+180, BVX948+365))</f>
        <v>46172</v>
      </c>
      <c r="BVZ948" s="7" t="str">
        <f t="shared" ref="BVZ948" si="992">IF(BVO948="Ionizador", "Trimestral", IF(BVO948="Rack", "Semestral", IF(BVO948="Mesa", "Semestral", IF(BVO948="Tapete", "Semestral", IF(BVO948="Cautín", "Semestral", IF(BVO948="Silla", "Semestral", "Anual"))))))</f>
        <v>Semestral</v>
      </c>
      <c r="BWA948" s="2" t="str">
        <f t="shared" ref="BWA948" ca="1" si="993">IF(BVY948&lt;TODAY(),"VENCIDO",IF(BVY948=TODAY(),"VENCE HOY",IF(BVY948&gt;TODAY(),"VIGENTE")))</f>
        <v>VIGENTE</v>
      </c>
      <c r="BWB948" s="6" t="s">
        <v>25</v>
      </c>
      <c r="BWC948" s="23" t="s">
        <v>138</v>
      </c>
      <c r="BWD948" s="2" t="s">
        <v>433</v>
      </c>
      <c r="BWE948" s="3" t="s">
        <v>22</v>
      </c>
      <c r="BWF948" s="3" t="s">
        <v>23</v>
      </c>
      <c r="BWG948" s="2" t="s">
        <v>24</v>
      </c>
      <c r="BWH948" s="4">
        <v>0</v>
      </c>
      <c r="BWI948" s="8">
        <f t="shared" ref="BWI948" si="994">IF(BWE948="Ionizador", 10, IF(BWE948="Mesa", 1000000000, IF(BWE948="Rack", 1000000000, IF(BWE948="Piso", 1000000000, IF(BWE948="Tapete", 1000000000, IF(BWE948="Carrito", 1000000000, IF(BWE948="Cautín", 10, 1)))))))</f>
        <v>1000000000</v>
      </c>
      <c r="BWJ948" s="4" t="str">
        <f t="shared" ref="BWJ948" si="995">IF(BWE948="Ionizador", "Segundos", "Ohms")</f>
        <v>Ohms</v>
      </c>
      <c r="BWK948" s="6">
        <v>148000000</v>
      </c>
      <c r="BWL948" s="6" t="str">
        <f t="shared" ref="BWL948" si="996">BWJ948</f>
        <v>Ohms</v>
      </c>
      <c r="BWM948" s="2" t="str">
        <f t="shared" ref="BWM948" si="997">IF(BWE948="Ionizador", "Plato de carga", IF(BWE948="Cautín", "PTG", "RTG"))</f>
        <v>RTG</v>
      </c>
      <c r="BWN948" s="7">
        <v>45992</v>
      </c>
      <c r="BWO948" s="7">
        <f t="shared" ref="BWO948" si="998">IF(BWP948="Trimestral", BWN948+90, IF(BWP948="Semestral", BWN948+180, BWN948+365))</f>
        <v>46172</v>
      </c>
      <c r="BWP948" s="7" t="str">
        <f t="shared" ref="BWP948" si="999">IF(BWE948="Ionizador", "Trimestral", IF(BWE948="Rack", "Semestral", IF(BWE948="Mesa", "Semestral", IF(BWE948="Tapete", "Semestral", IF(BWE948="Cautín", "Semestral", IF(BWE948="Silla", "Semestral", "Anual"))))))</f>
        <v>Semestral</v>
      </c>
      <c r="BWQ948" s="2" t="str">
        <f t="shared" ref="BWQ948" ca="1" si="1000">IF(BWO948&lt;TODAY(),"VENCIDO",IF(BWO948=TODAY(),"VENCE HOY",IF(BWO948&gt;TODAY(),"VIGENTE")))</f>
        <v>VIGENTE</v>
      </c>
      <c r="BWR948" s="6" t="s">
        <v>25</v>
      </c>
      <c r="BWS948" s="23" t="s">
        <v>138</v>
      </c>
      <c r="BWT948" s="2" t="s">
        <v>433</v>
      </c>
      <c r="BWU948" s="3" t="s">
        <v>22</v>
      </c>
      <c r="BWV948" s="3" t="s">
        <v>23</v>
      </c>
      <c r="BWW948" s="2" t="s">
        <v>24</v>
      </c>
      <c r="BWX948" s="4">
        <v>0</v>
      </c>
      <c r="BWY948" s="8">
        <f t="shared" ref="BWY948" si="1001">IF(BWU948="Ionizador", 10, IF(BWU948="Mesa", 1000000000, IF(BWU948="Rack", 1000000000, IF(BWU948="Piso", 1000000000, IF(BWU948="Tapete", 1000000000, IF(BWU948="Carrito", 1000000000, IF(BWU948="Cautín", 10, 1)))))))</f>
        <v>1000000000</v>
      </c>
      <c r="BWZ948" s="4" t="str">
        <f t="shared" ref="BWZ948" si="1002">IF(BWU948="Ionizador", "Segundos", "Ohms")</f>
        <v>Ohms</v>
      </c>
      <c r="BXA948" s="6">
        <v>148000000</v>
      </c>
      <c r="BXB948" s="6" t="str">
        <f t="shared" ref="BXB948" si="1003">BWZ948</f>
        <v>Ohms</v>
      </c>
      <c r="BXC948" s="2" t="str">
        <f t="shared" ref="BXC948" si="1004">IF(BWU948="Ionizador", "Plato de carga", IF(BWU948="Cautín", "PTG", "RTG"))</f>
        <v>RTG</v>
      </c>
      <c r="BXD948" s="7">
        <v>45992</v>
      </c>
      <c r="BXE948" s="7">
        <f t="shared" ref="BXE948" si="1005">IF(BXF948="Trimestral", BXD948+90, IF(BXF948="Semestral", BXD948+180, BXD948+365))</f>
        <v>46172</v>
      </c>
      <c r="BXF948" s="7" t="str">
        <f t="shared" ref="BXF948" si="1006">IF(BWU948="Ionizador", "Trimestral", IF(BWU948="Rack", "Semestral", IF(BWU948="Mesa", "Semestral", IF(BWU948="Tapete", "Semestral", IF(BWU948="Cautín", "Semestral", IF(BWU948="Silla", "Semestral", "Anual"))))))</f>
        <v>Semestral</v>
      </c>
      <c r="BXG948" s="2" t="str">
        <f t="shared" ref="BXG948" ca="1" si="1007">IF(BXE948&lt;TODAY(),"VENCIDO",IF(BXE948=TODAY(),"VENCE HOY",IF(BXE948&gt;TODAY(),"VIGENTE")))</f>
        <v>VIGENTE</v>
      </c>
      <c r="BXH948" s="6" t="s">
        <v>25</v>
      </c>
      <c r="BXI948" s="23" t="s">
        <v>138</v>
      </c>
      <c r="BXJ948" s="2" t="s">
        <v>433</v>
      </c>
      <c r="BXK948" s="3" t="s">
        <v>22</v>
      </c>
      <c r="BXL948" s="3" t="s">
        <v>23</v>
      </c>
      <c r="BXM948" s="2" t="s">
        <v>24</v>
      </c>
      <c r="BXN948" s="4">
        <v>0</v>
      </c>
      <c r="BXO948" s="8">
        <f t="shared" ref="BXO948" si="1008">IF(BXK948="Ionizador", 10, IF(BXK948="Mesa", 1000000000, IF(BXK948="Rack", 1000000000, IF(BXK948="Piso", 1000000000, IF(BXK948="Tapete", 1000000000, IF(BXK948="Carrito", 1000000000, IF(BXK948="Cautín", 10, 1)))))))</f>
        <v>1000000000</v>
      </c>
      <c r="BXP948" s="4" t="str">
        <f t="shared" ref="BXP948" si="1009">IF(BXK948="Ionizador", "Segundos", "Ohms")</f>
        <v>Ohms</v>
      </c>
      <c r="BXQ948" s="6">
        <v>148000000</v>
      </c>
      <c r="BXR948" s="6" t="str">
        <f t="shared" ref="BXR948" si="1010">BXP948</f>
        <v>Ohms</v>
      </c>
      <c r="BXS948" s="2" t="str">
        <f t="shared" ref="BXS948" si="1011">IF(BXK948="Ionizador", "Plato de carga", IF(BXK948="Cautín", "PTG", "RTG"))</f>
        <v>RTG</v>
      </c>
      <c r="BXT948" s="7">
        <v>45992</v>
      </c>
      <c r="BXU948" s="7">
        <f t="shared" ref="BXU948" si="1012">IF(BXV948="Trimestral", BXT948+90, IF(BXV948="Semestral", BXT948+180, BXT948+365))</f>
        <v>46172</v>
      </c>
      <c r="BXV948" s="7" t="str">
        <f t="shared" ref="BXV948" si="1013">IF(BXK948="Ionizador", "Trimestral", IF(BXK948="Rack", "Semestral", IF(BXK948="Mesa", "Semestral", IF(BXK948="Tapete", "Semestral", IF(BXK948="Cautín", "Semestral", IF(BXK948="Silla", "Semestral", "Anual"))))))</f>
        <v>Semestral</v>
      </c>
      <c r="BXW948" s="2" t="str">
        <f t="shared" ref="BXW948" ca="1" si="1014">IF(BXU948&lt;TODAY(),"VENCIDO",IF(BXU948=TODAY(),"VENCE HOY",IF(BXU948&gt;TODAY(),"VIGENTE")))</f>
        <v>VIGENTE</v>
      </c>
      <c r="BXX948" s="6" t="s">
        <v>25</v>
      </c>
      <c r="BXY948" s="23" t="s">
        <v>138</v>
      </c>
      <c r="BXZ948" s="2" t="s">
        <v>433</v>
      </c>
      <c r="BYA948" s="3" t="s">
        <v>22</v>
      </c>
      <c r="BYB948" s="3" t="s">
        <v>23</v>
      </c>
      <c r="BYC948" s="2" t="s">
        <v>24</v>
      </c>
      <c r="BYD948" s="4">
        <v>0</v>
      </c>
      <c r="BYE948" s="8">
        <f t="shared" ref="BYE948" si="1015">IF(BYA948="Ionizador", 10, IF(BYA948="Mesa", 1000000000, IF(BYA948="Rack", 1000000000, IF(BYA948="Piso", 1000000000, IF(BYA948="Tapete", 1000000000, IF(BYA948="Carrito", 1000000000, IF(BYA948="Cautín", 10, 1)))))))</f>
        <v>1000000000</v>
      </c>
      <c r="BYF948" s="4" t="str">
        <f t="shared" ref="BYF948" si="1016">IF(BYA948="Ionizador", "Segundos", "Ohms")</f>
        <v>Ohms</v>
      </c>
      <c r="BYG948" s="6">
        <v>148000000</v>
      </c>
      <c r="BYH948" s="6" t="str">
        <f t="shared" ref="BYH948" si="1017">BYF948</f>
        <v>Ohms</v>
      </c>
      <c r="BYI948" s="2" t="str">
        <f t="shared" ref="BYI948" si="1018">IF(BYA948="Ionizador", "Plato de carga", IF(BYA948="Cautín", "PTG", "RTG"))</f>
        <v>RTG</v>
      </c>
      <c r="BYJ948" s="7">
        <v>45992</v>
      </c>
      <c r="BYK948" s="7">
        <f t="shared" ref="BYK948" si="1019">IF(BYL948="Trimestral", BYJ948+90, IF(BYL948="Semestral", BYJ948+180, BYJ948+365))</f>
        <v>46172</v>
      </c>
      <c r="BYL948" s="7" t="str">
        <f t="shared" ref="BYL948" si="1020">IF(BYA948="Ionizador", "Trimestral", IF(BYA948="Rack", "Semestral", IF(BYA948="Mesa", "Semestral", IF(BYA948="Tapete", "Semestral", IF(BYA948="Cautín", "Semestral", IF(BYA948="Silla", "Semestral", "Anual"))))))</f>
        <v>Semestral</v>
      </c>
      <c r="BYM948" s="2" t="str">
        <f t="shared" ref="BYM948" ca="1" si="1021">IF(BYK948&lt;TODAY(),"VENCIDO",IF(BYK948=TODAY(),"VENCE HOY",IF(BYK948&gt;TODAY(),"VIGENTE")))</f>
        <v>VIGENTE</v>
      </c>
      <c r="BYN948" s="6" t="s">
        <v>25</v>
      </c>
      <c r="BYO948" s="23" t="s">
        <v>138</v>
      </c>
      <c r="BYP948" s="2" t="s">
        <v>433</v>
      </c>
      <c r="BYQ948" s="3" t="s">
        <v>22</v>
      </c>
      <c r="BYR948" s="3" t="s">
        <v>23</v>
      </c>
      <c r="BYS948" s="2" t="s">
        <v>24</v>
      </c>
      <c r="BYT948" s="4">
        <v>0</v>
      </c>
      <c r="BYU948" s="8">
        <f t="shared" ref="BYU948" si="1022">IF(BYQ948="Ionizador", 10, IF(BYQ948="Mesa", 1000000000, IF(BYQ948="Rack", 1000000000, IF(BYQ948="Piso", 1000000000, IF(BYQ948="Tapete", 1000000000, IF(BYQ948="Carrito", 1000000000, IF(BYQ948="Cautín", 10, 1)))))))</f>
        <v>1000000000</v>
      </c>
      <c r="BYV948" s="4" t="str">
        <f t="shared" ref="BYV948" si="1023">IF(BYQ948="Ionizador", "Segundos", "Ohms")</f>
        <v>Ohms</v>
      </c>
      <c r="BYW948" s="6">
        <v>148000000</v>
      </c>
      <c r="BYX948" s="6" t="str">
        <f t="shared" ref="BYX948" si="1024">BYV948</f>
        <v>Ohms</v>
      </c>
      <c r="BYY948" s="2" t="str">
        <f t="shared" ref="BYY948" si="1025">IF(BYQ948="Ionizador", "Plato de carga", IF(BYQ948="Cautín", "PTG", "RTG"))</f>
        <v>RTG</v>
      </c>
      <c r="BYZ948" s="7">
        <v>45992</v>
      </c>
      <c r="BZA948" s="7">
        <f t="shared" ref="BZA948" si="1026">IF(BZB948="Trimestral", BYZ948+90, IF(BZB948="Semestral", BYZ948+180, BYZ948+365))</f>
        <v>46172</v>
      </c>
      <c r="BZB948" s="7" t="str">
        <f t="shared" ref="BZB948" si="1027">IF(BYQ948="Ionizador", "Trimestral", IF(BYQ948="Rack", "Semestral", IF(BYQ948="Mesa", "Semestral", IF(BYQ948="Tapete", "Semestral", IF(BYQ948="Cautín", "Semestral", IF(BYQ948="Silla", "Semestral", "Anual"))))))</f>
        <v>Semestral</v>
      </c>
      <c r="BZC948" s="2" t="str">
        <f t="shared" ref="BZC948" ca="1" si="1028">IF(BZA948&lt;TODAY(),"VENCIDO",IF(BZA948=TODAY(),"VENCE HOY",IF(BZA948&gt;TODAY(),"VIGENTE")))</f>
        <v>VIGENTE</v>
      </c>
      <c r="BZD948" s="6" t="s">
        <v>25</v>
      </c>
      <c r="BZE948" s="23" t="s">
        <v>138</v>
      </c>
      <c r="BZF948" s="2" t="s">
        <v>433</v>
      </c>
      <c r="BZG948" s="3" t="s">
        <v>22</v>
      </c>
      <c r="BZH948" s="3" t="s">
        <v>23</v>
      </c>
      <c r="BZI948" s="2" t="s">
        <v>24</v>
      </c>
      <c r="BZJ948" s="4">
        <v>0</v>
      </c>
      <c r="BZK948" s="8">
        <f t="shared" ref="BZK948" si="1029">IF(BZG948="Ionizador", 10, IF(BZG948="Mesa", 1000000000, IF(BZG948="Rack", 1000000000, IF(BZG948="Piso", 1000000000, IF(BZG948="Tapete", 1000000000, IF(BZG948="Carrito", 1000000000, IF(BZG948="Cautín", 10, 1)))))))</f>
        <v>1000000000</v>
      </c>
      <c r="BZL948" s="4" t="str">
        <f t="shared" ref="BZL948" si="1030">IF(BZG948="Ionizador", "Segundos", "Ohms")</f>
        <v>Ohms</v>
      </c>
      <c r="BZM948" s="6">
        <v>148000000</v>
      </c>
      <c r="BZN948" s="6" t="str">
        <f t="shared" ref="BZN948" si="1031">BZL948</f>
        <v>Ohms</v>
      </c>
      <c r="BZO948" s="2" t="str">
        <f t="shared" ref="BZO948" si="1032">IF(BZG948="Ionizador", "Plato de carga", IF(BZG948="Cautín", "PTG", "RTG"))</f>
        <v>RTG</v>
      </c>
      <c r="BZP948" s="7">
        <v>45992</v>
      </c>
      <c r="BZQ948" s="7">
        <f t="shared" ref="BZQ948" si="1033">IF(BZR948="Trimestral", BZP948+90, IF(BZR948="Semestral", BZP948+180, BZP948+365))</f>
        <v>46172</v>
      </c>
      <c r="BZR948" s="7" t="str">
        <f t="shared" ref="BZR948" si="1034">IF(BZG948="Ionizador", "Trimestral", IF(BZG948="Rack", "Semestral", IF(BZG948="Mesa", "Semestral", IF(BZG948="Tapete", "Semestral", IF(BZG948="Cautín", "Semestral", IF(BZG948="Silla", "Semestral", "Anual"))))))</f>
        <v>Semestral</v>
      </c>
      <c r="BZS948" s="2" t="str">
        <f t="shared" ref="BZS948" ca="1" si="1035">IF(BZQ948&lt;TODAY(),"VENCIDO",IF(BZQ948=TODAY(),"VENCE HOY",IF(BZQ948&gt;TODAY(),"VIGENTE")))</f>
        <v>VIGENTE</v>
      </c>
      <c r="BZT948" s="6" t="s">
        <v>25</v>
      </c>
      <c r="BZU948" s="23" t="s">
        <v>138</v>
      </c>
      <c r="BZV948" s="2" t="s">
        <v>433</v>
      </c>
      <c r="BZW948" s="3" t="s">
        <v>22</v>
      </c>
      <c r="BZX948" s="3" t="s">
        <v>23</v>
      </c>
      <c r="BZY948" s="2" t="s">
        <v>24</v>
      </c>
      <c r="BZZ948" s="4">
        <v>0</v>
      </c>
      <c r="CAA948" s="8">
        <f t="shared" ref="CAA948" si="1036">IF(BZW948="Ionizador", 10, IF(BZW948="Mesa", 1000000000, IF(BZW948="Rack", 1000000000, IF(BZW948="Piso", 1000000000, IF(BZW948="Tapete", 1000000000, IF(BZW948="Carrito", 1000000000, IF(BZW948="Cautín", 10, 1)))))))</f>
        <v>1000000000</v>
      </c>
      <c r="CAB948" s="4" t="str">
        <f t="shared" ref="CAB948" si="1037">IF(BZW948="Ionizador", "Segundos", "Ohms")</f>
        <v>Ohms</v>
      </c>
      <c r="CAC948" s="6">
        <v>148000000</v>
      </c>
      <c r="CAD948" s="6" t="str">
        <f t="shared" ref="CAD948" si="1038">CAB948</f>
        <v>Ohms</v>
      </c>
      <c r="CAE948" s="2" t="str">
        <f t="shared" ref="CAE948" si="1039">IF(BZW948="Ionizador", "Plato de carga", IF(BZW948="Cautín", "PTG", "RTG"))</f>
        <v>RTG</v>
      </c>
      <c r="CAF948" s="7">
        <v>45992</v>
      </c>
      <c r="CAG948" s="7">
        <f t="shared" ref="CAG948" si="1040">IF(CAH948="Trimestral", CAF948+90, IF(CAH948="Semestral", CAF948+180, CAF948+365))</f>
        <v>46172</v>
      </c>
      <c r="CAH948" s="7" t="str">
        <f t="shared" ref="CAH948" si="1041">IF(BZW948="Ionizador", "Trimestral", IF(BZW948="Rack", "Semestral", IF(BZW948="Mesa", "Semestral", IF(BZW948="Tapete", "Semestral", IF(BZW948="Cautín", "Semestral", IF(BZW948="Silla", "Semestral", "Anual"))))))</f>
        <v>Semestral</v>
      </c>
      <c r="CAI948" s="2" t="str">
        <f t="shared" ref="CAI948" ca="1" si="1042">IF(CAG948&lt;TODAY(),"VENCIDO",IF(CAG948=TODAY(),"VENCE HOY",IF(CAG948&gt;TODAY(),"VIGENTE")))</f>
        <v>VIGENTE</v>
      </c>
      <c r="CAJ948" s="6" t="s">
        <v>25</v>
      </c>
      <c r="CAK948" s="23" t="s">
        <v>138</v>
      </c>
      <c r="CAL948" s="2" t="s">
        <v>433</v>
      </c>
      <c r="CAM948" s="3" t="s">
        <v>22</v>
      </c>
      <c r="CAN948" s="3" t="s">
        <v>23</v>
      </c>
      <c r="CAO948" s="2" t="s">
        <v>24</v>
      </c>
      <c r="CAP948" s="4">
        <v>0</v>
      </c>
      <c r="CAQ948" s="8">
        <f t="shared" ref="CAQ948" si="1043">IF(CAM948="Ionizador", 10, IF(CAM948="Mesa", 1000000000, IF(CAM948="Rack", 1000000000, IF(CAM948="Piso", 1000000000, IF(CAM948="Tapete", 1000000000, IF(CAM948="Carrito", 1000000000, IF(CAM948="Cautín", 10, 1)))))))</f>
        <v>1000000000</v>
      </c>
      <c r="CAR948" s="4" t="str">
        <f t="shared" ref="CAR948" si="1044">IF(CAM948="Ionizador", "Segundos", "Ohms")</f>
        <v>Ohms</v>
      </c>
      <c r="CAS948" s="6">
        <v>148000000</v>
      </c>
      <c r="CAT948" s="6" t="str">
        <f t="shared" ref="CAT948" si="1045">CAR948</f>
        <v>Ohms</v>
      </c>
      <c r="CAU948" s="2" t="str">
        <f t="shared" ref="CAU948" si="1046">IF(CAM948="Ionizador", "Plato de carga", IF(CAM948="Cautín", "PTG", "RTG"))</f>
        <v>RTG</v>
      </c>
      <c r="CAV948" s="7">
        <v>45992</v>
      </c>
      <c r="CAW948" s="7">
        <f t="shared" ref="CAW948" si="1047">IF(CAX948="Trimestral", CAV948+90, IF(CAX948="Semestral", CAV948+180, CAV948+365))</f>
        <v>46172</v>
      </c>
      <c r="CAX948" s="7" t="str">
        <f t="shared" ref="CAX948" si="1048">IF(CAM948="Ionizador", "Trimestral", IF(CAM948="Rack", "Semestral", IF(CAM948="Mesa", "Semestral", IF(CAM948="Tapete", "Semestral", IF(CAM948="Cautín", "Semestral", IF(CAM948="Silla", "Semestral", "Anual"))))))</f>
        <v>Semestral</v>
      </c>
      <c r="CAY948" s="2" t="str">
        <f t="shared" ref="CAY948" ca="1" si="1049">IF(CAW948&lt;TODAY(),"VENCIDO",IF(CAW948=TODAY(),"VENCE HOY",IF(CAW948&gt;TODAY(),"VIGENTE")))</f>
        <v>VIGENTE</v>
      </c>
      <c r="CAZ948" s="6" t="s">
        <v>25</v>
      </c>
      <c r="CBA948" s="23" t="s">
        <v>138</v>
      </c>
      <c r="CBB948" s="2" t="s">
        <v>433</v>
      </c>
      <c r="CBC948" s="3" t="s">
        <v>22</v>
      </c>
      <c r="CBD948" s="3" t="s">
        <v>23</v>
      </c>
      <c r="CBE948" s="2" t="s">
        <v>24</v>
      </c>
      <c r="CBF948" s="4">
        <v>0</v>
      </c>
      <c r="CBG948" s="8">
        <f t="shared" ref="CBG948" si="1050">IF(CBC948="Ionizador", 10, IF(CBC948="Mesa", 1000000000, IF(CBC948="Rack", 1000000000, IF(CBC948="Piso", 1000000000, IF(CBC948="Tapete", 1000000000, IF(CBC948="Carrito", 1000000000, IF(CBC948="Cautín", 10, 1)))))))</f>
        <v>1000000000</v>
      </c>
      <c r="CBH948" s="4" t="str">
        <f t="shared" ref="CBH948" si="1051">IF(CBC948="Ionizador", "Segundos", "Ohms")</f>
        <v>Ohms</v>
      </c>
      <c r="CBI948" s="6">
        <v>148000000</v>
      </c>
      <c r="CBJ948" s="6" t="str">
        <f t="shared" ref="CBJ948" si="1052">CBH948</f>
        <v>Ohms</v>
      </c>
      <c r="CBK948" s="2" t="str">
        <f t="shared" ref="CBK948" si="1053">IF(CBC948="Ionizador", "Plato de carga", IF(CBC948="Cautín", "PTG", "RTG"))</f>
        <v>RTG</v>
      </c>
      <c r="CBL948" s="7">
        <v>45992</v>
      </c>
      <c r="CBM948" s="7">
        <f t="shared" ref="CBM948" si="1054">IF(CBN948="Trimestral", CBL948+90, IF(CBN948="Semestral", CBL948+180, CBL948+365))</f>
        <v>46172</v>
      </c>
      <c r="CBN948" s="7" t="str">
        <f t="shared" ref="CBN948" si="1055">IF(CBC948="Ionizador", "Trimestral", IF(CBC948="Rack", "Semestral", IF(CBC948="Mesa", "Semestral", IF(CBC948="Tapete", "Semestral", IF(CBC948="Cautín", "Semestral", IF(CBC948="Silla", "Semestral", "Anual"))))))</f>
        <v>Semestral</v>
      </c>
      <c r="CBO948" s="2" t="str">
        <f t="shared" ref="CBO948" ca="1" si="1056">IF(CBM948&lt;TODAY(),"VENCIDO",IF(CBM948=TODAY(),"VENCE HOY",IF(CBM948&gt;TODAY(),"VIGENTE")))</f>
        <v>VIGENTE</v>
      </c>
      <c r="CBP948" s="6" t="s">
        <v>25</v>
      </c>
      <c r="CBQ948" s="23" t="s">
        <v>138</v>
      </c>
      <c r="CBR948" s="2" t="s">
        <v>433</v>
      </c>
      <c r="CBS948" s="3" t="s">
        <v>22</v>
      </c>
      <c r="CBT948" s="3" t="s">
        <v>23</v>
      </c>
      <c r="CBU948" s="2" t="s">
        <v>24</v>
      </c>
      <c r="CBV948" s="4">
        <v>0</v>
      </c>
      <c r="CBW948" s="8">
        <f t="shared" ref="CBW948" si="1057">IF(CBS948="Ionizador", 10, IF(CBS948="Mesa", 1000000000, IF(CBS948="Rack", 1000000000, IF(CBS948="Piso", 1000000000, IF(CBS948="Tapete", 1000000000, IF(CBS948="Carrito", 1000000000, IF(CBS948="Cautín", 10, 1)))))))</f>
        <v>1000000000</v>
      </c>
      <c r="CBX948" s="4" t="str">
        <f t="shared" ref="CBX948" si="1058">IF(CBS948="Ionizador", "Segundos", "Ohms")</f>
        <v>Ohms</v>
      </c>
      <c r="CBY948" s="6">
        <v>148000000</v>
      </c>
      <c r="CBZ948" s="6" t="str">
        <f t="shared" ref="CBZ948" si="1059">CBX948</f>
        <v>Ohms</v>
      </c>
      <c r="CCA948" s="2" t="str">
        <f t="shared" ref="CCA948" si="1060">IF(CBS948="Ionizador", "Plato de carga", IF(CBS948="Cautín", "PTG", "RTG"))</f>
        <v>RTG</v>
      </c>
      <c r="CCB948" s="7">
        <v>45992</v>
      </c>
      <c r="CCC948" s="7">
        <f t="shared" ref="CCC948" si="1061">IF(CCD948="Trimestral", CCB948+90, IF(CCD948="Semestral", CCB948+180, CCB948+365))</f>
        <v>46172</v>
      </c>
      <c r="CCD948" s="7" t="str">
        <f t="shared" ref="CCD948" si="1062">IF(CBS948="Ionizador", "Trimestral", IF(CBS948="Rack", "Semestral", IF(CBS948="Mesa", "Semestral", IF(CBS948="Tapete", "Semestral", IF(CBS948="Cautín", "Semestral", IF(CBS948="Silla", "Semestral", "Anual"))))))</f>
        <v>Semestral</v>
      </c>
      <c r="CCE948" s="2" t="str">
        <f t="shared" ref="CCE948" ca="1" si="1063">IF(CCC948&lt;TODAY(),"VENCIDO",IF(CCC948=TODAY(),"VENCE HOY",IF(CCC948&gt;TODAY(),"VIGENTE")))</f>
        <v>VIGENTE</v>
      </c>
      <c r="CCF948" s="6" t="s">
        <v>25</v>
      </c>
      <c r="CCG948" s="23" t="s">
        <v>138</v>
      </c>
      <c r="CCH948" s="2" t="s">
        <v>433</v>
      </c>
      <c r="CCI948" s="3" t="s">
        <v>22</v>
      </c>
      <c r="CCJ948" s="3" t="s">
        <v>23</v>
      </c>
      <c r="CCK948" s="2" t="s">
        <v>24</v>
      </c>
      <c r="CCL948" s="4">
        <v>0</v>
      </c>
      <c r="CCM948" s="8">
        <f t="shared" ref="CCM948" si="1064">IF(CCI948="Ionizador", 10, IF(CCI948="Mesa", 1000000000, IF(CCI948="Rack", 1000000000, IF(CCI948="Piso", 1000000000, IF(CCI948="Tapete", 1000000000, IF(CCI948="Carrito", 1000000000, IF(CCI948="Cautín", 10, 1)))))))</f>
        <v>1000000000</v>
      </c>
      <c r="CCN948" s="4" t="str">
        <f t="shared" ref="CCN948" si="1065">IF(CCI948="Ionizador", "Segundos", "Ohms")</f>
        <v>Ohms</v>
      </c>
      <c r="CCO948" s="6">
        <v>148000000</v>
      </c>
      <c r="CCP948" s="6" t="str">
        <f t="shared" ref="CCP948" si="1066">CCN948</f>
        <v>Ohms</v>
      </c>
      <c r="CCQ948" s="2" t="str">
        <f t="shared" ref="CCQ948" si="1067">IF(CCI948="Ionizador", "Plato de carga", IF(CCI948="Cautín", "PTG", "RTG"))</f>
        <v>RTG</v>
      </c>
      <c r="CCR948" s="7">
        <v>45992</v>
      </c>
      <c r="CCS948" s="7">
        <f t="shared" ref="CCS948" si="1068">IF(CCT948="Trimestral", CCR948+90, IF(CCT948="Semestral", CCR948+180, CCR948+365))</f>
        <v>46172</v>
      </c>
      <c r="CCT948" s="7" t="str">
        <f t="shared" ref="CCT948" si="1069">IF(CCI948="Ionizador", "Trimestral", IF(CCI948="Rack", "Semestral", IF(CCI948="Mesa", "Semestral", IF(CCI948="Tapete", "Semestral", IF(CCI948="Cautín", "Semestral", IF(CCI948="Silla", "Semestral", "Anual"))))))</f>
        <v>Semestral</v>
      </c>
      <c r="CCU948" s="2" t="str">
        <f t="shared" ref="CCU948" ca="1" si="1070">IF(CCS948&lt;TODAY(),"VENCIDO",IF(CCS948=TODAY(),"VENCE HOY",IF(CCS948&gt;TODAY(),"VIGENTE")))</f>
        <v>VIGENTE</v>
      </c>
      <c r="CCV948" s="6" t="s">
        <v>25</v>
      </c>
      <c r="CCW948" s="23" t="s">
        <v>138</v>
      </c>
      <c r="CCX948" s="2" t="s">
        <v>433</v>
      </c>
      <c r="CCY948" s="3" t="s">
        <v>22</v>
      </c>
      <c r="CCZ948" s="3" t="s">
        <v>23</v>
      </c>
      <c r="CDA948" s="2" t="s">
        <v>24</v>
      </c>
      <c r="CDB948" s="4">
        <v>0</v>
      </c>
      <c r="CDC948" s="8">
        <f t="shared" ref="CDC948" si="1071">IF(CCY948="Ionizador", 10, IF(CCY948="Mesa", 1000000000, IF(CCY948="Rack", 1000000000, IF(CCY948="Piso", 1000000000, IF(CCY948="Tapete", 1000000000, IF(CCY948="Carrito", 1000000000, IF(CCY948="Cautín", 10, 1)))))))</f>
        <v>1000000000</v>
      </c>
      <c r="CDD948" s="4" t="str">
        <f t="shared" ref="CDD948" si="1072">IF(CCY948="Ionizador", "Segundos", "Ohms")</f>
        <v>Ohms</v>
      </c>
      <c r="CDE948" s="6">
        <v>148000000</v>
      </c>
      <c r="CDF948" s="6" t="str">
        <f t="shared" ref="CDF948" si="1073">CDD948</f>
        <v>Ohms</v>
      </c>
      <c r="CDG948" s="2" t="str">
        <f t="shared" ref="CDG948" si="1074">IF(CCY948="Ionizador", "Plato de carga", IF(CCY948="Cautín", "PTG", "RTG"))</f>
        <v>RTG</v>
      </c>
      <c r="CDH948" s="7">
        <v>45992</v>
      </c>
      <c r="CDI948" s="7">
        <f t="shared" ref="CDI948" si="1075">IF(CDJ948="Trimestral", CDH948+90, IF(CDJ948="Semestral", CDH948+180, CDH948+365))</f>
        <v>46172</v>
      </c>
      <c r="CDJ948" s="7" t="str">
        <f t="shared" ref="CDJ948" si="1076">IF(CCY948="Ionizador", "Trimestral", IF(CCY948="Rack", "Semestral", IF(CCY948="Mesa", "Semestral", IF(CCY948="Tapete", "Semestral", IF(CCY948="Cautín", "Semestral", IF(CCY948="Silla", "Semestral", "Anual"))))))</f>
        <v>Semestral</v>
      </c>
      <c r="CDK948" s="2" t="str">
        <f t="shared" ref="CDK948" ca="1" si="1077">IF(CDI948&lt;TODAY(),"VENCIDO",IF(CDI948=TODAY(),"VENCE HOY",IF(CDI948&gt;TODAY(),"VIGENTE")))</f>
        <v>VIGENTE</v>
      </c>
      <c r="CDL948" s="6" t="s">
        <v>25</v>
      </c>
      <c r="CDM948" s="23" t="s">
        <v>138</v>
      </c>
      <c r="CDN948" s="2" t="s">
        <v>433</v>
      </c>
      <c r="CDO948" s="3" t="s">
        <v>22</v>
      </c>
      <c r="CDP948" s="3" t="s">
        <v>23</v>
      </c>
      <c r="CDQ948" s="2" t="s">
        <v>24</v>
      </c>
      <c r="CDR948" s="4">
        <v>0</v>
      </c>
      <c r="CDS948" s="8">
        <f t="shared" ref="CDS948" si="1078">IF(CDO948="Ionizador", 10, IF(CDO948="Mesa", 1000000000, IF(CDO948="Rack", 1000000000, IF(CDO948="Piso", 1000000000, IF(CDO948="Tapete", 1000000000, IF(CDO948="Carrito", 1000000000, IF(CDO948="Cautín", 10, 1)))))))</f>
        <v>1000000000</v>
      </c>
      <c r="CDT948" s="4" t="str">
        <f t="shared" ref="CDT948" si="1079">IF(CDO948="Ionizador", "Segundos", "Ohms")</f>
        <v>Ohms</v>
      </c>
      <c r="CDU948" s="6">
        <v>148000000</v>
      </c>
      <c r="CDV948" s="6" t="str">
        <f t="shared" ref="CDV948" si="1080">CDT948</f>
        <v>Ohms</v>
      </c>
      <c r="CDW948" s="2" t="str">
        <f t="shared" ref="CDW948" si="1081">IF(CDO948="Ionizador", "Plato de carga", IF(CDO948="Cautín", "PTG", "RTG"))</f>
        <v>RTG</v>
      </c>
      <c r="CDX948" s="7">
        <v>45992</v>
      </c>
      <c r="CDY948" s="7">
        <f t="shared" ref="CDY948" si="1082">IF(CDZ948="Trimestral", CDX948+90, IF(CDZ948="Semestral", CDX948+180, CDX948+365))</f>
        <v>46172</v>
      </c>
      <c r="CDZ948" s="7" t="str">
        <f t="shared" ref="CDZ948" si="1083">IF(CDO948="Ionizador", "Trimestral", IF(CDO948="Rack", "Semestral", IF(CDO948="Mesa", "Semestral", IF(CDO948="Tapete", "Semestral", IF(CDO948="Cautín", "Semestral", IF(CDO948="Silla", "Semestral", "Anual"))))))</f>
        <v>Semestral</v>
      </c>
      <c r="CEA948" s="2" t="str">
        <f t="shared" ref="CEA948" ca="1" si="1084">IF(CDY948&lt;TODAY(),"VENCIDO",IF(CDY948=TODAY(),"VENCE HOY",IF(CDY948&gt;TODAY(),"VIGENTE")))</f>
        <v>VIGENTE</v>
      </c>
      <c r="CEB948" s="6" t="s">
        <v>25</v>
      </c>
      <c r="CEC948" s="23" t="s">
        <v>138</v>
      </c>
      <c r="CED948" s="2" t="s">
        <v>433</v>
      </c>
      <c r="CEE948" s="3" t="s">
        <v>22</v>
      </c>
      <c r="CEF948" s="3" t="s">
        <v>23</v>
      </c>
      <c r="CEG948" s="2" t="s">
        <v>24</v>
      </c>
      <c r="CEH948" s="4">
        <v>0</v>
      </c>
      <c r="CEI948" s="8">
        <f t="shared" ref="CEI948" si="1085">IF(CEE948="Ionizador", 10, IF(CEE948="Mesa", 1000000000, IF(CEE948="Rack", 1000000000, IF(CEE948="Piso", 1000000000, IF(CEE948="Tapete", 1000000000, IF(CEE948="Carrito", 1000000000, IF(CEE948="Cautín", 10, 1)))))))</f>
        <v>1000000000</v>
      </c>
      <c r="CEJ948" s="4" t="str">
        <f t="shared" ref="CEJ948" si="1086">IF(CEE948="Ionizador", "Segundos", "Ohms")</f>
        <v>Ohms</v>
      </c>
      <c r="CEK948" s="6">
        <v>148000000</v>
      </c>
      <c r="CEL948" s="6" t="str">
        <f t="shared" ref="CEL948" si="1087">CEJ948</f>
        <v>Ohms</v>
      </c>
      <c r="CEM948" s="2" t="str">
        <f t="shared" ref="CEM948" si="1088">IF(CEE948="Ionizador", "Plato de carga", IF(CEE948="Cautín", "PTG", "RTG"))</f>
        <v>RTG</v>
      </c>
      <c r="CEN948" s="7">
        <v>45992</v>
      </c>
      <c r="CEO948" s="7">
        <f t="shared" ref="CEO948" si="1089">IF(CEP948="Trimestral", CEN948+90, IF(CEP948="Semestral", CEN948+180, CEN948+365))</f>
        <v>46172</v>
      </c>
      <c r="CEP948" s="7" t="str">
        <f t="shared" ref="CEP948" si="1090">IF(CEE948="Ionizador", "Trimestral", IF(CEE948="Rack", "Semestral", IF(CEE948="Mesa", "Semestral", IF(CEE948="Tapete", "Semestral", IF(CEE948="Cautín", "Semestral", IF(CEE948="Silla", "Semestral", "Anual"))))))</f>
        <v>Semestral</v>
      </c>
      <c r="CEQ948" s="2" t="str">
        <f t="shared" ref="CEQ948" ca="1" si="1091">IF(CEO948&lt;TODAY(),"VENCIDO",IF(CEO948=TODAY(),"VENCE HOY",IF(CEO948&gt;TODAY(),"VIGENTE")))</f>
        <v>VIGENTE</v>
      </c>
      <c r="CER948" s="6" t="s">
        <v>25</v>
      </c>
      <c r="CES948" s="23" t="s">
        <v>138</v>
      </c>
      <c r="CET948" s="2" t="s">
        <v>433</v>
      </c>
      <c r="CEU948" s="3" t="s">
        <v>22</v>
      </c>
      <c r="CEV948" s="3" t="s">
        <v>23</v>
      </c>
      <c r="CEW948" s="2" t="s">
        <v>24</v>
      </c>
      <c r="CEX948" s="4">
        <v>0</v>
      </c>
      <c r="CEY948" s="8">
        <f t="shared" ref="CEY948" si="1092">IF(CEU948="Ionizador", 10, IF(CEU948="Mesa", 1000000000, IF(CEU948="Rack", 1000000000, IF(CEU948="Piso", 1000000000, IF(CEU948="Tapete", 1000000000, IF(CEU948="Carrito", 1000000000, IF(CEU948="Cautín", 10, 1)))))))</f>
        <v>1000000000</v>
      </c>
      <c r="CEZ948" s="4" t="str">
        <f t="shared" ref="CEZ948" si="1093">IF(CEU948="Ionizador", "Segundos", "Ohms")</f>
        <v>Ohms</v>
      </c>
      <c r="CFA948" s="6">
        <v>148000000</v>
      </c>
      <c r="CFB948" s="6" t="str">
        <f t="shared" ref="CFB948" si="1094">CEZ948</f>
        <v>Ohms</v>
      </c>
      <c r="CFC948" s="2" t="str">
        <f t="shared" ref="CFC948" si="1095">IF(CEU948="Ionizador", "Plato de carga", IF(CEU948="Cautín", "PTG", "RTG"))</f>
        <v>RTG</v>
      </c>
      <c r="CFD948" s="7">
        <v>45992</v>
      </c>
      <c r="CFE948" s="7">
        <f t="shared" ref="CFE948" si="1096">IF(CFF948="Trimestral", CFD948+90, IF(CFF948="Semestral", CFD948+180, CFD948+365))</f>
        <v>46172</v>
      </c>
      <c r="CFF948" s="7" t="str">
        <f t="shared" ref="CFF948" si="1097">IF(CEU948="Ionizador", "Trimestral", IF(CEU948="Rack", "Semestral", IF(CEU948="Mesa", "Semestral", IF(CEU948="Tapete", "Semestral", IF(CEU948="Cautín", "Semestral", IF(CEU948="Silla", "Semestral", "Anual"))))))</f>
        <v>Semestral</v>
      </c>
      <c r="CFG948" s="2" t="str">
        <f t="shared" ref="CFG948" ca="1" si="1098">IF(CFE948&lt;TODAY(),"VENCIDO",IF(CFE948=TODAY(),"VENCE HOY",IF(CFE948&gt;TODAY(),"VIGENTE")))</f>
        <v>VIGENTE</v>
      </c>
      <c r="CFH948" s="6" t="s">
        <v>25</v>
      </c>
      <c r="CFI948" s="23" t="s">
        <v>138</v>
      </c>
      <c r="CFJ948" s="2" t="s">
        <v>433</v>
      </c>
      <c r="CFK948" s="3" t="s">
        <v>22</v>
      </c>
      <c r="CFL948" s="3" t="s">
        <v>23</v>
      </c>
      <c r="CFM948" s="2" t="s">
        <v>24</v>
      </c>
      <c r="CFN948" s="4">
        <v>0</v>
      </c>
      <c r="CFO948" s="8">
        <f t="shared" ref="CFO948" si="1099">IF(CFK948="Ionizador", 10, IF(CFK948="Mesa", 1000000000, IF(CFK948="Rack", 1000000000, IF(CFK948="Piso", 1000000000, IF(CFK948="Tapete", 1000000000, IF(CFK948="Carrito", 1000000000, IF(CFK948="Cautín", 10, 1)))))))</f>
        <v>1000000000</v>
      </c>
      <c r="CFP948" s="4" t="str">
        <f t="shared" ref="CFP948" si="1100">IF(CFK948="Ionizador", "Segundos", "Ohms")</f>
        <v>Ohms</v>
      </c>
      <c r="CFQ948" s="6">
        <v>148000000</v>
      </c>
      <c r="CFR948" s="6" t="str">
        <f t="shared" ref="CFR948" si="1101">CFP948</f>
        <v>Ohms</v>
      </c>
      <c r="CFS948" s="2" t="str">
        <f t="shared" ref="CFS948" si="1102">IF(CFK948="Ionizador", "Plato de carga", IF(CFK948="Cautín", "PTG", "RTG"))</f>
        <v>RTG</v>
      </c>
      <c r="CFT948" s="7">
        <v>45992</v>
      </c>
      <c r="CFU948" s="7">
        <f t="shared" ref="CFU948" si="1103">IF(CFV948="Trimestral", CFT948+90, IF(CFV948="Semestral", CFT948+180, CFT948+365))</f>
        <v>46172</v>
      </c>
      <c r="CFV948" s="7" t="str">
        <f t="shared" ref="CFV948" si="1104">IF(CFK948="Ionizador", "Trimestral", IF(CFK948="Rack", "Semestral", IF(CFK948="Mesa", "Semestral", IF(CFK948="Tapete", "Semestral", IF(CFK948="Cautín", "Semestral", IF(CFK948="Silla", "Semestral", "Anual"))))))</f>
        <v>Semestral</v>
      </c>
      <c r="CFW948" s="2" t="str">
        <f t="shared" ref="CFW948" ca="1" si="1105">IF(CFU948&lt;TODAY(),"VENCIDO",IF(CFU948=TODAY(),"VENCE HOY",IF(CFU948&gt;TODAY(),"VIGENTE")))</f>
        <v>VIGENTE</v>
      </c>
      <c r="CFX948" s="6" t="s">
        <v>25</v>
      </c>
      <c r="CFY948" s="23" t="s">
        <v>138</v>
      </c>
      <c r="CFZ948" s="2" t="s">
        <v>433</v>
      </c>
      <c r="CGA948" s="3" t="s">
        <v>22</v>
      </c>
      <c r="CGB948" s="3" t="s">
        <v>23</v>
      </c>
      <c r="CGC948" s="2" t="s">
        <v>24</v>
      </c>
      <c r="CGD948" s="4">
        <v>0</v>
      </c>
      <c r="CGE948" s="8">
        <f t="shared" ref="CGE948" si="1106">IF(CGA948="Ionizador", 10, IF(CGA948="Mesa", 1000000000, IF(CGA948="Rack", 1000000000, IF(CGA948="Piso", 1000000000, IF(CGA948="Tapete", 1000000000, IF(CGA948="Carrito", 1000000000, IF(CGA948="Cautín", 10, 1)))))))</f>
        <v>1000000000</v>
      </c>
      <c r="CGF948" s="4" t="str">
        <f t="shared" ref="CGF948" si="1107">IF(CGA948="Ionizador", "Segundos", "Ohms")</f>
        <v>Ohms</v>
      </c>
      <c r="CGG948" s="6">
        <v>148000000</v>
      </c>
      <c r="CGH948" s="6" t="str">
        <f t="shared" ref="CGH948" si="1108">CGF948</f>
        <v>Ohms</v>
      </c>
      <c r="CGI948" s="2" t="str">
        <f t="shared" ref="CGI948" si="1109">IF(CGA948="Ionizador", "Plato de carga", IF(CGA948="Cautín", "PTG", "RTG"))</f>
        <v>RTG</v>
      </c>
      <c r="CGJ948" s="7">
        <v>45992</v>
      </c>
      <c r="CGK948" s="7">
        <f t="shared" ref="CGK948" si="1110">IF(CGL948="Trimestral", CGJ948+90, IF(CGL948="Semestral", CGJ948+180, CGJ948+365))</f>
        <v>46172</v>
      </c>
      <c r="CGL948" s="7" t="str">
        <f t="shared" ref="CGL948" si="1111">IF(CGA948="Ionizador", "Trimestral", IF(CGA948="Rack", "Semestral", IF(CGA948="Mesa", "Semestral", IF(CGA948="Tapete", "Semestral", IF(CGA948="Cautín", "Semestral", IF(CGA948="Silla", "Semestral", "Anual"))))))</f>
        <v>Semestral</v>
      </c>
      <c r="CGM948" s="2" t="str">
        <f t="shared" ref="CGM948" ca="1" si="1112">IF(CGK948&lt;TODAY(),"VENCIDO",IF(CGK948=TODAY(),"VENCE HOY",IF(CGK948&gt;TODAY(),"VIGENTE")))</f>
        <v>VIGENTE</v>
      </c>
      <c r="CGN948" s="6" t="s">
        <v>25</v>
      </c>
      <c r="CGO948" s="23" t="s">
        <v>138</v>
      </c>
      <c r="CGP948" s="2" t="s">
        <v>433</v>
      </c>
      <c r="CGQ948" s="3" t="s">
        <v>22</v>
      </c>
      <c r="CGR948" s="3" t="s">
        <v>23</v>
      </c>
      <c r="CGS948" s="2" t="s">
        <v>24</v>
      </c>
      <c r="CGT948" s="4">
        <v>0</v>
      </c>
      <c r="CGU948" s="8">
        <f t="shared" ref="CGU948" si="1113">IF(CGQ948="Ionizador", 10, IF(CGQ948="Mesa", 1000000000, IF(CGQ948="Rack", 1000000000, IF(CGQ948="Piso", 1000000000, IF(CGQ948="Tapete", 1000000000, IF(CGQ948="Carrito", 1000000000, IF(CGQ948="Cautín", 10, 1)))))))</f>
        <v>1000000000</v>
      </c>
      <c r="CGV948" s="4" t="str">
        <f t="shared" ref="CGV948" si="1114">IF(CGQ948="Ionizador", "Segundos", "Ohms")</f>
        <v>Ohms</v>
      </c>
      <c r="CGW948" s="6">
        <v>148000000</v>
      </c>
      <c r="CGX948" s="6" t="str">
        <f t="shared" ref="CGX948" si="1115">CGV948</f>
        <v>Ohms</v>
      </c>
      <c r="CGY948" s="2" t="str">
        <f t="shared" ref="CGY948" si="1116">IF(CGQ948="Ionizador", "Plato de carga", IF(CGQ948="Cautín", "PTG", "RTG"))</f>
        <v>RTG</v>
      </c>
      <c r="CGZ948" s="7">
        <v>45992</v>
      </c>
      <c r="CHA948" s="7">
        <f t="shared" ref="CHA948" si="1117">IF(CHB948="Trimestral", CGZ948+90, IF(CHB948="Semestral", CGZ948+180, CGZ948+365))</f>
        <v>46172</v>
      </c>
      <c r="CHB948" s="7" t="str">
        <f t="shared" ref="CHB948" si="1118">IF(CGQ948="Ionizador", "Trimestral", IF(CGQ948="Rack", "Semestral", IF(CGQ948="Mesa", "Semestral", IF(CGQ948="Tapete", "Semestral", IF(CGQ948="Cautín", "Semestral", IF(CGQ948="Silla", "Semestral", "Anual"))))))</f>
        <v>Semestral</v>
      </c>
      <c r="CHC948" s="2" t="str">
        <f t="shared" ref="CHC948" ca="1" si="1119">IF(CHA948&lt;TODAY(),"VENCIDO",IF(CHA948=TODAY(),"VENCE HOY",IF(CHA948&gt;TODAY(),"VIGENTE")))</f>
        <v>VIGENTE</v>
      </c>
      <c r="CHD948" s="6" t="s">
        <v>25</v>
      </c>
      <c r="CHE948" s="23" t="s">
        <v>138</v>
      </c>
      <c r="CHF948" s="2" t="s">
        <v>433</v>
      </c>
      <c r="CHG948" s="3" t="s">
        <v>22</v>
      </c>
      <c r="CHH948" s="3" t="s">
        <v>23</v>
      </c>
      <c r="CHI948" s="2" t="s">
        <v>24</v>
      </c>
      <c r="CHJ948" s="4">
        <v>0</v>
      </c>
      <c r="CHK948" s="8">
        <f t="shared" ref="CHK948" si="1120">IF(CHG948="Ionizador", 10, IF(CHG948="Mesa", 1000000000, IF(CHG948="Rack", 1000000000, IF(CHG948="Piso", 1000000000, IF(CHG948="Tapete", 1000000000, IF(CHG948="Carrito", 1000000000, IF(CHG948="Cautín", 10, 1)))))))</f>
        <v>1000000000</v>
      </c>
      <c r="CHL948" s="4" t="str">
        <f t="shared" ref="CHL948" si="1121">IF(CHG948="Ionizador", "Segundos", "Ohms")</f>
        <v>Ohms</v>
      </c>
      <c r="CHM948" s="6">
        <v>148000000</v>
      </c>
      <c r="CHN948" s="6" t="str">
        <f t="shared" ref="CHN948" si="1122">CHL948</f>
        <v>Ohms</v>
      </c>
      <c r="CHO948" s="2" t="str">
        <f t="shared" ref="CHO948" si="1123">IF(CHG948="Ionizador", "Plato de carga", IF(CHG948="Cautín", "PTG", "RTG"))</f>
        <v>RTG</v>
      </c>
      <c r="CHP948" s="7">
        <v>45992</v>
      </c>
      <c r="CHQ948" s="7">
        <f t="shared" ref="CHQ948" si="1124">IF(CHR948="Trimestral", CHP948+90, IF(CHR948="Semestral", CHP948+180, CHP948+365))</f>
        <v>46172</v>
      </c>
      <c r="CHR948" s="7" t="str">
        <f t="shared" ref="CHR948" si="1125">IF(CHG948="Ionizador", "Trimestral", IF(CHG948="Rack", "Semestral", IF(CHG948="Mesa", "Semestral", IF(CHG948="Tapete", "Semestral", IF(CHG948="Cautín", "Semestral", IF(CHG948="Silla", "Semestral", "Anual"))))))</f>
        <v>Semestral</v>
      </c>
      <c r="CHS948" s="2" t="str">
        <f t="shared" ref="CHS948" ca="1" si="1126">IF(CHQ948&lt;TODAY(),"VENCIDO",IF(CHQ948=TODAY(),"VENCE HOY",IF(CHQ948&gt;TODAY(),"VIGENTE")))</f>
        <v>VIGENTE</v>
      </c>
      <c r="CHT948" s="6" t="s">
        <v>25</v>
      </c>
      <c r="CHU948" s="23" t="s">
        <v>138</v>
      </c>
      <c r="CHV948" s="2" t="s">
        <v>433</v>
      </c>
      <c r="CHW948" s="3" t="s">
        <v>22</v>
      </c>
      <c r="CHX948" s="3" t="s">
        <v>23</v>
      </c>
      <c r="CHY948" s="2" t="s">
        <v>24</v>
      </c>
      <c r="CHZ948" s="4">
        <v>0</v>
      </c>
      <c r="CIA948" s="8">
        <f t="shared" ref="CIA948" si="1127">IF(CHW948="Ionizador", 10, IF(CHW948="Mesa", 1000000000, IF(CHW948="Rack", 1000000000, IF(CHW948="Piso", 1000000000, IF(CHW948="Tapete", 1000000000, IF(CHW948="Carrito", 1000000000, IF(CHW948="Cautín", 10, 1)))))))</f>
        <v>1000000000</v>
      </c>
      <c r="CIB948" s="4" t="str">
        <f t="shared" ref="CIB948" si="1128">IF(CHW948="Ionizador", "Segundos", "Ohms")</f>
        <v>Ohms</v>
      </c>
      <c r="CIC948" s="6">
        <v>148000000</v>
      </c>
      <c r="CID948" s="6" t="str">
        <f t="shared" ref="CID948" si="1129">CIB948</f>
        <v>Ohms</v>
      </c>
      <c r="CIE948" s="2" t="str">
        <f t="shared" ref="CIE948" si="1130">IF(CHW948="Ionizador", "Plato de carga", IF(CHW948="Cautín", "PTG", "RTG"))</f>
        <v>RTG</v>
      </c>
      <c r="CIF948" s="7">
        <v>45992</v>
      </c>
      <c r="CIG948" s="7">
        <f t="shared" ref="CIG948" si="1131">IF(CIH948="Trimestral", CIF948+90, IF(CIH948="Semestral", CIF948+180, CIF948+365))</f>
        <v>46172</v>
      </c>
      <c r="CIH948" s="7" t="str">
        <f t="shared" ref="CIH948" si="1132">IF(CHW948="Ionizador", "Trimestral", IF(CHW948="Rack", "Semestral", IF(CHW948="Mesa", "Semestral", IF(CHW948="Tapete", "Semestral", IF(CHW948="Cautín", "Semestral", IF(CHW948="Silla", "Semestral", "Anual"))))))</f>
        <v>Semestral</v>
      </c>
      <c r="CII948" s="2" t="str">
        <f t="shared" ref="CII948" ca="1" si="1133">IF(CIG948&lt;TODAY(),"VENCIDO",IF(CIG948=TODAY(),"VENCE HOY",IF(CIG948&gt;TODAY(),"VIGENTE")))</f>
        <v>VIGENTE</v>
      </c>
      <c r="CIJ948" s="6" t="s">
        <v>25</v>
      </c>
      <c r="CIK948" s="23" t="s">
        <v>138</v>
      </c>
      <c r="CIL948" s="2" t="s">
        <v>433</v>
      </c>
      <c r="CIM948" s="3" t="s">
        <v>22</v>
      </c>
      <c r="CIN948" s="3" t="s">
        <v>23</v>
      </c>
      <c r="CIO948" s="2" t="s">
        <v>24</v>
      </c>
      <c r="CIP948" s="4">
        <v>0</v>
      </c>
      <c r="CIQ948" s="8">
        <f t="shared" ref="CIQ948" si="1134">IF(CIM948="Ionizador", 10, IF(CIM948="Mesa", 1000000000, IF(CIM948="Rack", 1000000000, IF(CIM948="Piso", 1000000000, IF(CIM948="Tapete", 1000000000, IF(CIM948="Carrito", 1000000000, IF(CIM948="Cautín", 10, 1)))))))</f>
        <v>1000000000</v>
      </c>
      <c r="CIR948" s="4" t="str">
        <f t="shared" ref="CIR948" si="1135">IF(CIM948="Ionizador", "Segundos", "Ohms")</f>
        <v>Ohms</v>
      </c>
      <c r="CIS948" s="6">
        <v>148000000</v>
      </c>
      <c r="CIT948" s="6" t="str">
        <f t="shared" ref="CIT948" si="1136">CIR948</f>
        <v>Ohms</v>
      </c>
      <c r="CIU948" s="2" t="str">
        <f t="shared" ref="CIU948" si="1137">IF(CIM948="Ionizador", "Plato de carga", IF(CIM948="Cautín", "PTG", "RTG"))</f>
        <v>RTG</v>
      </c>
      <c r="CIV948" s="7">
        <v>45992</v>
      </c>
      <c r="CIW948" s="7">
        <f t="shared" ref="CIW948" si="1138">IF(CIX948="Trimestral", CIV948+90, IF(CIX948="Semestral", CIV948+180, CIV948+365))</f>
        <v>46172</v>
      </c>
      <c r="CIX948" s="7" t="str">
        <f t="shared" ref="CIX948" si="1139">IF(CIM948="Ionizador", "Trimestral", IF(CIM948="Rack", "Semestral", IF(CIM948="Mesa", "Semestral", IF(CIM948="Tapete", "Semestral", IF(CIM948="Cautín", "Semestral", IF(CIM948="Silla", "Semestral", "Anual"))))))</f>
        <v>Semestral</v>
      </c>
      <c r="CIY948" s="2" t="str">
        <f t="shared" ref="CIY948" ca="1" si="1140">IF(CIW948&lt;TODAY(),"VENCIDO",IF(CIW948=TODAY(),"VENCE HOY",IF(CIW948&gt;TODAY(),"VIGENTE")))</f>
        <v>VIGENTE</v>
      </c>
      <c r="CIZ948" s="6" t="s">
        <v>25</v>
      </c>
      <c r="CJA948" s="23" t="s">
        <v>138</v>
      </c>
      <c r="CJB948" s="2" t="s">
        <v>433</v>
      </c>
      <c r="CJC948" s="3" t="s">
        <v>22</v>
      </c>
      <c r="CJD948" s="3" t="s">
        <v>23</v>
      </c>
      <c r="CJE948" s="2" t="s">
        <v>24</v>
      </c>
      <c r="CJF948" s="4">
        <v>0</v>
      </c>
      <c r="CJG948" s="8">
        <f t="shared" ref="CJG948" si="1141">IF(CJC948="Ionizador", 10, IF(CJC948="Mesa", 1000000000, IF(CJC948="Rack", 1000000000, IF(CJC948="Piso", 1000000000, IF(CJC948="Tapete", 1000000000, IF(CJC948="Carrito", 1000000000, IF(CJC948="Cautín", 10, 1)))))))</f>
        <v>1000000000</v>
      </c>
      <c r="CJH948" s="4" t="str">
        <f t="shared" ref="CJH948" si="1142">IF(CJC948="Ionizador", "Segundos", "Ohms")</f>
        <v>Ohms</v>
      </c>
      <c r="CJI948" s="6">
        <v>148000000</v>
      </c>
      <c r="CJJ948" s="6" t="str">
        <f t="shared" ref="CJJ948" si="1143">CJH948</f>
        <v>Ohms</v>
      </c>
      <c r="CJK948" s="2" t="str">
        <f t="shared" ref="CJK948" si="1144">IF(CJC948="Ionizador", "Plato de carga", IF(CJC948="Cautín", "PTG", "RTG"))</f>
        <v>RTG</v>
      </c>
      <c r="CJL948" s="7">
        <v>45992</v>
      </c>
      <c r="CJM948" s="7">
        <f t="shared" ref="CJM948" si="1145">IF(CJN948="Trimestral", CJL948+90, IF(CJN948="Semestral", CJL948+180, CJL948+365))</f>
        <v>46172</v>
      </c>
      <c r="CJN948" s="7" t="str">
        <f t="shared" ref="CJN948" si="1146">IF(CJC948="Ionizador", "Trimestral", IF(CJC948="Rack", "Semestral", IF(CJC948="Mesa", "Semestral", IF(CJC948="Tapete", "Semestral", IF(CJC948="Cautín", "Semestral", IF(CJC948="Silla", "Semestral", "Anual"))))))</f>
        <v>Semestral</v>
      </c>
      <c r="CJO948" s="2" t="str">
        <f t="shared" ref="CJO948" ca="1" si="1147">IF(CJM948&lt;TODAY(),"VENCIDO",IF(CJM948=TODAY(),"VENCE HOY",IF(CJM948&gt;TODAY(),"VIGENTE")))</f>
        <v>VIGENTE</v>
      </c>
      <c r="CJP948" s="6" t="s">
        <v>25</v>
      </c>
      <c r="CJQ948" s="23" t="s">
        <v>138</v>
      </c>
      <c r="CJR948" s="2" t="s">
        <v>433</v>
      </c>
      <c r="CJS948" s="3" t="s">
        <v>22</v>
      </c>
      <c r="CJT948" s="3" t="s">
        <v>23</v>
      </c>
      <c r="CJU948" s="2" t="s">
        <v>24</v>
      </c>
      <c r="CJV948" s="4">
        <v>0</v>
      </c>
      <c r="CJW948" s="8">
        <f t="shared" ref="CJW948" si="1148">IF(CJS948="Ionizador", 10, IF(CJS948="Mesa", 1000000000, IF(CJS948="Rack", 1000000000, IF(CJS948="Piso", 1000000000, IF(CJS948="Tapete", 1000000000, IF(CJS948="Carrito", 1000000000, IF(CJS948="Cautín", 10, 1)))))))</f>
        <v>1000000000</v>
      </c>
      <c r="CJX948" s="4" t="str">
        <f t="shared" ref="CJX948" si="1149">IF(CJS948="Ionizador", "Segundos", "Ohms")</f>
        <v>Ohms</v>
      </c>
      <c r="CJY948" s="6">
        <v>148000000</v>
      </c>
      <c r="CJZ948" s="6" t="str">
        <f t="shared" ref="CJZ948" si="1150">CJX948</f>
        <v>Ohms</v>
      </c>
      <c r="CKA948" s="2" t="str">
        <f t="shared" ref="CKA948" si="1151">IF(CJS948="Ionizador", "Plato de carga", IF(CJS948="Cautín", "PTG", "RTG"))</f>
        <v>RTG</v>
      </c>
      <c r="CKB948" s="7">
        <v>45992</v>
      </c>
      <c r="CKC948" s="7">
        <f t="shared" ref="CKC948" si="1152">IF(CKD948="Trimestral", CKB948+90, IF(CKD948="Semestral", CKB948+180, CKB948+365))</f>
        <v>46172</v>
      </c>
      <c r="CKD948" s="7" t="str">
        <f t="shared" ref="CKD948" si="1153">IF(CJS948="Ionizador", "Trimestral", IF(CJS948="Rack", "Semestral", IF(CJS948="Mesa", "Semestral", IF(CJS948="Tapete", "Semestral", IF(CJS948="Cautín", "Semestral", IF(CJS948="Silla", "Semestral", "Anual"))))))</f>
        <v>Semestral</v>
      </c>
      <c r="CKE948" s="2" t="str">
        <f t="shared" ref="CKE948" ca="1" si="1154">IF(CKC948&lt;TODAY(),"VENCIDO",IF(CKC948=TODAY(),"VENCE HOY",IF(CKC948&gt;TODAY(),"VIGENTE")))</f>
        <v>VIGENTE</v>
      </c>
      <c r="CKF948" s="6" t="s">
        <v>25</v>
      </c>
      <c r="CKG948" s="23" t="s">
        <v>138</v>
      </c>
      <c r="CKH948" s="2" t="s">
        <v>433</v>
      </c>
      <c r="CKI948" s="3" t="s">
        <v>22</v>
      </c>
      <c r="CKJ948" s="3" t="s">
        <v>23</v>
      </c>
      <c r="CKK948" s="2" t="s">
        <v>24</v>
      </c>
      <c r="CKL948" s="4">
        <v>0</v>
      </c>
      <c r="CKM948" s="8">
        <f t="shared" ref="CKM948" si="1155">IF(CKI948="Ionizador", 10, IF(CKI948="Mesa", 1000000000, IF(CKI948="Rack", 1000000000, IF(CKI948="Piso", 1000000000, IF(CKI948="Tapete", 1000000000, IF(CKI948="Carrito", 1000000000, IF(CKI948="Cautín", 10, 1)))))))</f>
        <v>1000000000</v>
      </c>
      <c r="CKN948" s="4" t="str">
        <f t="shared" ref="CKN948" si="1156">IF(CKI948="Ionizador", "Segundos", "Ohms")</f>
        <v>Ohms</v>
      </c>
      <c r="CKO948" s="6">
        <v>148000000</v>
      </c>
      <c r="CKP948" s="6" t="str">
        <f t="shared" ref="CKP948" si="1157">CKN948</f>
        <v>Ohms</v>
      </c>
      <c r="CKQ948" s="2" t="str">
        <f t="shared" ref="CKQ948" si="1158">IF(CKI948="Ionizador", "Plato de carga", IF(CKI948="Cautín", "PTG", "RTG"))</f>
        <v>RTG</v>
      </c>
      <c r="CKR948" s="7">
        <v>45992</v>
      </c>
      <c r="CKS948" s="7">
        <f t="shared" ref="CKS948" si="1159">IF(CKT948="Trimestral", CKR948+90, IF(CKT948="Semestral", CKR948+180, CKR948+365))</f>
        <v>46172</v>
      </c>
      <c r="CKT948" s="7" t="str">
        <f t="shared" ref="CKT948" si="1160">IF(CKI948="Ionizador", "Trimestral", IF(CKI948="Rack", "Semestral", IF(CKI948="Mesa", "Semestral", IF(CKI948="Tapete", "Semestral", IF(CKI948="Cautín", "Semestral", IF(CKI948="Silla", "Semestral", "Anual"))))))</f>
        <v>Semestral</v>
      </c>
      <c r="CKU948" s="2" t="str">
        <f t="shared" ref="CKU948" ca="1" si="1161">IF(CKS948&lt;TODAY(),"VENCIDO",IF(CKS948=TODAY(),"VENCE HOY",IF(CKS948&gt;TODAY(),"VIGENTE")))</f>
        <v>VIGENTE</v>
      </c>
      <c r="CKV948" s="6" t="s">
        <v>25</v>
      </c>
      <c r="CKW948" s="23" t="s">
        <v>138</v>
      </c>
      <c r="CKX948" s="2" t="s">
        <v>433</v>
      </c>
      <c r="CKY948" s="3" t="s">
        <v>22</v>
      </c>
      <c r="CKZ948" s="3" t="s">
        <v>23</v>
      </c>
      <c r="CLA948" s="2" t="s">
        <v>24</v>
      </c>
      <c r="CLB948" s="4">
        <v>0</v>
      </c>
      <c r="CLC948" s="8">
        <f t="shared" ref="CLC948" si="1162">IF(CKY948="Ionizador", 10, IF(CKY948="Mesa", 1000000000, IF(CKY948="Rack", 1000000000, IF(CKY948="Piso", 1000000000, IF(CKY948="Tapete", 1000000000, IF(CKY948="Carrito", 1000000000, IF(CKY948="Cautín", 10, 1)))))))</f>
        <v>1000000000</v>
      </c>
      <c r="CLD948" s="4" t="str">
        <f t="shared" ref="CLD948" si="1163">IF(CKY948="Ionizador", "Segundos", "Ohms")</f>
        <v>Ohms</v>
      </c>
      <c r="CLE948" s="6">
        <v>148000000</v>
      </c>
      <c r="CLF948" s="6" t="str">
        <f t="shared" ref="CLF948" si="1164">CLD948</f>
        <v>Ohms</v>
      </c>
      <c r="CLG948" s="2" t="str">
        <f t="shared" ref="CLG948" si="1165">IF(CKY948="Ionizador", "Plato de carga", IF(CKY948="Cautín", "PTG", "RTG"))</f>
        <v>RTG</v>
      </c>
      <c r="CLH948" s="7">
        <v>45992</v>
      </c>
      <c r="CLI948" s="7">
        <f t="shared" ref="CLI948" si="1166">IF(CLJ948="Trimestral", CLH948+90, IF(CLJ948="Semestral", CLH948+180, CLH948+365))</f>
        <v>46172</v>
      </c>
      <c r="CLJ948" s="7" t="str">
        <f t="shared" ref="CLJ948" si="1167">IF(CKY948="Ionizador", "Trimestral", IF(CKY948="Rack", "Semestral", IF(CKY948="Mesa", "Semestral", IF(CKY948="Tapete", "Semestral", IF(CKY948="Cautín", "Semestral", IF(CKY948="Silla", "Semestral", "Anual"))))))</f>
        <v>Semestral</v>
      </c>
      <c r="CLK948" s="2" t="str">
        <f t="shared" ref="CLK948" ca="1" si="1168">IF(CLI948&lt;TODAY(),"VENCIDO",IF(CLI948=TODAY(),"VENCE HOY",IF(CLI948&gt;TODAY(),"VIGENTE")))</f>
        <v>VIGENTE</v>
      </c>
      <c r="CLL948" s="6" t="s">
        <v>25</v>
      </c>
      <c r="CLM948" s="23" t="s">
        <v>138</v>
      </c>
      <c r="CLN948" s="2" t="s">
        <v>433</v>
      </c>
      <c r="CLO948" s="3" t="s">
        <v>22</v>
      </c>
      <c r="CLP948" s="3" t="s">
        <v>23</v>
      </c>
      <c r="CLQ948" s="2" t="s">
        <v>24</v>
      </c>
      <c r="CLR948" s="4">
        <v>0</v>
      </c>
      <c r="CLS948" s="8">
        <f t="shared" ref="CLS948" si="1169">IF(CLO948="Ionizador", 10, IF(CLO948="Mesa", 1000000000, IF(CLO948="Rack", 1000000000, IF(CLO948="Piso", 1000000000, IF(CLO948="Tapete", 1000000000, IF(CLO948="Carrito", 1000000000, IF(CLO948="Cautín", 10, 1)))))))</f>
        <v>1000000000</v>
      </c>
      <c r="CLT948" s="4" t="str">
        <f t="shared" ref="CLT948" si="1170">IF(CLO948="Ionizador", "Segundos", "Ohms")</f>
        <v>Ohms</v>
      </c>
      <c r="CLU948" s="6">
        <v>148000000</v>
      </c>
      <c r="CLV948" s="6" t="str">
        <f t="shared" ref="CLV948" si="1171">CLT948</f>
        <v>Ohms</v>
      </c>
      <c r="CLW948" s="2" t="str">
        <f t="shared" ref="CLW948" si="1172">IF(CLO948="Ionizador", "Plato de carga", IF(CLO948="Cautín", "PTG", "RTG"))</f>
        <v>RTG</v>
      </c>
      <c r="CLX948" s="7">
        <v>45992</v>
      </c>
      <c r="CLY948" s="7">
        <f t="shared" ref="CLY948" si="1173">IF(CLZ948="Trimestral", CLX948+90, IF(CLZ948="Semestral", CLX948+180, CLX948+365))</f>
        <v>46172</v>
      </c>
      <c r="CLZ948" s="7" t="str">
        <f t="shared" ref="CLZ948" si="1174">IF(CLO948="Ionizador", "Trimestral", IF(CLO948="Rack", "Semestral", IF(CLO948="Mesa", "Semestral", IF(CLO948="Tapete", "Semestral", IF(CLO948="Cautín", "Semestral", IF(CLO948="Silla", "Semestral", "Anual"))))))</f>
        <v>Semestral</v>
      </c>
      <c r="CMA948" s="2" t="str">
        <f t="shared" ref="CMA948" ca="1" si="1175">IF(CLY948&lt;TODAY(),"VENCIDO",IF(CLY948=TODAY(),"VENCE HOY",IF(CLY948&gt;TODAY(),"VIGENTE")))</f>
        <v>VIGENTE</v>
      </c>
      <c r="CMB948" s="6" t="s">
        <v>25</v>
      </c>
      <c r="CMC948" s="23" t="s">
        <v>138</v>
      </c>
      <c r="CMD948" s="2" t="s">
        <v>433</v>
      </c>
      <c r="CME948" s="3" t="s">
        <v>22</v>
      </c>
      <c r="CMF948" s="3" t="s">
        <v>23</v>
      </c>
      <c r="CMG948" s="2" t="s">
        <v>24</v>
      </c>
      <c r="CMH948" s="4">
        <v>0</v>
      </c>
      <c r="CMI948" s="8">
        <f t="shared" ref="CMI948" si="1176">IF(CME948="Ionizador", 10, IF(CME948="Mesa", 1000000000, IF(CME948="Rack", 1000000000, IF(CME948="Piso", 1000000000, IF(CME948="Tapete", 1000000000, IF(CME948="Carrito", 1000000000, IF(CME948="Cautín", 10, 1)))))))</f>
        <v>1000000000</v>
      </c>
      <c r="CMJ948" s="4" t="str">
        <f t="shared" ref="CMJ948" si="1177">IF(CME948="Ionizador", "Segundos", "Ohms")</f>
        <v>Ohms</v>
      </c>
      <c r="CMK948" s="6">
        <v>148000000</v>
      </c>
      <c r="CML948" s="6" t="str">
        <f t="shared" ref="CML948" si="1178">CMJ948</f>
        <v>Ohms</v>
      </c>
      <c r="CMM948" s="2" t="str">
        <f t="shared" ref="CMM948" si="1179">IF(CME948="Ionizador", "Plato de carga", IF(CME948="Cautín", "PTG", "RTG"))</f>
        <v>RTG</v>
      </c>
      <c r="CMN948" s="7">
        <v>45992</v>
      </c>
      <c r="CMO948" s="7">
        <f t="shared" ref="CMO948" si="1180">IF(CMP948="Trimestral", CMN948+90, IF(CMP948="Semestral", CMN948+180, CMN948+365))</f>
        <v>46172</v>
      </c>
      <c r="CMP948" s="7" t="str">
        <f t="shared" ref="CMP948" si="1181">IF(CME948="Ionizador", "Trimestral", IF(CME948="Rack", "Semestral", IF(CME948="Mesa", "Semestral", IF(CME948="Tapete", "Semestral", IF(CME948="Cautín", "Semestral", IF(CME948="Silla", "Semestral", "Anual"))))))</f>
        <v>Semestral</v>
      </c>
      <c r="CMQ948" s="2" t="str">
        <f t="shared" ref="CMQ948" ca="1" si="1182">IF(CMO948&lt;TODAY(),"VENCIDO",IF(CMO948=TODAY(),"VENCE HOY",IF(CMO948&gt;TODAY(),"VIGENTE")))</f>
        <v>VIGENTE</v>
      </c>
      <c r="CMR948" s="6" t="s">
        <v>25</v>
      </c>
      <c r="CMS948" s="23" t="s">
        <v>138</v>
      </c>
      <c r="CMT948" s="2" t="s">
        <v>433</v>
      </c>
      <c r="CMU948" s="3" t="s">
        <v>22</v>
      </c>
      <c r="CMV948" s="3" t="s">
        <v>23</v>
      </c>
      <c r="CMW948" s="2" t="s">
        <v>24</v>
      </c>
      <c r="CMX948" s="4">
        <v>0</v>
      </c>
      <c r="CMY948" s="8">
        <f t="shared" ref="CMY948" si="1183">IF(CMU948="Ionizador", 10, IF(CMU948="Mesa", 1000000000, IF(CMU948="Rack", 1000000000, IF(CMU948="Piso", 1000000000, IF(CMU948="Tapete", 1000000000, IF(CMU948="Carrito", 1000000000, IF(CMU948="Cautín", 10, 1)))))))</f>
        <v>1000000000</v>
      </c>
      <c r="CMZ948" s="4" t="str">
        <f t="shared" ref="CMZ948" si="1184">IF(CMU948="Ionizador", "Segundos", "Ohms")</f>
        <v>Ohms</v>
      </c>
      <c r="CNA948" s="6">
        <v>148000000</v>
      </c>
      <c r="CNB948" s="6" t="str">
        <f t="shared" ref="CNB948" si="1185">CMZ948</f>
        <v>Ohms</v>
      </c>
      <c r="CNC948" s="2" t="str">
        <f t="shared" ref="CNC948" si="1186">IF(CMU948="Ionizador", "Plato de carga", IF(CMU948="Cautín", "PTG", "RTG"))</f>
        <v>RTG</v>
      </c>
      <c r="CND948" s="7">
        <v>45992</v>
      </c>
      <c r="CNE948" s="7">
        <f t="shared" ref="CNE948" si="1187">IF(CNF948="Trimestral", CND948+90, IF(CNF948="Semestral", CND948+180, CND948+365))</f>
        <v>46172</v>
      </c>
      <c r="CNF948" s="7" t="str">
        <f t="shared" ref="CNF948" si="1188">IF(CMU948="Ionizador", "Trimestral", IF(CMU948="Rack", "Semestral", IF(CMU948="Mesa", "Semestral", IF(CMU948="Tapete", "Semestral", IF(CMU948="Cautín", "Semestral", IF(CMU948="Silla", "Semestral", "Anual"))))))</f>
        <v>Semestral</v>
      </c>
      <c r="CNG948" s="2" t="str">
        <f t="shared" ref="CNG948" ca="1" si="1189">IF(CNE948&lt;TODAY(),"VENCIDO",IF(CNE948=TODAY(),"VENCE HOY",IF(CNE948&gt;TODAY(),"VIGENTE")))</f>
        <v>VIGENTE</v>
      </c>
      <c r="CNH948" s="6" t="s">
        <v>25</v>
      </c>
      <c r="CNI948" s="23" t="s">
        <v>138</v>
      </c>
      <c r="CNJ948" s="2" t="s">
        <v>433</v>
      </c>
      <c r="CNK948" s="3" t="s">
        <v>22</v>
      </c>
      <c r="CNL948" s="3" t="s">
        <v>23</v>
      </c>
      <c r="CNM948" s="2" t="s">
        <v>24</v>
      </c>
      <c r="CNN948" s="4">
        <v>0</v>
      </c>
      <c r="CNO948" s="8">
        <f t="shared" ref="CNO948" si="1190">IF(CNK948="Ionizador", 10, IF(CNK948="Mesa", 1000000000, IF(CNK948="Rack", 1000000000, IF(CNK948="Piso", 1000000000, IF(CNK948="Tapete", 1000000000, IF(CNK948="Carrito", 1000000000, IF(CNK948="Cautín", 10, 1)))))))</f>
        <v>1000000000</v>
      </c>
      <c r="CNP948" s="4" t="str">
        <f t="shared" ref="CNP948" si="1191">IF(CNK948="Ionizador", "Segundos", "Ohms")</f>
        <v>Ohms</v>
      </c>
      <c r="CNQ948" s="6">
        <v>148000000</v>
      </c>
      <c r="CNR948" s="6" t="str">
        <f t="shared" ref="CNR948" si="1192">CNP948</f>
        <v>Ohms</v>
      </c>
      <c r="CNS948" s="2" t="str">
        <f t="shared" ref="CNS948" si="1193">IF(CNK948="Ionizador", "Plato de carga", IF(CNK948="Cautín", "PTG", "RTG"))</f>
        <v>RTG</v>
      </c>
      <c r="CNT948" s="7">
        <v>45992</v>
      </c>
      <c r="CNU948" s="7">
        <f t="shared" ref="CNU948" si="1194">IF(CNV948="Trimestral", CNT948+90, IF(CNV948="Semestral", CNT948+180, CNT948+365))</f>
        <v>46172</v>
      </c>
      <c r="CNV948" s="7" t="str">
        <f t="shared" ref="CNV948" si="1195">IF(CNK948="Ionizador", "Trimestral", IF(CNK948="Rack", "Semestral", IF(CNK948="Mesa", "Semestral", IF(CNK948="Tapete", "Semestral", IF(CNK948="Cautín", "Semestral", IF(CNK948="Silla", "Semestral", "Anual"))))))</f>
        <v>Semestral</v>
      </c>
      <c r="CNW948" s="2" t="str">
        <f t="shared" ref="CNW948" ca="1" si="1196">IF(CNU948&lt;TODAY(),"VENCIDO",IF(CNU948=TODAY(),"VENCE HOY",IF(CNU948&gt;TODAY(),"VIGENTE")))</f>
        <v>VIGENTE</v>
      </c>
      <c r="CNX948" s="6" t="s">
        <v>25</v>
      </c>
      <c r="CNY948" s="23" t="s">
        <v>138</v>
      </c>
      <c r="CNZ948" s="2" t="s">
        <v>433</v>
      </c>
      <c r="COA948" s="3" t="s">
        <v>22</v>
      </c>
      <c r="COB948" s="3" t="s">
        <v>23</v>
      </c>
      <c r="COC948" s="2" t="s">
        <v>24</v>
      </c>
      <c r="COD948" s="4">
        <v>0</v>
      </c>
      <c r="COE948" s="8">
        <f t="shared" ref="COE948" si="1197">IF(COA948="Ionizador", 10, IF(COA948="Mesa", 1000000000, IF(COA948="Rack", 1000000000, IF(COA948="Piso", 1000000000, IF(COA948="Tapete", 1000000000, IF(COA948="Carrito", 1000000000, IF(COA948="Cautín", 10, 1)))))))</f>
        <v>1000000000</v>
      </c>
      <c r="COF948" s="4" t="str">
        <f t="shared" ref="COF948" si="1198">IF(COA948="Ionizador", "Segundos", "Ohms")</f>
        <v>Ohms</v>
      </c>
      <c r="COG948" s="6">
        <v>148000000</v>
      </c>
      <c r="COH948" s="6" t="str">
        <f t="shared" ref="COH948" si="1199">COF948</f>
        <v>Ohms</v>
      </c>
      <c r="COI948" s="2" t="str">
        <f t="shared" ref="COI948" si="1200">IF(COA948="Ionizador", "Plato de carga", IF(COA948="Cautín", "PTG", "RTG"))</f>
        <v>RTG</v>
      </c>
      <c r="COJ948" s="7">
        <v>45992</v>
      </c>
      <c r="COK948" s="7">
        <f t="shared" ref="COK948" si="1201">IF(COL948="Trimestral", COJ948+90, IF(COL948="Semestral", COJ948+180, COJ948+365))</f>
        <v>46172</v>
      </c>
      <c r="COL948" s="7" t="str">
        <f t="shared" ref="COL948" si="1202">IF(COA948="Ionizador", "Trimestral", IF(COA948="Rack", "Semestral", IF(COA948="Mesa", "Semestral", IF(COA948="Tapete", "Semestral", IF(COA948="Cautín", "Semestral", IF(COA948="Silla", "Semestral", "Anual"))))))</f>
        <v>Semestral</v>
      </c>
      <c r="COM948" s="2" t="str">
        <f t="shared" ref="COM948" ca="1" si="1203">IF(COK948&lt;TODAY(),"VENCIDO",IF(COK948=TODAY(),"VENCE HOY",IF(COK948&gt;TODAY(),"VIGENTE")))</f>
        <v>VIGENTE</v>
      </c>
      <c r="CON948" s="6" t="s">
        <v>25</v>
      </c>
      <c r="COO948" s="23" t="s">
        <v>138</v>
      </c>
      <c r="COP948" s="2" t="s">
        <v>433</v>
      </c>
      <c r="COQ948" s="3" t="s">
        <v>22</v>
      </c>
      <c r="COR948" s="3" t="s">
        <v>23</v>
      </c>
      <c r="COS948" s="2" t="s">
        <v>24</v>
      </c>
      <c r="COT948" s="4">
        <v>0</v>
      </c>
      <c r="COU948" s="8">
        <f t="shared" ref="COU948" si="1204">IF(COQ948="Ionizador", 10, IF(COQ948="Mesa", 1000000000, IF(COQ948="Rack", 1000000000, IF(COQ948="Piso", 1000000000, IF(COQ948="Tapete", 1000000000, IF(COQ948="Carrito", 1000000000, IF(COQ948="Cautín", 10, 1)))))))</f>
        <v>1000000000</v>
      </c>
      <c r="COV948" s="4" t="str">
        <f t="shared" ref="COV948" si="1205">IF(COQ948="Ionizador", "Segundos", "Ohms")</f>
        <v>Ohms</v>
      </c>
      <c r="COW948" s="6">
        <v>148000000</v>
      </c>
      <c r="COX948" s="6" t="str">
        <f t="shared" ref="COX948" si="1206">COV948</f>
        <v>Ohms</v>
      </c>
      <c r="COY948" s="2" t="str">
        <f t="shared" ref="COY948" si="1207">IF(COQ948="Ionizador", "Plato de carga", IF(COQ948="Cautín", "PTG", "RTG"))</f>
        <v>RTG</v>
      </c>
      <c r="COZ948" s="7">
        <v>45992</v>
      </c>
      <c r="CPA948" s="7">
        <f t="shared" ref="CPA948" si="1208">IF(CPB948="Trimestral", COZ948+90, IF(CPB948="Semestral", COZ948+180, COZ948+365))</f>
        <v>46172</v>
      </c>
      <c r="CPB948" s="7" t="str">
        <f t="shared" ref="CPB948" si="1209">IF(COQ948="Ionizador", "Trimestral", IF(COQ948="Rack", "Semestral", IF(COQ948="Mesa", "Semestral", IF(COQ948="Tapete", "Semestral", IF(COQ948="Cautín", "Semestral", IF(COQ948="Silla", "Semestral", "Anual"))))))</f>
        <v>Semestral</v>
      </c>
      <c r="CPC948" s="2" t="str">
        <f t="shared" ref="CPC948" ca="1" si="1210">IF(CPA948&lt;TODAY(),"VENCIDO",IF(CPA948=TODAY(),"VENCE HOY",IF(CPA948&gt;TODAY(),"VIGENTE")))</f>
        <v>VIGENTE</v>
      </c>
      <c r="CPD948" s="6" t="s">
        <v>25</v>
      </c>
      <c r="CPE948" s="23" t="s">
        <v>138</v>
      </c>
      <c r="CPF948" s="2" t="s">
        <v>433</v>
      </c>
      <c r="CPG948" s="3" t="s">
        <v>22</v>
      </c>
      <c r="CPH948" s="3" t="s">
        <v>23</v>
      </c>
      <c r="CPI948" s="2" t="s">
        <v>24</v>
      </c>
      <c r="CPJ948" s="4">
        <v>0</v>
      </c>
      <c r="CPK948" s="8">
        <f t="shared" ref="CPK948" si="1211">IF(CPG948="Ionizador", 10, IF(CPG948="Mesa", 1000000000, IF(CPG948="Rack", 1000000000, IF(CPG948="Piso", 1000000000, IF(CPG948="Tapete", 1000000000, IF(CPG948="Carrito", 1000000000, IF(CPG948="Cautín", 10, 1)))))))</f>
        <v>1000000000</v>
      </c>
      <c r="CPL948" s="4" t="str">
        <f t="shared" ref="CPL948" si="1212">IF(CPG948="Ionizador", "Segundos", "Ohms")</f>
        <v>Ohms</v>
      </c>
      <c r="CPM948" s="6">
        <v>148000000</v>
      </c>
      <c r="CPN948" s="6" t="str">
        <f t="shared" ref="CPN948" si="1213">CPL948</f>
        <v>Ohms</v>
      </c>
      <c r="CPO948" s="2" t="str">
        <f t="shared" ref="CPO948" si="1214">IF(CPG948="Ionizador", "Plato de carga", IF(CPG948="Cautín", "PTG", "RTG"))</f>
        <v>RTG</v>
      </c>
      <c r="CPP948" s="7">
        <v>45992</v>
      </c>
      <c r="CPQ948" s="7">
        <f t="shared" ref="CPQ948" si="1215">IF(CPR948="Trimestral", CPP948+90, IF(CPR948="Semestral", CPP948+180, CPP948+365))</f>
        <v>46172</v>
      </c>
      <c r="CPR948" s="7" t="str">
        <f t="shared" ref="CPR948" si="1216">IF(CPG948="Ionizador", "Trimestral", IF(CPG948="Rack", "Semestral", IF(CPG948="Mesa", "Semestral", IF(CPG948="Tapete", "Semestral", IF(CPG948="Cautín", "Semestral", IF(CPG948="Silla", "Semestral", "Anual"))))))</f>
        <v>Semestral</v>
      </c>
      <c r="CPS948" s="2" t="str">
        <f t="shared" ref="CPS948" ca="1" si="1217">IF(CPQ948&lt;TODAY(),"VENCIDO",IF(CPQ948=TODAY(),"VENCE HOY",IF(CPQ948&gt;TODAY(),"VIGENTE")))</f>
        <v>VIGENTE</v>
      </c>
      <c r="CPT948" s="6" t="s">
        <v>25</v>
      </c>
      <c r="CPU948" s="23" t="s">
        <v>138</v>
      </c>
      <c r="CPV948" s="2" t="s">
        <v>433</v>
      </c>
      <c r="CPW948" s="3" t="s">
        <v>22</v>
      </c>
      <c r="CPX948" s="3" t="s">
        <v>23</v>
      </c>
      <c r="CPY948" s="2" t="s">
        <v>24</v>
      </c>
      <c r="CPZ948" s="4">
        <v>0</v>
      </c>
      <c r="CQA948" s="8">
        <f t="shared" ref="CQA948" si="1218">IF(CPW948="Ionizador", 10, IF(CPW948="Mesa", 1000000000, IF(CPW948="Rack", 1000000000, IF(CPW948="Piso", 1000000000, IF(CPW948="Tapete", 1000000000, IF(CPW948="Carrito", 1000000000, IF(CPW948="Cautín", 10, 1)))))))</f>
        <v>1000000000</v>
      </c>
      <c r="CQB948" s="4" t="str">
        <f t="shared" ref="CQB948" si="1219">IF(CPW948="Ionizador", "Segundos", "Ohms")</f>
        <v>Ohms</v>
      </c>
      <c r="CQC948" s="6">
        <v>148000000</v>
      </c>
      <c r="CQD948" s="6" t="str">
        <f t="shared" ref="CQD948" si="1220">CQB948</f>
        <v>Ohms</v>
      </c>
      <c r="CQE948" s="2" t="str">
        <f t="shared" ref="CQE948" si="1221">IF(CPW948="Ionizador", "Plato de carga", IF(CPW948="Cautín", "PTG", "RTG"))</f>
        <v>RTG</v>
      </c>
      <c r="CQF948" s="7">
        <v>45992</v>
      </c>
      <c r="CQG948" s="7">
        <f t="shared" ref="CQG948" si="1222">IF(CQH948="Trimestral", CQF948+90, IF(CQH948="Semestral", CQF948+180, CQF948+365))</f>
        <v>46172</v>
      </c>
      <c r="CQH948" s="7" t="str">
        <f t="shared" ref="CQH948" si="1223">IF(CPW948="Ionizador", "Trimestral", IF(CPW948="Rack", "Semestral", IF(CPW948="Mesa", "Semestral", IF(CPW948="Tapete", "Semestral", IF(CPW948="Cautín", "Semestral", IF(CPW948="Silla", "Semestral", "Anual"))))))</f>
        <v>Semestral</v>
      </c>
      <c r="CQI948" s="2" t="str">
        <f t="shared" ref="CQI948" ca="1" si="1224">IF(CQG948&lt;TODAY(),"VENCIDO",IF(CQG948=TODAY(),"VENCE HOY",IF(CQG948&gt;TODAY(),"VIGENTE")))</f>
        <v>VIGENTE</v>
      </c>
      <c r="CQJ948" s="6" t="s">
        <v>25</v>
      </c>
      <c r="CQK948" s="23" t="s">
        <v>138</v>
      </c>
      <c r="CQL948" s="2" t="s">
        <v>433</v>
      </c>
      <c r="CQM948" s="3" t="s">
        <v>22</v>
      </c>
      <c r="CQN948" s="3" t="s">
        <v>23</v>
      </c>
      <c r="CQO948" s="2" t="s">
        <v>24</v>
      </c>
      <c r="CQP948" s="4">
        <v>0</v>
      </c>
      <c r="CQQ948" s="8">
        <f t="shared" ref="CQQ948" si="1225">IF(CQM948="Ionizador", 10, IF(CQM948="Mesa", 1000000000, IF(CQM948="Rack", 1000000000, IF(CQM948="Piso", 1000000000, IF(CQM948="Tapete", 1000000000, IF(CQM948="Carrito", 1000000000, IF(CQM948="Cautín", 10, 1)))))))</f>
        <v>1000000000</v>
      </c>
      <c r="CQR948" s="4" t="str">
        <f t="shared" ref="CQR948" si="1226">IF(CQM948="Ionizador", "Segundos", "Ohms")</f>
        <v>Ohms</v>
      </c>
      <c r="CQS948" s="6">
        <v>148000000</v>
      </c>
      <c r="CQT948" s="6" t="str">
        <f t="shared" ref="CQT948" si="1227">CQR948</f>
        <v>Ohms</v>
      </c>
      <c r="CQU948" s="2" t="str">
        <f t="shared" ref="CQU948" si="1228">IF(CQM948="Ionizador", "Plato de carga", IF(CQM948="Cautín", "PTG", "RTG"))</f>
        <v>RTG</v>
      </c>
      <c r="CQV948" s="7">
        <v>45992</v>
      </c>
      <c r="CQW948" s="7">
        <f t="shared" ref="CQW948" si="1229">IF(CQX948="Trimestral", CQV948+90, IF(CQX948="Semestral", CQV948+180, CQV948+365))</f>
        <v>46172</v>
      </c>
      <c r="CQX948" s="7" t="str">
        <f t="shared" ref="CQX948" si="1230">IF(CQM948="Ionizador", "Trimestral", IF(CQM948="Rack", "Semestral", IF(CQM948="Mesa", "Semestral", IF(CQM948="Tapete", "Semestral", IF(CQM948="Cautín", "Semestral", IF(CQM948="Silla", "Semestral", "Anual"))))))</f>
        <v>Semestral</v>
      </c>
      <c r="CQY948" s="2" t="str">
        <f t="shared" ref="CQY948" ca="1" si="1231">IF(CQW948&lt;TODAY(),"VENCIDO",IF(CQW948=TODAY(),"VENCE HOY",IF(CQW948&gt;TODAY(),"VIGENTE")))</f>
        <v>VIGENTE</v>
      </c>
      <c r="CQZ948" s="6" t="s">
        <v>25</v>
      </c>
      <c r="CRA948" s="23" t="s">
        <v>138</v>
      </c>
      <c r="CRB948" s="2" t="s">
        <v>433</v>
      </c>
      <c r="CRC948" s="3" t="s">
        <v>22</v>
      </c>
      <c r="CRD948" s="3" t="s">
        <v>23</v>
      </c>
      <c r="CRE948" s="2" t="s">
        <v>24</v>
      </c>
      <c r="CRF948" s="4">
        <v>0</v>
      </c>
      <c r="CRG948" s="8">
        <f t="shared" ref="CRG948" si="1232">IF(CRC948="Ionizador", 10, IF(CRC948="Mesa", 1000000000, IF(CRC948="Rack", 1000000000, IF(CRC948="Piso", 1000000000, IF(CRC948="Tapete", 1000000000, IF(CRC948="Carrito", 1000000000, IF(CRC948="Cautín", 10, 1)))))))</f>
        <v>1000000000</v>
      </c>
      <c r="CRH948" s="4" t="str">
        <f t="shared" ref="CRH948" si="1233">IF(CRC948="Ionizador", "Segundos", "Ohms")</f>
        <v>Ohms</v>
      </c>
      <c r="CRI948" s="6">
        <v>148000000</v>
      </c>
      <c r="CRJ948" s="6" t="str">
        <f t="shared" ref="CRJ948" si="1234">CRH948</f>
        <v>Ohms</v>
      </c>
      <c r="CRK948" s="2" t="str">
        <f t="shared" ref="CRK948" si="1235">IF(CRC948="Ionizador", "Plato de carga", IF(CRC948="Cautín", "PTG", "RTG"))</f>
        <v>RTG</v>
      </c>
      <c r="CRL948" s="7">
        <v>45992</v>
      </c>
      <c r="CRM948" s="7">
        <f t="shared" ref="CRM948" si="1236">IF(CRN948="Trimestral", CRL948+90, IF(CRN948="Semestral", CRL948+180, CRL948+365))</f>
        <v>46172</v>
      </c>
      <c r="CRN948" s="7" t="str">
        <f t="shared" ref="CRN948" si="1237">IF(CRC948="Ionizador", "Trimestral", IF(CRC948="Rack", "Semestral", IF(CRC948="Mesa", "Semestral", IF(CRC948="Tapete", "Semestral", IF(CRC948="Cautín", "Semestral", IF(CRC948="Silla", "Semestral", "Anual"))))))</f>
        <v>Semestral</v>
      </c>
      <c r="CRO948" s="2" t="str">
        <f t="shared" ref="CRO948" ca="1" si="1238">IF(CRM948&lt;TODAY(),"VENCIDO",IF(CRM948=TODAY(),"VENCE HOY",IF(CRM948&gt;TODAY(),"VIGENTE")))</f>
        <v>VIGENTE</v>
      </c>
      <c r="CRP948" s="6" t="s">
        <v>25</v>
      </c>
      <c r="CRQ948" s="23" t="s">
        <v>138</v>
      </c>
      <c r="CRR948" s="2" t="s">
        <v>433</v>
      </c>
      <c r="CRS948" s="3" t="s">
        <v>22</v>
      </c>
      <c r="CRT948" s="3" t="s">
        <v>23</v>
      </c>
      <c r="CRU948" s="2" t="s">
        <v>24</v>
      </c>
      <c r="CRV948" s="4">
        <v>0</v>
      </c>
      <c r="CRW948" s="8">
        <f t="shared" ref="CRW948" si="1239">IF(CRS948="Ionizador", 10, IF(CRS948="Mesa", 1000000000, IF(CRS948="Rack", 1000000000, IF(CRS948="Piso", 1000000000, IF(CRS948="Tapete", 1000000000, IF(CRS948="Carrito", 1000000000, IF(CRS948="Cautín", 10, 1)))))))</f>
        <v>1000000000</v>
      </c>
      <c r="CRX948" s="4" t="str">
        <f t="shared" ref="CRX948" si="1240">IF(CRS948="Ionizador", "Segundos", "Ohms")</f>
        <v>Ohms</v>
      </c>
      <c r="CRY948" s="6">
        <v>148000000</v>
      </c>
      <c r="CRZ948" s="6" t="str">
        <f t="shared" ref="CRZ948" si="1241">CRX948</f>
        <v>Ohms</v>
      </c>
      <c r="CSA948" s="2" t="str">
        <f t="shared" ref="CSA948" si="1242">IF(CRS948="Ionizador", "Plato de carga", IF(CRS948="Cautín", "PTG", "RTG"))</f>
        <v>RTG</v>
      </c>
      <c r="CSB948" s="7">
        <v>45992</v>
      </c>
      <c r="CSC948" s="7">
        <f t="shared" ref="CSC948" si="1243">IF(CSD948="Trimestral", CSB948+90, IF(CSD948="Semestral", CSB948+180, CSB948+365))</f>
        <v>46172</v>
      </c>
      <c r="CSD948" s="7" t="str">
        <f t="shared" ref="CSD948" si="1244">IF(CRS948="Ionizador", "Trimestral", IF(CRS948="Rack", "Semestral", IF(CRS948="Mesa", "Semestral", IF(CRS948="Tapete", "Semestral", IF(CRS948="Cautín", "Semestral", IF(CRS948="Silla", "Semestral", "Anual"))))))</f>
        <v>Semestral</v>
      </c>
      <c r="CSE948" s="2" t="str">
        <f t="shared" ref="CSE948" ca="1" si="1245">IF(CSC948&lt;TODAY(),"VENCIDO",IF(CSC948=TODAY(),"VENCE HOY",IF(CSC948&gt;TODAY(),"VIGENTE")))</f>
        <v>VIGENTE</v>
      </c>
      <c r="CSF948" s="6" t="s">
        <v>25</v>
      </c>
      <c r="CSG948" s="23" t="s">
        <v>138</v>
      </c>
      <c r="CSH948" s="2" t="s">
        <v>433</v>
      </c>
      <c r="CSI948" s="3" t="s">
        <v>22</v>
      </c>
      <c r="CSJ948" s="3" t="s">
        <v>23</v>
      </c>
      <c r="CSK948" s="2" t="s">
        <v>24</v>
      </c>
      <c r="CSL948" s="4">
        <v>0</v>
      </c>
      <c r="CSM948" s="8">
        <f t="shared" ref="CSM948" si="1246">IF(CSI948="Ionizador", 10, IF(CSI948="Mesa", 1000000000, IF(CSI948="Rack", 1000000000, IF(CSI948="Piso", 1000000000, IF(CSI948="Tapete", 1000000000, IF(CSI948="Carrito", 1000000000, IF(CSI948="Cautín", 10, 1)))))))</f>
        <v>1000000000</v>
      </c>
      <c r="CSN948" s="4" t="str">
        <f t="shared" ref="CSN948" si="1247">IF(CSI948="Ionizador", "Segundos", "Ohms")</f>
        <v>Ohms</v>
      </c>
      <c r="CSO948" s="6">
        <v>148000000</v>
      </c>
      <c r="CSP948" s="6" t="str">
        <f t="shared" ref="CSP948" si="1248">CSN948</f>
        <v>Ohms</v>
      </c>
      <c r="CSQ948" s="2" t="str">
        <f t="shared" ref="CSQ948" si="1249">IF(CSI948="Ionizador", "Plato de carga", IF(CSI948="Cautín", "PTG", "RTG"))</f>
        <v>RTG</v>
      </c>
      <c r="CSR948" s="7">
        <v>45992</v>
      </c>
      <c r="CSS948" s="7">
        <f t="shared" ref="CSS948" si="1250">IF(CST948="Trimestral", CSR948+90, IF(CST948="Semestral", CSR948+180, CSR948+365))</f>
        <v>46172</v>
      </c>
      <c r="CST948" s="7" t="str">
        <f t="shared" ref="CST948" si="1251">IF(CSI948="Ionizador", "Trimestral", IF(CSI948="Rack", "Semestral", IF(CSI948="Mesa", "Semestral", IF(CSI948="Tapete", "Semestral", IF(CSI948="Cautín", "Semestral", IF(CSI948="Silla", "Semestral", "Anual"))))))</f>
        <v>Semestral</v>
      </c>
      <c r="CSU948" s="2" t="str">
        <f t="shared" ref="CSU948" ca="1" si="1252">IF(CSS948&lt;TODAY(),"VENCIDO",IF(CSS948=TODAY(),"VENCE HOY",IF(CSS948&gt;TODAY(),"VIGENTE")))</f>
        <v>VIGENTE</v>
      </c>
      <c r="CSV948" s="6" t="s">
        <v>25</v>
      </c>
      <c r="CSW948" s="23" t="s">
        <v>138</v>
      </c>
      <c r="CSX948" s="2" t="s">
        <v>433</v>
      </c>
      <c r="CSY948" s="3" t="s">
        <v>22</v>
      </c>
      <c r="CSZ948" s="3" t="s">
        <v>23</v>
      </c>
      <c r="CTA948" s="2" t="s">
        <v>24</v>
      </c>
      <c r="CTB948" s="4">
        <v>0</v>
      </c>
      <c r="CTC948" s="8">
        <f t="shared" ref="CTC948" si="1253">IF(CSY948="Ionizador", 10, IF(CSY948="Mesa", 1000000000, IF(CSY948="Rack", 1000000000, IF(CSY948="Piso", 1000000000, IF(CSY948="Tapete", 1000000000, IF(CSY948="Carrito", 1000000000, IF(CSY948="Cautín", 10, 1)))))))</f>
        <v>1000000000</v>
      </c>
      <c r="CTD948" s="4" t="str">
        <f t="shared" ref="CTD948" si="1254">IF(CSY948="Ionizador", "Segundos", "Ohms")</f>
        <v>Ohms</v>
      </c>
      <c r="CTE948" s="6">
        <v>148000000</v>
      </c>
      <c r="CTF948" s="6" t="str">
        <f t="shared" ref="CTF948" si="1255">CTD948</f>
        <v>Ohms</v>
      </c>
      <c r="CTG948" s="2" t="str">
        <f t="shared" ref="CTG948" si="1256">IF(CSY948="Ionizador", "Plato de carga", IF(CSY948="Cautín", "PTG", "RTG"))</f>
        <v>RTG</v>
      </c>
      <c r="CTH948" s="7">
        <v>45992</v>
      </c>
      <c r="CTI948" s="7">
        <f t="shared" ref="CTI948" si="1257">IF(CTJ948="Trimestral", CTH948+90, IF(CTJ948="Semestral", CTH948+180, CTH948+365))</f>
        <v>46172</v>
      </c>
      <c r="CTJ948" s="7" t="str">
        <f t="shared" ref="CTJ948" si="1258">IF(CSY948="Ionizador", "Trimestral", IF(CSY948="Rack", "Semestral", IF(CSY948="Mesa", "Semestral", IF(CSY948="Tapete", "Semestral", IF(CSY948="Cautín", "Semestral", IF(CSY948="Silla", "Semestral", "Anual"))))))</f>
        <v>Semestral</v>
      </c>
      <c r="CTK948" s="2" t="str">
        <f t="shared" ref="CTK948" ca="1" si="1259">IF(CTI948&lt;TODAY(),"VENCIDO",IF(CTI948=TODAY(),"VENCE HOY",IF(CTI948&gt;TODAY(),"VIGENTE")))</f>
        <v>VIGENTE</v>
      </c>
      <c r="CTL948" s="6" t="s">
        <v>25</v>
      </c>
      <c r="CTM948" s="23" t="s">
        <v>138</v>
      </c>
      <c r="CTN948" s="2" t="s">
        <v>433</v>
      </c>
      <c r="CTO948" s="3" t="s">
        <v>22</v>
      </c>
      <c r="CTP948" s="3" t="s">
        <v>23</v>
      </c>
      <c r="CTQ948" s="2" t="s">
        <v>24</v>
      </c>
      <c r="CTR948" s="4">
        <v>0</v>
      </c>
      <c r="CTS948" s="8">
        <f t="shared" ref="CTS948" si="1260">IF(CTO948="Ionizador", 10, IF(CTO948="Mesa", 1000000000, IF(CTO948="Rack", 1000000000, IF(CTO948="Piso", 1000000000, IF(CTO948="Tapete", 1000000000, IF(CTO948="Carrito", 1000000000, IF(CTO948="Cautín", 10, 1)))))))</f>
        <v>1000000000</v>
      </c>
      <c r="CTT948" s="4" t="str">
        <f t="shared" ref="CTT948" si="1261">IF(CTO948="Ionizador", "Segundos", "Ohms")</f>
        <v>Ohms</v>
      </c>
      <c r="CTU948" s="6">
        <v>148000000</v>
      </c>
      <c r="CTV948" s="6" t="str">
        <f t="shared" ref="CTV948" si="1262">CTT948</f>
        <v>Ohms</v>
      </c>
      <c r="CTW948" s="2" t="str">
        <f t="shared" ref="CTW948" si="1263">IF(CTO948="Ionizador", "Plato de carga", IF(CTO948="Cautín", "PTG", "RTG"))</f>
        <v>RTG</v>
      </c>
      <c r="CTX948" s="7">
        <v>45992</v>
      </c>
      <c r="CTY948" s="7">
        <f t="shared" ref="CTY948" si="1264">IF(CTZ948="Trimestral", CTX948+90, IF(CTZ948="Semestral", CTX948+180, CTX948+365))</f>
        <v>46172</v>
      </c>
      <c r="CTZ948" s="7" t="str">
        <f t="shared" ref="CTZ948" si="1265">IF(CTO948="Ionizador", "Trimestral", IF(CTO948="Rack", "Semestral", IF(CTO948="Mesa", "Semestral", IF(CTO948="Tapete", "Semestral", IF(CTO948="Cautín", "Semestral", IF(CTO948="Silla", "Semestral", "Anual"))))))</f>
        <v>Semestral</v>
      </c>
      <c r="CUA948" s="2" t="str">
        <f t="shared" ref="CUA948" ca="1" si="1266">IF(CTY948&lt;TODAY(),"VENCIDO",IF(CTY948=TODAY(),"VENCE HOY",IF(CTY948&gt;TODAY(),"VIGENTE")))</f>
        <v>VIGENTE</v>
      </c>
      <c r="CUB948" s="6" t="s">
        <v>25</v>
      </c>
      <c r="CUC948" s="23" t="s">
        <v>138</v>
      </c>
      <c r="CUD948" s="2" t="s">
        <v>433</v>
      </c>
      <c r="CUE948" s="3" t="s">
        <v>22</v>
      </c>
      <c r="CUF948" s="3" t="s">
        <v>23</v>
      </c>
      <c r="CUG948" s="2" t="s">
        <v>24</v>
      </c>
      <c r="CUH948" s="4">
        <v>0</v>
      </c>
      <c r="CUI948" s="8">
        <f t="shared" ref="CUI948" si="1267">IF(CUE948="Ionizador", 10, IF(CUE948="Mesa", 1000000000, IF(CUE948="Rack", 1000000000, IF(CUE948="Piso", 1000000000, IF(CUE948="Tapete", 1000000000, IF(CUE948="Carrito", 1000000000, IF(CUE948="Cautín", 10, 1)))))))</f>
        <v>1000000000</v>
      </c>
      <c r="CUJ948" s="4" t="str">
        <f t="shared" ref="CUJ948" si="1268">IF(CUE948="Ionizador", "Segundos", "Ohms")</f>
        <v>Ohms</v>
      </c>
      <c r="CUK948" s="6">
        <v>148000000</v>
      </c>
      <c r="CUL948" s="6" t="str">
        <f t="shared" ref="CUL948" si="1269">CUJ948</f>
        <v>Ohms</v>
      </c>
      <c r="CUM948" s="2" t="str">
        <f t="shared" ref="CUM948" si="1270">IF(CUE948="Ionizador", "Plato de carga", IF(CUE948="Cautín", "PTG", "RTG"))</f>
        <v>RTG</v>
      </c>
      <c r="CUN948" s="7">
        <v>45992</v>
      </c>
      <c r="CUO948" s="7">
        <f t="shared" ref="CUO948" si="1271">IF(CUP948="Trimestral", CUN948+90, IF(CUP948="Semestral", CUN948+180, CUN948+365))</f>
        <v>46172</v>
      </c>
      <c r="CUP948" s="7" t="str">
        <f t="shared" ref="CUP948" si="1272">IF(CUE948="Ionizador", "Trimestral", IF(CUE948="Rack", "Semestral", IF(CUE948="Mesa", "Semestral", IF(CUE948="Tapete", "Semestral", IF(CUE948="Cautín", "Semestral", IF(CUE948="Silla", "Semestral", "Anual"))))))</f>
        <v>Semestral</v>
      </c>
      <c r="CUQ948" s="2" t="str">
        <f t="shared" ref="CUQ948" ca="1" si="1273">IF(CUO948&lt;TODAY(),"VENCIDO",IF(CUO948=TODAY(),"VENCE HOY",IF(CUO948&gt;TODAY(),"VIGENTE")))</f>
        <v>VIGENTE</v>
      </c>
      <c r="CUR948" s="6" t="s">
        <v>25</v>
      </c>
      <c r="CUS948" s="23" t="s">
        <v>138</v>
      </c>
      <c r="CUT948" s="2" t="s">
        <v>433</v>
      </c>
      <c r="CUU948" s="3" t="s">
        <v>22</v>
      </c>
      <c r="CUV948" s="3" t="s">
        <v>23</v>
      </c>
      <c r="CUW948" s="2" t="s">
        <v>24</v>
      </c>
      <c r="CUX948" s="4">
        <v>0</v>
      </c>
      <c r="CUY948" s="8">
        <f t="shared" ref="CUY948" si="1274">IF(CUU948="Ionizador", 10, IF(CUU948="Mesa", 1000000000, IF(CUU948="Rack", 1000000000, IF(CUU948="Piso", 1000000000, IF(CUU948="Tapete", 1000000000, IF(CUU948="Carrito", 1000000000, IF(CUU948="Cautín", 10, 1)))))))</f>
        <v>1000000000</v>
      </c>
      <c r="CUZ948" s="4" t="str">
        <f t="shared" ref="CUZ948" si="1275">IF(CUU948="Ionizador", "Segundos", "Ohms")</f>
        <v>Ohms</v>
      </c>
      <c r="CVA948" s="6">
        <v>148000000</v>
      </c>
      <c r="CVB948" s="6" t="str">
        <f t="shared" ref="CVB948" si="1276">CUZ948</f>
        <v>Ohms</v>
      </c>
      <c r="CVC948" s="2" t="str">
        <f t="shared" ref="CVC948" si="1277">IF(CUU948="Ionizador", "Plato de carga", IF(CUU948="Cautín", "PTG", "RTG"))</f>
        <v>RTG</v>
      </c>
      <c r="CVD948" s="7">
        <v>45992</v>
      </c>
      <c r="CVE948" s="7">
        <f t="shared" ref="CVE948" si="1278">IF(CVF948="Trimestral", CVD948+90, IF(CVF948="Semestral", CVD948+180, CVD948+365))</f>
        <v>46172</v>
      </c>
      <c r="CVF948" s="7" t="str">
        <f t="shared" ref="CVF948" si="1279">IF(CUU948="Ionizador", "Trimestral", IF(CUU948="Rack", "Semestral", IF(CUU948="Mesa", "Semestral", IF(CUU948="Tapete", "Semestral", IF(CUU948="Cautín", "Semestral", IF(CUU948="Silla", "Semestral", "Anual"))))))</f>
        <v>Semestral</v>
      </c>
      <c r="CVG948" s="2" t="str">
        <f t="shared" ref="CVG948" ca="1" si="1280">IF(CVE948&lt;TODAY(),"VENCIDO",IF(CVE948=TODAY(),"VENCE HOY",IF(CVE948&gt;TODAY(),"VIGENTE")))</f>
        <v>VIGENTE</v>
      </c>
      <c r="CVH948" s="6" t="s">
        <v>25</v>
      </c>
      <c r="CVI948" s="23" t="s">
        <v>138</v>
      </c>
      <c r="CVJ948" s="2" t="s">
        <v>433</v>
      </c>
      <c r="CVK948" s="3" t="s">
        <v>22</v>
      </c>
      <c r="CVL948" s="3" t="s">
        <v>23</v>
      </c>
      <c r="CVM948" s="2" t="s">
        <v>24</v>
      </c>
      <c r="CVN948" s="4">
        <v>0</v>
      </c>
      <c r="CVO948" s="8">
        <f t="shared" ref="CVO948" si="1281">IF(CVK948="Ionizador", 10, IF(CVK948="Mesa", 1000000000, IF(CVK948="Rack", 1000000000, IF(CVK948="Piso", 1000000000, IF(CVK948="Tapete", 1000000000, IF(CVK948="Carrito", 1000000000, IF(CVK948="Cautín", 10, 1)))))))</f>
        <v>1000000000</v>
      </c>
      <c r="CVP948" s="4" t="str">
        <f t="shared" ref="CVP948" si="1282">IF(CVK948="Ionizador", "Segundos", "Ohms")</f>
        <v>Ohms</v>
      </c>
      <c r="CVQ948" s="6">
        <v>148000000</v>
      </c>
      <c r="CVR948" s="6" t="str">
        <f t="shared" ref="CVR948" si="1283">CVP948</f>
        <v>Ohms</v>
      </c>
      <c r="CVS948" s="2" t="str">
        <f t="shared" ref="CVS948" si="1284">IF(CVK948="Ionizador", "Plato de carga", IF(CVK948="Cautín", "PTG", "RTG"))</f>
        <v>RTG</v>
      </c>
      <c r="CVT948" s="7">
        <v>45992</v>
      </c>
      <c r="CVU948" s="7">
        <f t="shared" ref="CVU948" si="1285">IF(CVV948="Trimestral", CVT948+90, IF(CVV948="Semestral", CVT948+180, CVT948+365))</f>
        <v>46172</v>
      </c>
      <c r="CVV948" s="7" t="str">
        <f t="shared" ref="CVV948" si="1286">IF(CVK948="Ionizador", "Trimestral", IF(CVK948="Rack", "Semestral", IF(CVK948="Mesa", "Semestral", IF(CVK948="Tapete", "Semestral", IF(CVK948="Cautín", "Semestral", IF(CVK948="Silla", "Semestral", "Anual"))))))</f>
        <v>Semestral</v>
      </c>
      <c r="CVW948" s="2" t="str">
        <f t="shared" ref="CVW948" ca="1" si="1287">IF(CVU948&lt;TODAY(),"VENCIDO",IF(CVU948=TODAY(),"VENCE HOY",IF(CVU948&gt;TODAY(),"VIGENTE")))</f>
        <v>VIGENTE</v>
      </c>
      <c r="CVX948" s="6" t="s">
        <v>25</v>
      </c>
      <c r="CVY948" s="23" t="s">
        <v>138</v>
      </c>
      <c r="CVZ948" s="2" t="s">
        <v>433</v>
      </c>
      <c r="CWA948" s="3" t="s">
        <v>22</v>
      </c>
      <c r="CWB948" s="3" t="s">
        <v>23</v>
      </c>
      <c r="CWC948" s="2" t="s">
        <v>24</v>
      </c>
      <c r="CWD948" s="4">
        <v>0</v>
      </c>
      <c r="CWE948" s="8">
        <f t="shared" ref="CWE948" si="1288">IF(CWA948="Ionizador", 10, IF(CWA948="Mesa", 1000000000, IF(CWA948="Rack", 1000000000, IF(CWA948="Piso", 1000000000, IF(CWA948="Tapete", 1000000000, IF(CWA948="Carrito", 1000000000, IF(CWA948="Cautín", 10, 1)))))))</f>
        <v>1000000000</v>
      </c>
      <c r="CWF948" s="4" t="str">
        <f t="shared" ref="CWF948" si="1289">IF(CWA948="Ionizador", "Segundos", "Ohms")</f>
        <v>Ohms</v>
      </c>
      <c r="CWG948" s="6">
        <v>148000000</v>
      </c>
      <c r="CWH948" s="6" t="str">
        <f t="shared" ref="CWH948" si="1290">CWF948</f>
        <v>Ohms</v>
      </c>
      <c r="CWI948" s="2" t="str">
        <f t="shared" ref="CWI948" si="1291">IF(CWA948="Ionizador", "Plato de carga", IF(CWA948="Cautín", "PTG", "RTG"))</f>
        <v>RTG</v>
      </c>
      <c r="CWJ948" s="7">
        <v>45992</v>
      </c>
      <c r="CWK948" s="7">
        <f t="shared" ref="CWK948" si="1292">IF(CWL948="Trimestral", CWJ948+90, IF(CWL948="Semestral", CWJ948+180, CWJ948+365))</f>
        <v>46172</v>
      </c>
      <c r="CWL948" s="7" t="str">
        <f t="shared" ref="CWL948" si="1293">IF(CWA948="Ionizador", "Trimestral", IF(CWA948="Rack", "Semestral", IF(CWA948="Mesa", "Semestral", IF(CWA948="Tapete", "Semestral", IF(CWA948="Cautín", "Semestral", IF(CWA948="Silla", "Semestral", "Anual"))))))</f>
        <v>Semestral</v>
      </c>
      <c r="CWM948" s="2" t="str">
        <f t="shared" ref="CWM948" ca="1" si="1294">IF(CWK948&lt;TODAY(),"VENCIDO",IF(CWK948=TODAY(),"VENCE HOY",IF(CWK948&gt;TODAY(),"VIGENTE")))</f>
        <v>VIGENTE</v>
      </c>
      <c r="CWN948" s="6" t="s">
        <v>25</v>
      </c>
      <c r="CWO948" s="23" t="s">
        <v>138</v>
      </c>
      <c r="CWP948" s="2" t="s">
        <v>433</v>
      </c>
      <c r="CWQ948" s="3" t="s">
        <v>22</v>
      </c>
      <c r="CWR948" s="3" t="s">
        <v>23</v>
      </c>
      <c r="CWS948" s="2" t="s">
        <v>24</v>
      </c>
      <c r="CWT948" s="4">
        <v>0</v>
      </c>
      <c r="CWU948" s="8">
        <f t="shared" ref="CWU948" si="1295">IF(CWQ948="Ionizador", 10, IF(CWQ948="Mesa", 1000000000, IF(CWQ948="Rack", 1000000000, IF(CWQ948="Piso", 1000000000, IF(CWQ948="Tapete", 1000000000, IF(CWQ948="Carrito", 1000000000, IF(CWQ948="Cautín", 10, 1)))))))</f>
        <v>1000000000</v>
      </c>
      <c r="CWV948" s="4" t="str">
        <f t="shared" ref="CWV948" si="1296">IF(CWQ948="Ionizador", "Segundos", "Ohms")</f>
        <v>Ohms</v>
      </c>
      <c r="CWW948" s="6">
        <v>148000000</v>
      </c>
      <c r="CWX948" s="6" t="str">
        <f t="shared" ref="CWX948" si="1297">CWV948</f>
        <v>Ohms</v>
      </c>
      <c r="CWY948" s="2" t="str">
        <f t="shared" ref="CWY948" si="1298">IF(CWQ948="Ionizador", "Plato de carga", IF(CWQ948="Cautín", "PTG", "RTG"))</f>
        <v>RTG</v>
      </c>
      <c r="CWZ948" s="7">
        <v>45992</v>
      </c>
      <c r="CXA948" s="7">
        <f t="shared" ref="CXA948" si="1299">IF(CXB948="Trimestral", CWZ948+90, IF(CXB948="Semestral", CWZ948+180, CWZ948+365))</f>
        <v>46172</v>
      </c>
      <c r="CXB948" s="7" t="str">
        <f t="shared" ref="CXB948" si="1300">IF(CWQ948="Ionizador", "Trimestral", IF(CWQ948="Rack", "Semestral", IF(CWQ948="Mesa", "Semestral", IF(CWQ948="Tapete", "Semestral", IF(CWQ948="Cautín", "Semestral", IF(CWQ948="Silla", "Semestral", "Anual"))))))</f>
        <v>Semestral</v>
      </c>
      <c r="CXC948" s="2" t="str">
        <f t="shared" ref="CXC948" ca="1" si="1301">IF(CXA948&lt;TODAY(),"VENCIDO",IF(CXA948=TODAY(),"VENCE HOY",IF(CXA948&gt;TODAY(),"VIGENTE")))</f>
        <v>VIGENTE</v>
      </c>
      <c r="CXD948" s="6" t="s">
        <v>25</v>
      </c>
      <c r="CXE948" s="23" t="s">
        <v>138</v>
      </c>
      <c r="CXF948" s="2" t="s">
        <v>433</v>
      </c>
      <c r="CXG948" s="3" t="s">
        <v>22</v>
      </c>
      <c r="CXH948" s="3" t="s">
        <v>23</v>
      </c>
      <c r="CXI948" s="2" t="s">
        <v>24</v>
      </c>
      <c r="CXJ948" s="4">
        <v>0</v>
      </c>
      <c r="CXK948" s="8">
        <f t="shared" ref="CXK948" si="1302">IF(CXG948="Ionizador", 10, IF(CXG948="Mesa", 1000000000, IF(CXG948="Rack", 1000000000, IF(CXG948="Piso", 1000000000, IF(CXG948="Tapete", 1000000000, IF(CXG948="Carrito", 1000000000, IF(CXG948="Cautín", 10, 1)))))))</f>
        <v>1000000000</v>
      </c>
      <c r="CXL948" s="4" t="str">
        <f t="shared" ref="CXL948" si="1303">IF(CXG948="Ionizador", "Segundos", "Ohms")</f>
        <v>Ohms</v>
      </c>
      <c r="CXM948" s="6">
        <v>148000000</v>
      </c>
      <c r="CXN948" s="6" t="str">
        <f t="shared" ref="CXN948" si="1304">CXL948</f>
        <v>Ohms</v>
      </c>
      <c r="CXO948" s="2" t="str">
        <f t="shared" ref="CXO948" si="1305">IF(CXG948="Ionizador", "Plato de carga", IF(CXG948="Cautín", "PTG", "RTG"))</f>
        <v>RTG</v>
      </c>
      <c r="CXP948" s="7">
        <v>45992</v>
      </c>
      <c r="CXQ948" s="7">
        <f t="shared" ref="CXQ948" si="1306">IF(CXR948="Trimestral", CXP948+90, IF(CXR948="Semestral", CXP948+180, CXP948+365))</f>
        <v>46172</v>
      </c>
      <c r="CXR948" s="7" t="str">
        <f t="shared" ref="CXR948" si="1307">IF(CXG948="Ionizador", "Trimestral", IF(CXG948="Rack", "Semestral", IF(CXG948="Mesa", "Semestral", IF(CXG948="Tapete", "Semestral", IF(CXG948="Cautín", "Semestral", IF(CXG948="Silla", "Semestral", "Anual"))))))</f>
        <v>Semestral</v>
      </c>
      <c r="CXS948" s="2" t="str">
        <f t="shared" ref="CXS948" ca="1" si="1308">IF(CXQ948&lt;TODAY(),"VENCIDO",IF(CXQ948=TODAY(),"VENCE HOY",IF(CXQ948&gt;TODAY(),"VIGENTE")))</f>
        <v>VIGENTE</v>
      </c>
      <c r="CXT948" s="6" t="s">
        <v>25</v>
      </c>
      <c r="CXU948" s="23" t="s">
        <v>138</v>
      </c>
      <c r="CXV948" s="2" t="s">
        <v>433</v>
      </c>
      <c r="CXW948" s="3" t="s">
        <v>22</v>
      </c>
      <c r="CXX948" s="3" t="s">
        <v>23</v>
      </c>
      <c r="CXY948" s="2" t="s">
        <v>24</v>
      </c>
      <c r="CXZ948" s="4">
        <v>0</v>
      </c>
      <c r="CYA948" s="8">
        <f t="shared" ref="CYA948" si="1309">IF(CXW948="Ionizador", 10, IF(CXW948="Mesa", 1000000000, IF(CXW948="Rack", 1000000000, IF(CXW948="Piso", 1000000000, IF(CXW948="Tapete", 1000000000, IF(CXW948="Carrito", 1000000000, IF(CXW948="Cautín", 10, 1)))))))</f>
        <v>1000000000</v>
      </c>
      <c r="CYB948" s="4" t="str">
        <f t="shared" ref="CYB948" si="1310">IF(CXW948="Ionizador", "Segundos", "Ohms")</f>
        <v>Ohms</v>
      </c>
      <c r="CYC948" s="6">
        <v>148000000</v>
      </c>
      <c r="CYD948" s="6" t="str">
        <f t="shared" ref="CYD948" si="1311">CYB948</f>
        <v>Ohms</v>
      </c>
      <c r="CYE948" s="2" t="str">
        <f t="shared" ref="CYE948" si="1312">IF(CXW948="Ionizador", "Plato de carga", IF(CXW948="Cautín", "PTG", "RTG"))</f>
        <v>RTG</v>
      </c>
      <c r="CYF948" s="7">
        <v>45992</v>
      </c>
      <c r="CYG948" s="7">
        <f t="shared" ref="CYG948" si="1313">IF(CYH948="Trimestral", CYF948+90, IF(CYH948="Semestral", CYF948+180, CYF948+365))</f>
        <v>46172</v>
      </c>
      <c r="CYH948" s="7" t="str">
        <f t="shared" ref="CYH948" si="1314">IF(CXW948="Ionizador", "Trimestral", IF(CXW948="Rack", "Semestral", IF(CXW948="Mesa", "Semestral", IF(CXW948="Tapete", "Semestral", IF(CXW948="Cautín", "Semestral", IF(CXW948="Silla", "Semestral", "Anual"))))))</f>
        <v>Semestral</v>
      </c>
      <c r="CYI948" s="2" t="str">
        <f t="shared" ref="CYI948" ca="1" si="1315">IF(CYG948&lt;TODAY(),"VENCIDO",IF(CYG948=TODAY(),"VENCE HOY",IF(CYG948&gt;TODAY(),"VIGENTE")))</f>
        <v>VIGENTE</v>
      </c>
      <c r="CYJ948" s="6" t="s">
        <v>25</v>
      </c>
      <c r="CYK948" s="23" t="s">
        <v>138</v>
      </c>
      <c r="CYL948" s="2" t="s">
        <v>433</v>
      </c>
      <c r="CYM948" s="3" t="s">
        <v>22</v>
      </c>
      <c r="CYN948" s="3" t="s">
        <v>23</v>
      </c>
      <c r="CYO948" s="2" t="s">
        <v>24</v>
      </c>
      <c r="CYP948" s="4">
        <v>0</v>
      </c>
      <c r="CYQ948" s="8">
        <f t="shared" ref="CYQ948" si="1316">IF(CYM948="Ionizador", 10, IF(CYM948="Mesa", 1000000000, IF(CYM948="Rack", 1000000000, IF(CYM948="Piso", 1000000000, IF(CYM948="Tapete", 1000000000, IF(CYM948="Carrito", 1000000000, IF(CYM948="Cautín", 10, 1)))))))</f>
        <v>1000000000</v>
      </c>
      <c r="CYR948" s="4" t="str">
        <f t="shared" ref="CYR948" si="1317">IF(CYM948="Ionizador", "Segundos", "Ohms")</f>
        <v>Ohms</v>
      </c>
      <c r="CYS948" s="6">
        <v>148000000</v>
      </c>
      <c r="CYT948" s="6" t="str">
        <f t="shared" ref="CYT948" si="1318">CYR948</f>
        <v>Ohms</v>
      </c>
      <c r="CYU948" s="2" t="str">
        <f t="shared" ref="CYU948" si="1319">IF(CYM948="Ionizador", "Plato de carga", IF(CYM948="Cautín", "PTG", "RTG"))</f>
        <v>RTG</v>
      </c>
      <c r="CYV948" s="7">
        <v>45992</v>
      </c>
      <c r="CYW948" s="7">
        <f t="shared" ref="CYW948" si="1320">IF(CYX948="Trimestral", CYV948+90, IF(CYX948="Semestral", CYV948+180, CYV948+365))</f>
        <v>46172</v>
      </c>
      <c r="CYX948" s="7" t="str">
        <f t="shared" ref="CYX948" si="1321">IF(CYM948="Ionizador", "Trimestral", IF(CYM948="Rack", "Semestral", IF(CYM948="Mesa", "Semestral", IF(CYM948="Tapete", "Semestral", IF(CYM948="Cautín", "Semestral", IF(CYM948="Silla", "Semestral", "Anual"))))))</f>
        <v>Semestral</v>
      </c>
      <c r="CYY948" s="2" t="str">
        <f t="shared" ref="CYY948" ca="1" si="1322">IF(CYW948&lt;TODAY(),"VENCIDO",IF(CYW948=TODAY(),"VENCE HOY",IF(CYW948&gt;TODAY(),"VIGENTE")))</f>
        <v>VIGENTE</v>
      </c>
      <c r="CYZ948" s="6" t="s">
        <v>25</v>
      </c>
      <c r="CZA948" s="23" t="s">
        <v>138</v>
      </c>
      <c r="CZB948" s="2" t="s">
        <v>433</v>
      </c>
      <c r="CZC948" s="3" t="s">
        <v>22</v>
      </c>
      <c r="CZD948" s="3" t="s">
        <v>23</v>
      </c>
      <c r="CZE948" s="2" t="s">
        <v>24</v>
      </c>
      <c r="CZF948" s="4">
        <v>0</v>
      </c>
      <c r="CZG948" s="8">
        <f t="shared" ref="CZG948" si="1323">IF(CZC948="Ionizador", 10, IF(CZC948="Mesa", 1000000000, IF(CZC948="Rack", 1000000000, IF(CZC948="Piso", 1000000000, IF(CZC948="Tapete", 1000000000, IF(CZC948="Carrito", 1000000000, IF(CZC948="Cautín", 10, 1)))))))</f>
        <v>1000000000</v>
      </c>
      <c r="CZH948" s="4" t="str">
        <f t="shared" ref="CZH948" si="1324">IF(CZC948="Ionizador", "Segundos", "Ohms")</f>
        <v>Ohms</v>
      </c>
      <c r="CZI948" s="6">
        <v>148000000</v>
      </c>
      <c r="CZJ948" s="6" t="str">
        <f t="shared" ref="CZJ948" si="1325">CZH948</f>
        <v>Ohms</v>
      </c>
      <c r="CZK948" s="2" t="str">
        <f t="shared" ref="CZK948" si="1326">IF(CZC948="Ionizador", "Plato de carga", IF(CZC948="Cautín", "PTG", "RTG"))</f>
        <v>RTG</v>
      </c>
      <c r="CZL948" s="7">
        <v>45992</v>
      </c>
      <c r="CZM948" s="7">
        <f t="shared" ref="CZM948" si="1327">IF(CZN948="Trimestral", CZL948+90, IF(CZN948="Semestral", CZL948+180, CZL948+365))</f>
        <v>46172</v>
      </c>
      <c r="CZN948" s="7" t="str">
        <f t="shared" ref="CZN948" si="1328">IF(CZC948="Ionizador", "Trimestral", IF(CZC948="Rack", "Semestral", IF(CZC948="Mesa", "Semestral", IF(CZC948="Tapete", "Semestral", IF(CZC948="Cautín", "Semestral", IF(CZC948="Silla", "Semestral", "Anual"))))))</f>
        <v>Semestral</v>
      </c>
      <c r="CZO948" s="2" t="str">
        <f t="shared" ref="CZO948" ca="1" si="1329">IF(CZM948&lt;TODAY(),"VENCIDO",IF(CZM948=TODAY(),"VENCE HOY",IF(CZM948&gt;TODAY(),"VIGENTE")))</f>
        <v>VIGENTE</v>
      </c>
      <c r="CZP948" s="6" t="s">
        <v>25</v>
      </c>
      <c r="CZQ948" s="23" t="s">
        <v>138</v>
      </c>
      <c r="CZR948" s="2" t="s">
        <v>433</v>
      </c>
      <c r="CZS948" s="3" t="s">
        <v>22</v>
      </c>
      <c r="CZT948" s="3" t="s">
        <v>23</v>
      </c>
      <c r="CZU948" s="2" t="s">
        <v>24</v>
      </c>
      <c r="CZV948" s="4">
        <v>0</v>
      </c>
      <c r="CZW948" s="8">
        <f t="shared" ref="CZW948" si="1330">IF(CZS948="Ionizador", 10, IF(CZS948="Mesa", 1000000000, IF(CZS948="Rack", 1000000000, IF(CZS948="Piso", 1000000000, IF(CZS948="Tapete", 1000000000, IF(CZS948="Carrito", 1000000000, IF(CZS948="Cautín", 10, 1)))))))</f>
        <v>1000000000</v>
      </c>
      <c r="CZX948" s="4" t="str">
        <f t="shared" ref="CZX948" si="1331">IF(CZS948="Ionizador", "Segundos", "Ohms")</f>
        <v>Ohms</v>
      </c>
      <c r="CZY948" s="6">
        <v>148000000</v>
      </c>
      <c r="CZZ948" s="6" t="str">
        <f t="shared" ref="CZZ948" si="1332">CZX948</f>
        <v>Ohms</v>
      </c>
      <c r="DAA948" s="2" t="str">
        <f t="shared" ref="DAA948" si="1333">IF(CZS948="Ionizador", "Plato de carga", IF(CZS948="Cautín", "PTG", "RTG"))</f>
        <v>RTG</v>
      </c>
      <c r="DAB948" s="7">
        <v>45992</v>
      </c>
      <c r="DAC948" s="7">
        <f t="shared" ref="DAC948" si="1334">IF(DAD948="Trimestral", DAB948+90, IF(DAD948="Semestral", DAB948+180, DAB948+365))</f>
        <v>46172</v>
      </c>
      <c r="DAD948" s="7" t="str">
        <f t="shared" ref="DAD948" si="1335">IF(CZS948="Ionizador", "Trimestral", IF(CZS948="Rack", "Semestral", IF(CZS948="Mesa", "Semestral", IF(CZS948="Tapete", "Semestral", IF(CZS948="Cautín", "Semestral", IF(CZS948="Silla", "Semestral", "Anual"))))))</f>
        <v>Semestral</v>
      </c>
      <c r="DAE948" s="2" t="str">
        <f t="shared" ref="DAE948" ca="1" si="1336">IF(DAC948&lt;TODAY(),"VENCIDO",IF(DAC948=TODAY(),"VENCE HOY",IF(DAC948&gt;TODAY(),"VIGENTE")))</f>
        <v>VIGENTE</v>
      </c>
      <c r="DAF948" s="6" t="s">
        <v>25</v>
      </c>
      <c r="DAG948" s="23" t="s">
        <v>138</v>
      </c>
      <c r="DAH948" s="2" t="s">
        <v>433</v>
      </c>
      <c r="DAI948" s="3" t="s">
        <v>22</v>
      </c>
      <c r="DAJ948" s="3" t="s">
        <v>23</v>
      </c>
      <c r="DAK948" s="2" t="s">
        <v>24</v>
      </c>
      <c r="DAL948" s="4">
        <v>0</v>
      </c>
      <c r="DAM948" s="8">
        <f t="shared" ref="DAM948" si="1337">IF(DAI948="Ionizador", 10, IF(DAI948="Mesa", 1000000000, IF(DAI948="Rack", 1000000000, IF(DAI948="Piso", 1000000000, IF(DAI948="Tapete", 1000000000, IF(DAI948="Carrito", 1000000000, IF(DAI948="Cautín", 10, 1)))))))</f>
        <v>1000000000</v>
      </c>
      <c r="DAN948" s="4" t="str">
        <f t="shared" ref="DAN948" si="1338">IF(DAI948="Ionizador", "Segundos", "Ohms")</f>
        <v>Ohms</v>
      </c>
      <c r="DAO948" s="6">
        <v>148000000</v>
      </c>
      <c r="DAP948" s="6" t="str">
        <f t="shared" ref="DAP948" si="1339">DAN948</f>
        <v>Ohms</v>
      </c>
      <c r="DAQ948" s="2" t="str">
        <f t="shared" ref="DAQ948" si="1340">IF(DAI948="Ionizador", "Plato de carga", IF(DAI948="Cautín", "PTG", "RTG"))</f>
        <v>RTG</v>
      </c>
      <c r="DAR948" s="7">
        <v>45992</v>
      </c>
      <c r="DAS948" s="7">
        <f t="shared" ref="DAS948" si="1341">IF(DAT948="Trimestral", DAR948+90, IF(DAT948="Semestral", DAR948+180, DAR948+365))</f>
        <v>46172</v>
      </c>
      <c r="DAT948" s="7" t="str">
        <f t="shared" ref="DAT948" si="1342">IF(DAI948="Ionizador", "Trimestral", IF(DAI948="Rack", "Semestral", IF(DAI948="Mesa", "Semestral", IF(DAI948="Tapete", "Semestral", IF(DAI948="Cautín", "Semestral", IF(DAI948="Silla", "Semestral", "Anual"))))))</f>
        <v>Semestral</v>
      </c>
      <c r="DAU948" s="2" t="str">
        <f t="shared" ref="DAU948" ca="1" si="1343">IF(DAS948&lt;TODAY(),"VENCIDO",IF(DAS948=TODAY(),"VENCE HOY",IF(DAS948&gt;TODAY(),"VIGENTE")))</f>
        <v>VIGENTE</v>
      </c>
      <c r="DAV948" s="6" t="s">
        <v>25</v>
      </c>
      <c r="DAW948" s="23" t="s">
        <v>138</v>
      </c>
      <c r="DAX948" s="2" t="s">
        <v>433</v>
      </c>
      <c r="DAY948" s="3" t="s">
        <v>22</v>
      </c>
      <c r="DAZ948" s="3" t="s">
        <v>23</v>
      </c>
      <c r="DBA948" s="2" t="s">
        <v>24</v>
      </c>
      <c r="DBB948" s="4">
        <v>0</v>
      </c>
      <c r="DBC948" s="8">
        <f t="shared" ref="DBC948" si="1344">IF(DAY948="Ionizador", 10, IF(DAY948="Mesa", 1000000000, IF(DAY948="Rack", 1000000000, IF(DAY948="Piso", 1000000000, IF(DAY948="Tapete", 1000000000, IF(DAY948="Carrito", 1000000000, IF(DAY948="Cautín", 10, 1)))))))</f>
        <v>1000000000</v>
      </c>
      <c r="DBD948" s="4" t="str">
        <f t="shared" ref="DBD948" si="1345">IF(DAY948="Ionizador", "Segundos", "Ohms")</f>
        <v>Ohms</v>
      </c>
      <c r="DBE948" s="6">
        <v>148000000</v>
      </c>
      <c r="DBF948" s="6" t="str">
        <f t="shared" ref="DBF948" si="1346">DBD948</f>
        <v>Ohms</v>
      </c>
      <c r="DBG948" s="2" t="str">
        <f t="shared" ref="DBG948" si="1347">IF(DAY948="Ionizador", "Plato de carga", IF(DAY948="Cautín", "PTG", "RTG"))</f>
        <v>RTG</v>
      </c>
      <c r="DBH948" s="7">
        <v>45992</v>
      </c>
      <c r="DBI948" s="7">
        <f t="shared" ref="DBI948" si="1348">IF(DBJ948="Trimestral", DBH948+90, IF(DBJ948="Semestral", DBH948+180, DBH948+365))</f>
        <v>46172</v>
      </c>
      <c r="DBJ948" s="7" t="str">
        <f t="shared" ref="DBJ948" si="1349">IF(DAY948="Ionizador", "Trimestral", IF(DAY948="Rack", "Semestral", IF(DAY948="Mesa", "Semestral", IF(DAY948="Tapete", "Semestral", IF(DAY948="Cautín", "Semestral", IF(DAY948="Silla", "Semestral", "Anual"))))))</f>
        <v>Semestral</v>
      </c>
      <c r="DBK948" s="2" t="str">
        <f t="shared" ref="DBK948" ca="1" si="1350">IF(DBI948&lt;TODAY(),"VENCIDO",IF(DBI948=TODAY(),"VENCE HOY",IF(DBI948&gt;TODAY(),"VIGENTE")))</f>
        <v>VIGENTE</v>
      </c>
      <c r="DBL948" s="6" t="s">
        <v>25</v>
      </c>
      <c r="DBM948" s="23" t="s">
        <v>138</v>
      </c>
      <c r="DBN948" s="2" t="s">
        <v>433</v>
      </c>
      <c r="DBO948" s="3" t="s">
        <v>22</v>
      </c>
      <c r="DBP948" s="3" t="s">
        <v>23</v>
      </c>
      <c r="DBQ948" s="2" t="s">
        <v>24</v>
      </c>
      <c r="DBR948" s="4">
        <v>0</v>
      </c>
      <c r="DBS948" s="8">
        <f t="shared" ref="DBS948" si="1351">IF(DBO948="Ionizador", 10, IF(DBO948="Mesa", 1000000000, IF(DBO948="Rack", 1000000000, IF(DBO948="Piso", 1000000000, IF(DBO948="Tapete", 1000000000, IF(DBO948="Carrito", 1000000000, IF(DBO948="Cautín", 10, 1)))))))</f>
        <v>1000000000</v>
      </c>
      <c r="DBT948" s="4" t="str">
        <f t="shared" ref="DBT948" si="1352">IF(DBO948="Ionizador", "Segundos", "Ohms")</f>
        <v>Ohms</v>
      </c>
      <c r="DBU948" s="6">
        <v>148000000</v>
      </c>
      <c r="DBV948" s="6" t="str">
        <f t="shared" ref="DBV948" si="1353">DBT948</f>
        <v>Ohms</v>
      </c>
      <c r="DBW948" s="2" t="str">
        <f t="shared" ref="DBW948" si="1354">IF(DBO948="Ionizador", "Plato de carga", IF(DBO948="Cautín", "PTG", "RTG"))</f>
        <v>RTG</v>
      </c>
      <c r="DBX948" s="7">
        <v>45992</v>
      </c>
      <c r="DBY948" s="7">
        <f t="shared" ref="DBY948" si="1355">IF(DBZ948="Trimestral", DBX948+90, IF(DBZ948="Semestral", DBX948+180, DBX948+365))</f>
        <v>46172</v>
      </c>
      <c r="DBZ948" s="7" t="str">
        <f t="shared" ref="DBZ948" si="1356">IF(DBO948="Ionizador", "Trimestral", IF(DBO948="Rack", "Semestral", IF(DBO948="Mesa", "Semestral", IF(DBO948="Tapete", "Semestral", IF(DBO948="Cautín", "Semestral", IF(DBO948="Silla", "Semestral", "Anual"))))))</f>
        <v>Semestral</v>
      </c>
      <c r="DCA948" s="2" t="str">
        <f t="shared" ref="DCA948" ca="1" si="1357">IF(DBY948&lt;TODAY(),"VENCIDO",IF(DBY948=TODAY(),"VENCE HOY",IF(DBY948&gt;TODAY(),"VIGENTE")))</f>
        <v>VIGENTE</v>
      </c>
      <c r="DCB948" s="6" t="s">
        <v>25</v>
      </c>
      <c r="DCC948" s="23" t="s">
        <v>138</v>
      </c>
      <c r="DCD948" s="2" t="s">
        <v>433</v>
      </c>
      <c r="DCE948" s="3" t="s">
        <v>22</v>
      </c>
      <c r="DCF948" s="3" t="s">
        <v>23</v>
      </c>
      <c r="DCG948" s="2" t="s">
        <v>24</v>
      </c>
      <c r="DCH948" s="4">
        <v>0</v>
      </c>
      <c r="DCI948" s="8">
        <f t="shared" ref="DCI948" si="1358">IF(DCE948="Ionizador", 10, IF(DCE948="Mesa", 1000000000, IF(DCE948="Rack", 1000000000, IF(DCE948="Piso", 1000000000, IF(DCE948="Tapete", 1000000000, IF(DCE948="Carrito", 1000000000, IF(DCE948="Cautín", 10, 1)))))))</f>
        <v>1000000000</v>
      </c>
      <c r="DCJ948" s="4" t="str">
        <f t="shared" ref="DCJ948" si="1359">IF(DCE948="Ionizador", "Segundos", "Ohms")</f>
        <v>Ohms</v>
      </c>
      <c r="DCK948" s="6">
        <v>148000000</v>
      </c>
      <c r="DCL948" s="6" t="str">
        <f t="shared" ref="DCL948" si="1360">DCJ948</f>
        <v>Ohms</v>
      </c>
      <c r="DCM948" s="2" t="str">
        <f t="shared" ref="DCM948" si="1361">IF(DCE948="Ionizador", "Plato de carga", IF(DCE948="Cautín", "PTG", "RTG"))</f>
        <v>RTG</v>
      </c>
      <c r="DCN948" s="7">
        <v>45992</v>
      </c>
      <c r="DCO948" s="7">
        <f t="shared" ref="DCO948" si="1362">IF(DCP948="Trimestral", DCN948+90, IF(DCP948="Semestral", DCN948+180, DCN948+365))</f>
        <v>46172</v>
      </c>
      <c r="DCP948" s="7" t="str">
        <f t="shared" ref="DCP948" si="1363">IF(DCE948="Ionizador", "Trimestral", IF(DCE948="Rack", "Semestral", IF(DCE948="Mesa", "Semestral", IF(DCE948="Tapete", "Semestral", IF(DCE948="Cautín", "Semestral", IF(DCE948="Silla", "Semestral", "Anual"))))))</f>
        <v>Semestral</v>
      </c>
      <c r="DCQ948" s="2" t="str">
        <f t="shared" ref="DCQ948" ca="1" si="1364">IF(DCO948&lt;TODAY(),"VENCIDO",IF(DCO948=TODAY(),"VENCE HOY",IF(DCO948&gt;TODAY(),"VIGENTE")))</f>
        <v>VIGENTE</v>
      </c>
      <c r="DCR948" s="6" t="s">
        <v>25</v>
      </c>
      <c r="DCS948" s="23" t="s">
        <v>138</v>
      </c>
      <c r="DCT948" s="2" t="s">
        <v>433</v>
      </c>
      <c r="DCU948" s="3" t="s">
        <v>22</v>
      </c>
      <c r="DCV948" s="3" t="s">
        <v>23</v>
      </c>
      <c r="DCW948" s="2" t="s">
        <v>24</v>
      </c>
      <c r="DCX948" s="4">
        <v>0</v>
      </c>
      <c r="DCY948" s="8">
        <f t="shared" ref="DCY948" si="1365">IF(DCU948="Ionizador", 10, IF(DCU948="Mesa", 1000000000, IF(DCU948="Rack", 1000000000, IF(DCU948="Piso", 1000000000, IF(DCU948="Tapete", 1000000000, IF(DCU948="Carrito", 1000000000, IF(DCU948="Cautín", 10, 1)))))))</f>
        <v>1000000000</v>
      </c>
      <c r="DCZ948" s="4" t="str">
        <f t="shared" ref="DCZ948" si="1366">IF(DCU948="Ionizador", "Segundos", "Ohms")</f>
        <v>Ohms</v>
      </c>
      <c r="DDA948" s="6">
        <v>148000000</v>
      </c>
      <c r="DDB948" s="6" t="str">
        <f t="shared" ref="DDB948" si="1367">DCZ948</f>
        <v>Ohms</v>
      </c>
      <c r="DDC948" s="2" t="str">
        <f t="shared" ref="DDC948" si="1368">IF(DCU948="Ionizador", "Plato de carga", IF(DCU948="Cautín", "PTG", "RTG"))</f>
        <v>RTG</v>
      </c>
      <c r="DDD948" s="7">
        <v>45992</v>
      </c>
      <c r="DDE948" s="7">
        <f t="shared" ref="DDE948" si="1369">IF(DDF948="Trimestral", DDD948+90, IF(DDF948="Semestral", DDD948+180, DDD948+365))</f>
        <v>46172</v>
      </c>
      <c r="DDF948" s="7" t="str">
        <f t="shared" ref="DDF948" si="1370">IF(DCU948="Ionizador", "Trimestral", IF(DCU948="Rack", "Semestral", IF(DCU948="Mesa", "Semestral", IF(DCU948="Tapete", "Semestral", IF(DCU948="Cautín", "Semestral", IF(DCU948="Silla", "Semestral", "Anual"))))))</f>
        <v>Semestral</v>
      </c>
      <c r="DDG948" s="2" t="str">
        <f t="shared" ref="DDG948" ca="1" si="1371">IF(DDE948&lt;TODAY(),"VENCIDO",IF(DDE948=TODAY(),"VENCE HOY",IF(DDE948&gt;TODAY(),"VIGENTE")))</f>
        <v>VIGENTE</v>
      </c>
      <c r="DDH948" s="6" t="s">
        <v>25</v>
      </c>
      <c r="DDI948" s="23" t="s">
        <v>138</v>
      </c>
      <c r="DDJ948" s="2" t="s">
        <v>433</v>
      </c>
      <c r="DDK948" s="3" t="s">
        <v>22</v>
      </c>
      <c r="DDL948" s="3" t="s">
        <v>23</v>
      </c>
      <c r="DDM948" s="2" t="s">
        <v>24</v>
      </c>
      <c r="DDN948" s="4">
        <v>0</v>
      </c>
      <c r="DDO948" s="8">
        <f t="shared" ref="DDO948" si="1372">IF(DDK948="Ionizador", 10, IF(DDK948="Mesa", 1000000000, IF(DDK948="Rack", 1000000000, IF(DDK948="Piso", 1000000000, IF(DDK948="Tapete", 1000000000, IF(DDK948="Carrito", 1000000000, IF(DDK948="Cautín", 10, 1)))))))</f>
        <v>1000000000</v>
      </c>
      <c r="DDP948" s="4" t="str">
        <f t="shared" ref="DDP948" si="1373">IF(DDK948="Ionizador", "Segundos", "Ohms")</f>
        <v>Ohms</v>
      </c>
      <c r="DDQ948" s="6">
        <v>148000000</v>
      </c>
      <c r="DDR948" s="6" t="str">
        <f t="shared" ref="DDR948" si="1374">DDP948</f>
        <v>Ohms</v>
      </c>
      <c r="DDS948" s="2" t="str">
        <f t="shared" ref="DDS948" si="1375">IF(DDK948="Ionizador", "Plato de carga", IF(DDK948="Cautín", "PTG", "RTG"))</f>
        <v>RTG</v>
      </c>
      <c r="DDT948" s="7">
        <v>45992</v>
      </c>
      <c r="DDU948" s="7">
        <f t="shared" ref="DDU948" si="1376">IF(DDV948="Trimestral", DDT948+90, IF(DDV948="Semestral", DDT948+180, DDT948+365))</f>
        <v>46172</v>
      </c>
      <c r="DDV948" s="7" t="str">
        <f t="shared" ref="DDV948" si="1377">IF(DDK948="Ionizador", "Trimestral", IF(DDK948="Rack", "Semestral", IF(DDK948="Mesa", "Semestral", IF(DDK948="Tapete", "Semestral", IF(DDK948="Cautín", "Semestral", IF(DDK948="Silla", "Semestral", "Anual"))))))</f>
        <v>Semestral</v>
      </c>
      <c r="DDW948" s="2" t="str">
        <f t="shared" ref="DDW948" ca="1" si="1378">IF(DDU948&lt;TODAY(),"VENCIDO",IF(DDU948=TODAY(),"VENCE HOY",IF(DDU948&gt;TODAY(),"VIGENTE")))</f>
        <v>VIGENTE</v>
      </c>
      <c r="DDX948" s="6" t="s">
        <v>25</v>
      </c>
      <c r="DDY948" s="23" t="s">
        <v>138</v>
      </c>
      <c r="DDZ948" s="2" t="s">
        <v>433</v>
      </c>
      <c r="DEA948" s="3" t="s">
        <v>22</v>
      </c>
      <c r="DEB948" s="3" t="s">
        <v>23</v>
      </c>
      <c r="DEC948" s="2" t="s">
        <v>24</v>
      </c>
      <c r="DED948" s="4">
        <v>0</v>
      </c>
      <c r="DEE948" s="8">
        <f t="shared" ref="DEE948" si="1379">IF(DEA948="Ionizador", 10, IF(DEA948="Mesa", 1000000000, IF(DEA948="Rack", 1000000000, IF(DEA948="Piso", 1000000000, IF(DEA948="Tapete", 1000000000, IF(DEA948="Carrito", 1000000000, IF(DEA948="Cautín", 10, 1)))))))</f>
        <v>1000000000</v>
      </c>
      <c r="DEF948" s="4" t="str">
        <f t="shared" ref="DEF948" si="1380">IF(DEA948="Ionizador", "Segundos", "Ohms")</f>
        <v>Ohms</v>
      </c>
      <c r="DEG948" s="6">
        <v>148000000</v>
      </c>
      <c r="DEH948" s="6" t="str">
        <f t="shared" ref="DEH948" si="1381">DEF948</f>
        <v>Ohms</v>
      </c>
      <c r="DEI948" s="2" t="str">
        <f t="shared" ref="DEI948" si="1382">IF(DEA948="Ionizador", "Plato de carga", IF(DEA948="Cautín", "PTG", "RTG"))</f>
        <v>RTG</v>
      </c>
      <c r="DEJ948" s="7">
        <v>45992</v>
      </c>
      <c r="DEK948" s="7">
        <f t="shared" ref="DEK948" si="1383">IF(DEL948="Trimestral", DEJ948+90, IF(DEL948="Semestral", DEJ948+180, DEJ948+365))</f>
        <v>46172</v>
      </c>
      <c r="DEL948" s="7" t="str">
        <f t="shared" ref="DEL948" si="1384">IF(DEA948="Ionizador", "Trimestral", IF(DEA948="Rack", "Semestral", IF(DEA948="Mesa", "Semestral", IF(DEA948="Tapete", "Semestral", IF(DEA948="Cautín", "Semestral", IF(DEA948="Silla", "Semestral", "Anual"))))))</f>
        <v>Semestral</v>
      </c>
      <c r="DEM948" s="2" t="str">
        <f t="shared" ref="DEM948" ca="1" si="1385">IF(DEK948&lt;TODAY(),"VENCIDO",IF(DEK948=TODAY(),"VENCE HOY",IF(DEK948&gt;TODAY(),"VIGENTE")))</f>
        <v>VIGENTE</v>
      </c>
      <c r="DEN948" s="6" t="s">
        <v>25</v>
      </c>
      <c r="DEO948" s="23" t="s">
        <v>138</v>
      </c>
      <c r="DEP948" s="2" t="s">
        <v>433</v>
      </c>
      <c r="DEQ948" s="3" t="s">
        <v>22</v>
      </c>
      <c r="DER948" s="3" t="s">
        <v>23</v>
      </c>
      <c r="DES948" s="2" t="s">
        <v>24</v>
      </c>
      <c r="DET948" s="4">
        <v>0</v>
      </c>
      <c r="DEU948" s="8">
        <f t="shared" ref="DEU948" si="1386">IF(DEQ948="Ionizador", 10, IF(DEQ948="Mesa", 1000000000, IF(DEQ948="Rack", 1000000000, IF(DEQ948="Piso", 1000000000, IF(DEQ948="Tapete", 1000000000, IF(DEQ948="Carrito", 1000000000, IF(DEQ948="Cautín", 10, 1)))))))</f>
        <v>1000000000</v>
      </c>
      <c r="DEV948" s="4" t="str">
        <f t="shared" ref="DEV948" si="1387">IF(DEQ948="Ionizador", "Segundos", "Ohms")</f>
        <v>Ohms</v>
      </c>
      <c r="DEW948" s="6">
        <v>148000000</v>
      </c>
      <c r="DEX948" s="6" t="str">
        <f t="shared" ref="DEX948" si="1388">DEV948</f>
        <v>Ohms</v>
      </c>
      <c r="DEY948" s="2" t="str">
        <f t="shared" ref="DEY948" si="1389">IF(DEQ948="Ionizador", "Plato de carga", IF(DEQ948="Cautín", "PTG", "RTG"))</f>
        <v>RTG</v>
      </c>
      <c r="DEZ948" s="7">
        <v>45992</v>
      </c>
      <c r="DFA948" s="7">
        <f t="shared" ref="DFA948" si="1390">IF(DFB948="Trimestral", DEZ948+90, IF(DFB948="Semestral", DEZ948+180, DEZ948+365))</f>
        <v>46172</v>
      </c>
      <c r="DFB948" s="7" t="str">
        <f t="shared" ref="DFB948" si="1391">IF(DEQ948="Ionizador", "Trimestral", IF(DEQ948="Rack", "Semestral", IF(DEQ948="Mesa", "Semestral", IF(DEQ948="Tapete", "Semestral", IF(DEQ948="Cautín", "Semestral", IF(DEQ948="Silla", "Semestral", "Anual"))))))</f>
        <v>Semestral</v>
      </c>
      <c r="DFC948" s="2" t="str">
        <f t="shared" ref="DFC948" ca="1" si="1392">IF(DFA948&lt;TODAY(),"VENCIDO",IF(DFA948=TODAY(),"VENCE HOY",IF(DFA948&gt;TODAY(),"VIGENTE")))</f>
        <v>VIGENTE</v>
      </c>
      <c r="DFD948" s="6" t="s">
        <v>25</v>
      </c>
      <c r="DFE948" s="23" t="s">
        <v>138</v>
      </c>
      <c r="DFF948" s="2" t="s">
        <v>433</v>
      </c>
      <c r="DFG948" s="3" t="s">
        <v>22</v>
      </c>
      <c r="DFH948" s="3" t="s">
        <v>23</v>
      </c>
      <c r="DFI948" s="2" t="s">
        <v>24</v>
      </c>
      <c r="DFJ948" s="4">
        <v>0</v>
      </c>
      <c r="DFK948" s="8">
        <f t="shared" ref="DFK948" si="1393">IF(DFG948="Ionizador", 10, IF(DFG948="Mesa", 1000000000, IF(DFG948="Rack", 1000000000, IF(DFG948="Piso", 1000000000, IF(DFG948="Tapete", 1000000000, IF(DFG948="Carrito", 1000000000, IF(DFG948="Cautín", 10, 1)))))))</f>
        <v>1000000000</v>
      </c>
      <c r="DFL948" s="4" t="str">
        <f t="shared" ref="DFL948" si="1394">IF(DFG948="Ionizador", "Segundos", "Ohms")</f>
        <v>Ohms</v>
      </c>
      <c r="DFM948" s="6">
        <v>148000000</v>
      </c>
      <c r="DFN948" s="6" t="str">
        <f t="shared" ref="DFN948" si="1395">DFL948</f>
        <v>Ohms</v>
      </c>
      <c r="DFO948" s="2" t="str">
        <f t="shared" ref="DFO948" si="1396">IF(DFG948="Ionizador", "Plato de carga", IF(DFG948="Cautín", "PTG", "RTG"))</f>
        <v>RTG</v>
      </c>
      <c r="DFP948" s="7">
        <v>45992</v>
      </c>
      <c r="DFQ948" s="7">
        <f t="shared" ref="DFQ948" si="1397">IF(DFR948="Trimestral", DFP948+90, IF(DFR948="Semestral", DFP948+180, DFP948+365))</f>
        <v>46172</v>
      </c>
      <c r="DFR948" s="7" t="str">
        <f t="shared" ref="DFR948" si="1398">IF(DFG948="Ionizador", "Trimestral", IF(DFG948="Rack", "Semestral", IF(DFG948="Mesa", "Semestral", IF(DFG948="Tapete", "Semestral", IF(DFG948="Cautín", "Semestral", IF(DFG948="Silla", "Semestral", "Anual"))))))</f>
        <v>Semestral</v>
      </c>
      <c r="DFS948" s="2" t="str">
        <f t="shared" ref="DFS948" ca="1" si="1399">IF(DFQ948&lt;TODAY(),"VENCIDO",IF(DFQ948=TODAY(),"VENCE HOY",IF(DFQ948&gt;TODAY(),"VIGENTE")))</f>
        <v>VIGENTE</v>
      </c>
      <c r="DFT948" s="6" t="s">
        <v>25</v>
      </c>
      <c r="DFU948" s="23" t="s">
        <v>138</v>
      </c>
      <c r="DFV948" s="2" t="s">
        <v>433</v>
      </c>
      <c r="DFW948" s="3" t="s">
        <v>22</v>
      </c>
      <c r="DFX948" s="3" t="s">
        <v>23</v>
      </c>
      <c r="DFY948" s="2" t="s">
        <v>24</v>
      </c>
      <c r="DFZ948" s="4">
        <v>0</v>
      </c>
      <c r="DGA948" s="8">
        <f t="shared" ref="DGA948" si="1400">IF(DFW948="Ionizador", 10, IF(DFW948="Mesa", 1000000000, IF(DFW948="Rack", 1000000000, IF(DFW948="Piso", 1000000000, IF(DFW948="Tapete", 1000000000, IF(DFW948="Carrito", 1000000000, IF(DFW948="Cautín", 10, 1)))))))</f>
        <v>1000000000</v>
      </c>
      <c r="DGB948" s="4" t="str">
        <f t="shared" ref="DGB948" si="1401">IF(DFW948="Ionizador", "Segundos", "Ohms")</f>
        <v>Ohms</v>
      </c>
      <c r="DGC948" s="6">
        <v>148000000</v>
      </c>
      <c r="DGD948" s="6" t="str">
        <f t="shared" ref="DGD948" si="1402">DGB948</f>
        <v>Ohms</v>
      </c>
      <c r="DGE948" s="2" t="str">
        <f t="shared" ref="DGE948" si="1403">IF(DFW948="Ionizador", "Plato de carga", IF(DFW948="Cautín", "PTG", "RTG"))</f>
        <v>RTG</v>
      </c>
      <c r="DGF948" s="7">
        <v>45992</v>
      </c>
      <c r="DGG948" s="7">
        <f t="shared" ref="DGG948" si="1404">IF(DGH948="Trimestral", DGF948+90, IF(DGH948="Semestral", DGF948+180, DGF948+365))</f>
        <v>46172</v>
      </c>
      <c r="DGH948" s="7" t="str">
        <f t="shared" ref="DGH948" si="1405">IF(DFW948="Ionizador", "Trimestral", IF(DFW948="Rack", "Semestral", IF(DFW948="Mesa", "Semestral", IF(DFW948="Tapete", "Semestral", IF(DFW948="Cautín", "Semestral", IF(DFW948="Silla", "Semestral", "Anual"))))))</f>
        <v>Semestral</v>
      </c>
      <c r="DGI948" s="2" t="str">
        <f t="shared" ref="DGI948" ca="1" si="1406">IF(DGG948&lt;TODAY(),"VENCIDO",IF(DGG948=TODAY(),"VENCE HOY",IF(DGG948&gt;TODAY(),"VIGENTE")))</f>
        <v>VIGENTE</v>
      </c>
      <c r="DGJ948" s="6" t="s">
        <v>25</v>
      </c>
      <c r="DGK948" s="23" t="s">
        <v>138</v>
      </c>
      <c r="DGL948" s="2" t="s">
        <v>433</v>
      </c>
      <c r="DGM948" s="3" t="s">
        <v>22</v>
      </c>
      <c r="DGN948" s="3" t="s">
        <v>23</v>
      </c>
      <c r="DGO948" s="2" t="s">
        <v>24</v>
      </c>
      <c r="DGP948" s="4">
        <v>0</v>
      </c>
      <c r="DGQ948" s="8">
        <f t="shared" ref="DGQ948" si="1407">IF(DGM948="Ionizador", 10, IF(DGM948="Mesa", 1000000000, IF(DGM948="Rack", 1000000000, IF(DGM948="Piso", 1000000000, IF(DGM948="Tapete", 1000000000, IF(DGM948="Carrito", 1000000000, IF(DGM948="Cautín", 10, 1)))))))</f>
        <v>1000000000</v>
      </c>
      <c r="DGR948" s="4" t="str">
        <f t="shared" ref="DGR948" si="1408">IF(DGM948="Ionizador", "Segundos", "Ohms")</f>
        <v>Ohms</v>
      </c>
      <c r="DGS948" s="6">
        <v>148000000</v>
      </c>
      <c r="DGT948" s="6" t="str">
        <f t="shared" ref="DGT948" si="1409">DGR948</f>
        <v>Ohms</v>
      </c>
      <c r="DGU948" s="2" t="str">
        <f t="shared" ref="DGU948" si="1410">IF(DGM948="Ionizador", "Plato de carga", IF(DGM948="Cautín", "PTG", "RTG"))</f>
        <v>RTG</v>
      </c>
      <c r="DGV948" s="7">
        <v>45992</v>
      </c>
      <c r="DGW948" s="7">
        <f t="shared" ref="DGW948" si="1411">IF(DGX948="Trimestral", DGV948+90, IF(DGX948="Semestral", DGV948+180, DGV948+365))</f>
        <v>46172</v>
      </c>
      <c r="DGX948" s="7" t="str">
        <f t="shared" ref="DGX948" si="1412">IF(DGM948="Ionizador", "Trimestral", IF(DGM948="Rack", "Semestral", IF(DGM948="Mesa", "Semestral", IF(DGM948="Tapete", "Semestral", IF(DGM948="Cautín", "Semestral", IF(DGM948="Silla", "Semestral", "Anual"))))))</f>
        <v>Semestral</v>
      </c>
      <c r="DGY948" s="2" t="str">
        <f t="shared" ref="DGY948" ca="1" si="1413">IF(DGW948&lt;TODAY(),"VENCIDO",IF(DGW948=TODAY(),"VENCE HOY",IF(DGW948&gt;TODAY(),"VIGENTE")))</f>
        <v>VIGENTE</v>
      </c>
      <c r="DGZ948" s="6" t="s">
        <v>25</v>
      </c>
      <c r="DHA948" s="23" t="s">
        <v>138</v>
      </c>
      <c r="DHB948" s="2" t="s">
        <v>433</v>
      </c>
      <c r="DHC948" s="3" t="s">
        <v>22</v>
      </c>
      <c r="DHD948" s="3" t="s">
        <v>23</v>
      </c>
      <c r="DHE948" s="2" t="s">
        <v>24</v>
      </c>
      <c r="DHF948" s="4">
        <v>0</v>
      </c>
      <c r="DHG948" s="8">
        <f t="shared" ref="DHG948" si="1414">IF(DHC948="Ionizador", 10, IF(DHC948="Mesa", 1000000000, IF(DHC948="Rack", 1000000000, IF(DHC948="Piso", 1000000000, IF(DHC948="Tapete", 1000000000, IF(DHC948="Carrito", 1000000000, IF(DHC948="Cautín", 10, 1)))))))</f>
        <v>1000000000</v>
      </c>
      <c r="DHH948" s="4" t="str">
        <f t="shared" ref="DHH948" si="1415">IF(DHC948="Ionizador", "Segundos", "Ohms")</f>
        <v>Ohms</v>
      </c>
      <c r="DHI948" s="6">
        <v>148000000</v>
      </c>
      <c r="DHJ948" s="6" t="str">
        <f t="shared" ref="DHJ948" si="1416">DHH948</f>
        <v>Ohms</v>
      </c>
      <c r="DHK948" s="2" t="str">
        <f t="shared" ref="DHK948" si="1417">IF(DHC948="Ionizador", "Plato de carga", IF(DHC948="Cautín", "PTG", "RTG"))</f>
        <v>RTG</v>
      </c>
      <c r="DHL948" s="7">
        <v>45992</v>
      </c>
      <c r="DHM948" s="7">
        <f t="shared" ref="DHM948" si="1418">IF(DHN948="Trimestral", DHL948+90, IF(DHN948="Semestral", DHL948+180, DHL948+365))</f>
        <v>46172</v>
      </c>
      <c r="DHN948" s="7" t="str">
        <f t="shared" ref="DHN948" si="1419">IF(DHC948="Ionizador", "Trimestral", IF(DHC948="Rack", "Semestral", IF(DHC948="Mesa", "Semestral", IF(DHC948="Tapete", "Semestral", IF(DHC948="Cautín", "Semestral", IF(DHC948="Silla", "Semestral", "Anual"))))))</f>
        <v>Semestral</v>
      </c>
      <c r="DHO948" s="2" t="str">
        <f t="shared" ref="DHO948" ca="1" si="1420">IF(DHM948&lt;TODAY(),"VENCIDO",IF(DHM948=TODAY(),"VENCE HOY",IF(DHM948&gt;TODAY(),"VIGENTE")))</f>
        <v>VIGENTE</v>
      </c>
      <c r="DHP948" s="6" t="s">
        <v>25</v>
      </c>
      <c r="DHQ948" s="23" t="s">
        <v>138</v>
      </c>
      <c r="DHR948" s="2" t="s">
        <v>433</v>
      </c>
      <c r="DHS948" s="3" t="s">
        <v>22</v>
      </c>
      <c r="DHT948" s="3" t="s">
        <v>23</v>
      </c>
      <c r="DHU948" s="2" t="s">
        <v>24</v>
      </c>
      <c r="DHV948" s="4">
        <v>0</v>
      </c>
      <c r="DHW948" s="8">
        <f t="shared" ref="DHW948" si="1421">IF(DHS948="Ionizador", 10, IF(DHS948="Mesa", 1000000000, IF(DHS948="Rack", 1000000000, IF(DHS948="Piso", 1000000000, IF(DHS948="Tapete", 1000000000, IF(DHS948="Carrito", 1000000000, IF(DHS948="Cautín", 10, 1)))))))</f>
        <v>1000000000</v>
      </c>
      <c r="DHX948" s="4" t="str">
        <f t="shared" ref="DHX948" si="1422">IF(DHS948="Ionizador", "Segundos", "Ohms")</f>
        <v>Ohms</v>
      </c>
      <c r="DHY948" s="6">
        <v>148000000</v>
      </c>
      <c r="DHZ948" s="6" t="str">
        <f t="shared" ref="DHZ948" si="1423">DHX948</f>
        <v>Ohms</v>
      </c>
      <c r="DIA948" s="2" t="str">
        <f t="shared" ref="DIA948" si="1424">IF(DHS948="Ionizador", "Plato de carga", IF(DHS948="Cautín", "PTG", "RTG"))</f>
        <v>RTG</v>
      </c>
      <c r="DIB948" s="7">
        <v>45992</v>
      </c>
      <c r="DIC948" s="7">
        <f t="shared" ref="DIC948" si="1425">IF(DID948="Trimestral", DIB948+90, IF(DID948="Semestral", DIB948+180, DIB948+365))</f>
        <v>46172</v>
      </c>
      <c r="DID948" s="7" t="str">
        <f t="shared" ref="DID948" si="1426">IF(DHS948="Ionizador", "Trimestral", IF(DHS948="Rack", "Semestral", IF(DHS948="Mesa", "Semestral", IF(DHS948="Tapete", "Semestral", IF(DHS948="Cautín", "Semestral", IF(DHS948="Silla", "Semestral", "Anual"))))))</f>
        <v>Semestral</v>
      </c>
      <c r="DIE948" s="2" t="str">
        <f t="shared" ref="DIE948" ca="1" si="1427">IF(DIC948&lt;TODAY(),"VENCIDO",IF(DIC948=TODAY(),"VENCE HOY",IF(DIC948&gt;TODAY(),"VIGENTE")))</f>
        <v>VIGENTE</v>
      </c>
      <c r="DIF948" s="6" t="s">
        <v>25</v>
      </c>
      <c r="DIG948" s="23" t="s">
        <v>138</v>
      </c>
      <c r="DIH948" s="2" t="s">
        <v>433</v>
      </c>
      <c r="DII948" s="3" t="s">
        <v>22</v>
      </c>
      <c r="DIJ948" s="3" t="s">
        <v>23</v>
      </c>
      <c r="DIK948" s="2" t="s">
        <v>24</v>
      </c>
      <c r="DIL948" s="4">
        <v>0</v>
      </c>
      <c r="DIM948" s="8">
        <f t="shared" ref="DIM948" si="1428">IF(DII948="Ionizador", 10, IF(DII948="Mesa", 1000000000, IF(DII948="Rack", 1000000000, IF(DII948="Piso", 1000000000, IF(DII948="Tapete", 1000000000, IF(DII948="Carrito", 1000000000, IF(DII948="Cautín", 10, 1)))))))</f>
        <v>1000000000</v>
      </c>
      <c r="DIN948" s="4" t="str">
        <f t="shared" ref="DIN948" si="1429">IF(DII948="Ionizador", "Segundos", "Ohms")</f>
        <v>Ohms</v>
      </c>
      <c r="DIO948" s="6">
        <v>148000000</v>
      </c>
      <c r="DIP948" s="6" t="str">
        <f t="shared" ref="DIP948" si="1430">DIN948</f>
        <v>Ohms</v>
      </c>
      <c r="DIQ948" s="2" t="str">
        <f t="shared" ref="DIQ948" si="1431">IF(DII948="Ionizador", "Plato de carga", IF(DII948="Cautín", "PTG", "RTG"))</f>
        <v>RTG</v>
      </c>
      <c r="DIR948" s="7">
        <v>45992</v>
      </c>
      <c r="DIS948" s="7">
        <f t="shared" ref="DIS948" si="1432">IF(DIT948="Trimestral", DIR948+90, IF(DIT948="Semestral", DIR948+180, DIR948+365))</f>
        <v>46172</v>
      </c>
      <c r="DIT948" s="7" t="str">
        <f t="shared" ref="DIT948" si="1433">IF(DII948="Ionizador", "Trimestral", IF(DII948="Rack", "Semestral", IF(DII948="Mesa", "Semestral", IF(DII948="Tapete", "Semestral", IF(DII948="Cautín", "Semestral", IF(DII948="Silla", "Semestral", "Anual"))))))</f>
        <v>Semestral</v>
      </c>
      <c r="DIU948" s="2" t="str">
        <f t="shared" ref="DIU948" ca="1" si="1434">IF(DIS948&lt;TODAY(),"VENCIDO",IF(DIS948=TODAY(),"VENCE HOY",IF(DIS948&gt;TODAY(),"VIGENTE")))</f>
        <v>VIGENTE</v>
      </c>
      <c r="DIV948" s="6" t="s">
        <v>25</v>
      </c>
      <c r="DIW948" s="23" t="s">
        <v>138</v>
      </c>
      <c r="DIX948" s="2" t="s">
        <v>433</v>
      </c>
      <c r="DIY948" s="3" t="s">
        <v>22</v>
      </c>
      <c r="DIZ948" s="3" t="s">
        <v>23</v>
      </c>
      <c r="DJA948" s="2" t="s">
        <v>24</v>
      </c>
      <c r="DJB948" s="4">
        <v>0</v>
      </c>
      <c r="DJC948" s="8">
        <f t="shared" ref="DJC948" si="1435">IF(DIY948="Ionizador", 10, IF(DIY948="Mesa", 1000000000, IF(DIY948="Rack", 1000000000, IF(DIY948="Piso", 1000000000, IF(DIY948="Tapete", 1000000000, IF(DIY948="Carrito", 1000000000, IF(DIY948="Cautín", 10, 1)))))))</f>
        <v>1000000000</v>
      </c>
      <c r="DJD948" s="4" t="str">
        <f t="shared" ref="DJD948" si="1436">IF(DIY948="Ionizador", "Segundos", "Ohms")</f>
        <v>Ohms</v>
      </c>
      <c r="DJE948" s="6">
        <v>148000000</v>
      </c>
      <c r="DJF948" s="6" t="str">
        <f t="shared" ref="DJF948" si="1437">DJD948</f>
        <v>Ohms</v>
      </c>
      <c r="DJG948" s="2" t="str">
        <f t="shared" ref="DJG948" si="1438">IF(DIY948="Ionizador", "Plato de carga", IF(DIY948="Cautín", "PTG", "RTG"))</f>
        <v>RTG</v>
      </c>
      <c r="DJH948" s="7">
        <v>45992</v>
      </c>
      <c r="DJI948" s="7">
        <f t="shared" ref="DJI948" si="1439">IF(DJJ948="Trimestral", DJH948+90, IF(DJJ948="Semestral", DJH948+180, DJH948+365))</f>
        <v>46172</v>
      </c>
      <c r="DJJ948" s="7" t="str">
        <f t="shared" ref="DJJ948" si="1440">IF(DIY948="Ionizador", "Trimestral", IF(DIY948="Rack", "Semestral", IF(DIY948="Mesa", "Semestral", IF(DIY948="Tapete", "Semestral", IF(DIY948="Cautín", "Semestral", IF(DIY948="Silla", "Semestral", "Anual"))))))</f>
        <v>Semestral</v>
      </c>
      <c r="DJK948" s="2" t="str">
        <f t="shared" ref="DJK948" ca="1" si="1441">IF(DJI948&lt;TODAY(),"VENCIDO",IF(DJI948=TODAY(),"VENCE HOY",IF(DJI948&gt;TODAY(),"VIGENTE")))</f>
        <v>VIGENTE</v>
      </c>
      <c r="DJL948" s="6" t="s">
        <v>25</v>
      </c>
      <c r="DJM948" s="23" t="s">
        <v>138</v>
      </c>
      <c r="DJN948" s="2" t="s">
        <v>433</v>
      </c>
      <c r="DJO948" s="3" t="s">
        <v>22</v>
      </c>
      <c r="DJP948" s="3" t="s">
        <v>23</v>
      </c>
      <c r="DJQ948" s="2" t="s">
        <v>24</v>
      </c>
      <c r="DJR948" s="4">
        <v>0</v>
      </c>
      <c r="DJS948" s="8">
        <f t="shared" ref="DJS948" si="1442">IF(DJO948="Ionizador", 10, IF(DJO948="Mesa", 1000000000, IF(DJO948="Rack", 1000000000, IF(DJO948="Piso", 1000000000, IF(DJO948="Tapete", 1000000000, IF(DJO948="Carrito", 1000000000, IF(DJO948="Cautín", 10, 1)))))))</f>
        <v>1000000000</v>
      </c>
      <c r="DJT948" s="4" t="str">
        <f t="shared" ref="DJT948" si="1443">IF(DJO948="Ionizador", "Segundos", "Ohms")</f>
        <v>Ohms</v>
      </c>
      <c r="DJU948" s="6">
        <v>148000000</v>
      </c>
      <c r="DJV948" s="6" t="str">
        <f t="shared" ref="DJV948" si="1444">DJT948</f>
        <v>Ohms</v>
      </c>
      <c r="DJW948" s="2" t="str">
        <f t="shared" ref="DJW948" si="1445">IF(DJO948="Ionizador", "Plato de carga", IF(DJO948="Cautín", "PTG", "RTG"))</f>
        <v>RTG</v>
      </c>
      <c r="DJX948" s="7">
        <v>45992</v>
      </c>
      <c r="DJY948" s="7">
        <f t="shared" ref="DJY948" si="1446">IF(DJZ948="Trimestral", DJX948+90, IF(DJZ948="Semestral", DJX948+180, DJX948+365))</f>
        <v>46172</v>
      </c>
      <c r="DJZ948" s="7" t="str">
        <f t="shared" ref="DJZ948" si="1447">IF(DJO948="Ionizador", "Trimestral", IF(DJO948="Rack", "Semestral", IF(DJO948="Mesa", "Semestral", IF(DJO948="Tapete", "Semestral", IF(DJO948="Cautín", "Semestral", IF(DJO948="Silla", "Semestral", "Anual"))))))</f>
        <v>Semestral</v>
      </c>
      <c r="DKA948" s="2" t="str">
        <f t="shared" ref="DKA948" ca="1" si="1448">IF(DJY948&lt;TODAY(),"VENCIDO",IF(DJY948=TODAY(),"VENCE HOY",IF(DJY948&gt;TODAY(),"VIGENTE")))</f>
        <v>VIGENTE</v>
      </c>
      <c r="DKB948" s="6" t="s">
        <v>25</v>
      </c>
      <c r="DKC948" s="23" t="s">
        <v>138</v>
      </c>
      <c r="DKD948" s="2" t="s">
        <v>433</v>
      </c>
      <c r="DKE948" s="3" t="s">
        <v>22</v>
      </c>
      <c r="DKF948" s="3" t="s">
        <v>23</v>
      </c>
      <c r="DKG948" s="2" t="s">
        <v>24</v>
      </c>
      <c r="DKH948" s="4">
        <v>0</v>
      </c>
      <c r="DKI948" s="8">
        <f t="shared" ref="DKI948" si="1449">IF(DKE948="Ionizador", 10, IF(DKE948="Mesa", 1000000000, IF(DKE948="Rack", 1000000000, IF(DKE948="Piso", 1000000000, IF(DKE948="Tapete", 1000000000, IF(DKE948="Carrito", 1000000000, IF(DKE948="Cautín", 10, 1)))))))</f>
        <v>1000000000</v>
      </c>
      <c r="DKJ948" s="4" t="str">
        <f t="shared" ref="DKJ948" si="1450">IF(DKE948="Ionizador", "Segundos", "Ohms")</f>
        <v>Ohms</v>
      </c>
      <c r="DKK948" s="6">
        <v>148000000</v>
      </c>
      <c r="DKL948" s="6" t="str">
        <f t="shared" ref="DKL948" si="1451">DKJ948</f>
        <v>Ohms</v>
      </c>
      <c r="DKM948" s="2" t="str">
        <f t="shared" ref="DKM948" si="1452">IF(DKE948="Ionizador", "Plato de carga", IF(DKE948="Cautín", "PTG", "RTG"))</f>
        <v>RTG</v>
      </c>
      <c r="DKN948" s="7">
        <v>45992</v>
      </c>
      <c r="DKO948" s="7">
        <f t="shared" ref="DKO948" si="1453">IF(DKP948="Trimestral", DKN948+90, IF(DKP948="Semestral", DKN948+180, DKN948+365))</f>
        <v>46172</v>
      </c>
      <c r="DKP948" s="7" t="str">
        <f t="shared" ref="DKP948" si="1454">IF(DKE948="Ionizador", "Trimestral", IF(DKE948="Rack", "Semestral", IF(DKE948="Mesa", "Semestral", IF(DKE948="Tapete", "Semestral", IF(DKE948="Cautín", "Semestral", IF(DKE948="Silla", "Semestral", "Anual"))))))</f>
        <v>Semestral</v>
      </c>
      <c r="DKQ948" s="2" t="str">
        <f t="shared" ref="DKQ948" ca="1" si="1455">IF(DKO948&lt;TODAY(),"VENCIDO",IF(DKO948=TODAY(),"VENCE HOY",IF(DKO948&gt;TODAY(),"VIGENTE")))</f>
        <v>VIGENTE</v>
      </c>
      <c r="DKR948" s="6" t="s">
        <v>25</v>
      </c>
      <c r="DKS948" s="23" t="s">
        <v>138</v>
      </c>
      <c r="DKT948" s="2" t="s">
        <v>433</v>
      </c>
      <c r="DKU948" s="3" t="s">
        <v>22</v>
      </c>
      <c r="DKV948" s="3" t="s">
        <v>23</v>
      </c>
      <c r="DKW948" s="2" t="s">
        <v>24</v>
      </c>
      <c r="DKX948" s="4">
        <v>0</v>
      </c>
      <c r="DKY948" s="8">
        <f t="shared" ref="DKY948" si="1456">IF(DKU948="Ionizador", 10, IF(DKU948="Mesa", 1000000000, IF(DKU948="Rack", 1000000000, IF(DKU948="Piso", 1000000000, IF(DKU948="Tapete", 1000000000, IF(DKU948="Carrito", 1000000000, IF(DKU948="Cautín", 10, 1)))))))</f>
        <v>1000000000</v>
      </c>
      <c r="DKZ948" s="4" t="str">
        <f t="shared" ref="DKZ948" si="1457">IF(DKU948="Ionizador", "Segundos", "Ohms")</f>
        <v>Ohms</v>
      </c>
      <c r="DLA948" s="6">
        <v>148000000</v>
      </c>
      <c r="DLB948" s="6" t="str">
        <f t="shared" ref="DLB948" si="1458">DKZ948</f>
        <v>Ohms</v>
      </c>
      <c r="DLC948" s="2" t="str">
        <f t="shared" ref="DLC948" si="1459">IF(DKU948="Ionizador", "Plato de carga", IF(DKU948="Cautín", "PTG", "RTG"))</f>
        <v>RTG</v>
      </c>
      <c r="DLD948" s="7">
        <v>45992</v>
      </c>
      <c r="DLE948" s="7">
        <f t="shared" ref="DLE948" si="1460">IF(DLF948="Trimestral", DLD948+90, IF(DLF948="Semestral", DLD948+180, DLD948+365))</f>
        <v>46172</v>
      </c>
      <c r="DLF948" s="7" t="str">
        <f t="shared" ref="DLF948" si="1461">IF(DKU948="Ionizador", "Trimestral", IF(DKU948="Rack", "Semestral", IF(DKU948="Mesa", "Semestral", IF(DKU948="Tapete", "Semestral", IF(DKU948="Cautín", "Semestral", IF(DKU948="Silla", "Semestral", "Anual"))))))</f>
        <v>Semestral</v>
      </c>
      <c r="DLG948" s="2" t="str">
        <f t="shared" ref="DLG948" ca="1" si="1462">IF(DLE948&lt;TODAY(),"VENCIDO",IF(DLE948=TODAY(),"VENCE HOY",IF(DLE948&gt;TODAY(),"VIGENTE")))</f>
        <v>VIGENTE</v>
      </c>
      <c r="DLH948" s="6" t="s">
        <v>25</v>
      </c>
      <c r="DLI948" s="23" t="s">
        <v>138</v>
      </c>
      <c r="DLJ948" s="2" t="s">
        <v>433</v>
      </c>
      <c r="DLK948" s="3" t="s">
        <v>22</v>
      </c>
      <c r="DLL948" s="3" t="s">
        <v>23</v>
      </c>
      <c r="DLM948" s="2" t="s">
        <v>24</v>
      </c>
      <c r="DLN948" s="4">
        <v>0</v>
      </c>
      <c r="DLO948" s="8">
        <f t="shared" ref="DLO948" si="1463">IF(DLK948="Ionizador", 10, IF(DLK948="Mesa", 1000000000, IF(DLK948="Rack", 1000000000, IF(DLK948="Piso", 1000000000, IF(DLK948="Tapete", 1000000000, IF(DLK948="Carrito", 1000000000, IF(DLK948="Cautín", 10, 1)))))))</f>
        <v>1000000000</v>
      </c>
      <c r="DLP948" s="4" t="str">
        <f t="shared" ref="DLP948" si="1464">IF(DLK948="Ionizador", "Segundos", "Ohms")</f>
        <v>Ohms</v>
      </c>
      <c r="DLQ948" s="6">
        <v>148000000</v>
      </c>
      <c r="DLR948" s="6" t="str">
        <f t="shared" ref="DLR948" si="1465">DLP948</f>
        <v>Ohms</v>
      </c>
      <c r="DLS948" s="2" t="str">
        <f t="shared" ref="DLS948" si="1466">IF(DLK948="Ionizador", "Plato de carga", IF(DLK948="Cautín", "PTG", "RTG"))</f>
        <v>RTG</v>
      </c>
      <c r="DLT948" s="7">
        <v>45992</v>
      </c>
      <c r="DLU948" s="7">
        <f t="shared" ref="DLU948" si="1467">IF(DLV948="Trimestral", DLT948+90, IF(DLV948="Semestral", DLT948+180, DLT948+365))</f>
        <v>46172</v>
      </c>
      <c r="DLV948" s="7" t="str">
        <f t="shared" ref="DLV948" si="1468">IF(DLK948="Ionizador", "Trimestral", IF(DLK948="Rack", "Semestral", IF(DLK948="Mesa", "Semestral", IF(DLK948="Tapete", "Semestral", IF(DLK948="Cautín", "Semestral", IF(DLK948="Silla", "Semestral", "Anual"))))))</f>
        <v>Semestral</v>
      </c>
      <c r="DLW948" s="2" t="str">
        <f t="shared" ref="DLW948" ca="1" si="1469">IF(DLU948&lt;TODAY(),"VENCIDO",IF(DLU948=TODAY(),"VENCE HOY",IF(DLU948&gt;TODAY(),"VIGENTE")))</f>
        <v>VIGENTE</v>
      </c>
      <c r="DLX948" s="6" t="s">
        <v>25</v>
      </c>
      <c r="DLY948" s="23" t="s">
        <v>138</v>
      </c>
      <c r="DLZ948" s="2" t="s">
        <v>433</v>
      </c>
      <c r="DMA948" s="3" t="s">
        <v>22</v>
      </c>
      <c r="DMB948" s="3" t="s">
        <v>23</v>
      </c>
      <c r="DMC948" s="2" t="s">
        <v>24</v>
      </c>
      <c r="DMD948" s="4">
        <v>0</v>
      </c>
      <c r="DME948" s="8">
        <f t="shared" ref="DME948" si="1470">IF(DMA948="Ionizador", 10, IF(DMA948="Mesa", 1000000000, IF(DMA948="Rack", 1000000000, IF(DMA948="Piso", 1000000000, IF(DMA948="Tapete", 1000000000, IF(DMA948="Carrito", 1000000000, IF(DMA948="Cautín", 10, 1)))))))</f>
        <v>1000000000</v>
      </c>
      <c r="DMF948" s="4" t="str">
        <f t="shared" ref="DMF948" si="1471">IF(DMA948="Ionizador", "Segundos", "Ohms")</f>
        <v>Ohms</v>
      </c>
      <c r="DMG948" s="6">
        <v>148000000</v>
      </c>
      <c r="DMH948" s="6" t="str">
        <f t="shared" ref="DMH948" si="1472">DMF948</f>
        <v>Ohms</v>
      </c>
      <c r="DMI948" s="2" t="str">
        <f t="shared" ref="DMI948" si="1473">IF(DMA948="Ionizador", "Plato de carga", IF(DMA948="Cautín", "PTG", "RTG"))</f>
        <v>RTG</v>
      </c>
      <c r="DMJ948" s="7">
        <v>45992</v>
      </c>
      <c r="DMK948" s="7">
        <f t="shared" ref="DMK948" si="1474">IF(DML948="Trimestral", DMJ948+90, IF(DML948="Semestral", DMJ948+180, DMJ948+365))</f>
        <v>46172</v>
      </c>
      <c r="DML948" s="7" t="str">
        <f t="shared" ref="DML948" si="1475">IF(DMA948="Ionizador", "Trimestral", IF(DMA948="Rack", "Semestral", IF(DMA948="Mesa", "Semestral", IF(DMA948="Tapete", "Semestral", IF(DMA948="Cautín", "Semestral", IF(DMA948="Silla", "Semestral", "Anual"))))))</f>
        <v>Semestral</v>
      </c>
      <c r="DMM948" s="2" t="str">
        <f t="shared" ref="DMM948" ca="1" si="1476">IF(DMK948&lt;TODAY(),"VENCIDO",IF(DMK948=TODAY(),"VENCE HOY",IF(DMK948&gt;TODAY(),"VIGENTE")))</f>
        <v>VIGENTE</v>
      </c>
      <c r="DMN948" s="6" t="s">
        <v>25</v>
      </c>
      <c r="DMO948" s="23" t="s">
        <v>138</v>
      </c>
      <c r="DMP948" s="2" t="s">
        <v>433</v>
      </c>
      <c r="DMQ948" s="3" t="s">
        <v>22</v>
      </c>
      <c r="DMR948" s="3" t="s">
        <v>23</v>
      </c>
      <c r="DMS948" s="2" t="s">
        <v>24</v>
      </c>
      <c r="DMT948" s="4">
        <v>0</v>
      </c>
      <c r="DMU948" s="8">
        <f t="shared" ref="DMU948" si="1477">IF(DMQ948="Ionizador", 10, IF(DMQ948="Mesa", 1000000000, IF(DMQ948="Rack", 1000000000, IF(DMQ948="Piso", 1000000000, IF(DMQ948="Tapete", 1000000000, IF(DMQ948="Carrito", 1000000000, IF(DMQ948="Cautín", 10, 1)))))))</f>
        <v>1000000000</v>
      </c>
      <c r="DMV948" s="4" t="str">
        <f t="shared" ref="DMV948" si="1478">IF(DMQ948="Ionizador", "Segundos", "Ohms")</f>
        <v>Ohms</v>
      </c>
      <c r="DMW948" s="6">
        <v>148000000</v>
      </c>
      <c r="DMX948" s="6" t="str">
        <f t="shared" ref="DMX948" si="1479">DMV948</f>
        <v>Ohms</v>
      </c>
      <c r="DMY948" s="2" t="str">
        <f t="shared" ref="DMY948" si="1480">IF(DMQ948="Ionizador", "Plato de carga", IF(DMQ948="Cautín", "PTG", "RTG"))</f>
        <v>RTG</v>
      </c>
      <c r="DMZ948" s="7">
        <v>45992</v>
      </c>
      <c r="DNA948" s="7">
        <f t="shared" ref="DNA948" si="1481">IF(DNB948="Trimestral", DMZ948+90, IF(DNB948="Semestral", DMZ948+180, DMZ948+365))</f>
        <v>46172</v>
      </c>
      <c r="DNB948" s="7" t="str">
        <f t="shared" ref="DNB948" si="1482">IF(DMQ948="Ionizador", "Trimestral", IF(DMQ948="Rack", "Semestral", IF(DMQ948="Mesa", "Semestral", IF(DMQ948="Tapete", "Semestral", IF(DMQ948="Cautín", "Semestral", IF(DMQ948="Silla", "Semestral", "Anual"))))))</f>
        <v>Semestral</v>
      </c>
      <c r="DNC948" s="2" t="str">
        <f t="shared" ref="DNC948" ca="1" si="1483">IF(DNA948&lt;TODAY(),"VENCIDO",IF(DNA948=TODAY(),"VENCE HOY",IF(DNA948&gt;TODAY(),"VIGENTE")))</f>
        <v>VIGENTE</v>
      </c>
      <c r="DND948" s="6" t="s">
        <v>25</v>
      </c>
      <c r="DNE948" s="23" t="s">
        <v>138</v>
      </c>
      <c r="DNF948" s="2" t="s">
        <v>433</v>
      </c>
      <c r="DNG948" s="3" t="s">
        <v>22</v>
      </c>
      <c r="DNH948" s="3" t="s">
        <v>23</v>
      </c>
      <c r="DNI948" s="2" t="s">
        <v>24</v>
      </c>
      <c r="DNJ948" s="4">
        <v>0</v>
      </c>
      <c r="DNK948" s="8">
        <f t="shared" ref="DNK948" si="1484">IF(DNG948="Ionizador", 10, IF(DNG948="Mesa", 1000000000, IF(DNG948="Rack", 1000000000, IF(DNG948="Piso", 1000000000, IF(DNG948="Tapete", 1000000000, IF(DNG948="Carrito", 1000000000, IF(DNG948="Cautín", 10, 1)))))))</f>
        <v>1000000000</v>
      </c>
      <c r="DNL948" s="4" t="str">
        <f t="shared" ref="DNL948" si="1485">IF(DNG948="Ionizador", "Segundos", "Ohms")</f>
        <v>Ohms</v>
      </c>
      <c r="DNM948" s="6">
        <v>148000000</v>
      </c>
      <c r="DNN948" s="6" t="str">
        <f t="shared" ref="DNN948" si="1486">DNL948</f>
        <v>Ohms</v>
      </c>
      <c r="DNO948" s="2" t="str">
        <f t="shared" ref="DNO948" si="1487">IF(DNG948="Ionizador", "Plato de carga", IF(DNG948="Cautín", "PTG", "RTG"))</f>
        <v>RTG</v>
      </c>
      <c r="DNP948" s="7">
        <v>45992</v>
      </c>
      <c r="DNQ948" s="7">
        <f t="shared" ref="DNQ948" si="1488">IF(DNR948="Trimestral", DNP948+90, IF(DNR948="Semestral", DNP948+180, DNP948+365))</f>
        <v>46172</v>
      </c>
      <c r="DNR948" s="7" t="str">
        <f t="shared" ref="DNR948" si="1489">IF(DNG948="Ionizador", "Trimestral", IF(DNG948="Rack", "Semestral", IF(DNG948="Mesa", "Semestral", IF(DNG948="Tapete", "Semestral", IF(DNG948="Cautín", "Semestral", IF(DNG948="Silla", "Semestral", "Anual"))))))</f>
        <v>Semestral</v>
      </c>
      <c r="DNS948" s="2" t="str">
        <f t="shared" ref="DNS948" ca="1" si="1490">IF(DNQ948&lt;TODAY(),"VENCIDO",IF(DNQ948=TODAY(),"VENCE HOY",IF(DNQ948&gt;TODAY(),"VIGENTE")))</f>
        <v>VIGENTE</v>
      </c>
      <c r="DNT948" s="6" t="s">
        <v>25</v>
      </c>
      <c r="DNU948" s="23" t="s">
        <v>138</v>
      </c>
      <c r="DNV948" s="2" t="s">
        <v>433</v>
      </c>
      <c r="DNW948" s="3" t="s">
        <v>22</v>
      </c>
      <c r="DNX948" s="3" t="s">
        <v>23</v>
      </c>
      <c r="DNY948" s="2" t="s">
        <v>24</v>
      </c>
      <c r="DNZ948" s="4">
        <v>0</v>
      </c>
      <c r="DOA948" s="8">
        <f t="shared" ref="DOA948" si="1491">IF(DNW948="Ionizador", 10, IF(DNW948="Mesa", 1000000000, IF(DNW948="Rack", 1000000000, IF(DNW948="Piso", 1000000000, IF(DNW948="Tapete", 1000000000, IF(DNW948="Carrito", 1000000000, IF(DNW948="Cautín", 10, 1)))))))</f>
        <v>1000000000</v>
      </c>
      <c r="DOB948" s="4" t="str">
        <f t="shared" ref="DOB948" si="1492">IF(DNW948="Ionizador", "Segundos", "Ohms")</f>
        <v>Ohms</v>
      </c>
      <c r="DOC948" s="6">
        <v>148000000</v>
      </c>
      <c r="DOD948" s="6" t="str">
        <f t="shared" ref="DOD948" si="1493">DOB948</f>
        <v>Ohms</v>
      </c>
      <c r="DOE948" s="2" t="str">
        <f t="shared" ref="DOE948" si="1494">IF(DNW948="Ionizador", "Plato de carga", IF(DNW948="Cautín", "PTG", "RTG"))</f>
        <v>RTG</v>
      </c>
      <c r="DOF948" s="7">
        <v>45992</v>
      </c>
      <c r="DOG948" s="7">
        <f t="shared" ref="DOG948" si="1495">IF(DOH948="Trimestral", DOF948+90, IF(DOH948="Semestral", DOF948+180, DOF948+365))</f>
        <v>46172</v>
      </c>
      <c r="DOH948" s="7" t="str">
        <f t="shared" ref="DOH948" si="1496">IF(DNW948="Ionizador", "Trimestral", IF(DNW948="Rack", "Semestral", IF(DNW948="Mesa", "Semestral", IF(DNW948="Tapete", "Semestral", IF(DNW948="Cautín", "Semestral", IF(DNW948="Silla", "Semestral", "Anual"))))))</f>
        <v>Semestral</v>
      </c>
      <c r="DOI948" s="2" t="str">
        <f t="shared" ref="DOI948" ca="1" si="1497">IF(DOG948&lt;TODAY(),"VENCIDO",IF(DOG948=TODAY(),"VENCE HOY",IF(DOG948&gt;TODAY(),"VIGENTE")))</f>
        <v>VIGENTE</v>
      </c>
      <c r="DOJ948" s="6" t="s">
        <v>25</v>
      </c>
      <c r="DOK948" s="23" t="s">
        <v>138</v>
      </c>
      <c r="DOL948" s="2" t="s">
        <v>433</v>
      </c>
      <c r="DOM948" s="3" t="s">
        <v>22</v>
      </c>
      <c r="DON948" s="3" t="s">
        <v>23</v>
      </c>
      <c r="DOO948" s="2" t="s">
        <v>24</v>
      </c>
      <c r="DOP948" s="4">
        <v>0</v>
      </c>
      <c r="DOQ948" s="8">
        <f t="shared" ref="DOQ948" si="1498">IF(DOM948="Ionizador", 10, IF(DOM948="Mesa", 1000000000, IF(DOM948="Rack", 1000000000, IF(DOM948="Piso", 1000000000, IF(DOM948="Tapete", 1000000000, IF(DOM948="Carrito", 1000000000, IF(DOM948="Cautín", 10, 1)))))))</f>
        <v>1000000000</v>
      </c>
      <c r="DOR948" s="4" t="str">
        <f t="shared" ref="DOR948" si="1499">IF(DOM948="Ionizador", "Segundos", "Ohms")</f>
        <v>Ohms</v>
      </c>
      <c r="DOS948" s="6">
        <v>148000000</v>
      </c>
      <c r="DOT948" s="6" t="str">
        <f t="shared" ref="DOT948" si="1500">DOR948</f>
        <v>Ohms</v>
      </c>
      <c r="DOU948" s="2" t="str">
        <f t="shared" ref="DOU948" si="1501">IF(DOM948="Ionizador", "Plato de carga", IF(DOM948="Cautín", "PTG", "RTG"))</f>
        <v>RTG</v>
      </c>
      <c r="DOV948" s="7">
        <v>45992</v>
      </c>
      <c r="DOW948" s="7">
        <f t="shared" ref="DOW948" si="1502">IF(DOX948="Trimestral", DOV948+90, IF(DOX948="Semestral", DOV948+180, DOV948+365))</f>
        <v>46172</v>
      </c>
      <c r="DOX948" s="7" t="str">
        <f t="shared" ref="DOX948" si="1503">IF(DOM948="Ionizador", "Trimestral", IF(DOM948="Rack", "Semestral", IF(DOM948="Mesa", "Semestral", IF(DOM948="Tapete", "Semestral", IF(DOM948="Cautín", "Semestral", IF(DOM948="Silla", "Semestral", "Anual"))))))</f>
        <v>Semestral</v>
      </c>
      <c r="DOY948" s="2" t="str">
        <f t="shared" ref="DOY948" ca="1" si="1504">IF(DOW948&lt;TODAY(),"VENCIDO",IF(DOW948=TODAY(),"VENCE HOY",IF(DOW948&gt;TODAY(),"VIGENTE")))</f>
        <v>VIGENTE</v>
      </c>
      <c r="DOZ948" s="6" t="s">
        <v>25</v>
      </c>
      <c r="DPA948" s="23" t="s">
        <v>138</v>
      </c>
      <c r="DPB948" s="2" t="s">
        <v>433</v>
      </c>
      <c r="DPC948" s="3" t="s">
        <v>22</v>
      </c>
      <c r="DPD948" s="3" t="s">
        <v>23</v>
      </c>
      <c r="DPE948" s="2" t="s">
        <v>24</v>
      </c>
      <c r="DPF948" s="4">
        <v>0</v>
      </c>
      <c r="DPG948" s="8">
        <f t="shared" ref="DPG948" si="1505">IF(DPC948="Ionizador", 10, IF(DPC948="Mesa", 1000000000, IF(DPC948="Rack", 1000000000, IF(DPC948="Piso", 1000000000, IF(DPC948="Tapete", 1000000000, IF(DPC948="Carrito", 1000000000, IF(DPC948="Cautín", 10, 1)))))))</f>
        <v>1000000000</v>
      </c>
      <c r="DPH948" s="4" t="str">
        <f t="shared" ref="DPH948" si="1506">IF(DPC948="Ionizador", "Segundos", "Ohms")</f>
        <v>Ohms</v>
      </c>
      <c r="DPI948" s="6">
        <v>148000000</v>
      </c>
      <c r="DPJ948" s="6" t="str">
        <f t="shared" ref="DPJ948" si="1507">DPH948</f>
        <v>Ohms</v>
      </c>
      <c r="DPK948" s="2" t="str">
        <f t="shared" ref="DPK948" si="1508">IF(DPC948="Ionizador", "Plato de carga", IF(DPC948="Cautín", "PTG", "RTG"))</f>
        <v>RTG</v>
      </c>
      <c r="DPL948" s="7">
        <v>45992</v>
      </c>
      <c r="DPM948" s="7">
        <f t="shared" ref="DPM948" si="1509">IF(DPN948="Trimestral", DPL948+90, IF(DPN948="Semestral", DPL948+180, DPL948+365))</f>
        <v>46172</v>
      </c>
      <c r="DPN948" s="7" t="str">
        <f t="shared" ref="DPN948" si="1510">IF(DPC948="Ionizador", "Trimestral", IF(DPC948="Rack", "Semestral", IF(DPC948="Mesa", "Semestral", IF(DPC948="Tapete", "Semestral", IF(DPC948="Cautín", "Semestral", IF(DPC948="Silla", "Semestral", "Anual"))))))</f>
        <v>Semestral</v>
      </c>
      <c r="DPO948" s="2" t="str">
        <f t="shared" ref="DPO948" ca="1" si="1511">IF(DPM948&lt;TODAY(),"VENCIDO",IF(DPM948=TODAY(),"VENCE HOY",IF(DPM948&gt;TODAY(),"VIGENTE")))</f>
        <v>VIGENTE</v>
      </c>
      <c r="DPP948" s="6" t="s">
        <v>25</v>
      </c>
      <c r="DPQ948" s="23" t="s">
        <v>138</v>
      </c>
      <c r="DPR948" s="2" t="s">
        <v>433</v>
      </c>
      <c r="DPS948" s="3" t="s">
        <v>22</v>
      </c>
      <c r="DPT948" s="3" t="s">
        <v>23</v>
      </c>
      <c r="DPU948" s="2" t="s">
        <v>24</v>
      </c>
      <c r="DPV948" s="4">
        <v>0</v>
      </c>
      <c r="DPW948" s="8">
        <f t="shared" ref="DPW948" si="1512">IF(DPS948="Ionizador", 10, IF(DPS948="Mesa", 1000000000, IF(DPS948="Rack", 1000000000, IF(DPS948="Piso", 1000000000, IF(DPS948="Tapete", 1000000000, IF(DPS948="Carrito", 1000000000, IF(DPS948="Cautín", 10, 1)))))))</f>
        <v>1000000000</v>
      </c>
      <c r="DPX948" s="4" t="str">
        <f t="shared" ref="DPX948" si="1513">IF(DPS948="Ionizador", "Segundos", "Ohms")</f>
        <v>Ohms</v>
      </c>
      <c r="DPY948" s="6">
        <v>148000000</v>
      </c>
      <c r="DPZ948" s="6" t="str">
        <f t="shared" ref="DPZ948" si="1514">DPX948</f>
        <v>Ohms</v>
      </c>
      <c r="DQA948" s="2" t="str">
        <f t="shared" ref="DQA948" si="1515">IF(DPS948="Ionizador", "Plato de carga", IF(DPS948="Cautín", "PTG", "RTG"))</f>
        <v>RTG</v>
      </c>
      <c r="DQB948" s="7">
        <v>45992</v>
      </c>
      <c r="DQC948" s="7">
        <f t="shared" ref="DQC948" si="1516">IF(DQD948="Trimestral", DQB948+90, IF(DQD948="Semestral", DQB948+180, DQB948+365))</f>
        <v>46172</v>
      </c>
      <c r="DQD948" s="7" t="str">
        <f t="shared" ref="DQD948" si="1517">IF(DPS948="Ionizador", "Trimestral", IF(DPS948="Rack", "Semestral", IF(DPS948="Mesa", "Semestral", IF(DPS948="Tapete", "Semestral", IF(DPS948="Cautín", "Semestral", IF(DPS948="Silla", "Semestral", "Anual"))))))</f>
        <v>Semestral</v>
      </c>
      <c r="DQE948" s="2" t="str">
        <f t="shared" ref="DQE948" ca="1" si="1518">IF(DQC948&lt;TODAY(),"VENCIDO",IF(DQC948=TODAY(),"VENCE HOY",IF(DQC948&gt;TODAY(),"VIGENTE")))</f>
        <v>VIGENTE</v>
      </c>
      <c r="DQF948" s="6" t="s">
        <v>25</v>
      </c>
      <c r="DQG948" s="23" t="s">
        <v>138</v>
      </c>
      <c r="DQH948" s="2" t="s">
        <v>433</v>
      </c>
      <c r="DQI948" s="3" t="s">
        <v>22</v>
      </c>
      <c r="DQJ948" s="3" t="s">
        <v>23</v>
      </c>
      <c r="DQK948" s="2" t="s">
        <v>24</v>
      </c>
      <c r="DQL948" s="4">
        <v>0</v>
      </c>
      <c r="DQM948" s="8">
        <f t="shared" ref="DQM948" si="1519">IF(DQI948="Ionizador", 10, IF(DQI948="Mesa", 1000000000, IF(DQI948="Rack", 1000000000, IF(DQI948="Piso", 1000000000, IF(DQI948="Tapete", 1000000000, IF(DQI948="Carrito", 1000000000, IF(DQI948="Cautín", 10, 1)))))))</f>
        <v>1000000000</v>
      </c>
      <c r="DQN948" s="4" t="str">
        <f t="shared" ref="DQN948" si="1520">IF(DQI948="Ionizador", "Segundos", "Ohms")</f>
        <v>Ohms</v>
      </c>
      <c r="DQO948" s="6">
        <v>148000000</v>
      </c>
      <c r="DQP948" s="6" t="str">
        <f t="shared" ref="DQP948" si="1521">DQN948</f>
        <v>Ohms</v>
      </c>
      <c r="DQQ948" s="2" t="str">
        <f t="shared" ref="DQQ948" si="1522">IF(DQI948="Ionizador", "Plato de carga", IF(DQI948="Cautín", "PTG", "RTG"))</f>
        <v>RTG</v>
      </c>
      <c r="DQR948" s="7">
        <v>45992</v>
      </c>
      <c r="DQS948" s="7">
        <f t="shared" ref="DQS948" si="1523">IF(DQT948="Trimestral", DQR948+90, IF(DQT948="Semestral", DQR948+180, DQR948+365))</f>
        <v>46172</v>
      </c>
      <c r="DQT948" s="7" t="str">
        <f t="shared" ref="DQT948" si="1524">IF(DQI948="Ionizador", "Trimestral", IF(DQI948="Rack", "Semestral", IF(DQI948="Mesa", "Semestral", IF(DQI948="Tapete", "Semestral", IF(DQI948="Cautín", "Semestral", IF(DQI948="Silla", "Semestral", "Anual"))))))</f>
        <v>Semestral</v>
      </c>
      <c r="DQU948" s="2" t="str">
        <f t="shared" ref="DQU948" ca="1" si="1525">IF(DQS948&lt;TODAY(),"VENCIDO",IF(DQS948=TODAY(),"VENCE HOY",IF(DQS948&gt;TODAY(),"VIGENTE")))</f>
        <v>VIGENTE</v>
      </c>
      <c r="DQV948" s="6" t="s">
        <v>25</v>
      </c>
      <c r="DQW948" s="23" t="s">
        <v>138</v>
      </c>
      <c r="DQX948" s="2" t="s">
        <v>433</v>
      </c>
      <c r="DQY948" s="3" t="s">
        <v>22</v>
      </c>
      <c r="DQZ948" s="3" t="s">
        <v>23</v>
      </c>
      <c r="DRA948" s="2" t="s">
        <v>24</v>
      </c>
      <c r="DRB948" s="4">
        <v>0</v>
      </c>
      <c r="DRC948" s="8">
        <f t="shared" ref="DRC948" si="1526">IF(DQY948="Ionizador", 10, IF(DQY948="Mesa", 1000000000, IF(DQY948="Rack", 1000000000, IF(DQY948="Piso", 1000000000, IF(DQY948="Tapete", 1000000000, IF(DQY948="Carrito", 1000000000, IF(DQY948="Cautín", 10, 1)))))))</f>
        <v>1000000000</v>
      </c>
      <c r="DRD948" s="4" t="str">
        <f t="shared" ref="DRD948" si="1527">IF(DQY948="Ionizador", "Segundos", "Ohms")</f>
        <v>Ohms</v>
      </c>
      <c r="DRE948" s="6">
        <v>148000000</v>
      </c>
      <c r="DRF948" s="6" t="str">
        <f t="shared" ref="DRF948" si="1528">DRD948</f>
        <v>Ohms</v>
      </c>
      <c r="DRG948" s="2" t="str">
        <f t="shared" ref="DRG948" si="1529">IF(DQY948="Ionizador", "Plato de carga", IF(DQY948="Cautín", "PTG", "RTG"))</f>
        <v>RTG</v>
      </c>
      <c r="DRH948" s="7">
        <v>45992</v>
      </c>
      <c r="DRI948" s="7">
        <f t="shared" ref="DRI948" si="1530">IF(DRJ948="Trimestral", DRH948+90, IF(DRJ948="Semestral", DRH948+180, DRH948+365))</f>
        <v>46172</v>
      </c>
      <c r="DRJ948" s="7" t="str">
        <f t="shared" ref="DRJ948" si="1531">IF(DQY948="Ionizador", "Trimestral", IF(DQY948="Rack", "Semestral", IF(DQY948="Mesa", "Semestral", IF(DQY948="Tapete", "Semestral", IF(DQY948="Cautín", "Semestral", IF(DQY948="Silla", "Semestral", "Anual"))))))</f>
        <v>Semestral</v>
      </c>
      <c r="DRK948" s="2" t="str">
        <f t="shared" ref="DRK948" ca="1" si="1532">IF(DRI948&lt;TODAY(),"VENCIDO",IF(DRI948=TODAY(),"VENCE HOY",IF(DRI948&gt;TODAY(),"VIGENTE")))</f>
        <v>VIGENTE</v>
      </c>
      <c r="DRL948" s="6" t="s">
        <v>25</v>
      </c>
      <c r="DRM948" s="23" t="s">
        <v>138</v>
      </c>
      <c r="DRN948" s="2" t="s">
        <v>433</v>
      </c>
      <c r="DRO948" s="3" t="s">
        <v>22</v>
      </c>
      <c r="DRP948" s="3" t="s">
        <v>23</v>
      </c>
      <c r="DRQ948" s="2" t="s">
        <v>24</v>
      </c>
      <c r="DRR948" s="4">
        <v>0</v>
      </c>
      <c r="DRS948" s="8">
        <f t="shared" ref="DRS948" si="1533">IF(DRO948="Ionizador", 10, IF(DRO948="Mesa", 1000000000, IF(DRO948="Rack", 1000000000, IF(DRO948="Piso", 1000000000, IF(DRO948="Tapete", 1000000000, IF(DRO948="Carrito", 1000000000, IF(DRO948="Cautín", 10, 1)))))))</f>
        <v>1000000000</v>
      </c>
      <c r="DRT948" s="4" t="str">
        <f t="shared" ref="DRT948" si="1534">IF(DRO948="Ionizador", "Segundos", "Ohms")</f>
        <v>Ohms</v>
      </c>
      <c r="DRU948" s="6">
        <v>148000000</v>
      </c>
      <c r="DRV948" s="6" t="str">
        <f t="shared" ref="DRV948" si="1535">DRT948</f>
        <v>Ohms</v>
      </c>
      <c r="DRW948" s="2" t="str">
        <f t="shared" ref="DRW948" si="1536">IF(DRO948="Ionizador", "Plato de carga", IF(DRO948="Cautín", "PTG", "RTG"))</f>
        <v>RTG</v>
      </c>
      <c r="DRX948" s="7">
        <v>45992</v>
      </c>
      <c r="DRY948" s="7">
        <f t="shared" ref="DRY948" si="1537">IF(DRZ948="Trimestral", DRX948+90, IF(DRZ948="Semestral", DRX948+180, DRX948+365))</f>
        <v>46172</v>
      </c>
      <c r="DRZ948" s="7" t="str">
        <f t="shared" ref="DRZ948" si="1538">IF(DRO948="Ionizador", "Trimestral", IF(DRO948="Rack", "Semestral", IF(DRO948="Mesa", "Semestral", IF(DRO948="Tapete", "Semestral", IF(DRO948="Cautín", "Semestral", IF(DRO948="Silla", "Semestral", "Anual"))))))</f>
        <v>Semestral</v>
      </c>
      <c r="DSA948" s="2" t="str">
        <f t="shared" ref="DSA948" ca="1" si="1539">IF(DRY948&lt;TODAY(),"VENCIDO",IF(DRY948=TODAY(),"VENCE HOY",IF(DRY948&gt;TODAY(),"VIGENTE")))</f>
        <v>VIGENTE</v>
      </c>
      <c r="DSB948" s="6" t="s">
        <v>25</v>
      </c>
      <c r="DSC948" s="23" t="s">
        <v>138</v>
      </c>
      <c r="DSD948" s="2" t="s">
        <v>433</v>
      </c>
      <c r="DSE948" s="3" t="s">
        <v>22</v>
      </c>
      <c r="DSF948" s="3" t="s">
        <v>23</v>
      </c>
      <c r="DSG948" s="2" t="s">
        <v>24</v>
      </c>
      <c r="DSH948" s="4">
        <v>0</v>
      </c>
      <c r="DSI948" s="8">
        <f t="shared" ref="DSI948" si="1540">IF(DSE948="Ionizador", 10, IF(DSE948="Mesa", 1000000000, IF(DSE948="Rack", 1000000000, IF(DSE948="Piso", 1000000000, IF(DSE948="Tapete", 1000000000, IF(DSE948="Carrito", 1000000000, IF(DSE948="Cautín", 10, 1)))))))</f>
        <v>1000000000</v>
      </c>
      <c r="DSJ948" s="4" t="str">
        <f t="shared" ref="DSJ948" si="1541">IF(DSE948="Ionizador", "Segundos", "Ohms")</f>
        <v>Ohms</v>
      </c>
      <c r="DSK948" s="6">
        <v>148000000</v>
      </c>
      <c r="DSL948" s="6" t="str">
        <f t="shared" ref="DSL948" si="1542">DSJ948</f>
        <v>Ohms</v>
      </c>
      <c r="DSM948" s="2" t="str">
        <f t="shared" ref="DSM948" si="1543">IF(DSE948="Ionizador", "Plato de carga", IF(DSE948="Cautín", "PTG", "RTG"))</f>
        <v>RTG</v>
      </c>
      <c r="DSN948" s="7">
        <v>45992</v>
      </c>
      <c r="DSO948" s="7">
        <f t="shared" ref="DSO948" si="1544">IF(DSP948="Trimestral", DSN948+90, IF(DSP948="Semestral", DSN948+180, DSN948+365))</f>
        <v>46172</v>
      </c>
      <c r="DSP948" s="7" t="str">
        <f t="shared" ref="DSP948" si="1545">IF(DSE948="Ionizador", "Trimestral", IF(DSE948="Rack", "Semestral", IF(DSE948="Mesa", "Semestral", IF(DSE948="Tapete", "Semestral", IF(DSE948="Cautín", "Semestral", IF(DSE948="Silla", "Semestral", "Anual"))))))</f>
        <v>Semestral</v>
      </c>
      <c r="DSQ948" s="2" t="str">
        <f t="shared" ref="DSQ948" ca="1" si="1546">IF(DSO948&lt;TODAY(),"VENCIDO",IF(DSO948=TODAY(),"VENCE HOY",IF(DSO948&gt;TODAY(),"VIGENTE")))</f>
        <v>VIGENTE</v>
      </c>
      <c r="DSR948" s="6" t="s">
        <v>25</v>
      </c>
      <c r="DSS948" s="23" t="s">
        <v>138</v>
      </c>
      <c r="DST948" s="2" t="s">
        <v>433</v>
      </c>
      <c r="DSU948" s="3" t="s">
        <v>22</v>
      </c>
      <c r="DSV948" s="3" t="s">
        <v>23</v>
      </c>
      <c r="DSW948" s="2" t="s">
        <v>24</v>
      </c>
      <c r="DSX948" s="4">
        <v>0</v>
      </c>
      <c r="DSY948" s="8">
        <f t="shared" ref="DSY948" si="1547">IF(DSU948="Ionizador", 10, IF(DSU948="Mesa", 1000000000, IF(DSU948="Rack", 1000000000, IF(DSU948="Piso", 1000000000, IF(DSU948="Tapete", 1000000000, IF(DSU948="Carrito", 1000000000, IF(DSU948="Cautín", 10, 1)))))))</f>
        <v>1000000000</v>
      </c>
      <c r="DSZ948" s="4" t="str">
        <f t="shared" ref="DSZ948" si="1548">IF(DSU948="Ionizador", "Segundos", "Ohms")</f>
        <v>Ohms</v>
      </c>
      <c r="DTA948" s="6">
        <v>148000000</v>
      </c>
      <c r="DTB948" s="6" t="str">
        <f t="shared" ref="DTB948" si="1549">DSZ948</f>
        <v>Ohms</v>
      </c>
      <c r="DTC948" s="2" t="str">
        <f t="shared" ref="DTC948" si="1550">IF(DSU948="Ionizador", "Plato de carga", IF(DSU948="Cautín", "PTG", "RTG"))</f>
        <v>RTG</v>
      </c>
      <c r="DTD948" s="7">
        <v>45992</v>
      </c>
      <c r="DTE948" s="7">
        <f t="shared" ref="DTE948" si="1551">IF(DTF948="Trimestral", DTD948+90, IF(DTF948="Semestral", DTD948+180, DTD948+365))</f>
        <v>46172</v>
      </c>
      <c r="DTF948" s="7" t="str">
        <f t="shared" ref="DTF948" si="1552">IF(DSU948="Ionizador", "Trimestral", IF(DSU948="Rack", "Semestral", IF(DSU948="Mesa", "Semestral", IF(DSU948="Tapete", "Semestral", IF(DSU948="Cautín", "Semestral", IF(DSU948="Silla", "Semestral", "Anual"))))))</f>
        <v>Semestral</v>
      </c>
      <c r="DTG948" s="2" t="str">
        <f t="shared" ref="DTG948" ca="1" si="1553">IF(DTE948&lt;TODAY(),"VENCIDO",IF(DTE948=TODAY(),"VENCE HOY",IF(DTE948&gt;TODAY(),"VIGENTE")))</f>
        <v>VIGENTE</v>
      </c>
      <c r="DTH948" s="6" t="s">
        <v>25</v>
      </c>
      <c r="DTI948" s="23" t="s">
        <v>138</v>
      </c>
      <c r="DTJ948" s="2" t="s">
        <v>433</v>
      </c>
      <c r="DTK948" s="3" t="s">
        <v>22</v>
      </c>
      <c r="DTL948" s="3" t="s">
        <v>23</v>
      </c>
      <c r="DTM948" s="2" t="s">
        <v>24</v>
      </c>
      <c r="DTN948" s="4">
        <v>0</v>
      </c>
      <c r="DTO948" s="8">
        <f t="shared" ref="DTO948" si="1554">IF(DTK948="Ionizador", 10, IF(DTK948="Mesa", 1000000000, IF(DTK948="Rack", 1000000000, IF(DTK948="Piso", 1000000000, IF(DTK948="Tapete", 1000000000, IF(DTK948="Carrito", 1000000000, IF(DTK948="Cautín", 10, 1)))))))</f>
        <v>1000000000</v>
      </c>
      <c r="DTP948" s="4" t="str">
        <f t="shared" ref="DTP948" si="1555">IF(DTK948="Ionizador", "Segundos", "Ohms")</f>
        <v>Ohms</v>
      </c>
      <c r="DTQ948" s="6">
        <v>148000000</v>
      </c>
      <c r="DTR948" s="6" t="str">
        <f t="shared" ref="DTR948" si="1556">DTP948</f>
        <v>Ohms</v>
      </c>
      <c r="DTS948" s="2" t="str">
        <f t="shared" ref="DTS948" si="1557">IF(DTK948="Ionizador", "Plato de carga", IF(DTK948="Cautín", "PTG", "RTG"))</f>
        <v>RTG</v>
      </c>
      <c r="DTT948" s="7">
        <v>45992</v>
      </c>
      <c r="DTU948" s="7">
        <f t="shared" ref="DTU948" si="1558">IF(DTV948="Trimestral", DTT948+90, IF(DTV948="Semestral", DTT948+180, DTT948+365))</f>
        <v>46172</v>
      </c>
      <c r="DTV948" s="7" t="str">
        <f t="shared" ref="DTV948" si="1559">IF(DTK948="Ionizador", "Trimestral", IF(DTK948="Rack", "Semestral", IF(DTK948="Mesa", "Semestral", IF(DTK948="Tapete", "Semestral", IF(DTK948="Cautín", "Semestral", IF(DTK948="Silla", "Semestral", "Anual"))))))</f>
        <v>Semestral</v>
      </c>
      <c r="DTW948" s="2" t="str">
        <f t="shared" ref="DTW948" ca="1" si="1560">IF(DTU948&lt;TODAY(),"VENCIDO",IF(DTU948=TODAY(),"VENCE HOY",IF(DTU948&gt;TODAY(),"VIGENTE")))</f>
        <v>VIGENTE</v>
      </c>
      <c r="DTX948" s="6" t="s">
        <v>25</v>
      </c>
      <c r="DTY948" s="23" t="s">
        <v>138</v>
      </c>
      <c r="DTZ948" s="2" t="s">
        <v>433</v>
      </c>
      <c r="DUA948" s="3" t="s">
        <v>22</v>
      </c>
      <c r="DUB948" s="3" t="s">
        <v>23</v>
      </c>
      <c r="DUC948" s="2" t="s">
        <v>24</v>
      </c>
      <c r="DUD948" s="4">
        <v>0</v>
      </c>
      <c r="DUE948" s="8">
        <f t="shared" ref="DUE948" si="1561">IF(DUA948="Ionizador", 10, IF(DUA948="Mesa", 1000000000, IF(DUA948="Rack", 1000000000, IF(DUA948="Piso", 1000000000, IF(DUA948="Tapete", 1000000000, IF(DUA948="Carrito", 1000000000, IF(DUA948="Cautín", 10, 1)))))))</f>
        <v>1000000000</v>
      </c>
      <c r="DUF948" s="4" t="str">
        <f t="shared" ref="DUF948" si="1562">IF(DUA948="Ionizador", "Segundos", "Ohms")</f>
        <v>Ohms</v>
      </c>
      <c r="DUG948" s="6">
        <v>148000000</v>
      </c>
      <c r="DUH948" s="6" t="str">
        <f t="shared" ref="DUH948" si="1563">DUF948</f>
        <v>Ohms</v>
      </c>
      <c r="DUI948" s="2" t="str">
        <f t="shared" ref="DUI948" si="1564">IF(DUA948="Ionizador", "Plato de carga", IF(DUA948="Cautín", "PTG", "RTG"))</f>
        <v>RTG</v>
      </c>
      <c r="DUJ948" s="7">
        <v>45992</v>
      </c>
      <c r="DUK948" s="7">
        <f t="shared" ref="DUK948" si="1565">IF(DUL948="Trimestral", DUJ948+90, IF(DUL948="Semestral", DUJ948+180, DUJ948+365))</f>
        <v>46172</v>
      </c>
      <c r="DUL948" s="7" t="str">
        <f t="shared" ref="DUL948" si="1566">IF(DUA948="Ionizador", "Trimestral", IF(DUA948="Rack", "Semestral", IF(DUA948="Mesa", "Semestral", IF(DUA948="Tapete", "Semestral", IF(DUA948="Cautín", "Semestral", IF(DUA948="Silla", "Semestral", "Anual"))))))</f>
        <v>Semestral</v>
      </c>
      <c r="DUM948" s="2" t="str">
        <f t="shared" ref="DUM948" ca="1" si="1567">IF(DUK948&lt;TODAY(),"VENCIDO",IF(DUK948=TODAY(),"VENCE HOY",IF(DUK948&gt;TODAY(),"VIGENTE")))</f>
        <v>VIGENTE</v>
      </c>
      <c r="DUN948" s="6" t="s">
        <v>25</v>
      </c>
      <c r="DUO948" s="23" t="s">
        <v>138</v>
      </c>
      <c r="DUP948" s="2" t="s">
        <v>433</v>
      </c>
      <c r="DUQ948" s="3" t="s">
        <v>22</v>
      </c>
      <c r="DUR948" s="3" t="s">
        <v>23</v>
      </c>
      <c r="DUS948" s="2" t="s">
        <v>24</v>
      </c>
      <c r="DUT948" s="4">
        <v>0</v>
      </c>
      <c r="DUU948" s="8">
        <f t="shared" ref="DUU948" si="1568">IF(DUQ948="Ionizador", 10, IF(DUQ948="Mesa", 1000000000, IF(DUQ948="Rack", 1000000000, IF(DUQ948="Piso", 1000000000, IF(DUQ948="Tapete", 1000000000, IF(DUQ948="Carrito", 1000000000, IF(DUQ948="Cautín", 10, 1)))))))</f>
        <v>1000000000</v>
      </c>
      <c r="DUV948" s="4" t="str">
        <f t="shared" ref="DUV948" si="1569">IF(DUQ948="Ionizador", "Segundos", "Ohms")</f>
        <v>Ohms</v>
      </c>
      <c r="DUW948" s="6">
        <v>148000000</v>
      </c>
      <c r="DUX948" s="6" t="str">
        <f t="shared" ref="DUX948" si="1570">DUV948</f>
        <v>Ohms</v>
      </c>
      <c r="DUY948" s="2" t="str">
        <f t="shared" ref="DUY948" si="1571">IF(DUQ948="Ionizador", "Plato de carga", IF(DUQ948="Cautín", "PTG", "RTG"))</f>
        <v>RTG</v>
      </c>
      <c r="DUZ948" s="7">
        <v>45992</v>
      </c>
      <c r="DVA948" s="7">
        <f t="shared" ref="DVA948" si="1572">IF(DVB948="Trimestral", DUZ948+90, IF(DVB948="Semestral", DUZ948+180, DUZ948+365))</f>
        <v>46172</v>
      </c>
      <c r="DVB948" s="7" t="str">
        <f t="shared" ref="DVB948" si="1573">IF(DUQ948="Ionizador", "Trimestral", IF(DUQ948="Rack", "Semestral", IF(DUQ948="Mesa", "Semestral", IF(DUQ948="Tapete", "Semestral", IF(DUQ948="Cautín", "Semestral", IF(DUQ948="Silla", "Semestral", "Anual"))))))</f>
        <v>Semestral</v>
      </c>
      <c r="DVC948" s="2" t="str">
        <f t="shared" ref="DVC948" ca="1" si="1574">IF(DVA948&lt;TODAY(),"VENCIDO",IF(DVA948=TODAY(),"VENCE HOY",IF(DVA948&gt;TODAY(),"VIGENTE")))</f>
        <v>VIGENTE</v>
      </c>
      <c r="DVD948" s="6" t="s">
        <v>25</v>
      </c>
      <c r="DVE948" s="23" t="s">
        <v>138</v>
      </c>
      <c r="DVF948" s="2" t="s">
        <v>433</v>
      </c>
      <c r="DVG948" s="3" t="s">
        <v>22</v>
      </c>
      <c r="DVH948" s="3" t="s">
        <v>23</v>
      </c>
      <c r="DVI948" s="2" t="s">
        <v>24</v>
      </c>
      <c r="DVJ948" s="4">
        <v>0</v>
      </c>
      <c r="DVK948" s="8">
        <f t="shared" ref="DVK948" si="1575">IF(DVG948="Ionizador", 10, IF(DVG948="Mesa", 1000000000, IF(DVG948="Rack", 1000000000, IF(DVG948="Piso", 1000000000, IF(DVG948="Tapete", 1000000000, IF(DVG948="Carrito", 1000000000, IF(DVG948="Cautín", 10, 1)))))))</f>
        <v>1000000000</v>
      </c>
      <c r="DVL948" s="4" t="str">
        <f t="shared" ref="DVL948" si="1576">IF(DVG948="Ionizador", "Segundos", "Ohms")</f>
        <v>Ohms</v>
      </c>
      <c r="DVM948" s="6">
        <v>148000000</v>
      </c>
      <c r="DVN948" s="6" t="str">
        <f t="shared" ref="DVN948" si="1577">DVL948</f>
        <v>Ohms</v>
      </c>
      <c r="DVO948" s="2" t="str">
        <f t="shared" ref="DVO948" si="1578">IF(DVG948="Ionizador", "Plato de carga", IF(DVG948="Cautín", "PTG", "RTG"))</f>
        <v>RTG</v>
      </c>
      <c r="DVP948" s="7">
        <v>45992</v>
      </c>
      <c r="DVQ948" s="7">
        <f t="shared" ref="DVQ948" si="1579">IF(DVR948="Trimestral", DVP948+90, IF(DVR948="Semestral", DVP948+180, DVP948+365))</f>
        <v>46172</v>
      </c>
      <c r="DVR948" s="7" t="str">
        <f t="shared" ref="DVR948" si="1580">IF(DVG948="Ionizador", "Trimestral", IF(DVG948="Rack", "Semestral", IF(DVG948="Mesa", "Semestral", IF(DVG948="Tapete", "Semestral", IF(DVG948="Cautín", "Semestral", IF(DVG948="Silla", "Semestral", "Anual"))))))</f>
        <v>Semestral</v>
      </c>
      <c r="DVS948" s="2" t="str">
        <f t="shared" ref="DVS948" ca="1" si="1581">IF(DVQ948&lt;TODAY(),"VENCIDO",IF(DVQ948=TODAY(),"VENCE HOY",IF(DVQ948&gt;TODAY(),"VIGENTE")))</f>
        <v>VIGENTE</v>
      </c>
      <c r="DVT948" s="6" t="s">
        <v>25</v>
      </c>
      <c r="DVU948" s="23" t="s">
        <v>138</v>
      </c>
      <c r="DVV948" s="2" t="s">
        <v>433</v>
      </c>
      <c r="DVW948" s="3" t="s">
        <v>22</v>
      </c>
      <c r="DVX948" s="3" t="s">
        <v>23</v>
      </c>
      <c r="DVY948" s="2" t="s">
        <v>24</v>
      </c>
      <c r="DVZ948" s="4">
        <v>0</v>
      </c>
      <c r="DWA948" s="8">
        <f t="shared" ref="DWA948" si="1582">IF(DVW948="Ionizador", 10, IF(DVW948="Mesa", 1000000000, IF(DVW948="Rack", 1000000000, IF(DVW948="Piso", 1000000000, IF(DVW948="Tapete", 1000000000, IF(DVW948="Carrito", 1000000000, IF(DVW948="Cautín", 10, 1)))))))</f>
        <v>1000000000</v>
      </c>
      <c r="DWB948" s="4" t="str">
        <f t="shared" ref="DWB948" si="1583">IF(DVW948="Ionizador", "Segundos", "Ohms")</f>
        <v>Ohms</v>
      </c>
      <c r="DWC948" s="6">
        <v>148000000</v>
      </c>
      <c r="DWD948" s="6" t="str">
        <f t="shared" ref="DWD948" si="1584">DWB948</f>
        <v>Ohms</v>
      </c>
      <c r="DWE948" s="2" t="str">
        <f t="shared" ref="DWE948" si="1585">IF(DVW948="Ionizador", "Plato de carga", IF(DVW948="Cautín", "PTG", "RTG"))</f>
        <v>RTG</v>
      </c>
      <c r="DWF948" s="7">
        <v>45992</v>
      </c>
      <c r="DWG948" s="7">
        <f t="shared" ref="DWG948" si="1586">IF(DWH948="Trimestral", DWF948+90, IF(DWH948="Semestral", DWF948+180, DWF948+365))</f>
        <v>46172</v>
      </c>
      <c r="DWH948" s="7" t="str">
        <f t="shared" ref="DWH948" si="1587">IF(DVW948="Ionizador", "Trimestral", IF(DVW948="Rack", "Semestral", IF(DVW948="Mesa", "Semestral", IF(DVW948="Tapete", "Semestral", IF(DVW948="Cautín", "Semestral", IF(DVW948="Silla", "Semestral", "Anual"))))))</f>
        <v>Semestral</v>
      </c>
      <c r="DWI948" s="2" t="str">
        <f t="shared" ref="DWI948" ca="1" si="1588">IF(DWG948&lt;TODAY(),"VENCIDO",IF(DWG948=TODAY(),"VENCE HOY",IF(DWG948&gt;TODAY(),"VIGENTE")))</f>
        <v>VIGENTE</v>
      </c>
      <c r="DWJ948" s="6" t="s">
        <v>25</v>
      </c>
      <c r="DWK948" s="23" t="s">
        <v>138</v>
      </c>
      <c r="DWL948" s="2" t="s">
        <v>433</v>
      </c>
      <c r="DWM948" s="3" t="s">
        <v>22</v>
      </c>
      <c r="DWN948" s="3" t="s">
        <v>23</v>
      </c>
      <c r="DWO948" s="2" t="s">
        <v>24</v>
      </c>
      <c r="DWP948" s="4">
        <v>0</v>
      </c>
      <c r="DWQ948" s="8">
        <f t="shared" ref="DWQ948" si="1589">IF(DWM948="Ionizador", 10, IF(DWM948="Mesa", 1000000000, IF(DWM948="Rack", 1000000000, IF(DWM948="Piso", 1000000000, IF(DWM948="Tapete", 1000000000, IF(DWM948="Carrito", 1000000000, IF(DWM948="Cautín", 10, 1)))))))</f>
        <v>1000000000</v>
      </c>
      <c r="DWR948" s="4" t="str">
        <f t="shared" ref="DWR948" si="1590">IF(DWM948="Ionizador", "Segundos", "Ohms")</f>
        <v>Ohms</v>
      </c>
      <c r="DWS948" s="6">
        <v>148000000</v>
      </c>
      <c r="DWT948" s="6" t="str">
        <f t="shared" ref="DWT948" si="1591">DWR948</f>
        <v>Ohms</v>
      </c>
      <c r="DWU948" s="2" t="str">
        <f t="shared" ref="DWU948" si="1592">IF(DWM948="Ionizador", "Plato de carga", IF(DWM948="Cautín", "PTG", "RTG"))</f>
        <v>RTG</v>
      </c>
      <c r="DWV948" s="7">
        <v>45992</v>
      </c>
      <c r="DWW948" s="7">
        <f t="shared" ref="DWW948" si="1593">IF(DWX948="Trimestral", DWV948+90, IF(DWX948="Semestral", DWV948+180, DWV948+365))</f>
        <v>46172</v>
      </c>
      <c r="DWX948" s="7" t="str">
        <f t="shared" ref="DWX948" si="1594">IF(DWM948="Ionizador", "Trimestral", IF(DWM948="Rack", "Semestral", IF(DWM948="Mesa", "Semestral", IF(DWM948="Tapete", "Semestral", IF(DWM948="Cautín", "Semestral", IF(DWM948="Silla", "Semestral", "Anual"))))))</f>
        <v>Semestral</v>
      </c>
      <c r="DWY948" s="2" t="str">
        <f t="shared" ref="DWY948" ca="1" si="1595">IF(DWW948&lt;TODAY(),"VENCIDO",IF(DWW948=TODAY(),"VENCE HOY",IF(DWW948&gt;TODAY(),"VIGENTE")))</f>
        <v>VIGENTE</v>
      </c>
      <c r="DWZ948" s="6" t="s">
        <v>25</v>
      </c>
      <c r="DXA948" s="23" t="s">
        <v>138</v>
      </c>
      <c r="DXB948" s="2" t="s">
        <v>433</v>
      </c>
      <c r="DXC948" s="3" t="s">
        <v>22</v>
      </c>
      <c r="DXD948" s="3" t="s">
        <v>23</v>
      </c>
      <c r="DXE948" s="2" t="s">
        <v>24</v>
      </c>
      <c r="DXF948" s="4">
        <v>0</v>
      </c>
      <c r="DXG948" s="8">
        <f t="shared" ref="DXG948" si="1596">IF(DXC948="Ionizador", 10, IF(DXC948="Mesa", 1000000000, IF(DXC948="Rack", 1000000000, IF(DXC948="Piso", 1000000000, IF(DXC948="Tapete", 1000000000, IF(DXC948="Carrito", 1000000000, IF(DXC948="Cautín", 10, 1)))))))</f>
        <v>1000000000</v>
      </c>
      <c r="DXH948" s="4" t="str">
        <f t="shared" ref="DXH948" si="1597">IF(DXC948="Ionizador", "Segundos", "Ohms")</f>
        <v>Ohms</v>
      </c>
      <c r="DXI948" s="6">
        <v>148000000</v>
      </c>
      <c r="DXJ948" s="6" t="str">
        <f t="shared" ref="DXJ948" si="1598">DXH948</f>
        <v>Ohms</v>
      </c>
      <c r="DXK948" s="2" t="str">
        <f t="shared" ref="DXK948" si="1599">IF(DXC948="Ionizador", "Plato de carga", IF(DXC948="Cautín", "PTG", "RTG"))</f>
        <v>RTG</v>
      </c>
      <c r="DXL948" s="7">
        <v>45992</v>
      </c>
      <c r="DXM948" s="7">
        <f t="shared" ref="DXM948" si="1600">IF(DXN948="Trimestral", DXL948+90, IF(DXN948="Semestral", DXL948+180, DXL948+365))</f>
        <v>46172</v>
      </c>
      <c r="DXN948" s="7" t="str">
        <f t="shared" ref="DXN948" si="1601">IF(DXC948="Ionizador", "Trimestral", IF(DXC948="Rack", "Semestral", IF(DXC948="Mesa", "Semestral", IF(DXC948="Tapete", "Semestral", IF(DXC948="Cautín", "Semestral", IF(DXC948="Silla", "Semestral", "Anual"))))))</f>
        <v>Semestral</v>
      </c>
      <c r="DXO948" s="2" t="str">
        <f t="shared" ref="DXO948" ca="1" si="1602">IF(DXM948&lt;TODAY(),"VENCIDO",IF(DXM948=TODAY(),"VENCE HOY",IF(DXM948&gt;TODAY(),"VIGENTE")))</f>
        <v>VIGENTE</v>
      </c>
      <c r="DXP948" s="6" t="s">
        <v>25</v>
      </c>
      <c r="DXQ948" s="23" t="s">
        <v>138</v>
      </c>
      <c r="DXR948" s="2" t="s">
        <v>433</v>
      </c>
      <c r="DXS948" s="3" t="s">
        <v>22</v>
      </c>
      <c r="DXT948" s="3" t="s">
        <v>23</v>
      </c>
      <c r="DXU948" s="2" t="s">
        <v>24</v>
      </c>
      <c r="DXV948" s="4">
        <v>0</v>
      </c>
      <c r="DXW948" s="8">
        <f t="shared" ref="DXW948" si="1603">IF(DXS948="Ionizador", 10, IF(DXS948="Mesa", 1000000000, IF(DXS948="Rack", 1000000000, IF(DXS948="Piso", 1000000000, IF(DXS948="Tapete", 1000000000, IF(DXS948="Carrito", 1000000000, IF(DXS948="Cautín", 10, 1)))))))</f>
        <v>1000000000</v>
      </c>
      <c r="DXX948" s="4" t="str">
        <f t="shared" ref="DXX948" si="1604">IF(DXS948="Ionizador", "Segundos", "Ohms")</f>
        <v>Ohms</v>
      </c>
      <c r="DXY948" s="6">
        <v>148000000</v>
      </c>
      <c r="DXZ948" s="6" t="str">
        <f t="shared" ref="DXZ948" si="1605">DXX948</f>
        <v>Ohms</v>
      </c>
      <c r="DYA948" s="2" t="str">
        <f t="shared" ref="DYA948" si="1606">IF(DXS948="Ionizador", "Plato de carga", IF(DXS948="Cautín", "PTG", "RTG"))</f>
        <v>RTG</v>
      </c>
      <c r="DYB948" s="7">
        <v>45992</v>
      </c>
      <c r="DYC948" s="7">
        <f t="shared" ref="DYC948" si="1607">IF(DYD948="Trimestral", DYB948+90, IF(DYD948="Semestral", DYB948+180, DYB948+365))</f>
        <v>46172</v>
      </c>
      <c r="DYD948" s="7" t="str">
        <f t="shared" ref="DYD948" si="1608">IF(DXS948="Ionizador", "Trimestral", IF(DXS948="Rack", "Semestral", IF(DXS948="Mesa", "Semestral", IF(DXS948="Tapete", "Semestral", IF(DXS948="Cautín", "Semestral", IF(DXS948="Silla", "Semestral", "Anual"))))))</f>
        <v>Semestral</v>
      </c>
      <c r="DYE948" s="2" t="str">
        <f t="shared" ref="DYE948" ca="1" si="1609">IF(DYC948&lt;TODAY(),"VENCIDO",IF(DYC948=TODAY(),"VENCE HOY",IF(DYC948&gt;TODAY(),"VIGENTE")))</f>
        <v>VIGENTE</v>
      </c>
      <c r="DYF948" s="6" t="s">
        <v>25</v>
      </c>
      <c r="DYG948" s="23" t="s">
        <v>138</v>
      </c>
      <c r="DYH948" s="2" t="s">
        <v>433</v>
      </c>
      <c r="DYI948" s="3" t="s">
        <v>22</v>
      </c>
      <c r="DYJ948" s="3" t="s">
        <v>23</v>
      </c>
      <c r="DYK948" s="2" t="s">
        <v>24</v>
      </c>
      <c r="DYL948" s="4">
        <v>0</v>
      </c>
      <c r="DYM948" s="8">
        <f t="shared" ref="DYM948" si="1610">IF(DYI948="Ionizador", 10, IF(DYI948="Mesa", 1000000000, IF(DYI948="Rack", 1000000000, IF(DYI948="Piso", 1000000000, IF(DYI948="Tapete", 1000000000, IF(DYI948="Carrito", 1000000000, IF(DYI948="Cautín", 10, 1)))))))</f>
        <v>1000000000</v>
      </c>
      <c r="DYN948" s="4" t="str">
        <f t="shared" ref="DYN948" si="1611">IF(DYI948="Ionizador", "Segundos", "Ohms")</f>
        <v>Ohms</v>
      </c>
      <c r="DYO948" s="6">
        <v>148000000</v>
      </c>
      <c r="DYP948" s="6" t="str">
        <f t="shared" ref="DYP948" si="1612">DYN948</f>
        <v>Ohms</v>
      </c>
      <c r="DYQ948" s="2" t="str">
        <f t="shared" ref="DYQ948" si="1613">IF(DYI948="Ionizador", "Plato de carga", IF(DYI948="Cautín", "PTG", "RTG"))</f>
        <v>RTG</v>
      </c>
      <c r="DYR948" s="7">
        <v>45992</v>
      </c>
      <c r="DYS948" s="7">
        <f t="shared" ref="DYS948" si="1614">IF(DYT948="Trimestral", DYR948+90, IF(DYT948="Semestral", DYR948+180, DYR948+365))</f>
        <v>46172</v>
      </c>
      <c r="DYT948" s="7" t="str">
        <f t="shared" ref="DYT948" si="1615">IF(DYI948="Ionizador", "Trimestral", IF(DYI948="Rack", "Semestral", IF(DYI948="Mesa", "Semestral", IF(DYI948="Tapete", "Semestral", IF(DYI948="Cautín", "Semestral", IF(DYI948="Silla", "Semestral", "Anual"))))))</f>
        <v>Semestral</v>
      </c>
      <c r="DYU948" s="2" t="str">
        <f t="shared" ref="DYU948" ca="1" si="1616">IF(DYS948&lt;TODAY(),"VENCIDO",IF(DYS948=TODAY(),"VENCE HOY",IF(DYS948&gt;TODAY(),"VIGENTE")))</f>
        <v>VIGENTE</v>
      </c>
      <c r="DYV948" s="6" t="s">
        <v>25</v>
      </c>
      <c r="DYW948" s="23" t="s">
        <v>138</v>
      </c>
      <c r="DYX948" s="2" t="s">
        <v>433</v>
      </c>
      <c r="DYY948" s="3" t="s">
        <v>22</v>
      </c>
      <c r="DYZ948" s="3" t="s">
        <v>23</v>
      </c>
      <c r="DZA948" s="2" t="s">
        <v>24</v>
      </c>
      <c r="DZB948" s="4">
        <v>0</v>
      </c>
      <c r="DZC948" s="8">
        <f t="shared" ref="DZC948" si="1617">IF(DYY948="Ionizador", 10, IF(DYY948="Mesa", 1000000000, IF(DYY948="Rack", 1000000000, IF(DYY948="Piso", 1000000000, IF(DYY948="Tapete", 1000000000, IF(DYY948="Carrito", 1000000000, IF(DYY948="Cautín", 10, 1)))))))</f>
        <v>1000000000</v>
      </c>
      <c r="DZD948" s="4" t="str">
        <f t="shared" ref="DZD948" si="1618">IF(DYY948="Ionizador", "Segundos", "Ohms")</f>
        <v>Ohms</v>
      </c>
      <c r="DZE948" s="6">
        <v>148000000</v>
      </c>
      <c r="DZF948" s="6" t="str">
        <f t="shared" ref="DZF948" si="1619">DZD948</f>
        <v>Ohms</v>
      </c>
      <c r="DZG948" s="2" t="str">
        <f t="shared" ref="DZG948" si="1620">IF(DYY948="Ionizador", "Plato de carga", IF(DYY948="Cautín", "PTG", "RTG"))</f>
        <v>RTG</v>
      </c>
      <c r="DZH948" s="7">
        <v>45992</v>
      </c>
      <c r="DZI948" s="7">
        <f t="shared" ref="DZI948" si="1621">IF(DZJ948="Trimestral", DZH948+90, IF(DZJ948="Semestral", DZH948+180, DZH948+365))</f>
        <v>46172</v>
      </c>
      <c r="DZJ948" s="7" t="str">
        <f t="shared" ref="DZJ948" si="1622">IF(DYY948="Ionizador", "Trimestral", IF(DYY948="Rack", "Semestral", IF(DYY948="Mesa", "Semestral", IF(DYY948="Tapete", "Semestral", IF(DYY948="Cautín", "Semestral", IF(DYY948="Silla", "Semestral", "Anual"))))))</f>
        <v>Semestral</v>
      </c>
      <c r="DZK948" s="2" t="str">
        <f t="shared" ref="DZK948" ca="1" si="1623">IF(DZI948&lt;TODAY(),"VENCIDO",IF(DZI948=TODAY(),"VENCE HOY",IF(DZI948&gt;TODAY(),"VIGENTE")))</f>
        <v>VIGENTE</v>
      </c>
      <c r="DZL948" s="6" t="s">
        <v>25</v>
      </c>
      <c r="DZM948" s="23" t="s">
        <v>138</v>
      </c>
      <c r="DZN948" s="2" t="s">
        <v>433</v>
      </c>
      <c r="DZO948" s="3" t="s">
        <v>22</v>
      </c>
      <c r="DZP948" s="3" t="s">
        <v>23</v>
      </c>
      <c r="DZQ948" s="2" t="s">
        <v>24</v>
      </c>
      <c r="DZR948" s="4">
        <v>0</v>
      </c>
      <c r="DZS948" s="8">
        <f t="shared" ref="DZS948" si="1624">IF(DZO948="Ionizador", 10, IF(DZO948="Mesa", 1000000000, IF(DZO948="Rack", 1000000000, IF(DZO948="Piso", 1000000000, IF(DZO948="Tapete", 1000000000, IF(DZO948="Carrito", 1000000000, IF(DZO948="Cautín", 10, 1)))))))</f>
        <v>1000000000</v>
      </c>
      <c r="DZT948" s="4" t="str">
        <f t="shared" ref="DZT948" si="1625">IF(DZO948="Ionizador", "Segundos", "Ohms")</f>
        <v>Ohms</v>
      </c>
      <c r="DZU948" s="6">
        <v>148000000</v>
      </c>
      <c r="DZV948" s="6" t="str">
        <f t="shared" ref="DZV948" si="1626">DZT948</f>
        <v>Ohms</v>
      </c>
      <c r="DZW948" s="2" t="str">
        <f t="shared" ref="DZW948" si="1627">IF(DZO948="Ionizador", "Plato de carga", IF(DZO948="Cautín", "PTG", "RTG"))</f>
        <v>RTG</v>
      </c>
      <c r="DZX948" s="7">
        <v>45992</v>
      </c>
      <c r="DZY948" s="7">
        <f t="shared" ref="DZY948" si="1628">IF(DZZ948="Trimestral", DZX948+90, IF(DZZ948="Semestral", DZX948+180, DZX948+365))</f>
        <v>46172</v>
      </c>
      <c r="DZZ948" s="7" t="str">
        <f t="shared" ref="DZZ948" si="1629">IF(DZO948="Ionizador", "Trimestral", IF(DZO948="Rack", "Semestral", IF(DZO948="Mesa", "Semestral", IF(DZO948="Tapete", "Semestral", IF(DZO948="Cautín", "Semestral", IF(DZO948="Silla", "Semestral", "Anual"))))))</f>
        <v>Semestral</v>
      </c>
      <c r="EAA948" s="2" t="str">
        <f t="shared" ref="EAA948" ca="1" si="1630">IF(DZY948&lt;TODAY(),"VENCIDO",IF(DZY948=TODAY(),"VENCE HOY",IF(DZY948&gt;TODAY(),"VIGENTE")))</f>
        <v>VIGENTE</v>
      </c>
      <c r="EAB948" s="6" t="s">
        <v>25</v>
      </c>
      <c r="EAC948" s="23" t="s">
        <v>138</v>
      </c>
      <c r="EAD948" s="2" t="s">
        <v>433</v>
      </c>
      <c r="EAE948" s="3" t="s">
        <v>22</v>
      </c>
      <c r="EAF948" s="3" t="s">
        <v>23</v>
      </c>
      <c r="EAG948" s="2" t="s">
        <v>24</v>
      </c>
      <c r="EAH948" s="4">
        <v>0</v>
      </c>
      <c r="EAI948" s="8">
        <f t="shared" ref="EAI948" si="1631">IF(EAE948="Ionizador", 10, IF(EAE948="Mesa", 1000000000, IF(EAE948="Rack", 1000000000, IF(EAE948="Piso", 1000000000, IF(EAE948="Tapete", 1000000000, IF(EAE948="Carrito", 1000000000, IF(EAE948="Cautín", 10, 1)))))))</f>
        <v>1000000000</v>
      </c>
      <c r="EAJ948" s="4" t="str">
        <f t="shared" ref="EAJ948" si="1632">IF(EAE948="Ionizador", "Segundos", "Ohms")</f>
        <v>Ohms</v>
      </c>
      <c r="EAK948" s="6">
        <v>148000000</v>
      </c>
      <c r="EAL948" s="6" t="str">
        <f t="shared" ref="EAL948" si="1633">EAJ948</f>
        <v>Ohms</v>
      </c>
      <c r="EAM948" s="2" t="str">
        <f t="shared" ref="EAM948" si="1634">IF(EAE948="Ionizador", "Plato de carga", IF(EAE948="Cautín", "PTG", "RTG"))</f>
        <v>RTG</v>
      </c>
      <c r="EAN948" s="7">
        <v>45992</v>
      </c>
      <c r="EAO948" s="7">
        <f t="shared" ref="EAO948" si="1635">IF(EAP948="Trimestral", EAN948+90, IF(EAP948="Semestral", EAN948+180, EAN948+365))</f>
        <v>46172</v>
      </c>
      <c r="EAP948" s="7" t="str">
        <f t="shared" ref="EAP948" si="1636">IF(EAE948="Ionizador", "Trimestral", IF(EAE948="Rack", "Semestral", IF(EAE948="Mesa", "Semestral", IF(EAE948="Tapete", "Semestral", IF(EAE948="Cautín", "Semestral", IF(EAE948="Silla", "Semestral", "Anual"))))))</f>
        <v>Semestral</v>
      </c>
      <c r="EAQ948" s="2" t="str">
        <f t="shared" ref="EAQ948" ca="1" si="1637">IF(EAO948&lt;TODAY(),"VENCIDO",IF(EAO948=TODAY(),"VENCE HOY",IF(EAO948&gt;TODAY(),"VIGENTE")))</f>
        <v>VIGENTE</v>
      </c>
      <c r="EAR948" s="6" t="s">
        <v>25</v>
      </c>
      <c r="EAS948" s="23" t="s">
        <v>138</v>
      </c>
      <c r="EAT948" s="2" t="s">
        <v>433</v>
      </c>
      <c r="EAU948" s="3" t="s">
        <v>22</v>
      </c>
      <c r="EAV948" s="3" t="s">
        <v>23</v>
      </c>
      <c r="EAW948" s="2" t="s">
        <v>24</v>
      </c>
      <c r="EAX948" s="4">
        <v>0</v>
      </c>
      <c r="EAY948" s="8">
        <f t="shared" ref="EAY948" si="1638">IF(EAU948="Ionizador", 10, IF(EAU948="Mesa", 1000000000, IF(EAU948="Rack", 1000000000, IF(EAU948="Piso", 1000000000, IF(EAU948="Tapete", 1000000000, IF(EAU948="Carrito", 1000000000, IF(EAU948="Cautín", 10, 1)))))))</f>
        <v>1000000000</v>
      </c>
      <c r="EAZ948" s="4" t="str">
        <f t="shared" ref="EAZ948" si="1639">IF(EAU948="Ionizador", "Segundos", "Ohms")</f>
        <v>Ohms</v>
      </c>
      <c r="EBA948" s="6">
        <v>148000000</v>
      </c>
      <c r="EBB948" s="6" t="str">
        <f t="shared" ref="EBB948" si="1640">EAZ948</f>
        <v>Ohms</v>
      </c>
      <c r="EBC948" s="2" t="str">
        <f t="shared" ref="EBC948" si="1641">IF(EAU948="Ionizador", "Plato de carga", IF(EAU948="Cautín", "PTG", "RTG"))</f>
        <v>RTG</v>
      </c>
      <c r="EBD948" s="7">
        <v>45992</v>
      </c>
      <c r="EBE948" s="7">
        <f t="shared" ref="EBE948" si="1642">IF(EBF948="Trimestral", EBD948+90, IF(EBF948="Semestral", EBD948+180, EBD948+365))</f>
        <v>46172</v>
      </c>
      <c r="EBF948" s="7" t="str">
        <f t="shared" ref="EBF948" si="1643">IF(EAU948="Ionizador", "Trimestral", IF(EAU948="Rack", "Semestral", IF(EAU948="Mesa", "Semestral", IF(EAU948="Tapete", "Semestral", IF(EAU948="Cautín", "Semestral", IF(EAU948="Silla", "Semestral", "Anual"))))))</f>
        <v>Semestral</v>
      </c>
      <c r="EBG948" s="2" t="str">
        <f t="shared" ref="EBG948" ca="1" si="1644">IF(EBE948&lt;TODAY(),"VENCIDO",IF(EBE948=TODAY(),"VENCE HOY",IF(EBE948&gt;TODAY(),"VIGENTE")))</f>
        <v>VIGENTE</v>
      </c>
      <c r="EBH948" s="6" t="s">
        <v>25</v>
      </c>
      <c r="EBI948" s="23" t="s">
        <v>138</v>
      </c>
      <c r="EBJ948" s="2" t="s">
        <v>433</v>
      </c>
      <c r="EBK948" s="3" t="s">
        <v>22</v>
      </c>
      <c r="EBL948" s="3" t="s">
        <v>23</v>
      </c>
      <c r="EBM948" s="2" t="s">
        <v>24</v>
      </c>
      <c r="EBN948" s="4">
        <v>0</v>
      </c>
      <c r="EBO948" s="8">
        <f t="shared" ref="EBO948" si="1645">IF(EBK948="Ionizador", 10, IF(EBK948="Mesa", 1000000000, IF(EBK948="Rack", 1000000000, IF(EBK948="Piso", 1000000000, IF(EBK948="Tapete", 1000000000, IF(EBK948="Carrito", 1000000000, IF(EBK948="Cautín", 10, 1)))))))</f>
        <v>1000000000</v>
      </c>
      <c r="EBP948" s="4" t="str">
        <f t="shared" ref="EBP948" si="1646">IF(EBK948="Ionizador", "Segundos", "Ohms")</f>
        <v>Ohms</v>
      </c>
      <c r="EBQ948" s="6">
        <v>148000000</v>
      </c>
      <c r="EBR948" s="6" t="str">
        <f t="shared" ref="EBR948" si="1647">EBP948</f>
        <v>Ohms</v>
      </c>
      <c r="EBS948" s="2" t="str">
        <f t="shared" ref="EBS948" si="1648">IF(EBK948="Ionizador", "Plato de carga", IF(EBK948="Cautín", "PTG", "RTG"))</f>
        <v>RTG</v>
      </c>
      <c r="EBT948" s="7">
        <v>45992</v>
      </c>
      <c r="EBU948" s="7">
        <f t="shared" ref="EBU948" si="1649">IF(EBV948="Trimestral", EBT948+90, IF(EBV948="Semestral", EBT948+180, EBT948+365))</f>
        <v>46172</v>
      </c>
      <c r="EBV948" s="7" t="str">
        <f t="shared" ref="EBV948" si="1650">IF(EBK948="Ionizador", "Trimestral", IF(EBK948="Rack", "Semestral", IF(EBK948="Mesa", "Semestral", IF(EBK948="Tapete", "Semestral", IF(EBK948="Cautín", "Semestral", IF(EBK948="Silla", "Semestral", "Anual"))))))</f>
        <v>Semestral</v>
      </c>
      <c r="EBW948" s="2" t="str">
        <f t="shared" ref="EBW948" ca="1" si="1651">IF(EBU948&lt;TODAY(),"VENCIDO",IF(EBU948=TODAY(),"VENCE HOY",IF(EBU948&gt;TODAY(),"VIGENTE")))</f>
        <v>VIGENTE</v>
      </c>
      <c r="EBX948" s="6" t="s">
        <v>25</v>
      </c>
      <c r="EBY948" s="23" t="s">
        <v>138</v>
      </c>
      <c r="EBZ948" s="2" t="s">
        <v>433</v>
      </c>
      <c r="ECA948" s="3" t="s">
        <v>22</v>
      </c>
      <c r="ECB948" s="3" t="s">
        <v>23</v>
      </c>
      <c r="ECC948" s="2" t="s">
        <v>24</v>
      </c>
      <c r="ECD948" s="4">
        <v>0</v>
      </c>
      <c r="ECE948" s="8">
        <f t="shared" ref="ECE948" si="1652">IF(ECA948="Ionizador", 10, IF(ECA948="Mesa", 1000000000, IF(ECA948="Rack", 1000000000, IF(ECA948="Piso", 1000000000, IF(ECA948="Tapete", 1000000000, IF(ECA948="Carrito", 1000000000, IF(ECA948="Cautín", 10, 1)))))))</f>
        <v>1000000000</v>
      </c>
      <c r="ECF948" s="4" t="str">
        <f t="shared" ref="ECF948" si="1653">IF(ECA948="Ionizador", "Segundos", "Ohms")</f>
        <v>Ohms</v>
      </c>
      <c r="ECG948" s="6">
        <v>148000000</v>
      </c>
      <c r="ECH948" s="6" t="str">
        <f t="shared" ref="ECH948" si="1654">ECF948</f>
        <v>Ohms</v>
      </c>
      <c r="ECI948" s="2" t="str">
        <f t="shared" ref="ECI948" si="1655">IF(ECA948="Ionizador", "Plato de carga", IF(ECA948="Cautín", "PTG", "RTG"))</f>
        <v>RTG</v>
      </c>
      <c r="ECJ948" s="7">
        <v>45992</v>
      </c>
      <c r="ECK948" s="7">
        <f t="shared" ref="ECK948" si="1656">IF(ECL948="Trimestral", ECJ948+90, IF(ECL948="Semestral", ECJ948+180, ECJ948+365))</f>
        <v>46172</v>
      </c>
      <c r="ECL948" s="7" t="str">
        <f t="shared" ref="ECL948" si="1657">IF(ECA948="Ionizador", "Trimestral", IF(ECA948="Rack", "Semestral", IF(ECA948="Mesa", "Semestral", IF(ECA948="Tapete", "Semestral", IF(ECA948="Cautín", "Semestral", IF(ECA948="Silla", "Semestral", "Anual"))))))</f>
        <v>Semestral</v>
      </c>
      <c r="ECM948" s="2" t="str">
        <f t="shared" ref="ECM948" ca="1" si="1658">IF(ECK948&lt;TODAY(),"VENCIDO",IF(ECK948=TODAY(),"VENCE HOY",IF(ECK948&gt;TODAY(),"VIGENTE")))</f>
        <v>VIGENTE</v>
      </c>
      <c r="ECN948" s="6" t="s">
        <v>25</v>
      </c>
      <c r="ECO948" s="23" t="s">
        <v>138</v>
      </c>
      <c r="ECP948" s="2" t="s">
        <v>433</v>
      </c>
      <c r="ECQ948" s="3" t="s">
        <v>22</v>
      </c>
      <c r="ECR948" s="3" t="s">
        <v>23</v>
      </c>
      <c r="ECS948" s="2" t="s">
        <v>24</v>
      </c>
      <c r="ECT948" s="4">
        <v>0</v>
      </c>
      <c r="ECU948" s="8">
        <f t="shared" ref="ECU948" si="1659">IF(ECQ948="Ionizador", 10, IF(ECQ948="Mesa", 1000000000, IF(ECQ948="Rack", 1000000000, IF(ECQ948="Piso", 1000000000, IF(ECQ948="Tapete", 1000000000, IF(ECQ948="Carrito", 1000000000, IF(ECQ948="Cautín", 10, 1)))))))</f>
        <v>1000000000</v>
      </c>
      <c r="ECV948" s="4" t="str">
        <f t="shared" ref="ECV948" si="1660">IF(ECQ948="Ionizador", "Segundos", "Ohms")</f>
        <v>Ohms</v>
      </c>
      <c r="ECW948" s="6">
        <v>148000000</v>
      </c>
      <c r="ECX948" s="6" t="str">
        <f t="shared" ref="ECX948" si="1661">ECV948</f>
        <v>Ohms</v>
      </c>
      <c r="ECY948" s="2" t="str">
        <f t="shared" ref="ECY948" si="1662">IF(ECQ948="Ionizador", "Plato de carga", IF(ECQ948="Cautín", "PTG", "RTG"))</f>
        <v>RTG</v>
      </c>
      <c r="ECZ948" s="7">
        <v>45992</v>
      </c>
      <c r="EDA948" s="7">
        <f t="shared" ref="EDA948" si="1663">IF(EDB948="Trimestral", ECZ948+90, IF(EDB948="Semestral", ECZ948+180, ECZ948+365))</f>
        <v>46172</v>
      </c>
      <c r="EDB948" s="7" t="str">
        <f t="shared" ref="EDB948" si="1664">IF(ECQ948="Ionizador", "Trimestral", IF(ECQ948="Rack", "Semestral", IF(ECQ948="Mesa", "Semestral", IF(ECQ948="Tapete", "Semestral", IF(ECQ948="Cautín", "Semestral", IF(ECQ948="Silla", "Semestral", "Anual"))))))</f>
        <v>Semestral</v>
      </c>
      <c r="EDC948" s="2" t="str">
        <f t="shared" ref="EDC948" ca="1" si="1665">IF(EDA948&lt;TODAY(),"VENCIDO",IF(EDA948=TODAY(),"VENCE HOY",IF(EDA948&gt;TODAY(),"VIGENTE")))</f>
        <v>VIGENTE</v>
      </c>
      <c r="EDD948" s="6" t="s">
        <v>25</v>
      </c>
      <c r="EDE948" s="23" t="s">
        <v>138</v>
      </c>
      <c r="EDF948" s="2" t="s">
        <v>433</v>
      </c>
      <c r="EDG948" s="3" t="s">
        <v>22</v>
      </c>
      <c r="EDH948" s="3" t="s">
        <v>23</v>
      </c>
      <c r="EDI948" s="2" t="s">
        <v>24</v>
      </c>
      <c r="EDJ948" s="4">
        <v>0</v>
      </c>
      <c r="EDK948" s="8">
        <f t="shared" ref="EDK948" si="1666">IF(EDG948="Ionizador", 10, IF(EDG948="Mesa", 1000000000, IF(EDG948="Rack", 1000000000, IF(EDG948="Piso", 1000000000, IF(EDG948="Tapete", 1000000000, IF(EDG948="Carrito", 1000000000, IF(EDG948="Cautín", 10, 1)))))))</f>
        <v>1000000000</v>
      </c>
      <c r="EDL948" s="4" t="str">
        <f t="shared" ref="EDL948" si="1667">IF(EDG948="Ionizador", "Segundos", "Ohms")</f>
        <v>Ohms</v>
      </c>
      <c r="EDM948" s="6">
        <v>148000000</v>
      </c>
      <c r="EDN948" s="6" t="str">
        <f t="shared" ref="EDN948" si="1668">EDL948</f>
        <v>Ohms</v>
      </c>
      <c r="EDO948" s="2" t="str">
        <f t="shared" ref="EDO948" si="1669">IF(EDG948="Ionizador", "Plato de carga", IF(EDG948="Cautín", "PTG", "RTG"))</f>
        <v>RTG</v>
      </c>
      <c r="EDP948" s="7">
        <v>45992</v>
      </c>
      <c r="EDQ948" s="7">
        <f t="shared" ref="EDQ948" si="1670">IF(EDR948="Trimestral", EDP948+90, IF(EDR948="Semestral", EDP948+180, EDP948+365))</f>
        <v>46172</v>
      </c>
      <c r="EDR948" s="7" t="str">
        <f t="shared" ref="EDR948" si="1671">IF(EDG948="Ionizador", "Trimestral", IF(EDG948="Rack", "Semestral", IF(EDG948="Mesa", "Semestral", IF(EDG948="Tapete", "Semestral", IF(EDG948="Cautín", "Semestral", IF(EDG948="Silla", "Semestral", "Anual"))))))</f>
        <v>Semestral</v>
      </c>
      <c r="EDS948" s="2" t="str">
        <f t="shared" ref="EDS948" ca="1" si="1672">IF(EDQ948&lt;TODAY(),"VENCIDO",IF(EDQ948=TODAY(),"VENCE HOY",IF(EDQ948&gt;TODAY(),"VIGENTE")))</f>
        <v>VIGENTE</v>
      </c>
      <c r="EDT948" s="6" t="s">
        <v>25</v>
      </c>
      <c r="EDU948" s="23" t="s">
        <v>138</v>
      </c>
      <c r="EDV948" s="2" t="s">
        <v>433</v>
      </c>
      <c r="EDW948" s="3" t="s">
        <v>22</v>
      </c>
      <c r="EDX948" s="3" t="s">
        <v>23</v>
      </c>
      <c r="EDY948" s="2" t="s">
        <v>24</v>
      </c>
      <c r="EDZ948" s="4">
        <v>0</v>
      </c>
      <c r="EEA948" s="8">
        <f t="shared" ref="EEA948" si="1673">IF(EDW948="Ionizador", 10, IF(EDW948="Mesa", 1000000000, IF(EDW948="Rack", 1000000000, IF(EDW948="Piso", 1000000000, IF(EDW948="Tapete", 1000000000, IF(EDW948="Carrito", 1000000000, IF(EDW948="Cautín", 10, 1)))))))</f>
        <v>1000000000</v>
      </c>
      <c r="EEB948" s="4" t="str">
        <f t="shared" ref="EEB948" si="1674">IF(EDW948="Ionizador", "Segundos", "Ohms")</f>
        <v>Ohms</v>
      </c>
      <c r="EEC948" s="6">
        <v>148000000</v>
      </c>
      <c r="EED948" s="6" t="str">
        <f t="shared" ref="EED948" si="1675">EEB948</f>
        <v>Ohms</v>
      </c>
      <c r="EEE948" s="2" t="str">
        <f t="shared" ref="EEE948" si="1676">IF(EDW948="Ionizador", "Plato de carga", IF(EDW948="Cautín", "PTG", "RTG"))</f>
        <v>RTG</v>
      </c>
      <c r="EEF948" s="7">
        <v>45992</v>
      </c>
      <c r="EEG948" s="7">
        <f t="shared" ref="EEG948" si="1677">IF(EEH948="Trimestral", EEF948+90, IF(EEH948="Semestral", EEF948+180, EEF948+365))</f>
        <v>46172</v>
      </c>
      <c r="EEH948" s="7" t="str">
        <f t="shared" ref="EEH948" si="1678">IF(EDW948="Ionizador", "Trimestral", IF(EDW948="Rack", "Semestral", IF(EDW948="Mesa", "Semestral", IF(EDW948="Tapete", "Semestral", IF(EDW948="Cautín", "Semestral", IF(EDW948="Silla", "Semestral", "Anual"))))))</f>
        <v>Semestral</v>
      </c>
      <c r="EEI948" s="2" t="str">
        <f t="shared" ref="EEI948" ca="1" si="1679">IF(EEG948&lt;TODAY(),"VENCIDO",IF(EEG948=TODAY(),"VENCE HOY",IF(EEG948&gt;TODAY(),"VIGENTE")))</f>
        <v>VIGENTE</v>
      </c>
      <c r="EEJ948" s="6" t="s">
        <v>25</v>
      </c>
      <c r="EEK948" s="23" t="s">
        <v>138</v>
      </c>
      <c r="EEL948" s="2" t="s">
        <v>433</v>
      </c>
      <c r="EEM948" s="3" t="s">
        <v>22</v>
      </c>
      <c r="EEN948" s="3" t="s">
        <v>23</v>
      </c>
      <c r="EEO948" s="2" t="s">
        <v>24</v>
      </c>
      <c r="EEP948" s="4">
        <v>0</v>
      </c>
      <c r="EEQ948" s="8">
        <f t="shared" ref="EEQ948" si="1680">IF(EEM948="Ionizador", 10, IF(EEM948="Mesa", 1000000000, IF(EEM948="Rack", 1000000000, IF(EEM948="Piso", 1000000000, IF(EEM948="Tapete", 1000000000, IF(EEM948="Carrito", 1000000000, IF(EEM948="Cautín", 10, 1)))))))</f>
        <v>1000000000</v>
      </c>
      <c r="EER948" s="4" t="str">
        <f t="shared" ref="EER948" si="1681">IF(EEM948="Ionizador", "Segundos", "Ohms")</f>
        <v>Ohms</v>
      </c>
      <c r="EES948" s="6">
        <v>148000000</v>
      </c>
      <c r="EET948" s="6" t="str">
        <f t="shared" ref="EET948" si="1682">EER948</f>
        <v>Ohms</v>
      </c>
      <c r="EEU948" s="2" t="str">
        <f t="shared" ref="EEU948" si="1683">IF(EEM948="Ionizador", "Plato de carga", IF(EEM948="Cautín", "PTG", "RTG"))</f>
        <v>RTG</v>
      </c>
      <c r="EEV948" s="7">
        <v>45992</v>
      </c>
      <c r="EEW948" s="7">
        <f t="shared" ref="EEW948" si="1684">IF(EEX948="Trimestral", EEV948+90, IF(EEX948="Semestral", EEV948+180, EEV948+365))</f>
        <v>46172</v>
      </c>
      <c r="EEX948" s="7" t="str">
        <f t="shared" ref="EEX948" si="1685">IF(EEM948="Ionizador", "Trimestral", IF(EEM948="Rack", "Semestral", IF(EEM948="Mesa", "Semestral", IF(EEM948="Tapete", "Semestral", IF(EEM948="Cautín", "Semestral", IF(EEM948="Silla", "Semestral", "Anual"))))))</f>
        <v>Semestral</v>
      </c>
      <c r="EEY948" s="2" t="str">
        <f t="shared" ref="EEY948" ca="1" si="1686">IF(EEW948&lt;TODAY(),"VENCIDO",IF(EEW948=TODAY(),"VENCE HOY",IF(EEW948&gt;TODAY(),"VIGENTE")))</f>
        <v>VIGENTE</v>
      </c>
      <c r="EEZ948" s="6" t="s">
        <v>25</v>
      </c>
      <c r="EFA948" s="23" t="s">
        <v>138</v>
      </c>
      <c r="EFB948" s="2" t="s">
        <v>433</v>
      </c>
      <c r="EFC948" s="3" t="s">
        <v>22</v>
      </c>
      <c r="EFD948" s="3" t="s">
        <v>23</v>
      </c>
      <c r="EFE948" s="2" t="s">
        <v>24</v>
      </c>
      <c r="EFF948" s="4">
        <v>0</v>
      </c>
      <c r="EFG948" s="8">
        <f t="shared" ref="EFG948" si="1687">IF(EFC948="Ionizador", 10, IF(EFC948="Mesa", 1000000000, IF(EFC948="Rack", 1000000000, IF(EFC948="Piso", 1000000000, IF(EFC948="Tapete", 1000000000, IF(EFC948="Carrito", 1000000000, IF(EFC948="Cautín", 10, 1)))))))</f>
        <v>1000000000</v>
      </c>
      <c r="EFH948" s="4" t="str">
        <f t="shared" ref="EFH948" si="1688">IF(EFC948="Ionizador", "Segundos", "Ohms")</f>
        <v>Ohms</v>
      </c>
      <c r="EFI948" s="6">
        <v>148000000</v>
      </c>
      <c r="EFJ948" s="6" t="str">
        <f t="shared" ref="EFJ948" si="1689">EFH948</f>
        <v>Ohms</v>
      </c>
      <c r="EFK948" s="2" t="str">
        <f t="shared" ref="EFK948" si="1690">IF(EFC948="Ionizador", "Plato de carga", IF(EFC948="Cautín", "PTG", "RTG"))</f>
        <v>RTG</v>
      </c>
      <c r="EFL948" s="7">
        <v>45992</v>
      </c>
      <c r="EFM948" s="7">
        <f t="shared" ref="EFM948" si="1691">IF(EFN948="Trimestral", EFL948+90, IF(EFN948="Semestral", EFL948+180, EFL948+365))</f>
        <v>46172</v>
      </c>
      <c r="EFN948" s="7" t="str">
        <f t="shared" ref="EFN948" si="1692">IF(EFC948="Ionizador", "Trimestral", IF(EFC948="Rack", "Semestral", IF(EFC948="Mesa", "Semestral", IF(EFC948="Tapete", "Semestral", IF(EFC948="Cautín", "Semestral", IF(EFC948="Silla", "Semestral", "Anual"))))))</f>
        <v>Semestral</v>
      </c>
      <c r="EFO948" s="2" t="str">
        <f t="shared" ref="EFO948" ca="1" si="1693">IF(EFM948&lt;TODAY(),"VENCIDO",IF(EFM948=TODAY(),"VENCE HOY",IF(EFM948&gt;TODAY(),"VIGENTE")))</f>
        <v>VIGENTE</v>
      </c>
      <c r="EFP948" s="6" t="s">
        <v>25</v>
      </c>
      <c r="EFQ948" s="23" t="s">
        <v>138</v>
      </c>
      <c r="EFR948" s="2" t="s">
        <v>433</v>
      </c>
      <c r="EFS948" s="3" t="s">
        <v>22</v>
      </c>
      <c r="EFT948" s="3" t="s">
        <v>23</v>
      </c>
      <c r="EFU948" s="2" t="s">
        <v>24</v>
      </c>
      <c r="EFV948" s="4">
        <v>0</v>
      </c>
      <c r="EFW948" s="8">
        <f t="shared" ref="EFW948" si="1694">IF(EFS948="Ionizador", 10, IF(EFS948="Mesa", 1000000000, IF(EFS948="Rack", 1000000000, IF(EFS948="Piso", 1000000000, IF(EFS948="Tapete", 1000000000, IF(EFS948="Carrito", 1000000000, IF(EFS948="Cautín", 10, 1)))))))</f>
        <v>1000000000</v>
      </c>
      <c r="EFX948" s="4" t="str">
        <f t="shared" ref="EFX948" si="1695">IF(EFS948="Ionizador", "Segundos", "Ohms")</f>
        <v>Ohms</v>
      </c>
      <c r="EFY948" s="6">
        <v>148000000</v>
      </c>
      <c r="EFZ948" s="6" t="str">
        <f t="shared" ref="EFZ948" si="1696">EFX948</f>
        <v>Ohms</v>
      </c>
      <c r="EGA948" s="2" t="str">
        <f t="shared" ref="EGA948" si="1697">IF(EFS948="Ionizador", "Plato de carga", IF(EFS948="Cautín", "PTG", "RTG"))</f>
        <v>RTG</v>
      </c>
      <c r="EGB948" s="7">
        <v>45992</v>
      </c>
      <c r="EGC948" s="7">
        <f t="shared" ref="EGC948" si="1698">IF(EGD948="Trimestral", EGB948+90, IF(EGD948="Semestral", EGB948+180, EGB948+365))</f>
        <v>46172</v>
      </c>
      <c r="EGD948" s="7" t="str">
        <f t="shared" ref="EGD948" si="1699">IF(EFS948="Ionizador", "Trimestral", IF(EFS948="Rack", "Semestral", IF(EFS948="Mesa", "Semestral", IF(EFS948="Tapete", "Semestral", IF(EFS948="Cautín", "Semestral", IF(EFS948="Silla", "Semestral", "Anual"))))))</f>
        <v>Semestral</v>
      </c>
      <c r="EGE948" s="2" t="str">
        <f t="shared" ref="EGE948" ca="1" si="1700">IF(EGC948&lt;TODAY(),"VENCIDO",IF(EGC948=TODAY(),"VENCE HOY",IF(EGC948&gt;TODAY(),"VIGENTE")))</f>
        <v>VIGENTE</v>
      </c>
      <c r="EGF948" s="6" t="s">
        <v>25</v>
      </c>
      <c r="EGG948" s="23" t="s">
        <v>138</v>
      </c>
      <c r="EGH948" s="2" t="s">
        <v>433</v>
      </c>
      <c r="EGI948" s="3" t="s">
        <v>22</v>
      </c>
      <c r="EGJ948" s="3" t="s">
        <v>23</v>
      </c>
      <c r="EGK948" s="2" t="s">
        <v>24</v>
      </c>
      <c r="EGL948" s="4">
        <v>0</v>
      </c>
      <c r="EGM948" s="8">
        <f t="shared" ref="EGM948" si="1701">IF(EGI948="Ionizador", 10, IF(EGI948="Mesa", 1000000000, IF(EGI948="Rack", 1000000000, IF(EGI948="Piso", 1000000000, IF(EGI948="Tapete", 1000000000, IF(EGI948="Carrito", 1000000000, IF(EGI948="Cautín", 10, 1)))))))</f>
        <v>1000000000</v>
      </c>
      <c r="EGN948" s="4" t="str">
        <f t="shared" ref="EGN948" si="1702">IF(EGI948="Ionizador", "Segundos", "Ohms")</f>
        <v>Ohms</v>
      </c>
      <c r="EGO948" s="6">
        <v>148000000</v>
      </c>
      <c r="EGP948" s="6" t="str">
        <f t="shared" ref="EGP948" si="1703">EGN948</f>
        <v>Ohms</v>
      </c>
      <c r="EGQ948" s="2" t="str">
        <f t="shared" ref="EGQ948" si="1704">IF(EGI948="Ionizador", "Plato de carga", IF(EGI948="Cautín", "PTG", "RTG"))</f>
        <v>RTG</v>
      </c>
      <c r="EGR948" s="7">
        <v>45992</v>
      </c>
      <c r="EGS948" s="7">
        <f t="shared" ref="EGS948" si="1705">IF(EGT948="Trimestral", EGR948+90, IF(EGT948="Semestral", EGR948+180, EGR948+365))</f>
        <v>46172</v>
      </c>
      <c r="EGT948" s="7" t="str">
        <f t="shared" ref="EGT948" si="1706">IF(EGI948="Ionizador", "Trimestral", IF(EGI948="Rack", "Semestral", IF(EGI948="Mesa", "Semestral", IF(EGI948="Tapete", "Semestral", IF(EGI948="Cautín", "Semestral", IF(EGI948="Silla", "Semestral", "Anual"))))))</f>
        <v>Semestral</v>
      </c>
      <c r="EGU948" s="2" t="str">
        <f t="shared" ref="EGU948" ca="1" si="1707">IF(EGS948&lt;TODAY(),"VENCIDO",IF(EGS948=TODAY(),"VENCE HOY",IF(EGS948&gt;TODAY(),"VIGENTE")))</f>
        <v>VIGENTE</v>
      </c>
      <c r="EGV948" s="6" t="s">
        <v>25</v>
      </c>
      <c r="EGW948" s="23" t="s">
        <v>138</v>
      </c>
      <c r="EGX948" s="2" t="s">
        <v>433</v>
      </c>
      <c r="EGY948" s="3" t="s">
        <v>22</v>
      </c>
      <c r="EGZ948" s="3" t="s">
        <v>23</v>
      </c>
      <c r="EHA948" s="2" t="s">
        <v>24</v>
      </c>
      <c r="EHB948" s="4">
        <v>0</v>
      </c>
      <c r="EHC948" s="8">
        <f t="shared" ref="EHC948" si="1708">IF(EGY948="Ionizador", 10, IF(EGY948="Mesa", 1000000000, IF(EGY948="Rack", 1000000000, IF(EGY948="Piso", 1000000000, IF(EGY948="Tapete", 1000000000, IF(EGY948="Carrito", 1000000000, IF(EGY948="Cautín", 10, 1)))))))</f>
        <v>1000000000</v>
      </c>
      <c r="EHD948" s="4" t="str">
        <f t="shared" ref="EHD948" si="1709">IF(EGY948="Ionizador", "Segundos", "Ohms")</f>
        <v>Ohms</v>
      </c>
      <c r="EHE948" s="6">
        <v>148000000</v>
      </c>
      <c r="EHF948" s="6" t="str">
        <f t="shared" ref="EHF948" si="1710">EHD948</f>
        <v>Ohms</v>
      </c>
      <c r="EHG948" s="2" t="str">
        <f t="shared" ref="EHG948" si="1711">IF(EGY948="Ionizador", "Plato de carga", IF(EGY948="Cautín", "PTG", "RTG"))</f>
        <v>RTG</v>
      </c>
      <c r="EHH948" s="7">
        <v>45992</v>
      </c>
      <c r="EHI948" s="7">
        <f t="shared" ref="EHI948" si="1712">IF(EHJ948="Trimestral", EHH948+90, IF(EHJ948="Semestral", EHH948+180, EHH948+365))</f>
        <v>46172</v>
      </c>
      <c r="EHJ948" s="7" t="str">
        <f t="shared" ref="EHJ948" si="1713">IF(EGY948="Ionizador", "Trimestral", IF(EGY948="Rack", "Semestral", IF(EGY948="Mesa", "Semestral", IF(EGY948="Tapete", "Semestral", IF(EGY948="Cautín", "Semestral", IF(EGY948="Silla", "Semestral", "Anual"))))))</f>
        <v>Semestral</v>
      </c>
      <c r="EHK948" s="2" t="str">
        <f t="shared" ref="EHK948" ca="1" si="1714">IF(EHI948&lt;TODAY(),"VENCIDO",IF(EHI948=TODAY(),"VENCE HOY",IF(EHI948&gt;TODAY(),"VIGENTE")))</f>
        <v>VIGENTE</v>
      </c>
      <c r="EHL948" s="6" t="s">
        <v>25</v>
      </c>
      <c r="EHM948" s="23" t="s">
        <v>138</v>
      </c>
      <c r="EHN948" s="2" t="s">
        <v>433</v>
      </c>
      <c r="EHO948" s="3" t="s">
        <v>22</v>
      </c>
      <c r="EHP948" s="3" t="s">
        <v>23</v>
      </c>
      <c r="EHQ948" s="2" t="s">
        <v>24</v>
      </c>
      <c r="EHR948" s="4">
        <v>0</v>
      </c>
      <c r="EHS948" s="8">
        <f t="shared" ref="EHS948" si="1715">IF(EHO948="Ionizador", 10, IF(EHO948="Mesa", 1000000000, IF(EHO948="Rack", 1000000000, IF(EHO948="Piso", 1000000000, IF(EHO948="Tapete", 1000000000, IF(EHO948="Carrito", 1000000000, IF(EHO948="Cautín", 10, 1)))))))</f>
        <v>1000000000</v>
      </c>
      <c r="EHT948" s="4" t="str">
        <f t="shared" ref="EHT948" si="1716">IF(EHO948="Ionizador", "Segundos", "Ohms")</f>
        <v>Ohms</v>
      </c>
      <c r="EHU948" s="6">
        <v>148000000</v>
      </c>
      <c r="EHV948" s="6" t="str">
        <f t="shared" ref="EHV948" si="1717">EHT948</f>
        <v>Ohms</v>
      </c>
      <c r="EHW948" s="2" t="str">
        <f t="shared" ref="EHW948" si="1718">IF(EHO948="Ionizador", "Plato de carga", IF(EHO948="Cautín", "PTG", "RTG"))</f>
        <v>RTG</v>
      </c>
      <c r="EHX948" s="7">
        <v>45992</v>
      </c>
      <c r="EHY948" s="7">
        <f t="shared" ref="EHY948" si="1719">IF(EHZ948="Trimestral", EHX948+90, IF(EHZ948="Semestral", EHX948+180, EHX948+365))</f>
        <v>46172</v>
      </c>
      <c r="EHZ948" s="7" t="str">
        <f t="shared" ref="EHZ948" si="1720">IF(EHO948="Ionizador", "Trimestral", IF(EHO948="Rack", "Semestral", IF(EHO948="Mesa", "Semestral", IF(EHO948="Tapete", "Semestral", IF(EHO948="Cautín", "Semestral", IF(EHO948="Silla", "Semestral", "Anual"))))))</f>
        <v>Semestral</v>
      </c>
      <c r="EIA948" s="2" t="str">
        <f t="shared" ref="EIA948" ca="1" si="1721">IF(EHY948&lt;TODAY(),"VENCIDO",IF(EHY948=TODAY(),"VENCE HOY",IF(EHY948&gt;TODAY(),"VIGENTE")))</f>
        <v>VIGENTE</v>
      </c>
      <c r="EIB948" s="6" t="s">
        <v>25</v>
      </c>
      <c r="EIC948" s="23" t="s">
        <v>138</v>
      </c>
      <c r="EID948" s="2" t="s">
        <v>433</v>
      </c>
      <c r="EIE948" s="3" t="s">
        <v>22</v>
      </c>
      <c r="EIF948" s="3" t="s">
        <v>23</v>
      </c>
      <c r="EIG948" s="2" t="s">
        <v>24</v>
      </c>
      <c r="EIH948" s="4">
        <v>0</v>
      </c>
      <c r="EII948" s="8">
        <f t="shared" ref="EII948" si="1722">IF(EIE948="Ionizador", 10, IF(EIE948="Mesa", 1000000000, IF(EIE948="Rack", 1000000000, IF(EIE948="Piso", 1000000000, IF(EIE948="Tapete", 1000000000, IF(EIE948="Carrito", 1000000000, IF(EIE948="Cautín", 10, 1)))))))</f>
        <v>1000000000</v>
      </c>
      <c r="EIJ948" s="4" t="str">
        <f t="shared" ref="EIJ948" si="1723">IF(EIE948="Ionizador", "Segundos", "Ohms")</f>
        <v>Ohms</v>
      </c>
      <c r="EIK948" s="6">
        <v>148000000</v>
      </c>
      <c r="EIL948" s="6" t="str">
        <f t="shared" ref="EIL948" si="1724">EIJ948</f>
        <v>Ohms</v>
      </c>
      <c r="EIM948" s="2" t="str">
        <f t="shared" ref="EIM948" si="1725">IF(EIE948="Ionizador", "Plato de carga", IF(EIE948="Cautín", "PTG", "RTG"))</f>
        <v>RTG</v>
      </c>
      <c r="EIN948" s="7">
        <v>45992</v>
      </c>
      <c r="EIO948" s="7">
        <f t="shared" ref="EIO948" si="1726">IF(EIP948="Trimestral", EIN948+90, IF(EIP948="Semestral", EIN948+180, EIN948+365))</f>
        <v>46172</v>
      </c>
      <c r="EIP948" s="7" t="str">
        <f t="shared" ref="EIP948" si="1727">IF(EIE948="Ionizador", "Trimestral", IF(EIE948="Rack", "Semestral", IF(EIE948="Mesa", "Semestral", IF(EIE948="Tapete", "Semestral", IF(EIE948="Cautín", "Semestral", IF(EIE948="Silla", "Semestral", "Anual"))))))</f>
        <v>Semestral</v>
      </c>
      <c r="EIQ948" s="2" t="str">
        <f t="shared" ref="EIQ948" ca="1" si="1728">IF(EIO948&lt;TODAY(),"VENCIDO",IF(EIO948=TODAY(),"VENCE HOY",IF(EIO948&gt;TODAY(),"VIGENTE")))</f>
        <v>VIGENTE</v>
      </c>
      <c r="EIR948" s="6" t="s">
        <v>25</v>
      </c>
      <c r="EIS948" s="23" t="s">
        <v>138</v>
      </c>
      <c r="EIT948" s="2" t="s">
        <v>433</v>
      </c>
      <c r="EIU948" s="3" t="s">
        <v>22</v>
      </c>
      <c r="EIV948" s="3" t="s">
        <v>23</v>
      </c>
      <c r="EIW948" s="2" t="s">
        <v>24</v>
      </c>
      <c r="EIX948" s="4">
        <v>0</v>
      </c>
      <c r="EIY948" s="8">
        <f t="shared" ref="EIY948" si="1729">IF(EIU948="Ionizador", 10, IF(EIU948="Mesa", 1000000000, IF(EIU948="Rack", 1000000000, IF(EIU948="Piso", 1000000000, IF(EIU948="Tapete", 1000000000, IF(EIU948="Carrito", 1000000000, IF(EIU948="Cautín", 10, 1)))))))</f>
        <v>1000000000</v>
      </c>
      <c r="EIZ948" s="4" t="str">
        <f t="shared" ref="EIZ948" si="1730">IF(EIU948="Ionizador", "Segundos", "Ohms")</f>
        <v>Ohms</v>
      </c>
      <c r="EJA948" s="6">
        <v>148000000</v>
      </c>
      <c r="EJB948" s="6" t="str">
        <f t="shared" ref="EJB948" si="1731">EIZ948</f>
        <v>Ohms</v>
      </c>
      <c r="EJC948" s="2" t="str">
        <f t="shared" ref="EJC948" si="1732">IF(EIU948="Ionizador", "Plato de carga", IF(EIU948="Cautín", "PTG", "RTG"))</f>
        <v>RTG</v>
      </c>
      <c r="EJD948" s="7">
        <v>45992</v>
      </c>
      <c r="EJE948" s="7">
        <f t="shared" ref="EJE948" si="1733">IF(EJF948="Trimestral", EJD948+90, IF(EJF948="Semestral", EJD948+180, EJD948+365))</f>
        <v>46172</v>
      </c>
      <c r="EJF948" s="7" t="str">
        <f t="shared" ref="EJF948" si="1734">IF(EIU948="Ionizador", "Trimestral", IF(EIU948="Rack", "Semestral", IF(EIU948="Mesa", "Semestral", IF(EIU948="Tapete", "Semestral", IF(EIU948="Cautín", "Semestral", IF(EIU948="Silla", "Semestral", "Anual"))))))</f>
        <v>Semestral</v>
      </c>
      <c r="EJG948" s="2" t="str">
        <f t="shared" ref="EJG948" ca="1" si="1735">IF(EJE948&lt;TODAY(),"VENCIDO",IF(EJE948=TODAY(),"VENCE HOY",IF(EJE948&gt;TODAY(),"VIGENTE")))</f>
        <v>VIGENTE</v>
      </c>
      <c r="EJH948" s="6" t="s">
        <v>25</v>
      </c>
      <c r="EJI948" s="23" t="s">
        <v>138</v>
      </c>
      <c r="EJJ948" s="2" t="s">
        <v>433</v>
      </c>
      <c r="EJK948" s="3" t="s">
        <v>22</v>
      </c>
      <c r="EJL948" s="3" t="s">
        <v>23</v>
      </c>
      <c r="EJM948" s="2" t="s">
        <v>24</v>
      </c>
      <c r="EJN948" s="4">
        <v>0</v>
      </c>
      <c r="EJO948" s="8">
        <f t="shared" ref="EJO948" si="1736">IF(EJK948="Ionizador", 10, IF(EJK948="Mesa", 1000000000, IF(EJK948="Rack", 1000000000, IF(EJK948="Piso", 1000000000, IF(EJK948="Tapete", 1000000000, IF(EJK948="Carrito", 1000000000, IF(EJK948="Cautín", 10, 1)))))))</f>
        <v>1000000000</v>
      </c>
      <c r="EJP948" s="4" t="str">
        <f t="shared" ref="EJP948" si="1737">IF(EJK948="Ionizador", "Segundos", "Ohms")</f>
        <v>Ohms</v>
      </c>
      <c r="EJQ948" s="6">
        <v>148000000</v>
      </c>
      <c r="EJR948" s="6" t="str">
        <f t="shared" ref="EJR948" si="1738">EJP948</f>
        <v>Ohms</v>
      </c>
      <c r="EJS948" s="2" t="str">
        <f t="shared" ref="EJS948" si="1739">IF(EJK948="Ionizador", "Plato de carga", IF(EJK948="Cautín", "PTG", "RTG"))</f>
        <v>RTG</v>
      </c>
      <c r="EJT948" s="7">
        <v>45992</v>
      </c>
      <c r="EJU948" s="7">
        <f t="shared" ref="EJU948" si="1740">IF(EJV948="Trimestral", EJT948+90, IF(EJV948="Semestral", EJT948+180, EJT948+365))</f>
        <v>46172</v>
      </c>
      <c r="EJV948" s="7" t="str">
        <f t="shared" ref="EJV948" si="1741">IF(EJK948="Ionizador", "Trimestral", IF(EJK948="Rack", "Semestral", IF(EJK948="Mesa", "Semestral", IF(EJK948="Tapete", "Semestral", IF(EJK948="Cautín", "Semestral", IF(EJK948="Silla", "Semestral", "Anual"))))))</f>
        <v>Semestral</v>
      </c>
      <c r="EJW948" s="2" t="str">
        <f t="shared" ref="EJW948" ca="1" si="1742">IF(EJU948&lt;TODAY(),"VENCIDO",IF(EJU948=TODAY(),"VENCE HOY",IF(EJU948&gt;TODAY(),"VIGENTE")))</f>
        <v>VIGENTE</v>
      </c>
      <c r="EJX948" s="6" t="s">
        <v>25</v>
      </c>
      <c r="EJY948" s="23" t="s">
        <v>138</v>
      </c>
      <c r="EJZ948" s="2" t="s">
        <v>433</v>
      </c>
      <c r="EKA948" s="3" t="s">
        <v>22</v>
      </c>
      <c r="EKB948" s="3" t="s">
        <v>23</v>
      </c>
      <c r="EKC948" s="2" t="s">
        <v>24</v>
      </c>
      <c r="EKD948" s="4">
        <v>0</v>
      </c>
      <c r="EKE948" s="8">
        <f t="shared" ref="EKE948" si="1743">IF(EKA948="Ionizador", 10, IF(EKA948="Mesa", 1000000000, IF(EKA948="Rack", 1000000000, IF(EKA948="Piso", 1000000000, IF(EKA948="Tapete", 1000000000, IF(EKA948="Carrito", 1000000000, IF(EKA948="Cautín", 10, 1)))))))</f>
        <v>1000000000</v>
      </c>
      <c r="EKF948" s="4" t="str">
        <f t="shared" ref="EKF948" si="1744">IF(EKA948="Ionizador", "Segundos", "Ohms")</f>
        <v>Ohms</v>
      </c>
      <c r="EKG948" s="6">
        <v>148000000</v>
      </c>
      <c r="EKH948" s="6" t="str">
        <f t="shared" ref="EKH948" si="1745">EKF948</f>
        <v>Ohms</v>
      </c>
      <c r="EKI948" s="2" t="str">
        <f t="shared" ref="EKI948" si="1746">IF(EKA948="Ionizador", "Plato de carga", IF(EKA948="Cautín", "PTG", "RTG"))</f>
        <v>RTG</v>
      </c>
      <c r="EKJ948" s="7">
        <v>45992</v>
      </c>
      <c r="EKK948" s="7">
        <f t="shared" ref="EKK948" si="1747">IF(EKL948="Trimestral", EKJ948+90, IF(EKL948="Semestral", EKJ948+180, EKJ948+365))</f>
        <v>46172</v>
      </c>
      <c r="EKL948" s="7" t="str">
        <f t="shared" ref="EKL948" si="1748">IF(EKA948="Ionizador", "Trimestral", IF(EKA948="Rack", "Semestral", IF(EKA948="Mesa", "Semestral", IF(EKA948="Tapete", "Semestral", IF(EKA948="Cautín", "Semestral", IF(EKA948="Silla", "Semestral", "Anual"))))))</f>
        <v>Semestral</v>
      </c>
      <c r="EKM948" s="2" t="str">
        <f t="shared" ref="EKM948" ca="1" si="1749">IF(EKK948&lt;TODAY(),"VENCIDO",IF(EKK948=TODAY(),"VENCE HOY",IF(EKK948&gt;TODAY(),"VIGENTE")))</f>
        <v>VIGENTE</v>
      </c>
      <c r="EKN948" s="6" t="s">
        <v>25</v>
      </c>
      <c r="EKO948" s="23" t="s">
        <v>138</v>
      </c>
      <c r="EKP948" s="2" t="s">
        <v>433</v>
      </c>
      <c r="EKQ948" s="3" t="s">
        <v>22</v>
      </c>
      <c r="EKR948" s="3" t="s">
        <v>23</v>
      </c>
      <c r="EKS948" s="2" t="s">
        <v>24</v>
      </c>
      <c r="EKT948" s="4">
        <v>0</v>
      </c>
      <c r="EKU948" s="8">
        <f t="shared" ref="EKU948" si="1750">IF(EKQ948="Ionizador", 10, IF(EKQ948="Mesa", 1000000000, IF(EKQ948="Rack", 1000000000, IF(EKQ948="Piso", 1000000000, IF(EKQ948="Tapete", 1000000000, IF(EKQ948="Carrito", 1000000000, IF(EKQ948="Cautín", 10, 1)))))))</f>
        <v>1000000000</v>
      </c>
      <c r="EKV948" s="4" t="str">
        <f t="shared" ref="EKV948" si="1751">IF(EKQ948="Ionizador", "Segundos", "Ohms")</f>
        <v>Ohms</v>
      </c>
      <c r="EKW948" s="6">
        <v>148000000</v>
      </c>
      <c r="EKX948" s="6" t="str">
        <f t="shared" ref="EKX948" si="1752">EKV948</f>
        <v>Ohms</v>
      </c>
      <c r="EKY948" s="2" t="str">
        <f t="shared" ref="EKY948" si="1753">IF(EKQ948="Ionizador", "Plato de carga", IF(EKQ948="Cautín", "PTG", "RTG"))</f>
        <v>RTG</v>
      </c>
      <c r="EKZ948" s="7">
        <v>45992</v>
      </c>
      <c r="ELA948" s="7">
        <f t="shared" ref="ELA948" si="1754">IF(ELB948="Trimestral", EKZ948+90, IF(ELB948="Semestral", EKZ948+180, EKZ948+365))</f>
        <v>46172</v>
      </c>
      <c r="ELB948" s="7" t="str">
        <f t="shared" ref="ELB948" si="1755">IF(EKQ948="Ionizador", "Trimestral", IF(EKQ948="Rack", "Semestral", IF(EKQ948="Mesa", "Semestral", IF(EKQ948="Tapete", "Semestral", IF(EKQ948="Cautín", "Semestral", IF(EKQ948="Silla", "Semestral", "Anual"))))))</f>
        <v>Semestral</v>
      </c>
      <c r="ELC948" s="2" t="str">
        <f t="shared" ref="ELC948" ca="1" si="1756">IF(ELA948&lt;TODAY(),"VENCIDO",IF(ELA948=TODAY(),"VENCE HOY",IF(ELA948&gt;TODAY(),"VIGENTE")))</f>
        <v>VIGENTE</v>
      </c>
      <c r="ELD948" s="6" t="s">
        <v>25</v>
      </c>
      <c r="ELE948" s="23" t="s">
        <v>138</v>
      </c>
      <c r="ELF948" s="2" t="s">
        <v>433</v>
      </c>
      <c r="ELG948" s="3" t="s">
        <v>22</v>
      </c>
      <c r="ELH948" s="3" t="s">
        <v>23</v>
      </c>
      <c r="ELI948" s="2" t="s">
        <v>24</v>
      </c>
      <c r="ELJ948" s="4">
        <v>0</v>
      </c>
      <c r="ELK948" s="8">
        <f t="shared" ref="ELK948" si="1757">IF(ELG948="Ionizador", 10, IF(ELG948="Mesa", 1000000000, IF(ELG948="Rack", 1000000000, IF(ELG948="Piso", 1000000000, IF(ELG948="Tapete", 1000000000, IF(ELG948="Carrito", 1000000000, IF(ELG948="Cautín", 10, 1)))))))</f>
        <v>1000000000</v>
      </c>
      <c r="ELL948" s="4" t="str">
        <f t="shared" ref="ELL948" si="1758">IF(ELG948="Ionizador", "Segundos", "Ohms")</f>
        <v>Ohms</v>
      </c>
      <c r="ELM948" s="6">
        <v>148000000</v>
      </c>
      <c r="ELN948" s="6" t="str">
        <f t="shared" ref="ELN948" si="1759">ELL948</f>
        <v>Ohms</v>
      </c>
      <c r="ELO948" s="2" t="str">
        <f t="shared" ref="ELO948" si="1760">IF(ELG948="Ionizador", "Plato de carga", IF(ELG948="Cautín", "PTG", "RTG"))</f>
        <v>RTG</v>
      </c>
      <c r="ELP948" s="7">
        <v>45992</v>
      </c>
      <c r="ELQ948" s="7">
        <f t="shared" ref="ELQ948" si="1761">IF(ELR948="Trimestral", ELP948+90, IF(ELR948="Semestral", ELP948+180, ELP948+365))</f>
        <v>46172</v>
      </c>
      <c r="ELR948" s="7" t="str">
        <f t="shared" ref="ELR948" si="1762">IF(ELG948="Ionizador", "Trimestral", IF(ELG948="Rack", "Semestral", IF(ELG948="Mesa", "Semestral", IF(ELG948="Tapete", "Semestral", IF(ELG948="Cautín", "Semestral", IF(ELG948="Silla", "Semestral", "Anual"))))))</f>
        <v>Semestral</v>
      </c>
      <c r="ELS948" s="2" t="str">
        <f t="shared" ref="ELS948" ca="1" si="1763">IF(ELQ948&lt;TODAY(),"VENCIDO",IF(ELQ948=TODAY(),"VENCE HOY",IF(ELQ948&gt;TODAY(),"VIGENTE")))</f>
        <v>VIGENTE</v>
      </c>
      <c r="ELT948" s="6" t="s">
        <v>25</v>
      </c>
      <c r="ELU948" s="23" t="s">
        <v>138</v>
      </c>
      <c r="ELV948" s="2" t="s">
        <v>433</v>
      </c>
      <c r="ELW948" s="3" t="s">
        <v>22</v>
      </c>
      <c r="ELX948" s="3" t="s">
        <v>23</v>
      </c>
      <c r="ELY948" s="2" t="s">
        <v>24</v>
      </c>
      <c r="ELZ948" s="4">
        <v>0</v>
      </c>
      <c r="EMA948" s="8">
        <f t="shared" ref="EMA948" si="1764">IF(ELW948="Ionizador", 10, IF(ELW948="Mesa", 1000000000, IF(ELW948="Rack", 1000000000, IF(ELW948="Piso", 1000000000, IF(ELW948="Tapete", 1000000000, IF(ELW948="Carrito", 1000000000, IF(ELW948="Cautín", 10, 1)))))))</f>
        <v>1000000000</v>
      </c>
      <c r="EMB948" s="4" t="str">
        <f t="shared" ref="EMB948" si="1765">IF(ELW948="Ionizador", "Segundos", "Ohms")</f>
        <v>Ohms</v>
      </c>
      <c r="EMC948" s="6">
        <v>148000000</v>
      </c>
      <c r="EMD948" s="6" t="str">
        <f t="shared" ref="EMD948" si="1766">EMB948</f>
        <v>Ohms</v>
      </c>
      <c r="EME948" s="2" t="str">
        <f t="shared" ref="EME948" si="1767">IF(ELW948="Ionizador", "Plato de carga", IF(ELW948="Cautín", "PTG", "RTG"))</f>
        <v>RTG</v>
      </c>
      <c r="EMF948" s="7">
        <v>45992</v>
      </c>
      <c r="EMG948" s="7">
        <f t="shared" ref="EMG948" si="1768">IF(EMH948="Trimestral", EMF948+90, IF(EMH948="Semestral", EMF948+180, EMF948+365))</f>
        <v>46172</v>
      </c>
      <c r="EMH948" s="7" t="str">
        <f t="shared" ref="EMH948" si="1769">IF(ELW948="Ionizador", "Trimestral", IF(ELW948="Rack", "Semestral", IF(ELW948="Mesa", "Semestral", IF(ELW948="Tapete", "Semestral", IF(ELW948="Cautín", "Semestral", IF(ELW948="Silla", "Semestral", "Anual"))))))</f>
        <v>Semestral</v>
      </c>
      <c r="EMI948" s="2" t="str">
        <f t="shared" ref="EMI948" ca="1" si="1770">IF(EMG948&lt;TODAY(),"VENCIDO",IF(EMG948=TODAY(),"VENCE HOY",IF(EMG948&gt;TODAY(),"VIGENTE")))</f>
        <v>VIGENTE</v>
      </c>
      <c r="EMJ948" s="6" t="s">
        <v>25</v>
      </c>
      <c r="EMK948" s="23" t="s">
        <v>138</v>
      </c>
      <c r="EML948" s="2" t="s">
        <v>433</v>
      </c>
      <c r="EMM948" s="3" t="s">
        <v>22</v>
      </c>
      <c r="EMN948" s="3" t="s">
        <v>23</v>
      </c>
      <c r="EMO948" s="2" t="s">
        <v>24</v>
      </c>
      <c r="EMP948" s="4">
        <v>0</v>
      </c>
      <c r="EMQ948" s="8">
        <f t="shared" ref="EMQ948" si="1771">IF(EMM948="Ionizador", 10, IF(EMM948="Mesa", 1000000000, IF(EMM948="Rack", 1000000000, IF(EMM948="Piso", 1000000000, IF(EMM948="Tapete", 1000000000, IF(EMM948="Carrito", 1000000000, IF(EMM948="Cautín", 10, 1)))))))</f>
        <v>1000000000</v>
      </c>
      <c r="EMR948" s="4" t="str">
        <f t="shared" ref="EMR948" si="1772">IF(EMM948="Ionizador", "Segundos", "Ohms")</f>
        <v>Ohms</v>
      </c>
      <c r="EMS948" s="6">
        <v>148000000</v>
      </c>
      <c r="EMT948" s="6" t="str">
        <f t="shared" ref="EMT948" si="1773">EMR948</f>
        <v>Ohms</v>
      </c>
      <c r="EMU948" s="2" t="str">
        <f t="shared" ref="EMU948" si="1774">IF(EMM948="Ionizador", "Plato de carga", IF(EMM948="Cautín", "PTG", "RTG"))</f>
        <v>RTG</v>
      </c>
      <c r="EMV948" s="7">
        <v>45992</v>
      </c>
      <c r="EMW948" s="7">
        <f t="shared" ref="EMW948" si="1775">IF(EMX948="Trimestral", EMV948+90, IF(EMX948="Semestral", EMV948+180, EMV948+365))</f>
        <v>46172</v>
      </c>
      <c r="EMX948" s="7" t="str">
        <f t="shared" ref="EMX948" si="1776">IF(EMM948="Ionizador", "Trimestral", IF(EMM948="Rack", "Semestral", IF(EMM948="Mesa", "Semestral", IF(EMM948="Tapete", "Semestral", IF(EMM948="Cautín", "Semestral", IF(EMM948="Silla", "Semestral", "Anual"))))))</f>
        <v>Semestral</v>
      </c>
      <c r="EMY948" s="2" t="str">
        <f t="shared" ref="EMY948" ca="1" si="1777">IF(EMW948&lt;TODAY(),"VENCIDO",IF(EMW948=TODAY(),"VENCE HOY",IF(EMW948&gt;TODAY(),"VIGENTE")))</f>
        <v>VIGENTE</v>
      </c>
      <c r="EMZ948" s="6" t="s">
        <v>25</v>
      </c>
      <c r="ENA948" s="23" t="s">
        <v>138</v>
      </c>
      <c r="ENB948" s="2" t="s">
        <v>433</v>
      </c>
      <c r="ENC948" s="3" t="s">
        <v>22</v>
      </c>
      <c r="END948" s="3" t="s">
        <v>23</v>
      </c>
      <c r="ENE948" s="2" t="s">
        <v>24</v>
      </c>
      <c r="ENF948" s="4">
        <v>0</v>
      </c>
      <c r="ENG948" s="8">
        <f t="shared" ref="ENG948" si="1778">IF(ENC948="Ionizador", 10, IF(ENC948="Mesa", 1000000000, IF(ENC948="Rack", 1000000000, IF(ENC948="Piso", 1000000000, IF(ENC948="Tapete", 1000000000, IF(ENC948="Carrito", 1000000000, IF(ENC948="Cautín", 10, 1)))))))</f>
        <v>1000000000</v>
      </c>
      <c r="ENH948" s="4" t="str">
        <f t="shared" ref="ENH948" si="1779">IF(ENC948="Ionizador", "Segundos", "Ohms")</f>
        <v>Ohms</v>
      </c>
      <c r="ENI948" s="6">
        <v>148000000</v>
      </c>
      <c r="ENJ948" s="6" t="str">
        <f t="shared" ref="ENJ948" si="1780">ENH948</f>
        <v>Ohms</v>
      </c>
      <c r="ENK948" s="2" t="str">
        <f t="shared" ref="ENK948" si="1781">IF(ENC948="Ionizador", "Plato de carga", IF(ENC948="Cautín", "PTG", "RTG"))</f>
        <v>RTG</v>
      </c>
      <c r="ENL948" s="7">
        <v>45992</v>
      </c>
      <c r="ENM948" s="7">
        <f t="shared" ref="ENM948" si="1782">IF(ENN948="Trimestral", ENL948+90, IF(ENN948="Semestral", ENL948+180, ENL948+365))</f>
        <v>46172</v>
      </c>
      <c r="ENN948" s="7" t="str">
        <f t="shared" ref="ENN948" si="1783">IF(ENC948="Ionizador", "Trimestral", IF(ENC948="Rack", "Semestral", IF(ENC948="Mesa", "Semestral", IF(ENC948="Tapete", "Semestral", IF(ENC948="Cautín", "Semestral", IF(ENC948="Silla", "Semestral", "Anual"))))))</f>
        <v>Semestral</v>
      </c>
      <c r="ENO948" s="2" t="str">
        <f t="shared" ref="ENO948" ca="1" si="1784">IF(ENM948&lt;TODAY(),"VENCIDO",IF(ENM948=TODAY(),"VENCE HOY",IF(ENM948&gt;TODAY(),"VIGENTE")))</f>
        <v>VIGENTE</v>
      </c>
      <c r="ENP948" s="6" t="s">
        <v>25</v>
      </c>
      <c r="ENQ948" s="23" t="s">
        <v>138</v>
      </c>
      <c r="ENR948" s="2" t="s">
        <v>433</v>
      </c>
      <c r="ENS948" s="3" t="s">
        <v>22</v>
      </c>
      <c r="ENT948" s="3" t="s">
        <v>23</v>
      </c>
      <c r="ENU948" s="2" t="s">
        <v>24</v>
      </c>
      <c r="ENV948" s="4">
        <v>0</v>
      </c>
      <c r="ENW948" s="8">
        <f t="shared" ref="ENW948" si="1785">IF(ENS948="Ionizador", 10, IF(ENS948="Mesa", 1000000000, IF(ENS948="Rack", 1000000000, IF(ENS948="Piso", 1000000000, IF(ENS948="Tapete", 1000000000, IF(ENS948="Carrito", 1000000000, IF(ENS948="Cautín", 10, 1)))))))</f>
        <v>1000000000</v>
      </c>
      <c r="ENX948" s="4" t="str">
        <f t="shared" ref="ENX948" si="1786">IF(ENS948="Ionizador", "Segundos", "Ohms")</f>
        <v>Ohms</v>
      </c>
      <c r="ENY948" s="6">
        <v>148000000</v>
      </c>
      <c r="ENZ948" s="6" t="str">
        <f t="shared" ref="ENZ948" si="1787">ENX948</f>
        <v>Ohms</v>
      </c>
      <c r="EOA948" s="2" t="str">
        <f t="shared" ref="EOA948" si="1788">IF(ENS948="Ionizador", "Plato de carga", IF(ENS948="Cautín", "PTG", "RTG"))</f>
        <v>RTG</v>
      </c>
      <c r="EOB948" s="7">
        <v>45992</v>
      </c>
      <c r="EOC948" s="7">
        <f t="shared" ref="EOC948" si="1789">IF(EOD948="Trimestral", EOB948+90, IF(EOD948="Semestral", EOB948+180, EOB948+365))</f>
        <v>46172</v>
      </c>
      <c r="EOD948" s="7" t="str">
        <f t="shared" ref="EOD948" si="1790">IF(ENS948="Ionizador", "Trimestral", IF(ENS948="Rack", "Semestral", IF(ENS948="Mesa", "Semestral", IF(ENS948="Tapete", "Semestral", IF(ENS948="Cautín", "Semestral", IF(ENS948="Silla", "Semestral", "Anual"))))))</f>
        <v>Semestral</v>
      </c>
      <c r="EOE948" s="2" t="str">
        <f t="shared" ref="EOE948" ca="1" si="1791">IF(EOC948&lt;TODAY(),"VENCIDO",IF(EOC948=TODAY(),"VENCE HOY",IF(EOC948&gt;TODAY(),"VIGENTE")))</f>
        <v>VIGENTE</v>
      </c>
      <c r="EOF948" s="6" t="s">
        <v>25</v>
      </c>
      <c r="EOG948" s="23" t="s">
        <v>138</v>
      </c>
      <c r="EOH948" s="2" t="s">
        <v>433</v>
      </c>
      <c r="EOI948" s="3" t="s">
        <v>22</v>
      </c>
      <c r="EOJ948" s="3" t="s">
        <v>23</v>
      </c>
      <c r="EOK948" s="2" t="s">
        <v>24</v>
      </c>
      <c r="EOL948" s="4">
        <v>0</v>
      </c>
      <c r="EOM948" s="8">
        <f t="shared" ref="EOM948" si="1792">IF(EOI948="Ionizador", 10, IF(EOI948="Mesa", 1000000000, IF(EOI948="Rack", 1000000000, IF(EOI948="Piso", 1000000000, IF(EOI948="Tapete", 1000000000, IF(EOI948="Carrito", 1000000000, IF(EOI948="Cautín", 10, 1)))))))</f>
        <v>1000000000</v>
      </c>
      <c r="EON948" s="4" t="str">
        <f t="shared" ref="EON948" si="1793">IF(EOI948="Ionizador", "Segundos", "Ohms")</f>
        <v>Ohms</v>
      </c>
      <c r="EOO948" s="6">
        <v>148000000</v>
      </c>
      <c r="EOP948" s="6" t="str">
        <f t="shared" ref="EOP948" si="1794">EON948</f>
        <v>Ohms</v>
      </c>
      <c r="EOQ948" s="2" t="str">
        <f t="shared" ref="EOQ948" si="1795">IF(EOI948="Ionizador", "Plato de carga", IF(EOI948="Cautín", "PTG", "RTG"))</f>
        <v>RTG</v>
      </c>
      <c r="EOR948" s="7">
        <v>45992</v>
      </c>
      <c r="EOS948" s="7">
        <f t="shared" ref="EOS948" si="1796">IF(EOT948="Trimestral", EOR948+90, IF(EOT948="Semestral", EOR948+180, EOR948+365))</f>
        <v>46172</v>
      </c>
      <c r="EOT948" s="7" t="str">
        <f t="shared" ref="EOT948" si="1797">IF(EOI948="Ionizador", "Trimestral", IF(EOI948="Rack", "Semestral", IF(EOI948="Mesa", "Semestral", IF(EOI948="Tapete", "Semestral", IF(EOI948="Cautín", "Semestral", IF(EOI948="Silla", "Semestral", "Anual"))))))</f>
        <v>Semestral</v>
      </c>
      <c r="EOU948" s="2" t="str">
        <f t="shared" ref="EOU948" ca="1" si="1798">IF(EOS948&lt;TODAY(),"VENCIDO",IF(EOS948=TODAY(),"VENCE HOY",IF(EOS948&gt;TODAY(),"VIGENTE")))</f>
        <v>VIGENTE</v>
      </c>
      <c r="EOV948" s="6" t="s">
        <v>25</v>
      </c>
      <c r="EOW948" s="23" t="s">
        <v>138</v>
      </c>
      <c r="EOX948" s="2" t="s">
        <v>433</v>
      </c>
      <c r="EOY948" s="3" t="s">
        <v>22</v>
      </c>
      <c r="EOZ948" s="3" t="s">
        <v>23</v>
      </c>
      <c r="EPA948" s="2" t="s">
        <v>24</v>
      </c>
      <c r="EPB948" s="4">
        <v>0</v>
      </c>
      <c r="EPC948" s="8">
        <f t="shared" ref="EPC948" si="1799">IF(EOY948="Ionizador", 10, IF(EOY948="Mesa", 1000000000, IF(EOY948="Rack", 1000000000, IF(EOY948="Piso", 1000000000, IF(EOY948="Tapete", 1000000000, IF(EOY948="Carrito", 1000000000, IF(EOY948="Cautín", 10, 1)))))))</f>
        <v>1000000000</v>
      </c>
      <c r="EPD948" s="4" t="str">
        <f t="shared" ref="EPD948" si="1800">IF(EOY948="Ionizador", "Segundos", "Ohms")</f>
        <v>Ohms</v>
      </c>
      <c r="EPE948" s="6">
        <v>148000000</v>
      </c>
      <c r="EPF948" s="6" t="str">
        <f t="shared" ref="EPF948" si="1801">EPD948</f>
        <v>Ohms</v>
      </c>
      <c r="EPG948" s="2" t="str">
        <f t="shared" ref="EPG948" si="1802">IF(EOY948="Ionizador", "Plato de carga", IF(EOY948="Cautín", "PTG", "RTG"))</f>
        <v>RTG</v>
      </c>
      <c r="EPH948" s="7">
        <v>45992</v>
      </c>
      <c r="EPI948" s="7">
        <f t="shared" ref="EPI948" si="1803">IF(EPJ948="Trimestral", EPH948+90, IF(EPJ948="Semestral", EPH948+180, EPH948+365))</f>
        <v>46172</v>
      </c>
      <c r="EPJ948" s="7" t="str">
        <f t="shared" ref="EPJ948" si="1804">IF(EOY948="Ionizador", "Trimestral", IF(EOY948="Rack", "Semestral", IF(EOY948="Mesa", "Semestral", IF(EOY948="Tapete", "Semestral", IF(EOY948="Cautín", "Semestral", IF(EOY948="Silla", "Semestral", "Anual"))))))</f>
        <v>Semestral</v>
      </c>
      <c r="EPK948" s="2" t="str">
        <f t="shared" ref="EPK948" ca="1" si="1805">IF(EPI948&lt;TODAY(),"VENCIDO",IF(EPI948=TODAY(),"VENCE HOY",IF(EPI948&gt;TODAY(),"VIGENTE")))</f>
        <v>VIGENTE</v>
      </c>
      <c r="EPL948" s="6" t="s">
        <v>25</v>
      </c>
      <c r="EPM948" s="23" t="s">
        <v>138</v>
      </c>
      <c r="EPN948" s="2" t="s">
        <v>433</v>
      </c>
      <c r="EPO948" s="3" t="s">
        <v>22</v>
      </c>
      <c r="EPP948" s="3" t="s">
        <v>23</v>
      </c>
      <c r="EPQ948" s="2" t="s">
        <v>24</v>
      </c>
      <c r="EPR948" s="4">
        <v>0</v>
      </c>
      <c r="EPS948" s="8">
        <f t="shared" ref="EPS948" si="1806">IF(EPO948="Ionizador", 10, IF(EPO948="Mesa", 1000000000, IF(EPO948="Rack", 1000000000, IF(EPO948="Piso", 1000000000, IF(EPO948="Tapete", 1000000000, IF(EPO948="Carrito", 1000000000, IF(EPO948="Cautín", 10, 1)))))))</f>
        <v>1000000000</v>
      </c>
      <c r="EPT948" s="4" t="str">
        <f t="shared" ref="EPT948" si="1807">IF(EPO948="Ionizador", "Segundos", "Ohms")</f>
        <v>Ohms</v>
      </c>
      <c r="EPU948" s="6">
        <v>148000000</v>
      </c>
      <c r="EPV948" s="6" t="str">
        <f t="shared" ref="EPV948" si="1808">EPT948</f>
        <v>Ohms</v>
      </c>
      <c r="EPW948" s="2" t="str">
        <f t="shared" ref="EPW948" si="1809">IF(EPO948="Ionizador", "Plato de carga", IF(EPO948="Cautín", "PTG", "RTG"))</f>
        <v>RTG</v>
      </c>
      <c r="EPX948" s="7">
        <v>45992</v>
      </c>
      <c r="EPY948" s="7">
        <f t="shared" ref="EPY948" si="1810">IF(EPZ948="Trimestral", EPX948+90, IF(EPZ948="Semestral", EPX948+180, EPX948+365))</f>
        <v>46172</v>
      </c>
      <c r="EPZ948" s="7" t="str">
        <f t="shared" ref="EPZ948" si="1811">IF(EPO948="Ionizador", "Trimestral", IF(EPO948="Rack", "Semestral", IF(EPO948="Mesa", "Semestral", IF(EPO948="Tapete", "Semestral", IF(EPO948="Cautín", "Semestral", IF(EPO948="Silla", "Semestral", "Anual"))))))</f>
        <v>Semestral</v>
      </c>
      <c r="EQA948" s="2" t="str">
        <f t="shared" ref="EQA948" ca="1" si="1812">IF(EPY948&lt;TODAY(),"VENCIDO",IF(EPY948=TODAY(),"VENCE HOY",IF(EPY948&gt;TODAY(),"VIGENTE")))</f>
        <v>VIGENTE</v>
      </c>
      <c r="EQB948" s="6" t="s">
        <v>25</v>
      </c>
      <c r="EQC948" s="23" t="s">
        <v>138</v>
      </c>
      <c r="EQD948" s="2" t="s">
        <v>433</v>
      </c>
      <c r="EQE948" s="3" t="s">
        <v>22</v>
      </c>
      <c r="EQF948" s="3" t="s">
        <v>23</v>
      </c>
      <c r="EQG948" s="2" t="s">
        <v>24</v>
      </c>
      <c r="EQH948" s="4">
        <v>0</v>
      </c>
      <c r="EQI948" s="8">
        <f t="shared" ref="EQI948" si="1813">IF(EQE948="Ionizador", 10, IF(EQE948="Mesa", 1000000000, IF(EQE948="Rack", 1000000000, IF(EQE948="Piso", 1000000000, IF(EQE948="Tapete", 1000000000, IF(EQE948="Carrito", 1000000000, IF(EQE948="Cautín", 10, 1)))))))</f>
        <v>1000000000</v>
      </c>
      <c r="EQJ948" s="4" t="str">
        <f t="shared" ref="EQJ948" si="1814">IF(EQE948="Ionizador", "Segundos", "Ohms")</f>
        <v>Ohms</v>
      </c>
      <c r="EQK948" s="6">
        <v>148000000</v>
      </c>
      <c r="EQL948" s="6" t="str">
        <f t="shared" ref="EQL948" si="1815">EQJ948</f>
        <v>Ohms</v>
      </c>
      <c r="EQM948" s="2" t="str">
        <f t="shared" ref="EQM948" si="1816">IF(EQE948="Ionizador", "Plato de carga", IF(EQE948="Cautín", "PTG", "RTG"))</f>
        <v>RTG</v>
      </c>
      <c r="EQN948" s="7">
        <v>45992</v>
      </c>
      <c r="EQO948" s="7">
        <f t="shared" ref="EQO948" si="1817">IF(EQP948="Trimestral", EQN948+90, IF(EQP948="Semestral", EQN948+180, EQN948+365))</f>
        <v>46172</v>
      </c>
      <c r="EQP948" s="7" t="str">
        <f t="shared" ref="EQP948" si="1818">IF(EQE948="Ionizador", "Trimestral", IF(EQE948="Rack", "Semestral", IF(EQE948="Mesa", "Semestral", IF(EQE948="Tapete", "Semestral", IF(EQE948="Cautín", "Semestral", IF(EQE948="Silla", "Semestral", "Anual"))))))</f>
        <v>Semestral</v>
      </c>
      <c r="EQQ948" s="2" t="str">
        <f t="shared" ref="EQQ948" ca="1" si="1819">IF(EQO948&lt;TODAY(),"VENCIDO",IF(EQO948=TODAY(),"VENCE HOY",IF(EQO948&gt;TODAY(),"VIGENTE")))</f>
        <v>VIGENTE</v>
      </c>
      <c r="EQR948" s="6" t="s">
        <v>25</v>
      </c>
      <c r="EQS948" s="23" t="s">
        <v>138</v>
      </c>
      <c r="EQT948" s="2" t="s">
        <v>433</v>
      </c>
      <c r="EQU948" s="3" t="s">
        <v>22</v>
      </c>
      <c r="EQV948" s="3" t="s">
        <v>23</v>
      </c>
      <c r="EQW948" s="2" t="s">
        <v>24</v>
      </c>
      <c r="EQX948" s="4">
        <v>0</v>
      </c>
      <c r="EQY948" s="8">
        <f t="shared" ref="EQY948" si="1820">IF(EQU948="Ionizador", 10, IF(EQU948="Mesa", 1000000000, IF(EQU948="Rack", 1000000000, IF(EQU948="Piso", 1000000000, IF(EQU948="Tapete", 1000000000, IF(EQU948="Carrito", 1000000000, IF(EQU948="Cautín", 10, 1)))))))</f>
        <v>1000000000</v>
      </c>
      <c r="EQZ948" s="4" t="str">
        <f t="shared" ref="EQZ948" si="1821">IF(EQU948="Ionizador", "Segundos", "Ohms")</f>
        <v>Ohms</v>
      </c>
      <c r="ERA948" s="6">
        <v>148000000</v>
      </c>
      <c r="ERB948" s="6" t="str">
        <f t="shared" ref="ERB948" si="1822">EQZ948</f>
        <v>Ohms</v>
      </c>
      <c r="ERC948" s="2" t="str">
        <f t="shared" ref="ERC948" si="1823">IF(EQU948="Ionizador", "Plato de carga", IF(EQU948="Cautín", "PTG", "RTG"))</f>
        <v>RTG</v>
      </c>
      <c r="ERD948" s="7">
        <v>45992</v>
      </c>
      <c r="ERE948" s="7">
        <f t="shared" ref="ERE948" si="1824">IF(ERF948="Trimestral", ERD948+90, IF(ERF948="Semestral", ERD948+180, ERD948+365))</f>
        <v>46172</v>
      </c>
      <c r="ERF948" s="7" t="str">
        <f t="shared" ref="ERF948" si="1825">IF(EQU948="Ionizador", "Trimestral", IF(EQU948="Rack", "Semestral", IF(EQU948="Mesa", "Semestral", IF(EQU948="Tapete", "Semestral", IF(EQU948="Cautín", "Semestral", IF(EQU948="Silla", "Semestral", "Anual"))))))</f>
        <v>Semestral</v>
      </c>
      <c r="ERG948" s="2" t="str">
        <f t="shared" ref="ERG948" ca="1" si="1826">IF(ERE948&lt;TODAY(),"VENCIDO",IF(ERE948=TODAY(),"VENCE HOY",IF(ERE948&gt;TODAY(),"VIGENTE")))</f>
        <v>VIGENTE</v>
      </c>
      <c r="ERH948" s="6" t="s">
        <v>25</v>
      </c>
      <c r="ERI948" s="23" t="s">
        <v>138</v>
      </c>
      <c r="ERJ948" s="2" t="s">
        <v>433</v>
      </c>
      <c r="ERK948" s="3" t="s">
        <v>22</v>
      </c>
      <c r="ERL948" s="3" t="s">
        <v>23</v>
      </c>
      <c r="ERM948" s="2" t="s">
        <v>24</v>
      </c>
      <c r="ERN948" s="4">
        <v>0</v>
      </c>
      <c r="ERO948" s="8">
        <f t="shared" ref="ERO948" si="1827">IF(ERK948="Ionizador", 10, IF(ERK948="Mesa", 1000000000, IF(ERK948="Rack", 1000000000, IF(ERK948="Piso", 1000000000, IF(ERK948="Tapete", 1000000000, IF(ERK948="Carrito", 1000000000, IF(ERK948="Cautín", 10, 1)))))))</f>
        <v>1000000000</v>
      </c>
      <c r="ERP948" s="4" t="str">
        <f t="shared" ref="ERP948" si="1828">IF(ERK948="Ionizador", "Segundos", "Ohms")</f>
        <v>Ohms</v>
      </c>
      <c r="ERQ948" s="6">
        <v>148000000</v>
      </c>
      <c r="ERR948" s="6" t="str">
        <f t="shared" ref="ERR948" si="1829">ERP948</f>
        <v>Ohms</v>
      </c>
      <c r="ERS948" s="2" t="str">
        <f t="shared" ref="ERS948" si="1830">IF(ERK948="Ionizador", "Plato de carga", IF(ERK948="Cautín", "PTG", "RTG"))</f>
        <v>RTG</v>
      </c>
      <c r="ERT948" s="7">
        <v>45992</v>
      </c>
      <c r="ERU948" s="7">
        <f t="shared" ref="ERU948" si="1831">IF(ERV948="Trimestral", ERT948+90, IF(ERV948="Semestral", ERT948+180, ERT948+365))</f>
        <v>46172</v>
      </c>
      <c r="ERV948" s="7" t="str">
        <f t="shared" ref="ERV948" si="1832">IF(ERK948="Ionizador", "Trimestral", IF(ERK948="Rack", "Semestral", IF(ERK948="Mesa", "Semestral", IF(ERK948="Tapete", "Semestral", IF(ERK948="Cautín", "Semestral", IF(ERK948="Silla", "Semestral", "Anual"))))))</f>
        <v>Semestral</v>
      </c>
      <c r="ERW948" s="2" t="str">
        <f t="shared" ref="ERW948" ca="1" si="1833">IF(ERU948&lt;TODAY(),"VENCIDO",IF(ERU948=TODAY(),"VENCE HOY",IF(ERU948&gt;TODAY(),"VIGENTE")))</f>
        <v>VIGENTE</v>
      </c>
      <c r="ERX948" s="6" t="s">
        <v>25</v>
      </c>
      <c r="ERY948" s="23" t="s">
        <v>138</v>
      </c>
      <c r="ERZ948" s="2" t="s">
        <v>433</v>
      </c>
      <c r="ESA948" s="3" t="s">
        <v>22</v>
      </c>
      <c r="ESB948" s="3" t="s">
        <v>23</v>
      </c>
      <c r="ESC948" s="2" t="s">
        <v>24</v>
      </c>
      <c r="ESD948" s="4">
        <v>0</v>
      </c>
      <c r="ESE948" s="8">
        <f t="shared" ref="ESE948" si="1834">IF(ESA948="Ionizador", 10, IF(ESA948="Mesa", 1000000000, IF(ESA948="Rack", 1000000000, IF(ESA948="Piso", 1000000000, IF(ESA948="Tapete", 1000000000, IF(ESA948="Carrito", 1000000000, IF(ESA948="Cautín", 10, 1)))))))</f>
        <v>1000000000</v>
      </c>
      <c r="ESF948" s="4" t="str">
        <f t="shared" ref="ESF948" si="1835">IF(ESA948="Ionizador", "Segundos", "Ohms")</f>
        <v>Ohms</v>
      </c>
      <c r="ESG948" s="6">
        <v>148000000</v>
      </c>
      <c r="ESH948" s="6" t="str">
        <f t="shared" ref="ESH948" si="1836">ESF948</f>
        <v>Ohms</v>
      </c>
      <c r="ESI948" s="2" t="str">
        <f t="shared" ref="ESI948" si="1837">IF(ESA948="Ionizador", "Plato de carga", IF(ESA948="Cautín", "PTG", "RTG"))</f>
        <v>RTG</v>
      </c>
      <c r="ESJ948" s="7">
        <v>45992</v>
      </c>
      <c r="ESK948" s="7">
        <f t="shared" ref="ESK948" si="1838">IF(ESL948="Trimestral", ESJ948+90, IF(ESL948="Semestral", ESJ948+180, ESJ948+365))</f>
        <v>46172</v>
      </c>
      <c r="ESL948" s="7" t="str">
        <f t="shared" ref="ESL948" si="1839">IF(ESA948="Ionizador", "Trimestral", IF(ESA948="Rack", "Semestral", IF(ESA948="Mesa", "Semestral", IF(ESA948="Tapete", "Semestral", IF(ESA948="Cautín", "Semestral", IF(ESA948="Silla", "Semestral", "Anual"))))))</f>
        <v>Semestral</v>
      </c>
      <c r="ESM948" s="2" t="str">
        <f t="shared" ref="ESM948" ca="1" si="1840">IF(ESK948&lt;TODAY(),"VENCIDO",IF(ESK948=TODAY(),"VENCE HOY",IF(ESK948&gt;TODAY(),"VIGENTE")))</f>
        <v>VIGENTE</v>
      </c>
      <c r="ESN948" s="6" t="s">
        <v>25</v>
      </c>
      <c r="ESO948" s="23" t="s">
        <v>138</v>
      </c>
      <c r="ESP948" s="2" t="s">
        <v>433</v>
      </c>
      <c r="ESQ948" s="3" t="s">
        <v>22</v>
      </c>
      <c r="ESR948" s="3" t="s">
        <v>23</v>
      </c>
      <c r="ESS948" s="2" t="s">
        <v>24</v>
      </c>
      <c r="EST948" s="4">
        <v>0</v>
      </c>
      <c r="ESU948" s="8">
        <f t="shared" ref="ESU948" si="1841">IF(ESQ948="Ionizador", 10, IF(ESQ948="Mesa", 1000000000, IF(ESQ948="Rack", 1000000000, IF(ESQ948="Piso", 1000000000, IF(ESQ948="Tapete", 1000000000, IF(ESQ948="Carrito", 1000000000, IF(ESQ948="Cautín", 10, 1)))))))</f>
        <v>1000000000</v>
      </c>
      <c r="ESV948" s="4" t="str">
        <f t="shared" ref="ESV948" si="1842">IF(ESQ948="Ionizador", "Segundos", "Ohms")</f>
        <v>Ohms</v>
      </c>
      <c r="ESW948" s="6">
        <v>148000000</v>
      </c>
      <c r="ESX948" s="6" t="str">
        <f t="shared" ref="ESX948" si="1843">ESV948</f>
        <v>Ohms</v>
      </c>
      <c r="ESY948" s="2" t="str">
        <f t="shared" ref="ESY948" si="1844">IF(ESQ948="Ionizador", "Plato de carga", IF(ESQ948="Cautín", "PTG", "RTG"))</f>
        <v>RTG</v>
      </c>
      <c r="ESZ948" s="7">
        <v>45992</v>
      </c>
      <c r="ETA948" s="7">
        <f t="shared" ref="ETA948" si="1845">IF(ETB948="Trimestral", ESZ948+90, IF(ETB948="Semestral", ESZ948+180, ESZ948+365))</f>
        <v>46172</v>
      </c>
      <c r="ETB948" s="7" t="str">
        <f t="shared" ref="ETB948" si="1846">IF(ESQ948="Ionizador", "Trimestral", IF(ESQ948="Rack", "Semestral", IF(ESQ948="Mesa", "Semestral", IF(ESQ948="Tapete", "Semestral", IF(ESQ948="Cautín", "Semestral", IF(ESQ948="Silla", "Semestral", "Anual"))))))</f>
        <v>Semestral</v>
      </c>
      <c r="ETC948" s="2" t="str">
        <f t="shared" ref="ETC948" ca="1" si="1847">IF(ETA948&lt;TODAY(),"VENCIDO",IF(ETA948=TODAY(),"VENCE HOY",IF(ETA948&gt;TODAY(),"VIGENTE")))</f>
        <v>VIGENTE</v>
      </c>
      <c r="ETD948" s="6" t="s">
        <v>25</v>
      </c>
      <c r="ETE948" s="23" t="s">
        <v>138</v>
      </c>
      <c r="ETF948" s="2" t="s">
        <v>433</v>
      </c>
      <c r="ETG948" s="3" t="s">
        <v>22</v>
      </c>
      <c r="ETH948" s="3" t="s">
        <v>23</v>
      </c>
      <c r="ETI948" s="2" t="s">
        <v>24</v>
      </c>
      <c r="ETJ948" s="4">
        <v>0</v>
      </c>
      <c r="ETK948" s="8">
        <f t="shared" ref="ETK948" si="1848">IF(ETG948="Ionizador", 10, IF(ETG948="Mesa", 1000000000, IF(ETG948="Rack", 1000000000, IF(ETG948="Piso", 1000000000, IF(ETG948="Tapete", 1000000000, IF(ETG948="Carrito", 1000000000, IF(ETG948="Cautín", 10, 1)))))))</f>
        <v>1000000000</v>
      </c>
      <c r="ETL948" s="4" t="str">
        <f t="shared" ref="ETL948" si="1849">IF(ETG948="Ionizador", "Segundos", "Ohms")</f>
        <v>Ohms</v>
      </c>
      <c r="ETM948" s="6">
        <v>148000000</v>
      </c>
      <c r="ETN948" s="6" t="str">
        <f t="shared" ref="ETN948" si="1850">ETL948</f>
        <v>Ohms</v>
      </c>
      <c r="ETO948" s="2" t="str">
        <f t="shared" ref="ETO948" si="1851">IF(ETG948="Ionizador", "Plato de carga", IF(ETG948="Cautín", "PTG", "RTG"))</f>
        <v>RTG</v>
      </c>
      <c r="ETP948" s="7">
        <v>45992</v>
      </c>
      <c r="ETQ948" s="7">
        <f t="shared" ref="ETQ948" si="1852">IF(ETR948="Trimestral", ETP948+90, IF(ETR948="Semestral", ETP948+180, ETP948+365))</f>
        <v>46172</v>
      </c>
      <c r="ETR948" s="7" t="str">
        <f t="shared" ref="ETR948" si="1853">IF(ETG948="Ionizador", "Trimestral", IF(ETG948="Rack", "Semestral", IF(ETG948="Mesa", "Semestral", IF(ETG948="Tapete", "Semestral", IF(ETG948="Cautín", "Semestral", IF(ETG948="Silla", "Semestral", "Anual"))))))</f>
        <v>Semestral</v>
      </c>
      <c r="ETS948" s="2" t="str">
        <f t="shared" ref="ETS948" ca="1" si="1854">IF(ETQ948&lt;TODAY(),"VENCIDO",IF(ETQ948=TODAY(),"VENCE HOY",IF(ETQ948&gt;TODAY(),"VIGENTE")))</f>
        <v>VIGENTE</v>
      </c>
      <c r="ETT948" s="6" t="s">
        <v>25</v>
      </c>
      <c r="ETU948" s="23" t="s">
        <v>138</v>
      </c>
      <c r="ETV948" s="2" t="s">
        <v>433</v>
      </c>
      <c r="ETW948" s="3" t="s">
        <v>22</v>
      </c>
      <c r="ETX948" s="3" t="s">
        <v>23</v>
      </c>
      <c r="ETY948" s="2" t="s">
        <v>24</v>
      </c>
      <c r="ETZ948" s="4">
        <v>0</v>
      </c>
      <c r="EUA948" s="8">
        <f t="shared" ref="EUA948" si="1855">IF(ETW948="Ionizador", 10, IF(ETW948="Mesa", 1000000000, IF(ETW948="Rack", 1000000000, IF(ETW948="Piso", 1000000000, IF(ETW948="Tapete", 1000000000, IF(ETW948="Carrito", 1000000000, IF(ETW948="Cautín", 10, 1)))))))</f>
        <v>1000000000</v>
      </c>
      <c r="EUB948" s="4" t="str">
        <f t="shared" ref="EUB948" si="1856">IF(ETW948="Ionizador", "Segundos", "Ohms")</f>
        <v>Ohms</v>
      </c>
      <c r="EUC948" s="6">
        <v>148000000</v>
      </c>
      <c r="EUD948" s="6" t="str">
        <f t="shared" ref="EUD948" si="1857">EUB948</f>
        <v>Ohms</v>
      </c>
      <c r="EUE948" s="2" t="str">
        <f t="shared" ref="EUE948" si="1858">IF(ETW948="Ionizador", "Plato de carga", IF(ETW948="Cautín", "PTG", "RTG"))</f>
        <v>RTG</v>
      </c>
      <c r="EUF948" s="7">
        <v>45992</v>
      </c>
      <c r="EUG948" s="7">
        <f t="shared" ref="EUG948" si="1859">IF(EUH948="Trimestral", EUF948+90, IF(EUH948="Semestral", EUF948+180, EUF948+365))</f>
        <v>46172</v>
      </c>
      <c r="EUH948" s="7" t="str">
        <f t="shared" ref="EUH948" si="1860">IF(ETW948="Ionizador", "Trimestral", IF(ETW948="Rack", "Semestral", IF(ETW948="Mesa", "Semestral", IF(ETW948="Tapete", "Semestral", IF(ETW948="Cautín", "Semestral", IF(ETW948="Silla", "Semestral", "Anual"))))))</f>
        <v>Semestral</v>
      </c>
      <c r="EUI948" s="2" t="str">
        <f t="shared" ref="EUI948" ca="1" si="1861">IF(EUG948&lt;TODAY(),"VENCIDO",IF(EUG948=TODAY(),"VENCE HOY",IF(EUG948&gt;TODAY(),"VIGENTE")))</f>
        <v>VIGENTE</v>
      </c>
      <c r="EUJ948" s="6" t="s">
        <v>25</v>
      </c>
      <c r="EUK948" s="23" t="s">
        <v>138</v>
      </c>
      <c r="EUL948" s="2" t="s">
        <v>433</v>
      </c>
      <c r="EUM948" s="3" t="s">
        <v>22</v>
      </c>
      <c r="EUN948" s="3" t="s">
        <v>23</v>
      </c>
      <c r="EUO948" s="2" t="s">
        <v>24</v>
      </c>
      <c r="EUP948" s="4">
        <v>0</v>
      </c>
      <c r="EUQ948" s="8">
        <f t="shared" ref="EUQ948" si="1862">IF(EUM948="Ionizador", 10, IF(EUM948="Mesa", 1000000000, IF(EUM948="Rack", 1000000000, IF(EUM948="Piso", 1000000000, IF(EUM948="Tapete", 1000000000, IF(EUM948="Carrito", 1000000000, IF(EUM948="Cautín", 10, 1)))))))</f>
        <v>1000000000</v>
      </c>
      <c r="EUR948" s="4" t="str">
        <f t="shared" ref="EUR948" si="1863">IF(EUM948="Ionizador", "Segundos", "Ohms")</f>
        <v>Ohms</v>
      </c>
      <c r="EUS948" s="6">
        <v>148000000</v>
      </c>
      <c r="EUT948" s="6" t="str">
        <f t="shared" ref="EUT948" si="1864">EUR948</f>
        <v>Ohms</v>
      </c>
      <c r="EUU948" s="2" t="str">
        <f t="shared" ref="EUU948" si="1865">IF(EUM948="Ionizador", "Plato de carga", IF(EUM948="Cautín", "PTG", "RTG"))</f>
        <v>RTG</v>
      </c>
      <c r="EUV948" s="7">
        <v>45992</v>
      </c>
      <c r="EUW948" s="7">
        <f t="shared" ref="EUW948" si="1866">IF(EUX948="Trimestral", EUV948+90, IF(EUX948="Semestral", EUV948+180, EUV948+365))</f>
        <v>46172</v>
      </c>
      <c r="EUX948" s="7" t="str">
        <f t="shared" ref="EUX948" si="1867">IF(EUM948="Ionizador", "Trimestral", IF(EUM948="Rack", "Semestral", IF(EUM948="Mesa", "Semestral", IF(EUM948="Tapete", "Semestral", IF(EUM948="Cautín", "Semestral", IF(EUM948="Silla", "Semestral", "Anual"))))))</f>
        <v>Semestral</v>
      </c>
      <c r="EUY948" s="2" t="str">
        <f t="shared" ref="EUY948" ca="1" si="1868">IF(EUW948&lt;TODAY(),"VENCIDO",IF(EUW948=TODAY(),"VENCE HOY",IF(EUW948&gt;TODAY(),"VIGENTE")))</f>
        <v>VIGENTE</v>
      </c>
      <c r="EUZ948" s="6" t="s">
        <v>25</v>
      </c>
      <c r="EVA948" s="23" t="s">
        <v>138</v>
      </c>
      <c r="EVB948" s="2" t="s">
        <v>433</v>
      </c>
      <c r="EVC948" s="3" t="s">
        <v>22</v>
      </c>
      <c r="EVD948" s="3" t="s">
        <v>23</v>
      </c>
      <c r="EVE948" s="2" t="s">
        <v>24</v>
      </c>
      <c r="EVF948" s="4">
        <v>0</v>
      </c>
      <c r="EVG948" s="8">
        <f t="shared" ref="EVG948" si="1869">IF(EVC948="Ionizador", 10, IF(EVC948="Mesa", 1000000000, IF(EVC948="Rack", 1000000000, IF(EVC948="Piso", 1000000000, IF(EVC948="Tapete", 1000000000, IF(EVC948="Carrito", 1000000000, IF(EVC948="Cautín", 10, 1)))))))</f>
        <v>1000000000</v>
      </c>
      <c r="EVH948" s="4" t="str">
        <f t="shared" ref="EVH948" si="1870">IF(EVC948="Ionizador", "Segundos", "Ohms")</f>
        <v>Ohms</v>
      </c>
      <c r="EVI948" s="6">
        <v>148000000</v>
      </c>
      <c r="EVJ948" s="6" t="str">
        <f t="shared" ref="EVJ948" si="1871">EVH948</f>
        <v>Ohms</v>
      </c>
      <c r="EVK948" s="2" t="str">
        <f t="shared" ref="EVK948" si="1872">IF(EVC948="Ionizador", "Plato de carga", IF(EVC948="Cautín", "PTG", "RTG"))</f>
        <v>RTG</v>
      </c>
      <c r="EVL948" s="7">
        <v>45992</v>
      </c>
      <c r="EVM948" s="7">
        <f t="shared" ref="EVM948" si="1873">IF(EVN948="Trimestral", EVL948+90, IF(EVN948="Semestral", EVL948+180, EVL948+365))</f>
        <v>46172</v>
      </c>
      <c r="EVN948" s="7" t="str">
        <f t="shared" ref="EVN948" si="1874">IF(EVC948="Ionizador", "Trimestral", IF(EVC948="Rack", "Semestral", IF(EVC948="Mesa", "Semestral", IF(EVC948="Tapete", "Semestral", IF(EVC948="Cautín", "Semestral", IF(EVC948="Silla", "Semestral", "Anual"))))))</f>
        <v>Semestral</v>
      </c>
      <c r="EVO948" s="2" t="str">
        <f t="shared" ref="EVO948" ca="1" si="1875">IF(EVM948&lt;TODAY(),"VENCIDO",IF(EVM948=TODAY(),"VENCE HOY",IF(EVM948&gt;TODAY(),"VIGENTE")))</f>
        <v>VIGENTE</v>
      </c>
      <c r="EVP948" s="6" t="s">
        <v>25</v>
      </c>
      <c r="EVQ948" s="23" t="s">
        <v>138</v>
      </c>
      <c r="EVR948" s="2" t="s">
        <v>433</v>
      </c>
      <c r="EVS948" s="3" t="s">
        <v>22</v>
      </c>
      <c r="EVT948" s="3" t="s">
        <v>23</v>
      </c>
      <c r="EVU948" s="2" t="s">
        <v>24</v>
      </c>
      <c r="EVV948" s="4">
        <v>0</v>
      </c>
      <c r="EVW948" s="8">
        <f t="shared" ref="EVW948" si="1876">IF(EVS948="Ionizador", 10, IF(EVS948="Mesa", 1000000000, IF(EVS948="Rack", 1000000000, IF(EVS948="Piso", 1000000000, IF(EVS948="Tapete", 1000000000, IF(EVS948="Carrito", 1000000000, IF(EVS948="Cautín", 10, 1)))))))</f>
        <v>1000000000</v>
      </c>
      <c r="EVX948" s="4" t="str">
        <f t="shared" ref="EVX948" si="1877">IF(EVS948="Ionizador", "Segundos", "Ohms")</f>
        <v>Ohms</v>
      </c>
      <c r="EVY948" s="6">
        <v>148000000</v>
      </c>
      <c r="EVZ948" s="6" t="str">
        <f t="shared" ref="EVZ948" si="1878">EVX948</f>
        <v>Ohms</v>
      </c>
      <c r="EWA948" s="2" t="str">
        <f t="shared" ref="EWA948" si="1879">IF(EVS948="Ionizador", "Plato de carga", IF(EVS948="Cautín", "PTG", "RTG"))</f>
        <v>RTG</v>
      </c>
      <c r="EWB948" s="7">
        <v>45992</v>
      </c>
      <c r="EWC948" s="7">
        <f t="shared" ref="EWC948" si="1880">IF(EWD948="Trimestral", EWB948+90, IF(EWD948="Semestral", EWB948+180, EWB948+365))</f>
        <v>46172</v>
      </c>
      <c r="EWD948" s="7" t="str">
        <f t="shared" ref="EWD948" si="1881">IF(EVS948="Ionizador", "Trimestral", IF(EVS948="Rack", "Semestral", IF(EVS948="Mesa", "Semestral", IF(EVS948="Tapete", "Semestral", IF(EVS948="Cautín", "Semestral", IF(EVS948="Silla", "Semestral", "Anual"))))))</f>
        <v>Semestral</v>
      </c>
      <c r="EWE948" s="2" t="str">
        <f t="shared" ref="EWE948" ca="1" si="1882">IF(EWC948&lt;TODAY(),"VENCIDO",IF(EWC948=TODAY(),"VENCE HOY",IF(EWC948&gt;TODAY(),"VIGENTE")))</f>
        <v>VIGENTE</v>
      </c>
      <c r="EWF948" s="6" t="s">
        <v>25</v>
      </c>
      <c r="EWG948" s="23" t="s">
        <v>138</v>
      </c>
      <c r="EWH948" s="2" t="s">
        <v>433</v>
      </c>
      <c r="EWI948" s="3" t="s">
        <v>22</v>
      </c>
      <c r="EWJ948" s="3" t="s">
        <v>23</v>
      </c>
      <c r="EWK948" s="2" t="s">
        <v>24</v>
      </c>
      <c r="EWL948" s="4">
        <v>0</v>
      </c>
      <c r="EWM948" s="8">
        <f t="shared" ref="EWM948" si="1883">IF(EWI948="Ionizador", 10, IF(EWI948="Mesa", 1000000000, IF(EWI948="Rack", 1000000000, IF(EWI948="Piso", 1000000000, IF(EWI948="Tapete", 1000000000, IF(EWI948="Carrito", 1000000000, IF(EWI948="Cautín", 10, 1)))))))</f>
        <v>1000000000</v>
      </c>
      <c r="EWN948" s="4" t="str">
        <f t="shared" ref="EWN948" si="1884">IF(EWI948="Ionizador", "Segundos", "Ohms")</f>
        <v>Ohms</v>
      </c>
      <c r="EWO948" s="6">
        <v>148000000</v>
      </c>
      <c r="EWP948" s="6" t="str">
        <f t="shared" ref="EWP948" si="1885">EWN948</f>
        <v>Ohms</v>
      </c>
      <c r="EWQ948" s="2" t="str">
        <f t="shared" ref="EWQ948" si="1886">IF(EWI948="Ionizador", "Plato de carga", IF(EWI948="Cautín", "PTG", "RTG"))</f>
        <v>RTG</v>
      </c>
      <c r="EWR948" s="7">
        <v>45992</v>
      </c>
      <c r="EWS948" s="7">
        <f t="shared" ref="EWS948" si="1887">IF(EWT948="Trimestral", EWR948+90, IF(EWT948="Semestral", EWR948+180, EWR948+365))</f>
        <v>46172</v>
      </c>
      <c r="EWT948" s="7" t="str">
        <f t="shared" ref="EWT948" si="1888">IF(EWI948="Ionizador", "Trimestral", IF(EWI948="Rack", "Semestral", IF(EWI948="Mesa", "Semestral", IF(EWI948="Tapete", "Semestral", IF(EWI948="Cautín", "Semestral", IF(EWI948="Silla", "Semestral", "Anual"))))))</f>
        <v>Semestral</v>
      </c>
      <c r="EWU948" s="2" t="str">
        <f t="shared" ref="EWU948" ca="1" si="1889">IF(EWS948&lt;TODAY(),"VENCIDO",IF(EWS948=TODAY(),"VENCE HOY",IF(EWS948&gt;TODAY(),"VIGENTE")))</f>
        <v>VIGENTE</v>
      </c>
      <c r="EWV948" s="6" t="s">
        <v>25</v>
      </c>
      <c r="EWW948" s="23" t="s">
        <v>138</v>
      </c>
      <c r="EWX948" s="2" t="s">
        <v>433</v>
      </c>
      <c r="EWY948" s="3" t="s">
        <v>22</v>
      </c>
      <c r="EWZ948" s="3" t="s">
        <v>23</v>
      </c>
      <c r="EXA948" s="2" t="s">
        <v>24</v>
      </c>
      <c r="EXB948" s="4">
        <v>0</v>
      </c>
      <c r="EXC948" s="8">
        <f t="shared" ref="EXC948" si="1890">IF(EWY948="Ionizador", 10, IF(EWY948="Mesa", 1000000000, IF(EWY948="Rack", 1000000000, IF(EWY948="Piso", 1000000000, IF(EWY948="Tapete", 1000000000, IF(EWY948="Carrito", 1000000000, IF(EWY948="Cautín", 10, 1)))))))</f>
        <v>1000000000</v>
      </c>
      <c r="EXD948" s="4" t="str">
        <f t="shared" ref="EXD948" si="1891">IF(EWY948="Ionizador", "Segundos", "Ohms")</f>
        <v>Ohms</v>
      </c>
      <c r="EXE948" s="6">
        <v>148000000</v>
      </c>
      <c r="EXF948" s="6" t="str">
        <f t="shared" ref="EXF948" si="1892">EXD948</f>
        <v>Ohms</v>
      </c>
      <c r="EXG948" s="2" t="str">
        <f t="shared" ref="EXG948" si="1893">IF(EWY948="Ionizador", "Plato de carga", IF(EWY948="Cautín", "PTG", "RTG"))</f>
        <v>RTG</v>
      </c>
      <c r="EXH948" s="7">
        <v>45992</v>
      </c>
      <c r="EXI948" s="7">
        <f t="shared" ref="EXI948" si="1894">IF(EXJ948="Trimestral", EXH948+90, IF(EXJ948="Semestral", EXH948+180, EXH948+365))</f>
        <v>46172</v>
      </c>
      <c r="EXJ948" s="7" t="str">
        <f t="shared" ref="EXJ948" si="1895">IF(EWY948="Ionizador", "Trimestral", IF(EWY948="Rack", "Semestral", IF(EWY948="Mesa", "Semestral", IF(EWY948="Tapete", "Semestral", IF(EWY948="Cautín", "Semestral", IF(EWY948="Silla", "Semestral", "Anual"))))))</f>
        <v>Semestral</v>
      </c>
      <c r="EXK948" s="2" t="str">
        <f t="shared" ref="EXK948" ca="1" si="1896">IF(EXI948&lt;TODAY(),"VENCIDO",IF(EXI948=TODAY(),"VENCE HOY",IF(EXI948&gt;TODAY(),"VIGENTE")))</f>
        <v>VIGENTE</v>
      </c>
      <c r="EXL948" s="6" t="s">
        <v>25</v>
      </c>
      <c r="EXM948" s="23" t="s">
        <v>138</v>
      </c>
      <c r="EXN948" s="2" t="s">
        <v>433</v>
      </c>
      <c r="EXO948" s="3" t="s">
        <v>22</v>
      </c>
      <c r="EXP948" s="3" t="s">
        <v>23</v>
      </c>
      <c r="EXQ948" s="2" t="s">
        <v>24</v>
      </c>
      <c r="EXR948" s="4">
        <v>0</v>
      </c>
      <c r="EXS948" s="8">
        <f t="shared" ref="EXS948" si="1897">IF(EXO948="Ionizador", 10, IF(EXO948="Mesa", 1000000000, IF(EXO948="Rack", 1000000000, IF(EXO948="Piso", 1000000000, IF(EXO948="Tapete", 1000000000, IF(EXO948="Carrito", 1000000000, IF(EXO948="Cautín", 10, 1)))))))</f>
        <v>1000000000</v>
      </c>
      <c r="EXT948" s="4" t="str">
        <f t="shared" ref="EXT948" si="1898">IF(EXO948="Ionizador", "Segundos", "Ohms")</f>
        <v>Ohms</v>
      </c>
      <c r="EXU948" s="6">
        <v>148000000</v>
      </c>
      <c r="EXV948" s="6" t="str">
        <f t="shared" ref="EXV948" si="1899">EXT948</f>
        <v>Ohms</v>
      </c>
      <c r="EXW948" s="2" t="str">
        <f t="shared" ref="EXW948" si="1900">IF(EXO948="Ionizador", "Plato de carga", IF(EXO948="Cautín", "PTG", "RTG"))</f>
        <v>RTG</v>
      </c>
      <c r="EXX948" s="7">
        <v>45992</v>
      </c>
      <c r="EXY948" s="7">
        <f t="shared" ref="EXY948" si="1901">IF(EXZ948="Trimestral", EXX948+90, IF(EXZ948="Semestral", EXX948+180, EXX948+365))</f>
        <v>46172</v>
      </c>
      <c r="EXZ948" s="7" t="str">
        <f t="shared" ref="EXZ948" si="1902">IF(EXO948="Ionizador", "Trimestral", IF(EXO948="Rack", "Semestral", IF(EXO948="Mesa", "Semestral", IF(EXO948="Tapete", "Semestral", IF(EXO948="Cautín", "Semestral", IF(EXO948="Silla", "Semestral", "Anual"))))))</f>
        <v>Semestral</v>
      </c>
      <c r="EYA948" s="2" t="str">
        <f t="shared" ref="EYA948" ca="1" si="1903">IF(EXY948&lt;TODAY(),"VENCIDO",IF(EXY948=TODAY(),"VENCE HOY",IF(EXY948&gt;TODAY(),"VIGENTE")))</f>
        <v>VIGENTE</v>
      </c>
      <c r="EYB948" s="6" t="s">
        <v>25</v>
      </c>
      <c r="EYC948" s="23" t="s">
        <v>138</v>
      </c>
      <c r="EYD948" s="2" t="s">
        <v>433</v>
      </c>
      <c r="EYE948" s="3" t="s">
        <v>22</v>
      </c>
      <c r="EYF948" s="3" t="s">
        <v>23</v>
      </c>
      <c r="EYG948" s="2" t="s">
        <v>24</v>
      </c>
      <c r="EYH948" s="4">
        <v>0</v>
      </c>
      <c r="EYI948" s="8">
        <f t="shared" ref="EYI948" si="1904">IF(EYE948="Ionizador", 10, IF(EYE948="Mesa", 1000000000, IF(EYE948="Rack", 1000000000, IF(EYE948="Piso", 1000000000, IF(EYE948="Tapete", 1000000000, IF(EYE948="Carrito", 1000000000, IF(EYE948="Cautín", 10, 1)))))))</f>
        <v>1000000000</v>
      </c>
      <c r="EYJ948" s="4" t="str">
        <f t="shared" ref="EYJ948" si="1905">IF(EYE948="Ionizador", "Segundos", "Ohms")</f>
        <v>Ohms</v>
      </c>
      <c r="EYK948" s="6">
        <v>148000000</v>
      </c>
      <c r="EYL948" s="6" t="str">
        <f t="shared" ref="EYL948" si="1906">EYJ948</f>
        <v>Ohms</v>
      </c>
      <c r="EYM948" s="2" t="str">
        <f t="shared" ref="EYM948" si="1907">IF(EYE948="Ionizador", "Plato de carga", IF(EYE948="Cautín", "PTG", "RTG"))</f>
        <v>RTG</v>
      </c>
      <c r="EYN948" s="7">
        <v>45992</v>
      </c>
      <c r="EYO948" s="7">
        <f t="shared" ref="EYO948" si="1908">IF(EYP948="Trimestral", EYN948+90, IF(EYP948="Semestral", EYN948+180, EYN948+365))</f>
        <v>46172</v>
      </c>
      <c r="EYP948" s="7" t="str">
        <f t="shared" ref="EYP948" si="1909">IF(EYE948="Ionizador", "Trimestral", IF(EYE948="Rack", "Semestral", IF(EYE948="Mesa", "Semestral", IF(EYE948="Tapete", "Semestral", IF(EYE948="Cautín", "Semestral", IF(EYE948="Silla", "Semestral", "Anual"))))))</f>
        <v>Semestral</v>
      </c>
      <c r="EYQ948" s="2" t="str">
        <f t="shared" ref="EYQ948" ca="1" si="1910">IF(EYO948&lt;TODAY(),"VENCIDO",IF(EYO948=TODAY(),"VENCE HOY",IF(EYO948&gt;TODAY(),"VIGENTE")))</f>
        <v>VIGENTE</v>
      </c>
      <c r="EYR948" s="6" t="s">
        <v>25</v>
      </c>
      <c r="EYS948" s="23" t="s">
        <v>138</v>
      </c>
      <c r="EYT948" s="2" t="s">
        <v>433</v>
      </c>
      <c r="EYU948" s="3" t="s">
        <v>22</v>
      </c>
      <c r="EYV948" s="3" t="s">
        <v>23</v>
      </c>
      <c r="EYW948" s="2" t="s">
        <v>24</v>
      </c>
      <c r="EYX948" s="4">
        <v>0</v>
      </c>
      <c r="EYY948" s="8">
        <f t="shared" ref="EYY948" si="1911">IF(EYU948="Ionizador", 10, IF(EYU948="Mesa", 1000000000, IF(EYU948="Rack", 1000000000, IF(EYU948="Piso", 1000000000, IF(EYU948="Tapete", 1000000000, IF(EYU948="Carrito", 1000000000, IF(EYU948="Cautín", 10, 1)))))))</f>
        <v>1000000000</v>
      </c>
      <c r="EYZ948" s="4" t="str">
        <f t="shared" ref="EYZ948" si="1912">IF(EYU948="Ionizador", "Segundos", "Ohms")</f>
        <v>Ohms</v>
      </c>
      <c r="EZA948" s="6">
        <v>148000000</v>
      </c>
      <c r="EZB948" s="6" t="str">
        <f t="shared" ref="EZB948" si="1913">EYZ948</f>
        <v>Ohms</v>
      </c>
      <c r="EZC948" s="2" t="str">
        <f t="shared" ref="EZC948" si="1914">IF(EYU948="Ionizador", "Plato de carga", IF(EYU948="Cautín", "PTG", "RTG"))</f>
        <v>RTG</v>
      </c>
      <c r="EZD948" s="7">
        <v>45992</v>
      </c>
      <c r="EZE948" s="7">
        <f t="shared" ref="EZE948" si="1915">IF(EZF948="Trimestral", EZD948+90, IF(EZF948="Semestral", EZD948+180, EZD948+365))</f>
        <v>46172</v>
      </c>
      <c r="EZF948" s="7" t="str">
        <f t="shared" ref="EZF948" si="1916">IF(EYU948="Ionizador", "Trimestral", IF(EYU948="Rack", "Semestral", IF(EYU948="Mesa", "Semestral", IF(EYU948="Tapete", "Semestral", IF(EYU948="Cautín", "Semestral", IF(EYU948="Silla", "Semestral", "Anual"))))))</f>
        <v>Semestral</v>
      </c>
      <c r="EZG948" s="2" t="str">
        <f t="shared" ref="EZG948" ca="1" si="1917">IF(EZE948&lt;TODAY(),"VENCIDO",IF(EZE948=TODAY(),"VENCE HOY",IF(EZE948&gt;TODAY(),"VIGENTE")))</f>
        <v>VIGENTE</v>
      </c>
      <c r="EZH948" s="6" t="s">
        <v>25</v>
      </c>
      <c r="EZI948" s="23" t="s">
        <v>138</v>
      </c>
      <c r="EZJ948" s="2" t="s">
        <v>433</v>
      </c>
      <c r="EZK948" s="3" t="s">
        <v>22</v>
      </c>
      <c r="EZL948" s="3" t="s">
        <v>23</v>
      </c>
      <c r="EZM948" s="2" t="s">
        <v>24</v>
      </c>
      <c r="EZN948" s="4">
        <v>0</v>
      </c>
      <c r="EZO948" s="8">
        <f t="shared" ref="EZO948" si="1918">IF(EZK948="Ionizador", 10, IF(EZK948="Mesa", 1000000000, IF(EZK948="Rack", 1000000000, IF(EZK948="Piso", 1000000000, IF(EZK948="Tapete", 1000000000, IF(EZK948="Carrito", 1000000000, IF(EZK948="Cautín", 10, 1)))))))</f>
        <v>1000000000</v>
      </c>
      <c r="EZP948" s="4" t="str">
        <f t="shared" ref="EZP948" si="1919">IF(EZK948="Ionizador", "Segundos", "Ohms")</f>
        <v>Ohms</v>
      </c>
      <c r="EZQ948" s="6">
        <v>148000000</v>
      </c>
      <c r="EZR948" s="6" t="str">
        <f t="shared" ref="EZR948" si="1920">EZP948</f>
        <v>Ohms</v>
      </c>
      <c r="EZS948" s="2" t="str">
        <f t="shared" ref="EZS948" si="1921">IF(EZK948="Ionizador", "Plato de carga", IF(EZK948="Cautín", "PTG", "RTG"))</f>
        <v>RTG</v>
      </c>
      <c r="EZT948" s="7">
        <v>45992</v>
      </c>
      <c r="EZU948" s="7">
        <f t="shared" ref="EZU948" si="1922">IF(EZV948="Trimestral", EZT948+90, IF(EZV948="Semestral", EZT948+180, EZT948+365))</f>
        <v>46172</v>
      </c>
      <c r="EZV948" s="7" t="str">
        <f t="shared" ref="EZV948" si="1923">IF(EZK948="Ionizador", "Trimestral", IF(EZK948="Rack", "Semestral", IF(EZK948="Mesa", "Semestral", IF(EZK948="Tapete", "Semestral", IF(EZK948="Cautín", "Semestral", IF(EZK948="Silla", "Semestral", "Anual"))))))</f>
        <v>Semestral</v>
      </c>
      <c r="EZW948" s="2" t="str">
        <f t="shared" ref="EZW948" ca="1" si="1924">IF(EZU948&lt;TODAY(),"VENCIDO",IF(EZU948=TODAY(),"VENCE HOY",IF(EZU948&gt;TODAY(),"VIGENTE")))</f>
        <v>VIGENTE</v>
      </c>
      <c r="EZX948" s="6" t="s">
        <v>25</v>
      </c>
      <c r="EZY948" s="23" t="s">
        <v>138</v>
      </c>
      <c r="EZZ948" s="2" t="s">
        <v>433</v>
      </c>
      <c r="FAA948" s="3" t="s">
        <v>22</v>
      </c>
      <c r="FAB948" s="3" t="s">
        <v>23</v>
      </c>
      <c r="FAC948" s="2" t="s">
        <v>24</v>
      </c>
      <c r="FAD948" s="4">
        <v>0</v>
      </c>
      <c r="FAE948" s="8">
        <f t="shared" ref="FAE948" si="1925">IF(FAA948="Ionizador", 10, IF(FAA948="Mesa", 1000000000, IF(FAA948="Rack", 1000000000, IF(FAA948="Piso", 1000000000, IF(FAA948="Tapete", 1000000000, IF(FAA948="Carrito", 1000000000, IF(FAA948="Cautín", 10, 1)))))))</f>
        <v>1000000000</v>
      </c>
      <c r="FAF948" s="4" t="str">
        <f t="shared" ref="FAF948" si="1926">IF(FAA948="Ionizador", "Segundos", "Ohms")</f>
        <v>Ohms</v>
      </c>
      <c r="FAG948" s="6">
        <v>148000000</v>
      </c>
      <c r="FAH948" s="6" t="str">
        <f t="shared" ref="FAH948" si="1927">FAF948</f>
        <v>Ohms</v>
      </c>
      <c r="FAI948" s="2" t="str">
        <f t="shared" ref="FAI948" si="1928">IF(FAA948="Ionizador", "Plato de carga", IF(FAA948="Cautín", "PTG", "RTG"))</f>
        <v>RTG</v>
      </c>
      <c r="FAJ948" s="7">
        <v>45992</v>
      </c>
      <c r="FAK948" s="7">
        <f t="shared" ref="FAK948" si="1929">IF(FAL948="Trimestral", FAJ948+90, IF(FAL948="Semestral", FAJ948+180, FAJ948+365))</f>
        <v>46172</v>
      </c>
      <c r="FAL948" s="7" t="str">
        <f t="shared" ref="FAL948" si="1930">IF(FAA948="Ionizador", "Trimestral", IF(FAA948="Rack", "Semestral", IF(FAA948="Mesa", "Semestral", IF(FAA948="Tapete", "Semestral", IF(FAA948="Cautín", "Semestral", IF(FAA948="Silla", "Semestral", "Anual"))))))</f>
        <v>Semestral</v>
      </c>
      <c r="FAM948" s="2" t="str">
        <f t="shared" ref="FAM948" ca="1" si="1931">IF(FAK948&lt;TODAY(),"VENCIDO",IF(FAK948=TODAY(),"VENCE HOY",IF(FAK948&gt;TODAY(),"VIGENTE")))</f>
        <v>VIGENTE</v>
      </c>
      <c r="FAN948" s="6" t="s">
        <v>25</v>
      </c>
      <c r="FAO948" s="23" t="s">
        <v>138</v>
      </c>
      <c r="FAP948" s="2" t="s">
        <v>433</v>
      </c>
      <c r="FAQ948" s="3" t="s">
        <v>22</v>
      </c>
      <c r="FAR948" s="3" t="s">
        <v>23</v>
      </c>
      <c r="FAS948" s="2" t="s">
        <v>24</v>
      </c>
      <c r="FAT948" s="4">
        <v>0</v>
      </c>
      <c r="FAU948" s="8">
        <f t="shared" ref="FAU948" si="1932">IF(FAQ948="Ionizador", 10, IF(FAQ948="Mesa", 1000000000, IF(FAQ948="Rack", 1000000000, IF(FAQ948="Piso", 1000000000, IF(FAQ948="Tapete", 1000000000, IF(FAQ948="Carrito", 1000000000, IF(FAQ948="Cautín", 10, 1)))))))</f>
        <v>1000000000</v>
      </c>
      <c r="FAV948" s="4" t="str">
        <f t="shared" ref="FAV948" si="1933">IF(FAQ948="Ionizador", "Segundos", "Ohms")</f>
        <v>Ohms</v>
      </c>
      <c r="FAW948" s="6">
        <v>148000000</v>
      </c>
      <c r="FAX948" s="6" t="str">
        <f t="shared" ref="FAX948" si="1934">FAV948</f>
        <v>Ohms</v>
      </c>
      <c r="FAY948" s="2" t="str">
        <f t="shared" ref="FAY948" si="1935">IF(FAQ948="Ionizador", "Plato de carga", IF(FAQ948="Cautín", "PTG", "RTG"))</f>
        <v>RTG</v>
      </c>
      <c r="FAZ948" s="7">
        <v>45992</v>
      </c>
      <c r="FBA948" s="7">
        <f t="shared" ref="FBA948" si="1936">IF(FBB948="Trimestral", FAZ948+90, IF(FBB948="Semestral", FAZ948+180, FAZ948+365))</f>
        <v>46172</v>
      </c>
      <c r="FBB948" s="7" t="str">
        <f t="shared" ref="FBB948" si="1937">IF(FAQ948="Ionizador", "Trimestral", IF(FAQ948="Rack", "Semestral", IF(FAQ948="Mesa", "Semestral", IF(FAQ948="Tapete", "Semestral", IF(FAQ948="Cautín", "Semestral", IF(FAQ948="Silla", "Semestral", "Anual"))))))</f>
        <v>Semestral</v>
      </c>
      <c r="FBC948" s="2" t="str">
        <f t="shared" ref="FBC948" ca="1" si="1938">IF(FBA948&lt;TODAY(),"VENCIDO",IF(FBA948=TODAY(),"VENCE HOY",IF(FBA948&gt;TODAY(),"VIGENTE")))</f>
        <v>VIGENTE</v>
      </c>
      <c r="FBD948" s="6" t="s">
        <v>25</v>
      </c>
      <c r="FBE948" s="23" t="s">
        <v>138</v>
      </c>
      <c r="FBF948" s="2" t="s">
        <v>433</v>
      </c>
      <c r="FBG948" s="3" t="s">
        <v>22</v>
      </c>
      <c r="FBH948" s="3" t="s">
        <v>23</v>
      </c>
      <c r="FBI948" s="2" t="s">
        <v>24</v>
      </c>
      <c r="FBJ948" s="4">
        <v>0</v>
      </c>
      <c r="FBK948" s="8">
        <f t="shared" ref="FBK948" si="1939">IF(FBG948="Ionizador", 10, IF(FBG948="Mesa", 1000000000, IF(FBG948="Rack", 1000000000, IF(FBG948="Piso", 1000000000, IF(FBG948="Tapete", 1000000000, IF(FBG948="Carrito", 1000000000, IF(FBG948="Cautín", 10, 1)))))))</f>
        <v>1000000000</v>
      </c>
      <c r="FBL948" s="4" t="str">
        <f t="shared" ref="FBL948" si="1940">IF(FBG948="Ionizador", "Segundos", "Ohms")</f>
        <v>Ohms</v>
      </c>
      <c r="FBM948" s="6">
        <v>148000000</v>
      </c>
      <c r="FBN948" s="6" t="str">
        <f t="shared" ref="FBN948" si="1941">FBL948</f>
        <v>Ohms</v>
      </c>
      <c r="FBO948" s="2" t="str">
        <f t="shared" ref="FBO948" si="1942">IF(FBG948="Ionizador", "Plato de carga", IF(FBG948="Cautín", "PTG", "RTG"))</f>
        <v>RTG</v>
      </c>
      <c r="FBP948" s="7">
        <v>45992</v>
      </c>
      <c r="FBQ948" s="7">
        <f t="shared" ref="FBQ948" si="1943">IF(FBR948="Trimestral", FBP948+90, IF(FBR948="Semestral", FBP948+180, FBP948+365))</f>
        <v>46172</v>
      </c>
      <c r="FBR948" s="7" t="str">
        <f t="shared" ref="FBR948" si="1944">IF(FBG948="Ionizador", "Trimestral", IF(FBG948="Rack", "Semestral", IF(FBG948="Mesa", "Semestral", IF(FBG948="Tapete", "Semestral", IF(FBG948="Cautín", "Semestral", IF(FBG948="Silla", "Semestral", "Anual"))))))</f>
        <v>Semestral</v>
      </c>
      <c r="FBS948" s="2" t="str">
        <f t="shared" ref="FBS948" ca="1" si="1945">IF(FBQ948&lt;TODAY(),"VENCIDO",IF(FBQ948=TODAY(),"VENCE HOY",IF(FBQ948&gt;TODAY(),"VIGENTE")))</f>
        <v>VIGENTE</v>
      </c>
      <c r="FBT948" s="6" t="s">
        <v>25</v>
      </c>
      <c r="FBU948" s="23" t="s">
        <v>138</v>
      </c>
      <c r="FBV948" s="2" t="s">
        <v>433</v>
      </c>
      <c r="FBW948" s="3" t="s">
        <v>22</v>
      </c>
      <c r="FBX948" s="3" t="s">
        <v>23</v>
      </c>
      <c r="FBY948" s="2" t="s">
        <v>24</v>
      </c>
      <c r="FBZ948" s="4">
        <v>0</v>
      </c>
      <c r="FCA948" s="8">
        <f t="shared" ref="FCA948" si="1946">IF(FBW948="Ionizador", 10, IF(FBW948="Mesa", 1000000000, IF(FBW948="Rack", 1000000000, IF(FBW948="Piso", 1000000000, IF(FBW948="Tapete", 1000000000, IF(FBW948="Carrito", 1000000000, IF(FBW948="Cautín", 10, 1)))))))</f>
        <v>1000000000</v>
      </c>
      <c r="FCB948" s="4" t="str">
        <f t="shared" ref="FCB948" si="1947">IF(FBW948="Ionizador", "Segundos", "Ohms")</f>
        <v>Ohms</v>
      </c>
      <c r="FCC948" s="6">
        <v>148000000</v>
      </c>
      <c r="FCD948" s="6" t="str">
        <f t="shared" ref="FCD948" si="1948">FCB948</f>
        <v>Ohms</v>
      </c>
      <c r="FCE948" s="2" t="str">
        <f t="shared" ref="FCE948" si="1949">IF(FBW948="Ionizador", "Plato de carga", IF(FBW948="Cautín", "PTG", "RTG"))</f>
        <v>RTG</v>
      </c>
      <c r="FCF948" s="7">
        <v>45992</v>
      </c>
      <c r="FCG948" s="7">
        <f t="shared" ref="FCG948" si="1950">IF(FCH948="Trimestral", FCF948+90, IF(FCH948="Semestral", FCF948+180, FCF948+365))</f>
        <v>46172</v>
      </c>
      <c r="FCH948" s="7" t="str">
        <f t="shared" ref="FCH948" si="1951">IF(FBW948="Ionizador", "Trimestral", IF(FBW948="Rack", "Semestral", IF(FBW948="Mesa", "Semestral", IF(FBW948="Tapete", "Semestral", IF(FBW948="Cautín", "Semestral", IF(FBW948="Silla", "Semestral", "Anual"))))))</f>
        <v>Semestral</v>
      </c>
      <c r="FCI948" s="2" t="str">
        <f t="shared" ref="FCI948" ca="1" si="1952">IF(FCG948&lt;TODAY(),"VENCIDO",IF(FCG948=TODAY(),"VENCE HOY",IF(FCG948&gt;TODAY(),"VIGENTE")))</f>
        <v>VIGENTE</v>
      </c>
      <c r="FCJ948" s="6" t="s">
        <v>25</v>
      </c>
      <c r="FCK948" s="23" t="s">
        <v>138</v>
      </c>
      <c r="FCL948" s="2" t="s">
        <v>433</v>
      </c>
      <c r="FCM948" s="3" t="s">
        <v>22</v>
      </c>
      <c r="FCN948" s="3" t="s">
        <v>23</v>
      </c>
      <c r="FCO948" s="2" t="s">
        <v>24</v>
      </c>
      <c r="FCP948" s="4">
        <v>0</v>
      </c>
      <c r="FCQ948" s="8">
        <f t="shared" ref="FCQ948" si="1953">IF(FCM948="Ionizador", 10, IF(FCM948="Mesa", 1000000000, IF(FCM948="Rack", 1000000000, IF(FCM948="Piso", 1000000000, IF(FCM948="Tapete", 1000000000, IF(FCM948="Carrito", 1000000000, IF(FCM948="Cautín", 10, 1)))))))</f>
        <v>1000000000</v>
      </c>
      <c r="FCR948" s="4" t="str">
        <f t="shared" ref="FCR948" si="1954">IF(FCM948="Ionizador", "Segundos", "Ohms")</f>
        <v>Ohms</v>
      </c>
      <c r="FCS948" s="6">
        <v>148000000</v>
      </c>
      <c r="FCT948" s="6" t="str">
        <f t="shared" ref="FCT948" si="1955">FCR948</f>
        <v>Ohms</v>
      </c>
      <c r="FCU948" s="2" t="str">
        <f t="shared" ref="FCU948" si="1956">IF(FCM948="Ionizador", "Plato de carga", IF(FCM948="Cautín", "PTG", "RTG"))</f>
        <v>RTG</v>
      </c>
      <c r="FCV948" s="7">
        <v>45992</v>
      </c>
      <c r="FCW948" s="7">
        <f t="shared" ref="FCW948" si="1957">IF(FCX948="Trimestral", FCV948+90, IF(FCX948="Semestral", FCV948+180, FCV948+365))</f>
        <v>46172</v>
      </c>
      <c r="FCX948" s="7" t="str">
        <f t="shared" ref="FCX948" si="1958">IF(FCM948="Ionizador", "Trimestral", IF(FCM948="Rack", "Semestral", IF(FCM948="Mesa", "Semestral", IF(FCM948="Tapete", "Semestral", IF(FCM948="Cautín", "Semestral", IF(FCM948="Silla", "Semestral", "Anual"))))))</f>
        <v>Semestral</v>
      </c>
      <c r="FCY948" s="2" t="str">
        <f t="shared" ref="FCY948" ca="1" si="1959">IF(FCW948&lt;TODAY(),"VENCIDO",IF(FCW948=TODAY(),"VENCE HOY",IF(FCW948&gt;TODAY(),"VIGENTE")))</f>
        <v>VIGENTE</v>
      </c>
      <c r="FCZ948" s="6" t="s">
        <v>25</v>
      </c>
      <c r="FDA948" s="23" t="s">
        <v>138</v>
      </c>
      <c r="FDB948" s="2" t="s">
        <v>433</v>
      </c>
      <c r="FDC948" s="3" t="s">
        <v>22</v>
      </c>
      <c r="FDD948" s="3" t="s">
        <v>23</v>
      </c>
      <c r="FDE948" s="2" t="s">
        <v>24</v>
      </c>
      <c r="FDF948" s="4">
        <v>0</v>
      </c>
      <c r="FDG948" s="8">
        <f t="shared" ref="FDG948" si="1960">IF(FDC948="Ionizador", 10, IF(FDC948="Mesa", 1000000000, IF(FDC948="Rack", 1000000000, IF(FDC948="Piso", 1000000000, IF(FDC948="Tapete", 1000000000, IF(FDC948="Carrito", 1000000000, IF(FDC948="Cautín", 10, 1)))))))</f>
        <v>1000000000</v>
      </c>
      <c r="FDH948" s="4" t="str">
        <f t="shared" ref="FDH948" si="1961">IF(FDC948="Ionizador", "Segundos", "Ohms")</f>
        <v>Ohms</v>
      </c>
      <c r="FDI948" s="6">
        <v>148000000</v>
      </c>
      <c r="FDJ948" s="6" t="str">
        <f t="shared" ref="FDJ948" si="1962">FDH948</f>
        <v>Ohms</v>
      </c>
      <c r="FDK948" s="2" t="str">
        <f t="shared" ref="FDK948" si="1963">IF(FDC948="Ionizador", "Plato de carga", IF(FDC948="Cautín", "PTG", "RTG"))</f>
        <v>RTG</v>
      </c>
      <c r="FDL948" s="7">
        <v>45992</v>
      </c>
      <c r="FDM948" s="7">
        <f t="shared" ref="FDM948" si="1964">IF(FDN948="Trimestral", FDL948+90, IF(FDN948="Semestral", FDL948+180, FDL948+365))</f>
        <v>46172</v>
      </c>
      <c r="FDN948" s="7" t="str">
        <f t="shared" ref="FDN948" si="1965">IF(FDC948="Ionizador", "Trimestral", IF(FDC948="Rack", "Semestral", IF(FDC948="Mesa", "Semestral", IF(FDC948="Tapete", "Semestral", IF(FDC948="Cautín", "Semestral", IF(FDC948="Silla", "Semestral", "Anual"))))))</f>
        <v>Semestral</v>
      </c>
      <c r="FDO948" s="2" t="str">
        <f t="shared" ref="FDO948" ca="1" si="1966">IF(FDM948&lt;TODAY(),"VENCIDO",IF(FDM948=TODAY(),"VENCE HOY",IF(FDM948&gt;TODAY(),"VIGENTE")))</f>
        <v>VIGENTE</v>
      </c>
      <c r="FDP948" s="6" t="s">
        <v>25</v>
      </c>
      <c r="FDQ948" s="23" t="s">
        <v>138</v>
      </c>
      <c r="FDR948" s="2" t="s">
        <v>433</v>
      </c>
      <c r="FDS948" s="3" t="s">
        <v>22</v>
      </c>
      <c r="FDT948" s="3" t="s">
        <v>23</v>
      </c>
      <c r="FDU948" s="2" t="s">
        <v>24</v>
      </c>
      <c r="FDV948" s="4">
        <v>0</v>
      </c>
      <c r="FDW948" s="8">
        <f t="shared" ref="FDW948" si="1967">IF(FDS948="Ionizador", 10, IF(FDS948="Mesa", 1000000000, IF(FDS948="Rack", 1000000000, IF(FDS948="Piso", 1000000000, IF(FDS948="Tapete", 1000000000, IF(FDS948="Carrito", 1000000000, IF(FDS948="Cautín", 10, 1)))))))</f>
        <v>1000000000</v>
      </c>
      <c r="FDX948" s="4" t="str">
        <f t="shared" ref="FDX948" si="1968">IF(FDS948="Ionizador", "Segundos", "Ohms")</f>
        <v>Ohms</v>
      </c>
      <c r="FDY948" s="6">
        <v>148000000</v>
      </c>
      <c r="FDZ948" s="6" t="str">
        <f t="shared" ref="FDZ948" si="1969">FDX948</f>
        <v>Ohms</v>
      </c>
      <c r="FEA948" s="2" t="str">
        <f t="shared" ref="FEA948" si="1970">IF(FDS948="Ionizador", "Plato de carga", IF(FDS948="Cautín", "PTG", "RTG"))</f>
        <v>RTG</v>
      </c>
      <c r="FEB948" s="7">
        <v>45992</v>
      </c>
      <c r="FEC948" s="7">
        <f t="shared" ref="FEC948" si="1971">IF(FED948="Trimestral", FEB948+90, IF(FED948="Semestral", FEB948+180, FEB948+365))</f>
        <v>46172</v>
      </c>
      <c r="FED948" s="7" t="str">
        <f t="shared" ref="FED948" si="1972">IF(FDS948="Ionizador", "Trimestral", IF(FDS948="Rack", "Semestral", IF(FDS948="Mesa", "Semestral", IF(FDS948="Tapete", "Semestral", IF(FDS948="Cautín", "Semestral", IF(FDS948="Silla", "Semestral", "Anual"))))))</f>
        <v>Semestral</v>
      </c>
      <c r="FEE948" s="2" t="str">
        <f t="shared" ref="FEE948" ca="1" si="1973">IF(FEC948&lt;TODAY(),"VENCIDO",IF(FEC948=TODAY(),"VENCE HOY",IF(FEC948&gt;TODAY(),"VIGENTE")))</f>
        <v>VIGENTE</v>
      </c>
      <c r="FEF948" s="6" t="s">
        <v>25</v>
      </c>
      <c r="FEG948" s="23" t="s">
        <v>138</v>
      </c>
      <c r="FEH948" s="2" t="s">
        <v>433</v>
      </c>
      <c r="FEI948" s="3" t="s">
        <v>22</v>
      </c>
      <c r="FEJ948" s="3" t="s">
        <v>23</v>
      </c>
      <c r="FEK948" s="2" t="s">
        <v>24</v>
      </c>
      <c r="FEL948" s="4">
        <v>0</v>
      </c>
      <c r="FEM948" s="8">
        <f t="shared" ref="FEM948" si="1974">IF(FEI948="Ionizador", 10, IF(FEI948="Mesa", 1000000000, IF(FEI948="Rack", 1000000000, IF(FEI948="Piso", 1000000000, IF(FEI948="Tapete", 1000000000, IF(FEI948="Carrito", 1000000000, IF(FEI948="Cautín", 10, 1)))))))</f>
        <v>1000000000</v>
      </c>
      <c r="FEN948" s="4" t="str">
        <f t="shared" ref="FEN948" si="1975">IF(FEI948="Ionizador", "Segundos", "Ohms")</f>
        <v>Ohms</v>
      </c>
      <c r="FEO948" s="6">
        <v>148000000</v>
      </c>
      <c r="FEP948" s="6" t="str">
        <f t="shared" ref="FEP948" si="1976">FEN948</f>
        <v>Ohms</v>
      </c>
      <c r="FEQ948" s="2" t="str">
        <f t="shared" ref="FEQ948" si="1977">IF(FEI948="Ionizador", "Plato de carga", IF(FEI948="Cautín", "PTG", "RTG"))</f>
        <v>RTG</v>
      </c>
      <c r="FER948" s="7">
        <v>45992</v>
      </c>
      <c r="FES948" s="7">
        <f t="shared" ref="FES948" si="1978">IF(FET948="Trimestral", FER948+90, IF(FET948="Semestral", FER948+180, FER948+365))</f>
        <v>46172</v>
      </c>
      <c r="FET948" s="7" t="str">
        <f t="shared" ref="FET948" si="1979">IF(FEI948="Ionizador", "Trimestral", IF(FEI948="Rack", "Semestral", IF(FEI948="Mesa", "Semestral", IF(FEI948="Tapete", "Semestral", IF(FEI948="Cautín", "Semestral", IF(FEI948="Silla", "Semestral", "Anual"))))))</f>
        <v>Semestral</v>
      </c>
      <c r="FEU948" s="2" t="str">
        <f t="shared" ref="FEU948" ca="1" si="1980">IF(FES948&lt;TODAY(),"VENCIDO",IF(FES948=TODAY(),"VENCE HOY",IF(FES948&gt;TODAY(),"VIGENTE")))</f>
        <v>VIGENTE</v>
      </c>
      <c r="FEV948" s="6" t="s">
        <v>25</v>
      </c>
      <c r="FEW948" s="23" t="s">
        <v>138</v>
      </c>
      <c r="FEX948" s="2" t="s">
        <v>433</v>
      </c>
      <c r="FEY948" s="3" t="s">
        <v>22</v>
      </c>
      <c r="FEZ948" s="3" t="s">
        <v>23</v>
      </c>
      <c r="FFA948" s="2" t="s">
        <v>24</v>
      </c>
      <c r="FFB948" s="4">
        <v>0</v>
      </c>
      <c r="FFC948" s="8">
        <f t="shared" ref="FFC948" si="1981">IF(FEY948="Ionizador", 10, IF(FEY948="Mesa", 1000000000, IF(FEY948="Rack", 1000000000, IF(FEY948="Piso", 1000000000, IF(FEY948="Tapete", 1000000000, IF(FEY948="Carrito", 1000000000, IF(FEY948="Cautín", 10, 1)))))))</f>
        <v>1000000000</v>
      </c>
      <c r="FFD948" s="4" t="str">
        <f t="shared" ref="FFD948" si="1982">IF(FEY948="Ionizador", "Segundos", "Ohms")</f>
        <v>Ohms</v>
      </c>
      <c r="FFE948" s="6">
        <v>148000000</v>
      </c>
      <c r="FFF948" s="6" t="str">
        <f t="shared" ref="FFF948" si="1983">FFD948</f>
        <v>Ohms</v>
      </c>
      <c r="FFG948" s="2" t="str">
        <f t="shared" ref="FFG948" si="1984">IF(FEY948="Ionizador", "Plato de carga", IF(FEY948="Cautín", "PTG", "RTG"))</f>
        <v>RTG</v>
      </c>
      <c r="FFH948" s="7">
        <v>45992</v>
      </c>
      <c r="FFI948" s="7">
        <f t="shared" ref="FFI948" si="1985">IF(FFJ948="Trimestral", FFH948+90, IF(FFJ948="Semestral", FFH948+180, FFH948+365))</f>
        <v>46172</v>
      </c>
      <c r="FFJ948" s="7" t="str">
        <f t="shared" ref="FFJ948" si="1986">IF(FEY948="Ionizador", "Trimestral", IF(FEY948="Rack", "Semestral", IF(FEY948="Mesa", "Semestral", IF(FEY948="Tapete", "Semestral", IF(FEY948="Cautín", "Semestral", IF(FEY948="Silla", "Semestral", "Anual"))))))</f>
        <v>Semestral</v>
      </c>
      <c r="FFK948" s="2" t="str">
        <f t="shared" ref="FFK948" ca="1" si="1987">IF(FFI948&lt;TODAY(),"VENCIDO",IF(FFI948=TODAY(),"VENCE HOY",IF(FFI948&gt;TODAY(),"VIGENTE")))</f>
        <v>VIGENTE</v>
      </c>
      <c r="FFL948" s="6" t="s">
        <v>25</v>
      </c>
      <c r="FFM948" s="23" t="s">
        <v>138</v>
      </c>
      <c r="FFN948" s="2" t="s">
        <v>433</v>
      </c>
      <c r="FFO948" s="3" t="s">
        <v>22</v>
      </c>
      <c r="FFP948" s="3" t="s">
        <v>23</v>
      </c>
      <c r="FFQ948" s="2" t="s">
        <v>24</v>
      </c>
      <c r="FFR948" s="4">
        <v>0</v>
      </c>
      <c r="FFS948" s="8">
        <f t="shared" ref="FFS948" si="1988">IF(FFO948="Ionizador", 10, IF(FFO948="Mesa", 1000000000, IF(FFO948="Rack", 1000000000, IF(FFO948="Piso", 1000000000, IF(FFO948="Tapete", 1000000000, IF(FFO948="Carrito", 1000000000, IF(FFO948="Cautín", 10, 1)))))))</f>
        <v>1000000000</v>
      </c>
      <c r="FFT948" s="4" t="str">
        <f t="shared" ref="FFT948" si="1989">IF(FFO948="Ionizador", "Segundos", "Ohms")</f>
        <v>Ohms</v>
      </c>
      <c r="FFU948" s="6">
        <v>148000000</v>
      </c>
      <c r="FFV948" s="6" t="str">
        <f t="shared" ref="FFV948" si="1990">FFT948</f>
        <v>Ohms</v>
      </c>
      <c r="FFW948" s="2" t="str">
        <f t="shared" ref="FFW948" si="1991">IF(FFO948="Ionizador", "Plato de carga", IF(FFO948="Cautín", "PTG", "RTG"))</f>
        <v>RTG</v>
      </c>
      <c r="FFX948" s="7">
        <v>45992</v>
      </c>
      <c r="FFY948" s="7">
        <f t="shared" ref="FFY948" si="1992">IF(FFZ948="Trimestral", FFX948+90, IF(FFZ948="Semestral", FFX948+180, FFX948+365))</f>
        <v>46172</v>
      </c>
      <c r="FFZ948" s="7" t="str">
        <f t="shared" ref="FFZ948" si="1993">IF(FFO948="Ionizador", "Trimestral", IF(FFO948="Rack", "Semestral", IF(FFO948="Mesa", "Semestral", IF(FFO948="Tapete", "Semestral", IF(FFO948="Cautín", "Semestral", IF(FFO948="Silla", "Semestral", "Anual"))))))</f>
        <v>Semestral</v>
      </c>
      <c r="FGA948" s="2" t="str">
        <f t="shared" ref="FGA948" ca="1" si="1994">IF(FFY948&lt;TODAY(),"VENCIDO",IF(FFY948=TODAY(),"VENCE HOY",IF(FFY948&gt;TODAY(),"VIGENTE")))</f>
        <v>VIGENTE</v>
      </c>
      <c r="FGB948" s="6" t="s">
        <v>25</v>
      </c>
      <c r="FGC948" s="23" t="s">
        <v>138</v>
      </c>
      <c r="FGD948" s="2" t="s">
        <v>433</v>
      </c>
      <c r="FGE948" s="3" t="s">
        <v>22</v>
      </c>
      <c r="FGF948" s="3" t="s">
        <v>23</v>
      </c>
      <c r="FGG948" s="2" t="s">
        <v>24</v>
      </c>
      <c r="FGH948" s="4">
        <v>0</v>
      </c>
      <c r="FGI948" s="8">
        <f t="shared" ref="FGI948" si="1995">IF(FGE948="Ionizador", 10, IF(FGE948="Mesa", 1000000000, IF(FGE948="Rack", 1000000000, IF(FGE948="Piso", 1000000000, IF(FGE948="Tapete", 1000000000, IF(FGE948="Carrito", 1000000000, IF(FGE948="Cautín", 10, 1)))))))</f>
        <v>1000000000</v>
      </c>
      <c r="FGJ948" s="4" t="str">
        <f t="shared" ref="FGJ948" si="1996">IF(FGE948="Ionizador", "Segundos", "Ohms")</f>
        <v>Ohms</v>
      </c>
      <c r="FGK948" s="6">
        <v>148000000</v>
      </c>
      <c r="FGL948" s="6" t="str">
        <f t="shared" ref="FGL948" si="1997">FGJ948</f>
        <v>Ohms</v>
      </c>
      <c r="FGM948" s="2" t="str">
        <f t="shared" ref="FGM948" si="1998">IF(FGE948="Ionizador", "Plato de carga", IF(FGE948="Cautín", "PTG", "RTG"))</f>
        <v>RTG</v>
      </c>
      <c r="FGN948" s="7">
        <v>45992</v>
      </c>
      <c r="FGO948" s="7">
        <f t="shared" ref="FGO948" si="1999">IF(FGP948="Trimestral", FGN948+90, IF(FGP948="Semestral", FGN948+180, FGN948+365))</f>
        <v>46172</v>
      </c>
      <c r="FGP948" s="7" t="str">
        <f t="shared" ref="FGP948" si="2000">IF(FGE948="Ionizador", "Trimestral", IF(FGE948="Rack", "Semestral", IF(FGE948="Mesa", "Semestral", IF(FGE948="Tapete", "Semestral", IF(FGE948="Cautín", "Semestral", IF(FGE948="Silla", "Semestral", "Anual"))))))</f>
        <v>Semestral</v>
      </c>
      <c r="FGQ948" s="2" t="str">
        <f t="shared" ref="FGQ948" ca="1" si="2001">IF(FGO948&lt;TODAY(),"VENCIDO",IF(FGO948=TODAY(),"VENCE HOY",IF(FGO948&gt;TODAY(),"VIGENTE")))</f>
        <v>VIGENTE</v>
      </c>
      <c r="FGR948" s="6" t="s">
        <v>25</v>
      </c>
      <c r="FGS948" s="23" t="s">
        <v>138</v>
      </c>
      <c r="FGT948" s="2" t="s">
        <v>433</v>
      </c>
      <c r="FGU948" s="3" t="s">
        <v>22</v>
      </c>
      <c r="FGV948" s="3" t="s">
        <v>23</v>
      </c>
      <c r="FGW948" s="2" t="s">
        <v>24</v>
      </c>
      <c r="FGX948" s="4">
        <v>0</v>
      </c>
      <c r="FGY948" s="8">
        <f t="shared" ref="FGY948" si="2002">IF(FGU948="Ionizador", 10, IF(FGU948="Mesa", 1000000000, IF(FGU948="Rack", 1000000000, IF(FGU948="Piso", 1000000000, IF(FGU948="Tapete", 1000000000, IF(FGU948="Carrito", 1000000000, IF(FGU948="Cautín", 10, 1)))))))</f>
        <v>1000000000</v>
      </c>
      <c r="FGZ948" s="4" t="str">
        <f t="shared" ref="FGZ948" si="2003">IF(FGU948="Ionizador", "Segundos", "Ohms")</f>
        <v>Ohms</v>
      </c>
      <c r="FHA948" s="6">
        <v>148000000</v>
      </c>
      <c r="FHB948" s="6" t="str">
        <f t="shared" ref="FHB948" si="2004">FGZ948</f>
        <v>Ohms</v>
      </c>
      <c r="FHC948" s="2" t="str">
        <f t="shared" ref="FHC948" si="2005">IF(FGU948="Ionizador", "Plato de carga", IF(FGU948="Cautín", "PTG", "RTG"))</f>
        <v>RTG</v>
      </c>
      <c r="FHD948" s="7">
        <v>45992</v>
      </c>
      <c r="FHE948" s="7">
        <f t="shared" ref="FHE948" si="2006">IF(FHF948="Trimestral", FHD948+90, IF(FHF948="Semestral", FHD948+180, FHD948+365))</f>
        <v>46172</v>
      </c>
      <c r="FHF948" s="7" t="str">
        <f t="shared" ref="FHF948" si="2007">IF(FGU948="Ionizador", "Trimestral", IF(FGU948="Rack", "Semestral", IF(FGU948="Mesa", "Semestral", IF(FGU948="Tapete", "Semestral", IF(FGU948="Cautín", "Semestral", IF(FGU948="Silla", "Semestral", "Anual"))))))</f>
        <v>Semestral</v>
      </c>
      <c r="FHG948" s="2" t="str">
        <f t="shared" ref="FHG948" ca="1" si="2008">IF(FHE948&lt;TODAY(),"VENCIDO",IF(FHE948=TODAY(),"VENCE HOY",IF(FHE948&gt;TODAY(),"VIGENTE")))</f>
        <v>VIGENTE</v>
      </c>
      <c r="FHH948" s="6" t="s">
        <v>25</v>
      </c>
      <c r="FHI948" s="23" t="s">
        <v>138</v>
      </c>
      <c r="FHJ948" s="2" t="s">
        <v>433</v>
      </c>
      <c r="FHK948" s="3" t="s">
        <v>22</v>
      </c>
      <c r="FHL948" s="3" t="s">
        <v>23</v>
      </c>
      <c r="FHM948" s="2" t="s">
        <v>24</v>
      </c>
      <c r="FHN948" s="4">
        <v>0</v>
      </c>
      <c r="FHO948" s="8">
        <f t="shared" ref="FHO948" si="2009">IF(FHK948="Ionizador", 10, IF(FHK948="Mesa", 1000000000, IF(FHK948="Rack", 1000000000, IF(FHK948="Piso", 1000000000, IF(FHK948="Tapete", 1000000000, IF(FHK948="Carrito", 1000000000, IF(FHK948="Cautín", 10, 1)))))))</f>
        <v>1000000000</v>
      </c>
      <c r="FHP948" s="4" t="str">
        <f t="shared" ref="FHP948" si="2010">IF(FHK948="Ionizador", "Segundos", "Ohms")</f>
        <v>Ohms</v>
      </c>
      <c r="FHQ948" s="6">
        <v>148000000</v>
      </c>
      <c r="FHR948" s="6" t="str">
        <f t="shared" ref="FHR948" si="2011">FHP948</f>
        <v>Ohms</v>
      </c>
      <c r="FHS948" s="2" t="str">
        <f t="shared" ref="FHS948" si="2012">IF(FHK948="Ionizador", "Plato de carga", IF(FHK948="Cautín", "PTG", "RTG"))</f>
        <v>RTG</v>
      </c>
      <c r="FHT948" s="7">
        <v>45992</v>
      </c>
      <c r="FHU948" s="7">
        <f t="shared" ref="FHU948" si="2013">IF(FHV948="Trimestral", FHT948+90, IF(FHV948="Semestral", FHT948+180, FHT948+365))</f>
        <v>46172</v>
      </c>
      <c r="FHV948" s="7" t="str">
        <f t="shared" ref="FHV948" si="2014">IF(FHK948="Ionizador", "Trimestral", IF(FHK948="Rack", "Semestral", IF(FHK948="Mesa", "Semestral", IF(FHK948="Tapete", "Semestral", IF(FHK948="Cautín", "Semestral", IF(FHK948="Silla", "Semestral", "Anual"))))))</f>
        <v>Semestral</v>
      </c>
      <c r="FHW948" s="2" t="str">
        <f t="shared" ref="FHW948" ca="1" si="2015">IF(FHU948&lt;TODAY(),"VENCIDO",IF(FHU948=TODAY(),"VENCE HOY",IF(FHU948&gt;TODAY(),"VIGENTE")))</f>
        <v>VIGENTE</v>
      </c>
      <c r="FHX948" s="6" t="s">
        <v>25</v>
      </c>
      <c r="FHY948" s="23" t="s">
        <v>138</v>
      </c>
      <c r="FHZ948" s="2" t="s">
        <v>433</v>
      </c>
      <c r="FIA948" s="3" t="s">
        <v>22</v>
      </c>
      <c r="FIB948" s="3" t="s">
        <v>23</v>
      </c>
      <c r="FIC948" s="2" t="s">
        <v>24</v>
      </c>
      <c r="FID948" s="4">
        <v>0</v>
      </c>
      <c r="FIE948" s="8">
        <f t="shared" ref="FIE948" si="2016">IF(FIA948="Ionizador", 10, IF(FIA948="Mesa", 1000000000, IF(FIA948="Rack", 1000000000, IF(FIA948="Piso", 1000000000, IF(FIA948="Tapete", 1000000000, IF(FIA948="Carrito", 1000000000, IF(FIA948="Cautín", 10, 1)))))))</f>
        <v>1000000000</v>
      </c>
      <c r="FIF948" s="4" t="str">
        <f t="shared" ref="FIF948" si="2017">IF(FIA948="Ionizador", "Segundos", "Ohms")</f>
        <v>Ohms</v>
      </c>
      <c r="FIG948" s="6">
        <v>148000000</v>
      </c>
      <c r="FIH948" s="6" t="str">
        <f t="shared" ref="FIH948" si="2018">FIF948</f>
        <v>Ohms</v>
      </c>
      <c r="FII948" s="2" t="str">
        <f t="shared" ref="FII948" si="2019">IF(FIA948="Ionizador", "Plato de carga", IF(FIA948="Cautín", "PTG", "RTG"))</f>
        <v>RTG</v>
      </c>
      <c r="FIJ948" s="7">
        <v>45992</v>
      </c>
      <c r="FIK948" s="7">
        <f t="shared" ref="FIK948" si="2020">IF(FIL948="Trimestral", FIJ948+90, IF(FIL948="Semestral", FIJ948+180, FIJ948+365))</f>
        <v>46172</v>
      </c>
      <c r="FIL948" s="7" t="str">
        <f t="shared" ref="FIL948" si="2021">IF(FIA948="Ionizador", "Trimestral", IF(FIA948="Rack", "Semestral", IF(FIA948="Mesa", "Semestral", IF(FIA948="Tapete", "Semestral", IF(FIA948="Cautín", "Semestral", IF(FIA948="Silla", "Semestral", "Anual"))))))</f>
        <v>Semestral</v>
      </c>
      <c r="FIM948" s="2" t="str">
        <f t="shared" ref="FIM948" ca="1" si="2022">IF(FIK948&lt;TODAY(),"VENCIDO",IF(FIK948=TODAY(),"VENCE HOY",IF(FIK948&gt;TODAY(),"VIGENTE")))</f>
        <v>VIGENTE</v>
      </c>
      <c r="FIN948" s="6" t="s">
        <v>25</v>
      </c>
      <c r="FIO948" s="23" t="s">
        <v>138</v>
      </c>
      <c r="FIP948" s="2" t="s">
        <v>433</v>
      </c>
      <c r="FIQ948" s="3" t="s">
        <v>22</v>
      </c>
      <c r="FIR948" s="3" t="s">
        <v>23</v>
      </c>
      <c r="FIS948" s="2" t="s">
        <v>24</v>
      </c>
      <c r="FIT948" s="4">
        <v>0</v>
      </c>
      <c r="FIU948" s="8">
        <f t="shared" ref="FIU948" si="2023">IF(FIQ948="Ionizador", 10, IF(FIQ948="Mesa", 1000000000, IF(FIQ948="Rack", 1000000000, IF(FIQ948="Piso", 1000000000, IF(FIQ948="Tapete", 1000000000, IF(FIQ948="Carrito", 1000000000, IF(FIQ948="Cautín", 10, 1)))))))</f>
        <v>1000000000</v>
      </c>
      <c r="FIV948" s="4" t="str">
        <f t="shared" ref="FIV948" si="2024">IF(FIQ948="Ionizador", "Segundos", "Ohms")</f>
        <v>Ohms</v>
      </c>
      <c r="FIW948" s="6">
        <v>148000000</v>
      </c>
      <c r="FIX948" s="6" t="str">
        <f t="shared" ref="FIX948" si="2025">FIV948</f>
        <v>Ohms</v>
      </c>
      <c r="FIY948" s="2" t="str">
        <f t="shared" ref="FIY948" si="2026">IF(FIQ948="Ionizador", "Plato de carga", IF(FIQ948="Cautín", "PTG", "RTG"))</f>
        <v>RTG</v>
      </c>
      <c r="FIZ948" s="7">
        <v>45992</v>
      </c>
      <c r="FJA948" s="7">
        <f t="shared" ref="FJA948" si="2027">IF(FJB948="Trimestral", FIZ948+90, IF(FJB948="Semestral", FIZ948+180, FIZ948+365))</f>
        <v>46172</v>
      </c>
      <c r="FJB948" s="7" t="str">
        <f t="shared" ref="FJB948" si="2028">IF(FIQ948="Ionizador", "Trimestral", IF(FIQ948="Rack", "Semestral", IF(FIQ948="Mesa", "Semestral", IF(FIQ948="Tapete", "Semestral", IF(FIQ948="Cautín", "Semestral", IF(FIQ948="Silla", "Semestral", "Anual"))))))</f>
        <v>Semestral</v>
      </c>
      <c r="FJC948" s="2" t="str">
        <f t="shared" ref="FJC948" ca="1" si="2029">IF(FJA948&lt;TODAY(),"VENCIDO",IF(FJA948=TODAY(),"VENCE HOY",IF(FJA948&gt;TODAY(),"VIGENTE")))</f>
        <v>VIGENTE</v>
      </c>
      <c r="FJD948" s="6" t="s">
        <v>25</v>
      </c>
      <c r="FJE948" s="23" t="s">
        <v>138</v>
      </c>
      <c r="FJF948" s="2" t="s">
        <v>433</v>
      </c>
      <c r="FJG948" s="3" t="s">
        <v>22</v>
      </c>
      <c r="FJH948" s="3" t="s">
        <v>23</v>
      </c>
      <c r="FJI948" s="2" t="s">
        <v>24</v>
      </c>
      <c r="FJJ948" s="4">
        <v>0</v>
      </c>
      <c r="FJK948" s="8">
        <f t="shared" ref="FJK948" si="2030">IF(FJG948="Ionizador", 10, IF(FJG948="Mesa", 1000000000, IF(FJG948="Rack", 1000000000, IF(FJG948="Piso", 1000000000, IF(FJG948="Tapete", 1000000000, IF(FJG948="Carrito", 1000000000, IF(FJG948="Cautín", 10, 1)))))))</f>
        <v>1000000000</v>
      </c>
      <c r="FJL948" s="4" t="str">
        <f t="shared" ref="FJL948" si="2031">IF(FJG948="Ionizador", "Segundos", "Ohms")</f>
        <v>Ohms</v>
      </c>
      <c r="FJM948" s="6">
        <v>148000000</v>
      </c>
      <c r="FJN948" s="6" t="str">
        <f t="shared" ref="FJN948" si="2032">FJL948</f>
        <v>Ohms</v>
      </c>
      <c r="FJO948" s="2" t="str">
        <f t="shared" ref="FJO948" si="2033">IF(FJG948="Ionizador", "Plato de carga", IF(FJG948="Cautín", "PTG", "RTG"))</f>
        <v>RTG</v>
      </c>
      <c r="FJP948" s="7">
        <v>45992</v>
      </c>
      <c r="FJQ948" s="7">
        <f t="shared" ref="FJQ948" si="2034">IF(FJR948="Trimestral", FJP948+90, IF(FJR948="Semestral", FJP948+180, FJP948+365))</f>
        <v>46172</v>
      </c>
      <c r="FJR948" s="7" t="str">
        <f t="shared" ref="FJR948" si="2035">IF(FJG948="Ionizador", "Trimestral", IF(FJG948="Rack", "Semestral", IF(FJG948="Mesa", "Semestral", IF(FJG948="Tapete", "Semestral", IF(FJG948="Cautín", "Semestral", IF(FJG948="Silla", "Semestral", "Anual"))))))</f>
        <v>Semestral</v>
      </c>
      <c r="FJS948" s="2" t="str">
        <f t="shared" ref="FJS948" ca="1" si="2036">IF(FJQ948&lt;TODAY(),"VENCIDO",IF(FJQ948=TODAY(),"VENCE HOY",IF(FJQ948&gt;TODAY(),"VIGENTE")))</f>
        <v>VIGENTE</v>
      </c>
      <c r="FJT948" s="6" t="s">
        <v>25</v>
      </c>
      <c r="FJU948" s="23" t="s">
        <v>138</v>
      </c>
      <c r="FJV948" s="2" t="s">
        <v>433</v>
      </c>
      <c r="FJW948" s="3" t="s">
        <v>22</v>
      </c>
      <c r="FJX948" s="3" t="s">
        <v>23</v>
      </c>
      <c r="FJY948" s="2" t="s">
        <v>24</v>
      </c>
      <c r="FJZ948" s="4">
        <v>0</v>
      </c>
      <c r="FKA948" s="8">
        <f t="shared" ref="FKA948" si="2037">IF(FJW948="Ionizador", 10, IF(FJW948="Mesa", 1000000000, IF(FJW948="Rack", 1000000000, IF(FJW948="Piso", 1000000000, IF(FJW948="Tapete", 1000000000, IF(FJW948="Carrito", 1000000000, IF(FJW948="Cautín", 10, 1)))))))</f>
        <v>1000000000</v>
      </c>
      <c r="FKB948" s="4" t="str">
        <f t="shared" ref="FKB948" si="2038">IF(FJW948="Ionizador", "Segundos", "Ohms")</f>
        <v>Ohms</v>
      </c>
      <c r="FKC948" s="6">
        <v>148000000</v>
      </c>
      <c r="FKD948" s="6" t="str">
        <f t="shared" ref="FKD948" si="2039">FKB948</f>
        <v>Ohms</v>
      </c>
      <c r="FKE948" s="2" t="str">
        <f t="shared" ref="FKE948" si="2040">IF(FJW948="Ionizador", "Plato de carga", IF(FJW948="Cautín", "PTG", "RTG"))</f>
        <v>RTG</v>
      </c>
      <c r="FKF948" s="7">
        <v>45992</v>
      </c>
      <c r="FKG948" s="7">
        <f t="shared" ref="FKG948" si="2041">IF(FKH948="Trimestral", FKF948+90, IF(FKH948="Semestral", FKF948+180, FKF948+365))</f>
        <v>46172</v>
      </c>
      <c r="FKH948" s="7" t="str">
        <f t="shared" ref="FKH948" si="2042">IF(FJW948="Ionizador", "Trimestral", IF(FJW948="Rack", "Semestral", IF(FJW948="Mesa", "Semestral", IF(FJW948="Tapete", "Semestral", IF(FJW948="Cautín", "Semestral", IF(FJW948="Silla", "Semestral", "Anual"))))))</f>
        <v>Semestral</v>
      </c>
      <c r="FKI948" s="2" t="str">
        <f t="shared" ref="FKI948" ca="1" si="2043">IF(FKG948&lt;TODAY(),"VENCIDO",IF(FKG948=TODAY(),"VENCE HOY",IF(FKG948&gt;TODAY(),"VIGENTE")))</f>
        <v>VIGENTE</v>
      </c>
      <c r="FKJ948" s="6" t="s">
        <v>25</v>
      </c>
      <c r="FKK948" s="23" t="s">
        <v>138</v>
      </c>
      <c r="FKL948" s="2" t="s">
        <v>433</v>
      </c>
      <c r="FKM948" s="3" t="s">
        <v>22</v>
      </c>
      <c r="FKN948" s="3" t="s">
        <v>23</v>
      </c>
      <c r="FKO948" s="2" t="s">
        <v>24</v>
      </c>
      <c r="FKP948" s="4">
        <v>0</v>
      </c>
      <c r="FKQ948" s="8">
        <f t="shared" ref="FKQ948" si="2044">IF(FKM948="Ionizador", 10, IF(FKM948="Mesa", 1000000000, IF(FKM948="Rack", 1000000000, IF(FKM948="Piso", 1000000000, IF(FKM948="Tapete", 1000000000, IF(FKM948="Carrito", 1000000000, IF(FKM948="Cautín", 10, 1)))))))</f>
        <v>1000000000</v>
      </c>
      <c r="FKR948" s="4" t="str">
        <f t="shared" ref="FKR948" si="2045">IF(FKM948="Ionizador", "Segundos", "Ohms")</f>
        <v>Ohms</v>
      </c>
      <c r="FKS948" s="6">
        <v>148000000</v>
      </c>
      <c r="FKT948" s="6" t="str">
        <f t="shared" ref="FKT948" si="2046">FKR948</f>
        <v>Ohms</v>
      </c>
      <c r="FKU948" s="2" t="str">
        <f t="shared" ref="FKU948" si="2047">IF(FKM948="Ionizador", "Plato de carga", IF(FKM948="Cautín", "PTG", "RTG"))</f>
        <v>RTG</v>
      </c>
      <c r="FKV948" s="7">
        <v>45992</v>
      </c>
      <c r="FKW948" s="7">
        <f t="shared" ref="FKW948" si="2048">IF(FKX948="Trimestral", FKV948+90, IF(FKX948="Semestral", FKV948+180, FKV948+365))</f>
        <v>46172</v>
      </c>
      <c r="FKX948" s="7" t="str">
        <f t="shared" ref="FKX948" si="2049">IF(FKM948="Ionizador", "Trimestral", IF(FKM948="Rack", "Semestral", IF(FKM948="Mesa", "Semestral", IF(FKM948="Tapete", "Semestral", IF(FKM948="Cautín", "Semestral", IF(FKM948="Silla", "Semestral", "Anual"))))))</f>
        <v>Semestral</v>
      </c>
      <c r="FKY948" s="2" t="str">
        <f t="shared" ref="FKY948" ca="1" si="2050">IF(FKW948&lt;TODAY(),"VENCIDO",IF(FKW948=TODAY(),"VENCE HOY",IF(FKW948&gt;TODAY(),"VIGENTE")))</f>
        <v>VIGENTE</v>
      </c>
      <c r="FKZ948" s="6" t="s">
        <v>25</v>
      </c>
      <c r="FLA948" s="23" t="s">
        <v>138</v>
      </c>
      <c r="FLB948" s="2" t="s">
        <v>433</v>
      </c>
      <c r="FLC948" s="3" t="s">
        <v>22</v>
      </c>
      <c r="FLD948" s="3" t="s">
        <v>23</v>
      </c>
      <c r="FLE948" s="2" t="s">
        <v>24</v>
      </c>
      <c r="FLF948" s="4">
        <v>0</v>
      </c>
      <c r="FLG948" s="8">
        <f t="shared" ref="FLG948" si="2051">IF(FLC948="Ionizador", 10, IF(FLC948="Mesa", 1000000000, IF(FLC948="Rack", 1000000000, IF(FLC948="Piso", 1000000000, IF(FLC948="Tapete", 1000000000, IF(FLC948="Carrito", 1000000000, IF(FLC948="Cautín", 10, 1)))))))</f>
        <v>1000000000</v>
      </c>
      <c r="FLH948" s="4" t="str">
        <f t="shared" ref="FLH948" si="2052">IF(FLC948="Ionizador", "Segundos", "Ohms")</f>
        <v>Ohms</v>
      </c>
      <c r="FLI948" s="6">
        <v>148000000</v>
      </c>
      <c r="FLJ948" s="6" t="str">
        <f t="shared" ref="FLJ948" si="2053">FLH948</f>
        <v>Ohms</v>
      </c>
      <c r="FLK948" s="2" t="str">
        <f t="shared" ref="FLK948" si="2054">IF(FLC948="Ionizador", "Plato de carga", IF(FLC948="Cautín", "PTG", "RTG"))</f>
        <v>RTG</v>
      </c>
      <c r="FLL948" s="7">
        <v>45992</v>
      </c>
      <c r="FLM948" s="7">
        <f t="shared" ref="FLM948" si="2055">IF(FLN948="Trimestral", FLL948+90, IF(FLN948="Semestral", FLL948+180, FLL948+365))</f>
        <v>46172</v>
      </c>
      <c r="FLN948" s="7" t="str">
        <f t="shared" ref="FLN948" si="2056">IF(FLC948="Ionizador", "Trimestral", IF(FLC948="Rack", "Semestral", IF(FLC948="Mesa", "Semestral", IF(FLC948="Tapete", "Semestral", IF(FLC948="Cautín", "Semestral", IF(FLC948="Silla", "Semestral", "Anual"))))))</f>
        <v>Semestral</v>
      </c>
      <c r="FLO948" s="2" t="str">
        <f t="shared" ref="FLO948" ca="1" si="2057">IF(FLM948&lt;TODAY(),"VENCIDO",IF(FLM948=TODAY(),"VENCE HOY",IF(FLM948&gt;TODAY(),"VIGENTE")))</f>
        <v>VIGENTE</v>
      </c>
      <c r="FLP948" s="6" t="s">
        <v>25</v>
      </c>
      <c r="FLQ948" s="23" t="s">
        <v>138</v>
      </c>
      <c r="FLR948" s="2" t="s">
        <v>433</v>
      </c>
      <c r="FLS948" s="3" t="s">
        <v>22</v>
      </c>
      <c r="FLT948" s="3" t="s">
        <v>23</v>
      </c>
      <c r="FLU948" s="2" t="s">
        <v>24</v>
      </c>
      <c r="FLV948" s="4">
        <v>0</v>
      </c>
      <c r="FLW948" s="8">
        <f t="shared" ref="FLW948" si="2058">IF(FLS948="Ionizador", 10, IF(FLS948="Mesa", 1000000000, IF(FLS948="Rack", 1000000000, IF(FLS948="Piso", 1000000000, IF(FLS948="Tapete", 1000000000, IF(FLS948="Carrito", 1000000000, IF(FLS948="Cautín", 10, 1)))))))</f>
        <v>1000000000</v>
      </c>
      <c r="FLX948" s="4" t="str">
        <f t="shared" ref="FLX948" si="2059">IF(FLS948="Ionizador", "Segundos", "Ohms")</f>
        <v>Ohms</v>
      </c>
      <c r="FLY948" s="6">
        <v>148000000</v>
      </c>
      <c r="FLZ948" s="6" t="str">
        <f t="shared" ref="FLZ948" si="2060">FLX948</f>
        <v>Ohms</v>
      </c>
      <c r="FMA948" s="2" t="str">
        <f t="shared" ref="FMA948" si="2061">IF(FLS948="Ionizador", "Plato de carga", IF(FLS948="Cautín", "PTG", "RTG"))</f>
        <v>RTG</v>
      </c>
      <c r="FMB948" s="7">
        <v>45992</v>
      </c>
      <c r="FMC948" s="7">
        <f t="shared" ref="FMC948" si="2062">IF(FMD948="Trimestral", FMB948+90, IF(FMD948="Semestral", FMB948+180, FMB948+365))</f>
        <v>46172</v>
      </c>
      <c r="FMD948" s="7" t="str">
        <f t="shared" ref="FMD948" si="2063">IF(FLS948="Ionizador", "Trimestral", IF(FLS948="Rack", "Semestral", IF(FLS948="Mesa", "Semestral", IF(FLS948="Tapete", "Semestral", IF(FLS948="Cautín", "Semestral", IF(FLS948="Silla", "Semestral", "Anual"))))))</f>
        <v>Semestral</v>
      </c>
      <c r="FME948" s="2" t="str">
        <f t="shared" ref="FME948" ca="1" si="2064">IF(FMC948&lt;TODAY(),"VENCIDO",IF(FMC948=TODAY(),"VENCE HOY",IF(FMC948&gt;TODAY(),"VIGENTE")))</f>
        <v>VIGENTE</v>
      </c>
      <c r="FMF948" s="6" t="s">
        <v>25</v>
      </c>
      <c r="FMG948" s="23" t="s">
        <v>138</v>
      </c>
      <c r="FMH948" s="2" t="s">
        <v>433</v>
      </c>
      <c r="FMI948" s="3" t="s">
        <v>22</v>
      </c>
      <c r="FMJ948" s="3" t="s">
        <v>23</v>
      </c>
      <c r="FMK948" s="2" t="s">
        <v>24</v>
      </c>
      <c r="FML948" s="4">
        <v>0</v>
      </c>
      <c r="FMM948" s="8">
        <f t="shared" ref="FMM948" si="2065">IF(FMI948="Ionizador", 10, IF(FMI948="Mesa", 1000000000, IF(FMI948="Rack", 1000000000, IF(FMI948="Piso", 1000000000, IF(FMI948="Tapete", 1000000000, IF(FMI948="Carrito", 1000000000, IF(FMI948="Cautín", 10, 1)))))))</f>
        <v>1000000000</v>
      </c>
      <c r="FMN948" s="4" t="str">
        <f t="shared" ref="FMN948" si="2066">IF(FMI948="Ionizador", "Segundos", "Ohms")</f>
        <v>Ohms</v>
      </c>
      <c r="FMO948" s="6">
        <v>148000000</v>
      </c>
      <c r="FMP948" s="6" t="str">
        <f t="shared" ref="FMP948" si="2067">FMN948</f>
        <v>Ohms</v>
      </c>
      <c r="FMQ948" s="2" t="str">
        <f t="shared" ref="FMQ948" si="2068">IF(FMI948="Ionizador", "Plato de carga", IF(FMI948="Cautín", "PTG", "RTG"))</f>
        <v>RTG</v>
      </c>
      <c r="FMR948" s="7">
        <v>45992</v>
      </c>
      <c r="FMS948" s="7">
        <f t="shared" ref="FMS948" si="2069">IF(FMT948="Trimestral", FMR948+90, IF(FMT948="Semestral", FMR948+180, FMR948+365))</f>
        <v>46172</v>
      </c>
      <c r="FMT948" s="7" t="str">
        <f t="shared" ref="FMT948" si="2070">IF(FMI948="Ionizador", "Trimestral", IF(FMI948="Rack", "Semestral", IF(FMI948="Mesa", "Semestral", IF(FMI948="Tapete", "Semestral", IF(FMI948="Cautín", "Semestral", IF(FMI948="Silla", "Semestral", "Anual"))))))</f>
        <v>Semestral</v>
      </c>
      <c r="FMU948" s="2" t="str">
        <f t="shared" ref="FMU948" ca="1" si="2071">IF(FMS948&lt;TODAY(),"VENCIDO",IF(FMS948=TODAY(),"VENCE HOY",IF(FMS948&gt;TODAY(),"VIGENTE")))</f>
        <v>VIGENTE</v>
      </c>
      <c r="FMV948" s="6" t="s">
        <v>25</v>
      </c>
      <c r="FMW948" s="23" t="s">
        <v>138</v>
      </c>
      <c r="FMX948" s="2" t="s">
        <v>433</v>
      </c>
      <c r="FMY948" s="3" t="s">
        <v>22</v>
      </c>
      <c r="FMZ948" s="3" t="s">
        <v>23</v>
      </c>
      <c r="FNA948" s="2" t="s">
        <v>24</v>
      </c>
      <c r="FNB948" s="4">
        <v>0</v>
      </c>
      <c r="FNC948" s="8">
        <f t="shared" ref="FNC948" si="2072">IF(FMY948="Ionizador", 10, IF(FMY948="Mesa", 1000000000, IF(FMY948="Rack", 1000000000, IF(FMY948="Piso", 1000000000, IF(FMY948="Tapete", 1000000000, IF(FMY948="Carrito", 1000000000, IF(FMY948="Cautín", 10, 1)))))))</f>
        <v>1000000000</v>
      </c>
      <c r="FND948" s="4" t="str">
        <f t="shared" ref="FND948" si="2073">IF(FMY948="Ionizador", "Segundos", "Ohms")</f>
        <v>Ohms</v>
      </c>
      <c r="FNE948" s="6">
        <v>148000000</v>
      </c>
      <c r="FNF948" s="6" t="str">
        <f t="shared" ref="FNF948" si="2074">FND948</f>
        <v>Ohms</v>
      </c>
      <c r="FNG948" s="2" t="str">
        <f t="shared" ref="FNG948" si="2075">IF(FMY948="Ionizador", "Plato de carga", IF(FMY948="Cautín", "PTG", "RTG"))</f>
        <v>RTG</v>
      </c>
      <c r="FNH948" s="7">
        <v>45992</v>
      </c>
      <c r="FNI948" s="7">
        <f t="shared" ref="FNI948" si="2076">IF(FNJ948="Trimestral", FNH948+90, IF(FNJ948="Semestral", FNH948+180, FNH948+365))</f>
        <v>46172</v>
      </c>
      <c r="FNJ948" s="7" t="str">
        <f t="shared" ref="FNJ948" si="2077">IF(FMY948="Ionizador", "Trimestral", IF(FMY948="Rack", "Semestral", IF(FMY948="Mesa", "Semestral", IF(FMY948="Tapete", "Semestral", IF(FMY948="Cautín", "Semestral", IF(FMY948="Silla", "Semestral", "Anual"))))))</f>
        <v>Semestral</v>
      </c>
      <c r="FNK948" s="2" t="str">
        <f t="shared" ref="FNK948" ca="1" si="2078">IF(FNI948&lt;TODAY(),"VENCIDO",IF(FNI948=TODAY(),"VENCE HOY",IF(FNI948&gt;TODAY(),"VIGENTE")))</f>
        <v>VIGENTE</v>
      </c>
      <c r="FNL948" s="6" t="s">
        <v>25</v>
      </c>
      <c r="FNM948" s="23" t="s">
        <v>138</v>
      </c>
      <c r="FNN948" s="2" t="s">
        <v>433</v>
      </c>
      <c r="FNO948" s="3" t="s">
        <v>22</v>
      </c>
      <c r="FNP948" s="3" t="s">
        <v>23</v>
      </c>
      <c r="FNQ948" s="2" t="s">
        <v>24</v>
      </c>
      <c r="FNR948" s="4">
        <v>0</v>
      </c>
      <c r="FNS948" s="8">
        <f t="shared" ref="FNS948" si="2079">IF(FNO948="Ionizador", 10, IF(FNO948="Mesa", 1000000000, IF(FNO948="Rack", 1000000000, IF(FNO948="Piso", 1000000000, IF(FNO948="Tapete", 1000000000, IF(FNO948="Carrito", 1000000000, IF(FNO948="Cautín", 10, 1)))))))</f>
        <v>1000000000</v>
      </c>
      <c r="FNT948" s="4" t="str">
        <f t="shared" ref="FNT948" si="2080">IF(FNO948="Ionizador", "Segundos", "Ohms")</f>
        <v>Ohms</v>
      </c>
      <c r="FNU948" s="6">
        <v>148000000</v>
      </c>
      <c r="FNV948" s="6" t="str">
        <f t="shared" ref="FNV948" si="2081">FNT948</f>
        <v>Ohms</v>
      </c>
      <c r="FNW948" s="2" t="str">
        <f t="shared" ref="FNW948" si="2082">IF(FNO948="Ionizador", "Plato de carga", IF(FNO948="Cautín", "PTG", "RTG"))</f>
        <v>RTG</v>
      </c>
      <c r="FNX948" s="7">
        <v>45992</v>
      </c>
      <c r="FNY948" s="7">
        <f t="shared" ref="FNY948" si="2083">IF(FNZ948="Trimestral", FNX948+90, IF(FNZ948="Semestral", FNX948+180, FNX948+365))</f>
        <v>46172</v>
      </c>
      <c r="FNZ948" s="7" t="str">
        <f t="shared" ref="FNZ948" si="2084">IF(FNO948="Ionizador", "Trimestral", IF(FNO948="Rack", "Semestral", IF(FNO948="Mesa", "Semestral", IF(FNO948="Tapete", "Semestral", IF(FNO948="Cautín", "Semestral", IF(FNO948="Silla", "Semestral", "Anual"))))))</f>
        <v>Semestral</v>
      </c>
      <c r="FOA948" s="2" t="str">
        <f t="shared" ref="FOA948" ca="1" si="2085">IF(FNY948&lt;TODAY(),"VENCIDO",IF(FNY948=TODAY(),"VENCE HOY",IF(FNY948&gt;TODAY(),"VIGENTE")))</f>
        <v>VIGENTE</v>
      </c>
      <c r="FOB948" s="6" t="s">
        <v>25</v>
      </c>
      <c r="FOC948" s="23" t="s">
        <v>138</v>
      </c>
      <c r="FOD948" s="2" t="s">
        <v>433</v>
      </c>
      <c r="FOE948" s="3" t="s">
        <v>22</v>
      </c>
      <c r="FOF948" s="3" t="s">
        <v>23</v>
      </c>
      <c r="FOG948" s="2" t="s">
        <v>24</v>
      </c>
      <c r="FOH948" s="4">
        <v>0</v>
      </c>
      <c r="FOI948" s="8">
        <f t="shared" ref="FOI948" si="2086">IF(FOE948="Ionizador", 10, IF(FOE948="Mesa", 1000000000, IF(FOE948="Rack", 1000000000, IF(FOE948="Piso", 1000000000, IF(FOE948="Tapete", 1000000000, IF(FOE948="Carrito", 1000000000, IF(FOE948="Cautín", 10, 1)))))))</f>
        <v>1000000000</v>
      </c>
      <c r="FOJ948" s="4" t="str">
        <f t="shared" ref="FOJ948" si="2087">IF(FOE948="Ionizador", "Segundos", "Ohms")</f>
        <v>Ohms</v>
      </c>
      <c r="FOK948" s="6">
        <v>148000000</v>
      </c>
      <c r="FOL948" s="6" t="str">
        <f t="shared" ref="FOL948" si="2088">FOJ948</f>
        <v>Ohms</v>
      </c>
      <c r="FOM948" s="2" t="str">
        <f t="shared" ref="FOM948" si="2089">IF(FOE948="Ionizador", "Plato de carga", IF(FOE948="Cautín", "PTG", "RTG"))</f>
        <v>RTG</v>
      </c>
      <c r="FON948" s="7">
        <v>45992</v>
      </c>
      <c r="FOO948" s="7">
        <f t="shared" ref="FOO948" si="2090">IF(FOP948="Trimestral", FON948+90, IF(FOP948="Semestral", FON948+180, FON948+365))</f>
        <v>46172</v>
      </c>
      <c r="FOP948" s="7" t="str">
        <f t="shared" ref="FOP948" si="2091">IF(FOE948="Ionizador", "Trimestral", IF(FOE948="Rack", "Semestral", IF(FOE948="Mesa", "Semestral", IF(FOE948="Tapete", "Semestral", IF(FOE948="Cautín", "Semestral", IF(FOE948="Silla", "Semestral", "Anual"))))))</f>
        <v>Semestral</v>
      </c>
      <c r="FOQ948" s="2" t="str">
        <f t="shared" ref="FOQ948" ca="1" si="2092">IF(FOO948&lt;TODAY(),"VENCIDO",IF(FOO948=TODAY(),"VENCE HOY",IF(FOO948&gt;TODAY(),"VIGENTE")))</f>
        <v>VIGENTE</v>
      </c>
      <c r="FOR948" s="6" t="s">
        <v>25</v>
      </c>
      <c r="FOS948" s="23" t="s">
        <v>138</v>
      </c>
      <c r="FOT948" s="2" t="s">
        <v>433</v>
      </c>
      <c r="FOU948" s="3" t="s">
        <v>22</v>
      </c>
      <c r="FOV948" s="3" t="s">
        <v>23</v>
      </c>
      <c r="FOW948" s="2" t="s">
        <v>24</v>
      </c>
      <c r="FOX948" s="4">
        <v>0</v>
      </c>
      <c r="FOY948" s="8">
        <f t="shared" ref="FOY948" si="2093">IF(FOU948="Ionizador", 10, IF(FOU948="Mesa", 1000000000, IF(FOU948="Rack", 1000000000, IF(FOU948="Piso", 1000000000, IF(FOU948="Tapete", 1000000000, IF(FOU948="Carrito", 1000000000, IF(FOU948="Cautín", 10, 1)))))))</f>
        <v>1000000000</v>
      </c>
      <c r="FOZ948" s="4" t="str">
        <f t="shared" ref="FOZ948" si="2094">IF(FOU948="Ionizador", "Segundos", "Ohms")</f>
        <v>Ohms</v>
      </c>
      <c r="FPA948" s="6">
        <v>148000000</v>
      </c>
      <c r="FPB948" s="6" t="str">
        <f t="shared" ref="FPB948" si="2095">FOZ948</f>
        <v>Ohms</v>
      </c>
      <c r="FPC948" s="2" t="str">
        <f t="shared" ref="FPC948" si="2096">IF(FOU948="Ionizador", "Plato de carga", IF(FOU948="Cautín", "PTG", "RTG"))</f>
        <v>RTG</v>
      </c>
      <c r="FPD948" s="7">
        <v>45992</v>
      </c>
      <c r="FPE948" s="7">
        <f t="shared" ref="FPE948" si="2097">IF(FPF948="Trimestral", FPD948+90, IF(FPF948="Semestral", FPD948+180, FPD948+365))</f>
        <v>46172</v>
      </c>
      <c r="FPF948" s="7" t="str">
        <f t="shared" ref="FPF948" si="2098">IF(FOU948="Ionizador", "Trimestral", IF(FOU948="Rack", "Semestral", IF(FOU948="Mesa", "Semestral", IF(FOU948="Tapete", "Semestral", IF(FOU948="Cautín", "Semestral", IF(FOU948="Silla", "Semestral", "Anual"))))))</f>
        <v>Semestral</v>
      </c>
      <c r="FPG948" s="2" t="str">
        <f t="shared" ref="FPG948" ca="1" si="2099">IF(FPE948&lt;TODAY(),"VENCIDO",IF(FPE948=TODAY(),"VENCE HOY",IF(FPE948&gt;TODAY(),"VIGENTE")))</f>
        <v>VIGENTE</v>
      </c>
      <c r="FPH948" s="6" t="s">
        <v>25</v>
      </c>
      <c r="FPI948" s="23" t="s">
        <v>138</v>
      </c>
      <c r="FPJ948" s="2" t="s">
        <v>433</v>
      </c>
      <c r="FPK948" s="3" t="s">
        <v>22</v>
      </c>
      <c r="FPL948" s="3" t="s">
        <v>23</v>
      </c>
      <c r="FPM948" s="2" t="s">
        <v>24</v>
      </c>
      <c r="FPN948" s="4">
        <v>0</v>
      </c>
      <c r="FPO948" s="8">
        <f t="shared" ref="FPO948" si="2100">IF(FPK948="Ionizador", 10, IF(FPK948="Mesa", 1000000000, IF(FPK948="Rack", 1000000000, IF(FPK948="Piso", 1000000000, IF(FPK948="Tapete", 1000000000, IF(FPK948="Carrito", 1000000000, IF(FPK948="Cautín", 10, 1)))))))</f>
        <v>1000000000</v>
      </c>
      <c r="FPP948" s="4" t="str">
        <f t="shared" ref="FPP948" si="2101">IF(FPK948="Ionizador", "Segundos", "Ohms")</f>
        <v>Ohms</v>
      </c>
      <c r="FPQ948" s="6">
        <v>148000000</v>
      </c>
      <c r="FPR948" s="6" t="str">
        <f t="shared" ref="FPR948" si="2102">FPP948</f>
        <v>Ohms</v>
      </c>
      <c r="FPS948" s="2" t="str">
        <f t="shared" ref="FPS948" si="2103">IF(FPK948="Ionizador", "Plato de carga", IF(FPK948="Cautín", "PTG", "RTG"))</f>
        <v>RTG</v>
      </c>
      <c r="FPT948" s="7">
        <v>45992</v>
      </c>
      <c r="FPU948" s="7">
        <f t="shared" ref="FPU948" si="2104">IF(FPV948="Trimestral", FPT948+90, IF(FPV948="Semestral", FPT948+180, FPT948+365))</f>
        <v>46172</v>
      </c>
      <c r="FPV948" s="7" t="str">
        <f t="shared" ref="FPV948" si="2105">IF(FPK948="Ionizador", "Trimestral", IF(FPK948="Rack", "Semestral", IF(FPK948="Mesa", "Semestral", IF(FPK948="Tapete", "Semestral", IF(FPK948="Cautín", "Semestral", IF(FPK948="Silla", "Semestral", "Anual"))))))</f>
        <v>Semestral</v>
      </c>
      <c r="FPW948" s="2" t="str">
        <f t="shared" ref="FPW948" ca="1" si="2106">IF(FPU948&lt;TODAY(),"VENCIDO",IF(FPU948=TODAY(),"VENCE HOY",IF(FPU948&gt;TODAY(),"VIGENTE")))</f>
        <v>VIGENTE</v>
      </c>
      <c r="FPX948" s="6" t="s">
        <v>25</v>
      </c>
      <c r="FPY948" s="23" t="s">
        <v>138</v>
      </c>
      <c r="FPZ948" s="2" t="s">
        <v>433</v>
      </c>
      <c r="FQA948" s="3" t="s">
        <v>22</v>
      </c>
      <c r="FQB948" s="3" t="s">
        <v>23</v>
      </c>
      <c r="FQC948" s="2" t="s">
        <v>24</v>
      </c>
      <c r="FQD948" s="4">
        <v>0</v>
      </c>
      <c r="FQE948" s="8">
        <f t="shared" ref="FQE948" si="2107">IF(FQA948="Ionizador", 10, IF(FQA948="Mesa", 1000000000, IF(FQA948="Rack", 1000000000, IF(FQA948="Piso", 1000000000, IF(FQA948="Tapete", 1000000000, IF(FQA948="Carrito", 1000000000, IF(FQA948="Cautín", 10, 1)))))))</f>
        <v>1000000000</v>
      </c>
      <c r="FQF948" s="4" t="str">
        <f t="shared" ref="FQF948" si="2108">IF(FQA948="Ionizador", "Segundos", "Ohms")</f>
        <v>Ohms</v>
      </c>
      <c r="FQG948" s="6">
        <v>148000000</v>
      </c>
      <c r="FQH948" s="6" t="str">
        <f t="shared" ref="FQH948" si="2109">FQF948</f>
        <v>Ohms</v>
      </c>
      <c r="FQI948" s="2" t="str">
        <f t="shared" ref="FQI948" si="2110">IF(FQA948="Ionizador", "Plato de carga", IF(FQA948="Cautín", "PTG", "RTG"))</f>
        <v>RTG</v>
      </c>
      <c r="FQJ948" s="7">
        <v>45992</v>
      </c>
      <c r="FQK948" s="7">
        <f t="shared" ref="FQK948" si="2111">IF(FQL948="Trimestral", FQJ948+90, IF(FQL948="Semestral", FQJ948+180, FQJ948+365))</f>
        <v>46172</v>
      </c>
      <c r="FQL948" s="7" t="str">
        <f t="shared" ref="FQL948" si="2112">IF(FQA948="Ionizador", "Trimestral", IF(FQA948="Rack", "Semestral", IF(FQA948="Mesa", "Semestral", IF(FQA948="Tapete", "Semestral", IF(FQA948="Cautín", "Semestral", IF(FQA948="Silla", "Semestral", "Anual"))))))</f>
        <v>Semestral</v>
      </c>
      <c r="FQM948" s="2" t="str">
        <f t="shared" ref="FQM948" ca="1" si="2113">IF(FQK948&lt;TODAY(),"VENCIDO",IF(FQK948=TODAY(),"VENCE HOY",IF(FQK948&gt;TODAY(),"VIGENTE")))</f>
        <v>VIGENTE</v>
      </c>
      <c r="FQN948" s="6" t="s">
        <v>25</v>
      </c>
      <c r="FQO948" s="23" t="s">
        <v>138</v>
      </c>
      <c r="FQP948" s="2" t="s">
        <v>433</v>
      </c>
      <c r="FQQ948" s="3" t="s">
        <v>22</v>
      </c>
      <c r="FQR948" s="3" t="s">
        <v>23</v>
      </c>
      <c r="FQS948" s="2" t="s">
        <v>24</v>
      </c>
      <c r="FQT948" s="4">
        <v>0</v>
      </c>
      <c r="FQU948" s="8">
        <f t="shared" ref="FQU948" si="2114">IF(FQQ948="Ionizador", 10, IF(FQQ948="Mesa", 1000000000, IF(FQQ948="Rack", 1000000000, IF(FQQ948="Piso", 1000000000, IF(FQQ948="Tapete", 1000000000, IF(FQQ948="Carrito", 1000000000, IF(FQQ948="Cautín", 10, 1)))))))</f>
        <v>1000000000</v>
      </c>
      <c r="FQV948" s="4" t="str">
        <f t="shared" ref="FQV948" si="2115">IF(FQQ948="Ionizador", "Segundos", "Ohms")</f>
        <v>Ohms</v>
      </c>
      <c r="FQW948" s="6">
        <v>148000000</v>
      </c>
      <c r="FQX948" s="6" t="str">
        <f t="shared" ref="FQX948" si="2116">FQV948</f>
        <v>Ohms</v>
      </c>
      <c r="FQY948" s="2" t="str">
        <f t="shared" ref="FQY948" si="2117">IF(FQQ948="Ionizador", "Plato de carga", IF(FQQ948="Cautín", "PTG", "RTG"))</f>
        <v>RTG</v>
      </c>
      <c r="FQZ948" s="7">
        <v>45992</v>
      </c>
      <c r="FRA948" s="7">
        <f t="shared" ref="FRA948" si="2118">IF(FRB948="Trimestral", FQZ948+90, IF(FRB948="Semestral", FQZ948+180, FQZ948+365))</f>
        <v>46172</v>
      </c>
      <c r="FRB948" s="7" t="str">
        <f t="shared" ref="FRB948" si="2119">IF(FQQ948="Ionizador", "Trimestral", IF(FQQ948="Rack", "Semestral", IF(FQQ948="Mesa", "Semestral", IF(FQQ948="Tapete", "Semestral", IF(FQQ948="Cautín", "Semestral", IF(FQQ948="Silla", "Semestral", "Anual"))))))</f>
        <v>Semestral</v>
      </c>
      <c r="FRC948" s="2" t="str">
        <f t="shared" ref="FRC948" ca="1" si="2120">IF(FRA948&lt;TODAY(),"VENCIDO",IF(FRA948=TODAY(),"VENCE HOY",IF(FRA948&gt;TODAY(),"VIGENTE")))</f>
        <v>VIGENTE</v>
      </c>
      <c r="FRD948" s="6" t="s">
        <v>25</v>
      </c>
      <c r="FRE948" s="23" t="s">
        <v>138</v>
      </c>
      <c r="FRF948" s="2" t="s">
        <v>433</v>
      </c>
      <c r="FRG948" s="3" t="s">
        <v>22</v>
      </c>
      <c r="FRH948" s="3" t="s">
        <v>23</v>
      </c>
      <c r="FRI948" s="2" t="s">
        <v>24</v>
      </c>
      <c r="FRJ948" s="4">
        <v>0</v>
      </c>
      <c r="FRK948" s="8">
        <f t="shared" ref="FRK948" si="2121">IF(FRG948="Ionizador", 10, IF(FRG948="Mesa", 1000000000, IF(FRG948="Rack", 1000000000, IF(FRG948="Piso", 1000000000, IF(FRG948="Tapete", 1000000000, IF(FRG948="Carrito", 1000000000, IF(FRG948="Cautín", 10, 1)))))))</f>
        <v>1000000000</v>
      </c>
      <c r="FRL948" s="4" t="str">
        <f t="shared" ref="FRL948" si="2122">IF(FRG948="Ionizador", "Segundos", "Ohms")</f>
        <v>Ohms</v>
      </c>
      <c r="FRM948" s="6">
        <v>148000000</v>
      </c>
      <c r="FRN948" s="6" t="str">
        <f t="shared" ref="FRN948" si="2123">FRL948</f>
        <v>Ohms</v>
      </c>
      <c r="FRO948" s="2" t="str">
        <f t="shared" ref="FRO948" si="2124">IF(FRG948="Ionizador", "Plato de carga", IF(FRG948="Cautín", "PTG", "RTG"))</f>
        <v>RTG</v>
      </c>
      <c r="FRP948" s="7">
        <v>45992</v>
      </c>
      <c r="FRQ948" s="7">
        <f t="shared" ref="FRQ948" si="2125">IF(FRR948="Trimestral", FRP948+90, IF(FRR948="Semestral", FRP948+180, FRP948+365))</f>
        <v>46172</v>
      </c>
      <c r="FRR948" s="7" t="str">
        <f t="shared" ref="FRR948" si="2126">IF(FRG948="Ionizador", "Trimestral", IF(FRG948="Rack", "Semestral", IF(FRG948="Mesa", "Semestral", IF(FRG948="Tapete", "Semestral", IF(FRG948="Cautín", "Semestral", IF(FRG948="Silla", "Semestral", "Anual"))))))</f>
        <v>Semestral</v>
      </c>
      <c r="FRS948" s="2" t="str">
        <f t="shared" ref="FRS948" ca="1" si="2127">IF(FRQ948&lt;TODAY(),"VENCIDO",IF(FRQ948=TODAY(),"VENCE HOY",IF(FRQ948&gt;TODAY(),"VIGENTE")))</f>
        <v>VIGENTE</v>
      </c>
      <c r="FRT948" s="6" t="s">
        <v>25</v>
      </c>
      <c r="FRU948" s="23" t="s">
        <v>138</v>
      </c>
      <c r="FRV948" s="2" t="s">
        <v>433</v>
      </c>
      <c r="FRW948" s="3" t="s">
        <v>22</v>
      </c>
      <c r="FRX948" s="3" t="s">
        <v>23</v>
      </c>
      <c r="FRY948" s="2" t="s">
        <v>24</v>
      </c>
      <c r="FRZ948" s="4">
        <v>0</v>
      </c>
      <c r="FSA948" s="8">
        <f t="shared" ref="FSA948" si="2128">IF(FRW948="Ionizador", 10, IF(FRW948="Mesa", 1000000000, IF(FRW948="Rack", 1000000000, IF(FRW948="Piso", 1000000000, IF(FRW948="Tapete", 1000000000, IF(FRW948="Carrito", 1000000000, IF(FRW948="Cautín", 10, 1)))))))</f>
        <v>1000000000</v>
      </c>
      <c r="FSB948" s="4" t="str">
        <f t="shared" ref="FSB948" si="2129">IF(FRW948="Ionizador", "Segundos", "Ohms")</f>
        <v>Ohms</v>
      </c>
      <c r="FSC948" s="6">
        <v>148000000</v>
      </c>
      <c r="FSD948" s="6" t="str">
        <f t="shared" ref="FSD948" si="2130">FSB948</f>
        <v>Ohms</v>
      </c>
      <c r="FSE948" s="2" t="str">
        <f t="shared" ref="FSE948" si="2131">IF(FRW948="Ionizador", "Plato de carga", IF(FRW948="Cautín", "PTG", "RTG"))</f>
        <v>RTG</v>
      </c>
      <c r="FSF948" s="7">
        <v>45992</v>
      </c>
      <c r="FSG948" s="7">
        <f t="shared" ref="FSG948" si="2132">IF(FSH948="Trimestral", FSF948+90, IF(FSH948="Semestral", FSF948+180, FSF948+365))</f>
        <v>46172</v>
      </c>
      <c r="FSH948" s="7" t="str">
        <f t="shared" ref="FSH948" si="2133">IF(FRW948="Ionizador", "Trimestral", IF(FRW948="Rack", "Semestral", IF(FRW948="Mesa", "Semestral", IF(FRW948="Tapete", "Semestral", IF(FRW948="Cautín", "Semestral", IF(FRW948="Silla", "Semestral", "Anual"))))))</f>
        <v>Semestral</v>
      </c>
      <c r="FSI948" s="2" t="str">
        <f t="shared" ref="FSI948" ca="1" si="2134">IF(FSG948&lt;TODAY(),"VENCIDO",IF(FSG948=TODAY(),"VENCE HOY",IF(FSG948&gt;TODAY(),"VIGENTE")))</f>
        <v>VIGENTE</v>
      </c>
      <c r="FSJ948" s="6" t="s">
        <v>25</v>
      </c>
      <c r="FSK948" s="23" t="s">
        <v>138</v>
      </c>
      <c r="FSL948" s="2" t="s">
        <v>433</v>
      </c>
      <c r="FSM948" s="3" t="s">
        <v>22</v>
      </c>
      <c r="FSN948" s="3" t="s">
        <v>23</v>
      </c>
      <c r="FSO948" s="2" t="s">
        <v>24</v>
      </c>
      <c r="FSP948" s="4">
        <v>0</v>
      </c>
      <c r="FSQ948" s="8">
        <f t="shared" ref="FSQ948" si="2135">IF(FSM948="Ionizador", 10, IF(FSM948="Mesa", 1000000000, IF(FSM948="Rack", 1000000000, IF(FSM948="Piso", 1000000000, IF(FSM948="Tapete", 1000000000, IF(FSM948="Carrito", 1000000000, IF(FSM948="Cautín", 10, 1)))))))</f>
        <v>1000000000</v>
      </c>
      <c r="FSR948" s="4" t="str">
        <f t="shared" ref="FSR948" si="2136">IF(FSM948="Ionizador", "Segundos", "Ohms")</f>
        <v>Ohms</v>
      </c>
      <c r="FSS948" s="6">
        <v>148000000</v>
      </c>
      <c r="FST948" s="6" t="str">
        <f t="shared" ref="FST948" si="2137">FSR948</f>
        <v>Ohms</v>
      </c>
      <c r="FSU948" s="2" t="str">
        <f t="shared" ref="FSU948" si="2138">IF(FSM948="Ionizador", "Plato de carga", IF(FSM948="Cautín", "PTG", "RTG"))</f>
        <v>RTG</v>
      </c>
      <c r="FSV948" s="7">
        <v>45992</v>
      </c>
      <c r="FSW948" s="7">
        <f t="shared" ref="FSW948" si="2139">IF(FSX948="Trimestral", FSV948+90, IF(FSX948="Semestral", FSV948+180, FSV948+365))</f>
        <v>46172</v>
      </c>
      <c r="FSX948" s="7" t="str">
        <f t="shared" ref="FSX948" si="2140">IF(FSM948="Ionizador", "Trimestral", IF(FSM948="Rack", "Semestral", IF(FSM948="Mesa", "Semestral", IF(FSM948="Tapete", "Semestral", IF(FSM948="Cautín", "Semestral", IF(FSM948="Silla", "Semestral", "Anual"))))))</f>
        <v>Semestral</v>
      </c>
      <c r="FSY948" s="2" t="str">
        <f t="shared" ref="FSY948" ca="1" si="2141">IF(FSW948&lt;TODAY(),"VENCIDO",IF(FSW948=TODAY(),"VENCE HOY",IF(FSW948&gt;TODAY(),"VIGENTE")))</f>
        <v>VIGENTE</v>
      </c>
      <c r="FSZ948" s="6" t="s">
        <v>25</v>
      </c>
      <c r="FTA948" s="23" t="s">
        <v>138</v>
      </c>
      <c r="FTB948" s="2" t="s">
        <v>433</v>
      </c>
      <c r="FTC948" s="3" t="s">
        <v>22</v>
      </c>
      <c r="FTD948" s="3" t="s">
        <v>23</v>
      </c>
      <c r="FTE948" s="2" t="s">
        <v>24</v>
      </c>
      <c r="FTF948" s="4">
        <v>0</v>
      </c>
      <c r="FTG948" s="8">
        <f t="shared" ref="FTG948" si="2142">IF(FTC948="Ionizador", 10, IF(FTC948="Mesa", 1000000000, IF(FTC948="Rack", 1000000000, IF(FTC948="Piso", 1000000000, IF(FTC948="Tapete", 1000000000, IF(FTC948="Carrito", 1000000000, IF(FTC948="Cautín", 10, 1)))))))</f>
        <v>1000000000</v>
      </c>
      <c r="FTH948" s="4" t="str">
        <f t="shared" ref="FTH948" si="2143">IF(FTC948="Ionizador", "Segundos", "Ohms")</f>
        <v>Ohms</v>
      </c>
      <c r="FTI948" s="6">
        <v>148000000</v>
      </c>
      <c r="FTJ948" s="6" t="str">
        <f t="shared" ref="FTJ948" si="2144">FTH948</f>
        <v>Ohms</v>
      </c>
      <c r="FTK948" s="2" t="str">
        <f t="shared" ref="FTK948" si="2145">IF(FTC948="Ionizador", "Plato de carga", IF(FTC948="Cautín", "PTG", "RTG"))</f>
        <v>RTG</v>
      </c>
      <c r="FTL948" s="7">
        <v>45992</v>
      </c>
      <c r="FTM948" s="7">
        <f t="shared" ref="FTM948" si="2146">IF(FTN948="Trimestral", FTL948+90, IF(FTN948="Semestral", FTL948+180, FTL948+365))</f>
        <v>46172</v>
      </c>
      <c r="FTN948" s="7" t="str">
        <f t="shared" ref="FTN948" si="2147">IF(FTC948="Ionizador", "Trimestral", IF(FTC948="Rack", "Semestral", IF(FTC948="Mesa", "Semestral", IF(FTC948="Tapete", "Semestral", IF(FTC948="Cautín", "Semestral", IF(FTC948="Silla", "Semestral", "Anual"))))))</f>
        <v>Semestral</v>
      </c>
      <c r="FTO948" s="2" t="str">
        <f t="shared" ref="FTO948" ca="1" si="2148">IF(FTM948&lt;TODAY(),"VENCIDO",IF(FTM948=TODAY(),"VENCE HOY",IF(FTM948&gt;TODAY(),"VIGENTE")))</f>
        <v>VIGENTE</v>
      </c>
      <c r="FTP948" s="6" t="s">
        <v>25</v>
      </c>
      <c r="FTQ948" s="23" t="s">
        <v>138</v>
      </c>
      <c r="FTR948" s="2" t="s">
        <v>433</v>
      </c>
      <c r="FTS948" s="3" t="s">
        <v>22</v>
      </c>
      <c r="FTT948" s="3" t="s">
        <v>23</v>
      </c>
      <c r="FTU948" s="2" t="s">
        <v>24</v>
      </c>
      <c r="FTV948" s="4">
        <v>0</v>
      </c>
      <c r="FTW948" s="8">
        <f t="shared" ref="FTW948" si="2149">IF(FTS948="Ionizador", 10, IF(FTS948="Mesa", 1000000000, IF(FTS948="Rack", 1000000000, IF(FTS948="Piso", 1000000000, IF(FTS948="Tapete", 1000000000, IF(FTS948="Carrito", 1000000000, IF(FTS948="Cautín", 10, 1)))))))</f>
        <v>1000000000</v>
      </c>
      <c r="FTX948" s="4" t="str">
        <f t="shared" ref="FTX948" si="2150">IF(FTS948="Ionizador", "Segundos", "Ohms")</f>
        <v>Ohms</v>
      </c>
      <c r="FTY948" s="6">
        <v>148000000</v>
      </c>
      <c r="FTZ948" s="6" t="str">
        <f t="shared" ref="FTZ948" si="2151">FTX948</f>
        <v>Ohms</v>
      </c>
      <c r="FUA948" s="2" t="str">
        <f t="shared" ref="FUA948" si="2152">IF(FTS948="Ionizador", "Plato de carga", IF(FTS948="Cautín", "PTG", "RTG"))</f>
        <v>RTG</v>
      </c>
      <c r="FUB948" s="7">
        <v>45992</v>
      </c>
      <c r="FUC948" s="7">
        <f t="shared" ref="FUC948" si="2153">IF(FUD948="Trimestral", FUB948+90, IF(FUD948="Semestral", FUB948+180, FUB948+365))</f>
        <v>46172</v>
      </c>
      <c r="FUD948" s="7" t="str">
        <f t="shared" ref="FUD948" si="2154">IF(FTS948="Ionizador", "Trimestral", IF(FTS948="Rack", "Semestral", IF(FTS948="Mesa", "Semestral", IF(FTS948="Tapete", "Semestral", IF(FTS948="Cautín", "Semestral", IF(FTS948="Silla", "Semestral", "Anual"))))))</f>
        <v>Semestral</v>
      </c>
      <c r="FUE948" s="2" t="str">
        <f t="shared" ref="FUE948" ca="1" si="2155">IF(FUC948&lt;TODAY(),"VENCIDO",IF(FUC948=TODAY(),"VENCE HOY",IF(FUC948&gt;TODAY(),"VIGENTE")))</f>
        <v>VIGENTE</v>
      </c>
      <c r="FUF948" s="6" t="s">
        <v>25</v>
      </c>
      <c r="FUG948" s="23" t="s">
        <v>138</v>
      </c>
      <c r="FUH948" s="2" t="s">
        <v>433</v>
      </c>
      <c r="FUI948" s="3" t="s">
        <v>22</v>
      </c>
      <c r="FUJ948" s="3" t="s">
        <v>23</v>
      </c>
      <c r="FUK948" s="2" t="s">
        <v>24</v>
      </c>
      <c r="FUL948" s="4">
        <v>0</v>
      </c>
      <c r="FUM948" s="8">
        <f t="shared" ref="FUM948" si="2156">IF(FUI948="Ionizador", 10, IF(FUI948="Mesa", 1000000000, IF(FUI948="Rack", 1000000000, IF(FUI948="Piso", 1000000000, IF(FUI948="Tapete", 1000000000, IF(FUI948="Carrito", 1000000000, IF(FUI948="Cautín", 10, 1)))))))</f>
        <v>1000000000</v>
      </c>
      <c r="FUN948" s="4" t="str">
        <f t="shared" ref="FUN948" si="2157">IF(FUI948="Ionizador", "Segundos", "Ohms")</f>
        <v>Ohms</v>
      </c>
      <c r="FUO948" s="6">
        <v>148000000</v>
      </c>
      <c r="FUP948" s="6" t="str">
        <f t="shared" ref="FUP948" si="2158">FUN948</f>
        <v>Ohms</v>
      </c>
      <c r="FUQ948" s="2" t="str">
        <f t="shared" ref="FUQ948" si="2159">IF(FUI948="Ionizador", "Plato de carga", IF(FUI948="Cautín", "PTG", "RTG"))</f>
        <v>RTG</v>
      </c>
      <c r="FUR948" s="7">
        <v>45992</v>
      </c>
      <c r="FUS948" s="7">
        <f t="shared" ref="FUS948" si="2160">IF(FUT948="Trimestral", FUR948+90, IF(FUT948="Semestral", FUR948+180, FUR948+365))</f>
        <v>46172</v>
      </c>
      <c r="FUT948" s="7" t="str">
        <f t="shared" ref="FUT948" si="2161">IF(FUI948="Ionizador", "Trimestral", IF(FUI948="Rack", "Semestral", IF(FUI948="Mesa", "Semestral", IF(FUI948="Tapete", "Semestral", IF(FUI948="Cautín", "Semestral", IF(FUI948="Silla", "Semestral", "Anual"))))))</f>
        <v>Semestral</v>
      </c>
      <c r="FUU948" s="2" t="str">
        <f t="shared" ref="FUU948" ca="1" si="2162">IF(FUS948&lt;TODAY(),"VENCIDO",IF(FUS948=TODAY(),"VENCE HOY",IF(FUS948&gt;TODAY(),"VIGENTE")))</f>
        <v>VIGENTE</v>
      </c>
      <c r="FUV948" s="6" t="s">
        <v>25</v>
      </c>
      <c r="FUW948" s="23" t="s">
        <v>138</v>
      </c>
      <c r="FUX948" s="2" t="s">
        <v>433</v>
      </c>
      <c r="FUY948" s="3" t="s">
        <v>22</v>
      </c>
      <c r="FUZ948" s="3" t="s">
        <v>23</v>
      </c>
      <c r="FVA948" s="2" t="s">
        <v>24</v>
      </c>
      <c r="FVB948" s="4">
        <v>0</v>
      </c>
      <c r="FVC948" s="8">
        <f t="shared" ref="FVC948" si="2163">IF(FUY948="Ionizador", 10, IF(FUY948="Mesa", 1000000000, IF(FUY948="Rack", 1000000000, IF(FUY948="Piso", 1000000000, IF(FUY948="Tapete", 1000000000, IF(FUY948="Carrito", 1000000000, IF(FUY948="Cautín", 10, 1)))))))</f>
        <v>1000000000</v>
      </c>
      <c r="FVD948" s="4" t="str">
        <f t="shared" ref="FVD948" si="2164">IF(FUY948="Ionizador", "Segundos", "Ohms")</f>
        <v>Ohms</v>
      </c>
      <c r="FVE948" s="6">
        <v>148000000</v>
      </c>
      <c r="FVF948" s="6" t="str">
        <f t="shared" ref="FVF948" si="2165">FVD948</f>
        <v>Ohms</v>
      </c>
      <c r="FVG948" s="2" t="str">
        <f t="shared" ref="FVG948" si="2166">IF(FUY948="Ionizador", "Plato de carga", IF(FUY948="Cautín", "PTG", "RTG"))</f>
        <v>RTG</v>
      </c>
      <c r="FVH948" s="7">
        <v>45992</v>
      </c>
      <c r="FVI948" s="7">
        <f t="shared" ref="FVI948" si="2167">IF(FVJ948="Trimestral", FVH948+90, IF(FVJ948="Semestral", FVH948+180, FVH948+365))</f>
        <v>46172</v>
      </c>
      <c r="FVJ948" s="7" t="str">
        <f t="shared" ref="FVJ948" si="2168">IF(FUY948="Ionizador", "Trimestral", IF(FUY948="Rack", "Semestral", IF(FUY948="Mesa", "Semestral", IF(FUY948="Tapete", "Semestral", IF(FUY948="Cautín", "Semestral", IF(FUY948="Silla", "Semestral", "Anual"))))))</f>
        <v>Semestral</v>
      </c>
      <c r="FVK948" s="2" t="str">
        <f t="shared" ref="FVK948" ca="1" si="2169">IF(FVI948&lt;TODAY(),"VENCIDO",IF(FVI948=TODAY(),"VENCE HOY",IF(FVI948&gt;TODAY(),"VIGENTE")))</f>
        <v>VIGENTE</v>
      </c>
      <c r="FVL948" s="6" t="s">
        <v>25</v>
      </c>
      <c r="FVM948" s="23" t="s">
        <v>138</v>
      </c>
      <c r="FVN948" s="2" t="s">
        <v>433</v>
      </c>
      <c r="FVO948" s="3" t="s">
        <v>22</v>
      </c>
      <c r="FVP948" s="3" t="s">
        <v>23</v>
      </c>
      <c r="FVQ948" s="2" t="s">
        <v>24</v>
      </c>
      <c r="FVR948" s="4">
        <v>0</v>
      </c>
      <c r="FVS948" s="8">
        <f t="shared" ref="FVS948" si="2170">IF(FVO948="Ionizador", 10, IF(FVO948="Mesa", 1000000000, IF(FVO948="Rack", 1000000000, IF(FVO948="Piso", 1000000000, IF(FVO948="Tapete", 1000000000, IF(FVO948="Carrito", 1000000000, IF(FVO948="Cautín", 10, 1)))))))</f>
        <v>1000000000</v>
      </c>
      <c r="FVT948" s="4" t="str">
        <f t="shared" ref="FVT948" si="2171">IF(FVO948="Ionizador", "Segundos", "Ohms")</f>
        <v>Ohms</v>
      </c>
      <c r="FVU948" s="6">
        <v>148000000</v>
      </c>
      <c r="FVV948" s="6" t="str">
        <f t="shared" ref="FVV948" si="2172">FVT948</f>
        <v>Ohms</v>
      </c>
      <c r="FVW948" s="2" t="str">
        <f t="shared" ref="FVW948" si="2173">IF(FVO948="Ionizador", "Plato de carga", IF(FVO948="Cautín", "PTG", "RTG"))</f>
        <v>RTG</v>
      </c>
      <c r="FVX948" s="7">
        <v>45992</v>
      </c>
      <c r="FVY948" s="7">
        <f t="shared" ref="FVY948" si="2174">IF(FVZ948="Trimestral", FVX948+90, IF(FVZ948="Semestral", FVX948+180, FVX948+365))</f>
        <v>46172</v>
      </c>
      <c r="FVZ948" s="7" t="str">
        <f t="shared" ref="FVZ948" si="2175">IF(FVO948="Ionizador", "Trimestral", IF(FVO948="Rack", "Semestral", IF(FVO948="Mesa", "Semestral", IF(FVO948="Tapete", "Semestral", IF(FVO948="Cautín", "Semestral", IF(FVO948="Silla", "Semestral", "Anual"))))))</f>
        <v>Semestral</v>
      </c>
      <c r="FWA948" s="2" t="str">
        <f t="shared" ref="FWA948" ca="1" si="2176">IF(FVY948&lt;TODAY(),"VENCIDO",IF(FVY948=TODAY(),"VENCE HOY",IF(FVY948&gt;TODAY(),"VIGENTE")))</f>
        <v>VIGENTE</v>
      </c>
      <c r="FWB948" s="6" t="s">
        <v>25</v>
      </c>
      <c r="FWC948" s="23" t="s">
        <v>138</v>
      </c>
      <c r="FWD948" s="2" t="s">
        <v>433</v>
      </c>
      <c r="FWE948" s="3" t="s">
        <v>22</v>
      </c>
      <c r="FWF948" s="3" t="s">
        <v>23</v>
      </c>
      <c r="FWG948" s="2" t="s">
        <v>24</v>
      </c>
      <c r="FWH948" s="4">
        <v>0</v>
      </c>
      <c r="FWI948" s="8">
        <f t="shared" ref="FWI948" si="2177">IF(FWE948="Ionizador", 10, IF(FWE948="Mesa", 1000000000, IF(FWE948="Rack", 1000000000, IF(FWE948="Piso", 1000000000, IF(FWE948="Tapete", 1000000000, IF(FWE948="Carrito", 1000000000, IF(FWE948="Cautín", 10, 1)))))))</f>
        <v>1000000000</v>
      </c>
      <c r="FWJ948" s="4" t="str">
        <f t="shared" ref="FWJ948" si="2178">IF(FWE948="Ionizador", "Segundos", "Ohms")</f>
        <v>Ohms</v>
      </c>
      <c r="FWK948" s="6">
        <v>148000000</v>
      </c>
      <c r="FWL948" s="6" t="str">
        <f t="shared" ref="FWL948" si="2179">FWJ948</f>
        <v>Ohms</v>
      </c>
      <c r="FWM948" s="2" t="str">
        <f t="shared" ref="FWM948" si="2180">IF(FWE948="Ionizador", "Plato de carga", IF(FWE948="Cautín", "PTG", "RTG"))</f>
        <v>RTG</v>
      </c>
      <c r="FWN948" s="7">
        <v>45992</v>
      </c>
      <c r="FWO948" s="7">
        <f t="shared" ref="FWO948" si="2181">IF(FWP948="Trimestral", FWN948+90, IF(FWP948="Semestral", FWN948+180, FWN948+365))</f>
        <v>46172</v>
      </c>
      <c r="FWP948" s="7" t="str">
        <f t="shared" ref="FWP948" si="2182">IF(FWE948="Ionizador", "Trimestral", IF(FWE948="Rack", "Semestral", IF(FWE948="Mesa", "Semestral", IF(FWE948="Tapete", "Semestral", IF(FWE948="Cautín", "Semestral", IF(FWE948="Silla", "Semestral", "Anual"))))))</f>
        <v>Semestral</v>
      </c>
      <c r="FWQ948" s="2" t="str">
        <f t="shared" ref="FWQ948" ca="1" si="2183">IF(FWO948&lt;TODAY(),"VENCIDO",IF(FWO948=TODAY(),"VENCE HOY",IF(FWO948&gt;TODAY(),"VIGENTE")))</f>
        <v>VIGENTE</v>
      </c>
      <c r="FWR948" s="6" t="s">
        <v>25</v>
      </c>
      <c r="FWS948" s="23" t="s">
        <v>138</v>
      </c>
      <c r="FWT948" s="2" t="s">
        <v>433</v>
      </c>
      <c r="FWU948" s="3" t="s">
        <v>22</v>
      </c>
      <c r="FWV948" s="3" t="s">
        <v>23</v>
      </c>
      <c r="FWW948" s="2" t="s">
        <v>24</v>
      </c>
      <c r="FWX948" s="4">
        <v>0</v>
      </c>
      <c r="FWY948" s="8">
        <f t="shared" ref="FWY948" si="2184">IF(FWU948="Ionizador", 10, IF(FWU948="Mesa", 1000000000, IF(FWU948="Rack", 1000000000, IF(FWU948="Piso", 1000000000, IF(FWU948="Tapete", 1000000000, IF(FWU948="Carrito", 1000000000, IF(FWU948="Cautín", 10, 1)))))))</f>
        <v>1000000000</v>
      </c>
      <c r="FWZ948" s="4" t="str">
        <f t="shared" ref="FWZ948" si="2185">IF(FWU948="Ionizador", "Segundos", "Ohms")</f>
        <v>Ohms</v>
      </c>
      <c r="FXA948" s="6">
        <v>148000000</v>
      </c>
      <c r="FXB948" s="6" t="str">
        <f t="shared" ref="FXB948" si="2186">FWZ948</f>
        <v>Ohms</v>
      </c>
      <c r="FXC948" s="2" t="str">
        <f t="shared" ref="FXC948" si="2187">IF(FWU948="Ionizador", "Plato de carga", IF(FWU948="Cautín", "PTG", "RTG"))</f>
        <v>RTG</v>
      </c>
      <c r="FXD948" s="7">
        <v>45992</v>
      </c>
      <c r="FXE948" s="7">
        <f t="shared" ref="FXE948" si="2188">IF(FXF948="Trimestral", FXD948+90, IF(FXF948="Semestral", FXD948+180, FXD948+365))</f>
        <v>46172</v>
      </c>
      <c r="FXF948" s="7" t="str">
        <f t="shared" ref="FXF948" si="2189">IF(FWU948="Ionizador", "Trimestral", IF(FWU948="Rack", "Semestral", IF(FWU948="Mesa", "Semestral", IF(FWU948="Tapete", "Semestral", IF(FWU948="Cautín", "Semestral", IF(FWU948="Silla", "Semestral", "Anual"))))))</f>
        <v>Semestral</v>
      </c>
      <c r="FXG948" s="2" t="str">
        <f t="shared" ref="FXG948" ca="1" si="2190">IF(FXE948&lt;TODAY(),"VENCIDO",IF(FXE948=TODAY(),"VENCE HOY",IF(FXE948&gt;TODAY(),"VIGENTE")))</f>
        <v>VIGENTE</v>
      </c>
      <c r="FXH948" s="6" t="s">
        <v>25</v>
      </c>
      <c r="FXI948" s="23" t="s">
        <v>138</v>
      </c>
      <c r="FXJ948" s="2" t="s">
        <v>433</v>
      </c>
      <c r="FXK948" s="3" t="s">
        <v>22</v>
      </c>
      <c r="FXL948" s="3" t="s">
        <v>23</v>
      </c>
      <c r="FXM948" s="2" t="s">
        <v>24</v>
      </c>
      <c r="FXN948" s="4">
        <v>0</v>
      </c>
      <c r="FXO948" s="8">
        <f t="shared" ref="FXO948" si="2191">IF(FXK948="Ionizador", 10, IF(FXK948="Mesa", 1000000000, IF(FXK948="Rack", 1000000000, IF(FXK948="Piso", 1000000000, IF(FXK948="Tapete", 1000000000, IF(FXK948="Carrito", 1000000000, IF(FXK948="Cautín", 10, 1)))))))</f>
        <v>1000000000</v>
      </c>
      <c r="FXP948" s="4" t="str">
        <f t="shared" ref="FXP948" si="2192">IF(FXK948="Ionizador", "Segundos", "Ohms")</f>
        <v>Ohms</v>
      </c>
      <c r="FXQ948" s="6">
        <v>148000000</v>
      </c>
      <c r="FXR948" s="6" t="str">
        <f t="shared" ref="FXR948" si="2193">FXP948</f>
        <v>Ohms</v>
      </c>
      <c r="FXS948" s="2" t="str">
        <f t="shared" ref="FXS948" si="2194">IF(FXK948="Ionizador", "Plato de carga", IF(FXK948="Cautín", "PTG", "RTG"))</f>
        <v>RTG</v>
      </c>
      <c r="FXT948" s="7">
        <v>45992</v>
      </c>
      <c r="FXU948" s="7">
        <f t="shared" ref="FXU948" si="2195">IF(FXV948="Trimestral", FXT948+90, IF(FXV948="Semestral", FXT948+180, FXT948+365))</f>
        <v>46172</v>
      </c>
      <c r="FXV948" s="7" t="str">
        <f t="shared" ref="FXV948" si="2196">IF(FXK948="Ionizador", "Trimestral", IF(FXK948="Rack", "Semestral", IF(FXK948="Mesa", "Semestral", IF(FXK948="Tapete", "Semestral", IF(FXK948="Cautín", "Semestral", IF(FXK948="Silla", "Semestral", "Anual"))))))</f>
        <v>Semestral</v>
      </c>
      <c r="FXW948" s="2" t="str">
        <f t="shared" ref="FXW948" ca="1" si="2197">IF(FXU948&lt;TODAY(),"VENCIDO",IF(FXU948=TODAY(),"VENCE HOY",IF(FXU948&gt;TODAY(),"VIGENTE")))</f>
        <v>VIGENTE</v>
      </c>
      <c r="FXX948" s="6" t="s">
        <v>25</v>
      </c>
      <c r="FXY948" s="23" t="s">
        <v>138</v>
      </c>
      <c r="FXZ948" s="2" t="s">
        <v>433</v>
      </c>
      <c r="FYA948" s="3" t="s">
        <v>22</v>
      </c>
      <c r="FYB948" s="3" t="s">
        <v>23</v>
      </c>
      <c r="FYC948" s="2" t="s">
        <v>24</v>
      </c>
      <c r="FYD948" s="4">
        <v>0</v>
      </c>
      <c r="FYE948" s="8">
        <f t="shared" ref="FYE948" si="2198">IF(FYA948="Ionizador", 10, IF(FYA948="Mesa", 1000000000, IF(FYA948="Rack", 1000000000, IF(FYA948="Piso", 1000000000, IF(FYA948="Tapete", 1000000000, IF(FYA948="Carrito", 1000000000, IF(FYA948="Cautín", 10, 1)))))))</f>
        <v>1000000000</v>
      </c>
      <c r="FYF948" s="4" t="str">
        <f t="shared" ref="FYF948" si="2199">IF(FYA948="Ionizador", "Segundos", "Ohms")</f>
        <v>Ohms</v>
      </c>
      <c r="FYG948" s="6">
        <v>148000000</v>
      </c>
      <c r="FYH948" s="6" t="str">
        <f t="shared" ref="FYH948" si="2200">FYF948</f>
        <v>Ohms</v>
      </c>
      <c r="FYI948" s="2" t="str">
        <f t="shared" ref="FYI948" si="2201">IF(FYA948="Ionizador", "Plato de carga", IF(FYA948="Cautín", "PTG", "RTG"))</f>
        <v>RTG</v>
      </c>
      <c r="FYJ948" s="7">
        <v>45992</v>
      </c>
      <c r="FYK948" s="7">
        <f t="shared" ref="FYK948" si="2202">IF(FYL948="Trimestral", FYJ948+90, IF(FYL948="Semestral", FYJ948+180, FYJ948+365))</f>
        <v>46172</v>
      </c>
      <c r="FYL948" s="7" t="str">
        <f t="shared" ref="FYL948" si="2203">IF(FYA948="Ionizador", "Trimestral", IF(FYA948="Rack", "Semestral", IF(FYA948="Mesa", "Semestral", IF(FYA948="Tapete", "Semestral", IF(FYA948="Cautín", "Semestral", IF(FYA948="Silla", "Semestral", "Anual"))))))</f>
        <v>Semestral</v>
      </c>
      <c r="FYM948" s="2" t="str">
        <f t="shared" ref="FYM948" ca="1" si="2204">IF(FYK948&lt;TODAY(),"VENCIDO",IF(FYK948=TODAY(),"VENCE HOY",IF(FYK948&gt;TODAY(),"VIGENTE")))</f>
        <v>VIGENTE</v>
      </c>
      <c r="FYN948" s="6" t="s">
        <v>25</v>
      </c>
      <c r="FYO948" s="23" t="s">
        <v>138</v>
      </c>
      <c r="FYP948" s="2" t="s">
        <v>433</v>
      </c>
      <c r="FYQ948" s="3" t="s">
        <v>22</v>
      </c>
      <c r="FYR948" s="3" t="s">
        <v>23</v>
      </c>
      <c r="FYS948" s="2" t="s">
        <v>24</v>
      </c>
      <c r="FYT948" s="4">
        <v>0</v>
      </c>
      <c r="FYU948" s="8">
        <f t="shared" ref="FYU948" si="2205">IF(FYQ948="Ionizador", 10, IF(FYQ948="Mesa", 1000000000, IF(FYQ948="Rack", 1000000000, IF(FYQ948="Piso", 1000000000, IF(FYQ948="Tapete", 1000000000, IF(FYQ948="Carrito", 1000000000, IF(FYQ948="Cautín", 10, 1)))))))</f>
        <v>1000000000</v>
      </c>
      <c r="FYV948" s="4" t="str">
        <f t="shared" ref="FYV948" si="2206">IF(FYQ948="Ionizador", "Segundos", "Ohms")</f>
        <v>Ohms</v>
      </c>
      <c r="FYW948" s="6">
        <v>148000000</v>
      </c>
      <c r="FYX948" s="6" t="str">
        <f t="shared" ref="FYX948" si="2207">FYV948</f>
        <v>Ohms</v>
      </c>
      <c r="FYY948" s="2" t="str">
        <f t="shared" ref="FYY948" si="2208">IF(FYQ948="Ionizador", "Plato de carga", IF(FYQ948="Cautín", "PTG", "RTG"))</f>
        <v>RTG</v>
      </c>
      <c r="FYZ948" s="7">
        <v>45992</v>
      </c>
      <c r="FZA948" s="7">
        <f t="shared" ref="FZA948" si="2209">IF(FZB948="Trimestral", FYZ948+90, IF(FZB948="Semestral", FYZ948+180, FYZ948+365))</f>
        <v>46172</v>
      </c>
      <c r="FZB948" s="7" t="str">
        <f t="shared" ref="FZB948" si="2210">IF(FYQ948="Ionizador", "Trimestral", IF(FYQ948="Rack", "Semestral", IF(FYQ948="Mesa", "Semestral", IF(FYQ948="Tapete", "Semestral", IF(FYQ948="Cautín", "Semestral", IF(FYQ948="Silla", "Semestral", "Anual"))))))</f>
        <v>Semestral</v>
      </c>
      <c r="FZC948" s="2" t="str">
        <f t="shared" ref="FZC948" ca="1" si="2211">IF(FZA948&lt;TODAY(),"VENCIDO",IF(FZA948=TODAY(),"VENCE HOY",IF(FZA948&gt;TODAY(),"VIGENTE")))</f>
        <v>VIGENTE</v>
      </c>
      <c r="FZD948" s="6" t="s">
        <v>25</v>
      </c>
      <c r="FZE948" s="23" t="s">
        <v>138</v>
      </c>
      <c r="FZF948" s="2" t="s">
        <v>433</v>
      </c>
      <c r="FZG948" s="3" t="s">
        <v>22</v>
      </c>
      <c r="FZH948" s="3" t="s">
        <v>23</v>
      </c>
      <c r="FZI948" s="2" t="s">
        <v>24</v>
      </c>
      <c r="FZJ948" s="4">
        <v>0</v>
      </c>
      <c r="FZK948" s="8">
        <f t="shared" ref="FZK948" si="2212">IF(FZG948="Ionizador", 10, IF(FZG948="Mesa", 1000000000, IF(FZG948="Rack", 1000000000, IF(FZG948="Piso", 1000000000, IF(FZG948="Tapete", 1000000000, IF(FZG948="Carrito", 1000000000, IF(FZG948="Cautín", 10, 1)))))))</f>
        <v>1000000000</v>
      </c>
      <c r="FZL948" s="4" t="str">
        <f t="shared" ref="FZL948" si="2213">IF(FZG948="Ionizador", "Segundos", "Ohms")</f>
        <v>Ohms</v>
      </c>
      <c r="FZM948" s="6">
        <v>148000000</v>
      </c>
      <c r="FZN948" s="6" t="str">
        <f t="shared" ref="FZN948" si="2214">FZL948</f>
        <v>Ohms</v>
      </c>
      <c r="FZO948" s="2" t="str">
        <f t="shared" ref="FZO948" si="2215">IF(FZG948="Ionizador", "Plato de carga", IF(FZG948="Cautín", "PTG", "RTG"))</f>
        <v>RTG</v>
      </c>
      <c r="FZP948" s="7">
        <v>45992</v>
      </c>
      <c r="FZQ948" s="7">
        <f t="shared" ref="FZQ948" si="2216">IF(FZR948="Trimestral", FZP948+90, IF(FZR948="Semestral", FZP948+180, FZP948+365))</f>
        <v>46172</v>
      </c>
      <c r="FZR948" s="7" t="str">
        <f t="shared" ref="FZR948" si="2217">IF(FZG948="Ionizador", "Trimestral", IF(FZG948="Rack", "Semestral", IF(FZG948="Mesa", "Semestral", IF(FZG948="Tapete", "Semestral", IF(FZG948="Cautín", "Semestral", IF(FZG948="Silla", "Semestral", "Anual"))))))</f>
        <v>Semestral</v>
      </c>
      <c r="FZS948" s="2" t="str">
        <f t="shared" ref="FZS948" ca="1" si="2218">IF(FZQ948&lt;TODAY(),"VENCIDO",IF(FZQ948=TODAY(),"VENCE HOY",IF(FZQ948&gt;TODAY(),"VIGENTE")))</f>
        <v>VIGENTE</v>
      </c>
      <c r="FZT948" s="6" t="s">
        <v>25</v>
      </c>
      <c r="FZU948" s="23" t="s">
        <v>138</v>
      </c>
      <c r="FZV948" s="2" t="s">
        <v>433</v>
      </c>
      <c r="FZW948" s="3" t="s">
        <v>22</v>
      </c>
      <c r="FZX948" s="3" t="s">
        <v>23</v>
      </c>
      <c r="FZY948" s="2" t="s">
        <v>24</v>
      </c>
      <c r="FZZ948" s="4">
        <v>0</v>
      </c>
      <c r="GAA948" s="8">
        <f t="shared" ref="GAA948" si="2219">IF(FZW948="Ionizador", 10, IF(FZW948="Mesa", 1000000000, IF(FZW948="Rack", 1000000000, IF(FZW948="Piso", 1000000000, IF(FZW948="Tapete", 1000000000, IF(FZW948="Carrito", 1000000000, IF(FZW948="Cautín", 10, 1)))))))</f>
        <v>1000000000</v>
      </c>
      <c r="GAB948" s="4" t="str">
        <f t="shared" ref="GAB948" si="2220">IF(FZW948="Ionizador", "Segundos", "Ohms")</f>
        <v>Ohms</v>
      </c>
      <c r="GAC948" s="6">
        <v>148000000</v>
      </c>
      <c r="GAD948" s="6" t="str">
        <f t="shared" ref="GAD948" si="2221">GAB948</f>
        <v>Ohms</v>
      </c>
      <c r="GAE948" s="2" t="str">
        <f t="shared" ref="GAE948" si="2222">IF(FZW948="Ionizador", "Plato de carga", IF(FZW948="Cautín", "PTG", "RTG"))</f>
        <v>RTG</v>
      </c>
      <c r="GAF948" s="7">
        <v>45992</v>
      </c>
      <c r="GAG948" s="7">
        <f t="shared" ref="GAG948" si="2223">IF(GAH948="Trimestral", GAF948+90, IF(GAH948="Semestral", GAF948+180, GAF948+365))</f>
        <v>46172</v>
      </c>
      <c r="GAH948" s="7" t="str">
        <f t="shared" ref="GAH948" si="2224">IF(FZW948="Ionizador", "Trimestral", IF(FZW948="Rack", "Semestral", IF(FZW948="Mesa", "Semestral", IF(FZW948="Tapete", "Semestral", IF(FZW948="Cautín", "Semestral", IF(FZW948="Silla", "Semestral", "Anual"))))))</f>
        <v>Semestral</v>
      </c>
      <c r="GAI948" s="2" t="str">
        <f t="shared" ref="GAI948" ca="1" si="2225">IF(GAG948&lt;TODAY(),"VENCIDO",IF(GAG948=TODAY(),"VENCE HOY",IF(GAG948&gt;TODAY(),"VIGENTE")))</f>
        <v>VIGENTE</v>
      </c>
      <c r="GAJ948" s="6" t="s">
        <v>25</v>
      </c>
      <c r="GAK948" s="23" t="s">
        <v>138</v>
      </c>
      <c r="GAL948" s="2" t="s">
        <v>433</v>
      </c>
      <c r="GAM948" s="3" t="s">
        <v>22</v>
      </c>
      <c r="GAN948" s="3" t="s">
        <v>23</v>
      </c>
      <c r="GAO948" s="2" t="s">
        <v>24</v>
      </c>
      <c r="GAP948" s="4">
        <v>0</v>
      </c>
      <c r="GAQ948" s="8">
        <f t="shared" ref="GAQ948" si="2226">IF(GAM948="Ionizador", 10, IF(GAM948="Mesa", 1000000000, IF(GAM948="Rack", 1000000000, IF(GAM948="Piso", 1000000000, IF(GAM948="Tapete", 1000000000, IF(GAM948="Carrito", 1000000000, IF(GAM948="Cautín", 10, 1)))))))</f>
        <v>1000000000</v>
      </c>
      <c r="GAR948" s="4" t="str">
        <f t="shared" ref="GAR948" si="2227">IF(GAM948="Ionizador", "Segundos", "Ohms")</f>
        <v>Ohms</v>
      </c>
      <c r="GAS948" s="6">
        <v>148000000</v>
      </c>
      <c r="GAT948" s="6" t="str">
        <f t="shared" ref="GAT948" si="2228">GAR948</f>
        <v>Ohms</v>
      </c>
      <c r="GAU948" s="2" t="str">
        <f t="shared" ref="GAU948" si="2229">IF(GAM948="Ionizador", "Plato de carga", IF(GAM948="Cautín", "PTG", "RTG"))</f>
        <v>RTG</v>
      </c>
      <c r="GAV948" s="7">
        <v>45992</v>
      </c>
      <c r="GAW948" s="7">
        <f t="shared" ref="GAW948" si="2230">IF(GAX948="Trimestral", GAV948+90, IF(GAX948="Semestral", GAV948+180, GAV948+365))</f>
        <v>46172</v>
      </c>
      <c r="GAX948" s="7" t="str">
        <f t="shared" ref="GAX948" si="2231">IF(GAM948="Ionizador", "Trimestral", IF(GAM948="Rack", "Semestral", IF(GAM948="Mesa", "Semestral", IF(GAM948="Tapete", "Semestral", IF(GAM948="Cautín", "Semestral", IF(GAM948="Silla", "Semestral", "Anual"))))))</f>
        <v>Semestral</v>
      </c>
      <c r="GAY948" s="2" t="str">
        <f t="shared" ref="GAY948" ca="1" si="2232">IF(GAW948&lt;TODAY(),"VENCIDO",IF(GAW948=TODAY(),"VENCE HOY",IF(GAW948&gt;TODAY(),"VIGENTE")))</f>
        <v>VIGENTE</v>
      </c>
      <c r="GAZ948" s="6" t="s">
        <v>25</v>
      </c>
      <c r="GBA948" s="23" t="s">
        <v>138</v>
      </c>
      <c r="GBB948" s="2" t="s">
        <v>433</v>
      </c>
      <c r="GBC948" s="3" t="s">
        <v>22</v>
      </c>
      <c r="GBD948" s="3" t="s">
        <v>23</v>
      </c>
      <c r="GBE948" s="2" t="s">
        <v>24</v>
      </c>
      <c r="GBF948" s="4">
        <v>0</v>
      </c>
      <c r="GBG948" s="8">
        <f t="shared" ref="GBG948" si="2233">IF(GBC948="Ionizador", 10, IF(GBC948="Mesa", 1000000000, IF(GBC948="Rack", 1000000000, IF(GBC948="Piso", 1000000000, IF(GBC948="Tapete", 1000000000, IF(GBC948="Carrito", 1000000000, IF(GBC948="Cautín", 10, 1)))))))</f>
        <v>1000000000</v>
      </c>
      <c r="GBH948" s="4" t="str">
        <f t="shared" ref="GBH948" si="2234">IF(GBC948="Ionizador", "Segundos", "Ohms")</f>
        <v>Ohms</v>
      </c>
      <c r="GBI948" s="6">
        <v>148000000</v>
      </c>
      <c r="GBJ948" s="6" t="str">
        <f t="shared" ref="GBJ948" si="2235">GBH948</f>
        <v>Ohms</v>
      </c>
      <c r="GBK948" s="2" t="str">
        <f t="shared" ref="GBK948" si="2236">IF(GBC948="Ionizador", "Plato de carga", IF(GBC948="Cautín", "PTG", "RTG"))</f>
        <v>RTG</v>
      </c>
      <c r="GBL948" s="7">
        <v>45992</v>
      </c>
      <c r="GBM948" s="7">
        <f t="shared" ref="GBM948" si="2237">IF(GBN948="Trimestral", GBL948+90, IF(GBN948="Semestral", GBL948+180, GBL948+365))</f>
        <v>46172</v>
      </c>
      <c r="GBN948" s="7" t="str">
        <f t="shared" ref="GBN948" si="2238">IF(GBC948="Ionizador", "Trimestral", IF(GBC948="Rack", "Semestral", IF(GBC948="Mesa", "Semestral", IF(GBC948="Tapete", "Semestral", IF(GBC948="Cautín", "Semestral", IF(GBC948="Silla", "Semestral", "Anual"))))))</f>
        <v>Semestral</v>
      </c>
      <c r="GBO948" s="2" t="str">
        <f t="shared" ref="GBO948" ca="1" si="2239">IF(GBM948&lt;TODAY(),"VENCIDO",IF(GBM948=TODAY(),"VENCE HOY",IF(GBM948&gt;TODAY(),"VIGENTE")))</f>
        <v>VIGENTE</v>
      </c>
      <c r="GBP948" s="6" t="s">
        <v>25</v>
      </c>
      <c r="GBQ948" s="23" t="s">
        <v>138</v>
      </c>
      <c r="GBR948" s="2" t="s">
        <v>433</v>
      </c>
      <c r="GBS948" s="3" t="s">
        <v>22</v>
      </c>
      <c r="GBT948" s="3" t="s">
        <v>23</v>
      </c>
      <c r="GBU948" s="2" t="s">
        <v>24</v>
      </c>
      <c r="GBV948" s="4">
        <v>0</v>
      </c>
      <c r="GBW948" s="8">
        <f t="shared" ref="GBW948" si="2240">IF(GBS948="Ionizador", 10, IF(GBS948="Mesa", 1000000000, IF(GBS948="Rack", 1000000000, IF(GBS948="Piso", 1000000000, IF(GBS948="Tapete", 1000000000, IF(GBS948="Carrito", 1000000000, IF(GBS948="Cautín", 10, 1)))))))</f>
        <v>1000000000</v>
      </c>
      <c r="GBX948" s="4" t="str">
        <f t="shared" ref="GBX948" si="2241">IF(GBS948="Ionizador", "Segundos", "Ohms")</f>
        <v>Ohms</v>
      </c>
      <c r="GBY948" s="6">
        <v>148000000</v>
      </c>
      <c r="GBZ948" s="6" t="str">
        <f t="shared" ref="GBZ948" si="2242">GBX948</f>
        <v>Ohms</v>
      </c>
      <c r="GCA948" s="2" t="str">
        <f t="shared" ref="GCA948" si="2243">IF(GBS948="Ionizador", "Plato de carga", IF(GBS948="Cautín", "PTG", "RTG"))</f>
        <v>RTG</v>
      </c>
      <c r="GCB948" s="7">
        <v>45992</v>
      </c>
      <c r="GCC948" s="7">
        <f t="shared" ref="GCC948" si="2244">IF(GCD948="Trimestral", GCB948+90, IF(GCD948="Semestral", GCB948+180, GCB948+365))</f>
        <v>46172</v>
      </c>
      <c r="GCD948" s="7" t="str">
        <f t="shared" ref="GCD948" si="2245">IF(GBS948="Ionizador", "Trimestral", IF(GBS948="Rack", "Semestral", IF(GBS948="Mesa", "Semestral", IF(GBS948="Tapete", "Semestral", IF(GBS948="Cautín", "Semestral", IF(GBS948="Silla", "Semestral", "Anual"))))))</f>
        <v>Semestral</v>
      </c>
      <c r="GCE948" s="2" t="str">
        <f t="shared" ref="GCE948" ca="1" si="2246">IF(GCC948&lt;TODAY(),"VENCIDO",IF(GCC948=TODAY(),"VENCE HOY",IF(GCC948&gt;TODAY(),"VIGENTE")))</f>
        <v>VIGENTE</v>
      </c>
      <c r="GCF948" s="6" t="s">
        <v>25</v>
      </c>
      <c r="GCG948" s="23" t="s">
        <v>138</v>
      </c>
      <c r="GCH948" s="2" t="s">
        <v>433</v>
      </c>
      <c r="GCI948" s="3" t="s">
        <v>22</v>
      </c>
      <c r="GCJ948" s="3" t="s">
        <v>23</v>
      </c>
      <c r="GCK948" s="2" t="s">
        <v>24</v>
      </c>
      <c r="GCL948" s="4">
        <v>0</v>
      </c>
      <c r="GCM948" s="8">
        <f t="shared" ref="GCM948" si="2247">IF(GCI948="Ionizador", 10, IF(GCI948="Mesa", 1000000000, IF(GCI948="Rack", 1000000000, IF(GCI948="Piso", 1000000000, IF(GCI948="Tapete", 1000000000, IF(GCI948="Carrito", 1000000000, IF(GCI948="Cautín", 10, 1)))))))</f>
        <v>1000000000</v>
      </c>
      <c r="GCN948" s="4" t="str">
        <f t="shared" ref="GCN948" si="2248">IF(GCI948="Ionizador", "Segundos", "Ohms")</f>
        <v>Ohms</v>
      </c>
      <c r="GCO948" s="6">
        <v>148000000</v>
      </c>
      <c r="GCP948" s="6" t="str">
        <f t="shared" ref="GCP948" si="2249">GCN948</f>
        <v>Ohms</v>
      </c>
      <c r="GCQ948" s="2" t="str">
        <f t="shared" ref="GCQ948" si="2250">IF(GCI948="Ionizador", "Plato de carga", IF(GCI948="Cautín", "PTG", "RTG"))</f>
        <v>RTG</v>
      </c>
      <c r="GCR948" s="7">
        <v>45992</v>
      </c>
      <c r="GCS948" s="7">
        <f t="shared" ref="GCS948" si="2251">IF(GCT948="Trimestral", GCR948+90, IF(GCT948="Semestral", GCR948+180, GCR948+365))</f>
        <v>46172</v>
      </c>
      <c r="GCT948" s="7" t="str">
        <f t="shared" ref="GCT948" si="2252">IF(GCI948="Ionizador", "Trimestral", IF(GCI948="Rack", "Semestral", IF(GCI948="Mesa", "Semestral", IF(GCI948="Tapete", "Semestral", IF(GCI948="Cautín", "Semestral", IF(GCI948="Silla", "Semestral", "Anual"))))))</f>
        <v>Semestral</v>
      </c>
      <c r="GCU948" s="2" t="str">
        <f t="shared" ref="GCU948" ca="1" si="2253">IF(GCS948&lt;TODAY(),"VENCIDO",IF(GCS948=TODAY(),"VENCE HOY",IF(GCS948&gt;TODAY(),"VIGENTE")))</f>
        <v>VIGENTE</v>
      </c>
      <c r="GCV948" s="6" t="s">
        <v>25</v>
      </c>
      <c r="GCW948" s="23" t="s">
        <v>138</v>
      </c>
      <c r="GCX948" s="2" t="s">
        <v>433</v>
      </c>
      <c r="GCY948" s="3" t="s">
        <v>22</v>
      </c>
      <c r="GCZ948" s="3" t="s">
        <v>23</v>
      </c>
      <c r="GDA948" s="2" t="s">
        <v>24</v>
      </c>
      <c r="GDB948" s="4">
        <v>0</v>
      </c>
      <c r="GDC948" s="8">
        <f t="shared" ref="GDC948" si="2254">IF(GCY948="Ionizador", 10, IF(GCY948="Mesa", 1000000000, IF(GCY948="Rack", 1000000000, IF(GCY948="Piso", 1000000000, IF(GCY948="Tapete", 1000000000, IF(GCY948="Carrito", 1000000000, IF(GCY948="Cautín", 10, 1)))))))</f>
        <v>1000000000</v>
      </c>
      <c r="GDD948" s="4" t="str">
        <f t="shared" ref="GDD948" si="2255">IF(GCY948="Ionizador", "Segundos", "Ohms")</f>
        <v>Ohms</v>
      </c>
      <c r="GDE948" s="6">
        <v>148000000</v>
      </c>
      <c r="GDF948" s="6" t="str">
        <f t="shared" ref="GDF948" si="2256">GDD948</f>
        <v>Ohms</v>
      </c>
      <c r="GDG948" s="2" t="str">
        <f t="shared" ref="GDG948" si="2257">IF(GCY948="Ionizador", "Plato de carga", IF(GCY948="Cautín", "PTG", "RTG"))</f>
        <v>RTG</v>
      </c>
      <c r="GDH948" s="7">
        <v>45992</v>
      </c>
      <c r="GDI948" s="7">
        <f t="shared" ref="GDI948" si="2258">IF(GDJ948="Trimestral", GDH948+90, IF(GDJ948="Semestral", GDH948+180, GDH948+365))</f>
        <v>46172</v>
      </c>
      <c r="GDJ948" s="7" t="str">
        <f t="shared" ref="GDJ948" si="2259">IF(GCY948="Ionizador", "Trimestral", IF(GCY948="Rack", "Semestral", IF(GCY948="Mesa", "Semestral", IF(GCY948="Tapete", "Semestral", IF(GCY948="Cautín", "Semestral", IF(GCY948="Silla", "Semestral", "Anual"))))))</f>
        <v>Semestral</v>
      </c>
      <c r="GDK948" s="2" t="str">
        <f t="shared" ref="GDK948" ca="1" si="2260">IF(GDI948&lt;TODAY(),"VENCIDO",IF(GDI948=TODAY(),"VENCE HOY",IF(GDI948&gt;TODAY(),"VIGENTE")))</f>
        <v>VIGENTE</v>
      </c>
      <c r="GDL948" s="6" t="s">
        <v>25</v>
      </c>
      <c r="GDM948" s="23" t="s">
        <v>138</v>
      </c>
      <c r="GDN948" s="2" t="s">
        <v>433</v>
      </c>
      <c r="GDO948" s="3" t="s">
        <v>22</v>
      </c>
      <c r="GDP948" s="3" t="s">
        <v>23</v>
      </c>
      <c r="GDQ948" s="2" t="s">
        <v>24</v>
      </c>
      <c r="GDR948" s="4">
        <v>0</v>
      </c>
      <c r="GDS948" s="8">
        <f t="shared" ref="GDS948" si="2261">IF(GDO948="Ionizador", 10, IF(GDO948="Mesa", 1000000000, IF(GDO948="Rack", 1000000000, IF(GDO948="Piso", 1000000000, IF(GDO948="Tapete", 1000000000, IF(GDO948="Carrito", 1000000000, IF(GDO948="Cautín", 10, 1)))))))</f>
        <v>1000000000</v>
      </c>
      <c r="GDT948" s="4" t="str">
        <f t="shared" ref="GDT948" si="2262">IF(GDO948="Ionizador", "Segundos", "Ohms")</f>
        <v>Ohms</v>
      </c>
      <c r="GDU948" s="6">
        <v>148000000</v>
      </c>
      <c r="GDV948" s="6" t="str">
        <f t="shared" ref="GDV948" si="2263">GDT948</f>
        <v>Ohms</v>
      </c>
      <c r="GDW948" s="2" t="str">
        <f t="shared" ref="GDW948" si="2264">IF(GDO948="Ionizador", "Plato de carga", IF(GDO948="Cautín", "PTG", "RTG"))</f>
        <v>RTG</v>
      </c>
      <c r="GDX948" s="7">
        <v>45992</v>
      </c>
      <c r="GDY948" s="7">
        <f t="shared" ref="GDY948" si="2265">IF(GDZ948="Trimestral", GDX948+90, IF(GDZ948="Semestral", GDX948+180, GDX948+365))</f>
        <v>46172</v>
      </c>
      <c r="GDZ948" s="7" t="str">
        <f t="shared" ref="GDZ948" si="2266">IF(GDO948="Ionizador", "Trimestral", IF(GDO948="Rack", "Semestral", IF(GDO948="Mesa", "Semestral", IF(GDO948="Tapete", "Semestral", IF(GDO948="Cautín", "Semestral", IF(GDO948="Silla", "Semestral", "Anual"))))))</f>
        <v>Semestral</v>
      </c>
      <c r="GEA948" s="2" t="str">
        <f t="shared" ref="GEA948" ca="1" si="2267">IF(GDY948&lt;TODAY(),"VENCIDO",IF(GDY948=TODAY(),"VENCE HOY",IF(GDY948&gt;TODAY(),"VIGENTE")))</f>
        <v>VIGENTE</v>
      </c>
      <c r="GEB948" s="6" t="s">
        <v>25</v>
      </c>
      <c r="GEC948" s="23" t="s">
        <v>138</v>
      </c>
      <c r="GED948" s="2" t="s">
        <v>433</v>
      </c>
      <c r="GEE948" s="3" t="s">
        <v>22</v>
      </c>
      <c r="GEF948" s="3" t="s">
        <v>23</v>
      </c>
      <c r="GEG948" s="2" t="s">
        <v>24</v>
      </c>
      <c r="GEH948" s="4">
        <v>0</v>
      </c>
      <c r="GEI948" s="8">
        <f t="shared" ref="GEI948" si="2268">IF(GEE948="Ionizador", 10, IF(GEE948="Mesa", 1000000000, IF(GEE948="Rack", 1000000000, IF(GEE948="Piso", 1000000000, IF(GEE948="Tapete", 1000000000, IF(GEE948="Carrito", 1000000000, IF(GEE948="Cautín", 10, 1)))))))</f>
        <v>1000000000</v>
      </c>
      <c r="GEJ948" s="4" t="str">
        <f t="shared" ref="GEJ948" si="2269">IF(GEE948="Ionizador", "Segundos", "Ohms")</f>
        <v>Ohms</v>
      </c>
      <c r="GEK948" s="6">
        <v>148000000</v>
      </c>
      <c r="GEL948" s="6" t="str">
        <f t="shared" ref="GEL948" si="2270">GEJ948</f>
        <v>Ohms</v>
      </c>
      <c r="GEM948" s="2" t="str">
        <f t="shared" ref="GEM948" si="2271">IF(GEE948="Ionizador", "Plato de carga", IF(GEE948="Cautín", "PTG", "RTG"))</f>
        <v>RTG</v>
      </c>
      <c r="GEN948" s="7">
        <v>45992</v>
      </c>
      <c r="GEO948" s="7">
        <f t="shared" ref="GEO948" si="2272">IF(GEP948="Trimestral", GEN948+90, IF(GEP948="Semestral", GEN948+180, GEN948+365))</f>
        <v>46172</v>
      </c>
      <c r="GEP948" s="7" t="str">
        <f t="shared" ref="GEP948" si="2273">IF(GEE948="Ionizador", "Trimestral", IF(GEE948="Rack", "Semestral", IF(GEE948="Mesa", "Semestral", IF(GEE948="Tapete", "Semestral", IF(GEE948="Cautín", "Semestral", IF(GEE948="Silla", "Semestral", "Anual"))))))</f>
        <v>Semestral</v>
      </c>
      <c r="GEQ948" s="2" t="str">
        <f t="shared" ref="GEQ948" ca="1" si="2274">IF(GEO948&lt;TODAY(),"VENCIDO",IF(GEO948=TODAY(),"VENCE HOY",IF(GEO948&gt;TODAY(),"VIGENTE")))</f>
        <v>VIGENTE</v>
      </c>
      <c r="GER948" s="6" t="s">
        <v>25</v>
      </c>
      <c r="GES948" s="23" t="s">
        <v>138</v>
      </c>
      <c r="GET948" s="2" t="s">
        <v>433</v>
      </c>
      <c r="GEU948" s="3" t="s">
        <v>22</v>
      </c>
      <c r="GEV948" s="3" t="s">
        <v>23</v>
      </c>
      <c r="GEW948" s="2" t="s">
        <v>24</v>
      </c>
      <c r="GEX948" s="4">
        <v>0</v>
      </c>
      <c r="GEY948" s="8">
        <f t="shared" ref="GEY948" si="2275">IF(GEU948="Ionizador", 10, IF(GEU948="Mesa", 1000000000, IF(GEU948="Rack", 1000000000, IF(GEU948="Piso", 1000000000, IF(GEU948="Tapete", 1000000000, IF(GEU948="Carrito", 1000000000, IF(GEU948="Cautín", 10, 1)))))))</f>
        <v>1000000000</v>
      </c>
      <c r="GEZ948" s="4" t="str">
        <f t="shared" ref="GEZ948" si="2276">IF(GEU948="Ionizador", "Segundos", "Ohms")</f>
        <v>Ohms</v>
      </c>
      <c r="GFA948" s="6">
        <v>148000000</v>
      </c>
      <c r="GFB948" s="6" t="str">
        <f t="shared" ref="GFB948" si="2277">GEZ948</f>
        <v>Ohms</v>
      </c>
      <c r="GFC948" s="2" t="str">
        <f t="shared" ref="GFC948" si="2278">IF(GEU948="Ionizador", "Plato de carga", IF(GEU948="Cautín", "PTG", "RTG"))</f>
        <v>RTG</v>
      </c>
      <c r="GFD948" s="7">
        <v>45992</v>
      </c>
      <c r="GFE948" s="7">
        <f t="shared" ref="GFE948" si="2279">IF(GFF948="Trimestral", GFD948+90, IF(GFF948="Semestral", GFD948+180, GFD948+365))</f>
        <v>46172</v>
      </c>
      <c r="GFF948" s="7" t="str">
        <f t="shared" ref="GFF948" si="2280">IF(GEU948="Ionizador", "Trimestral", IF(GEU948="Rack", "Semestral", IF(GEU948="Mesa", "Semestral", IF(GEU948="Tapete", "Semestral", IF(GEU948="Cautín", "Semestral", IF(GEU948="Silla", "Semestral", "Anual"))))))</f>
        <v>Semestral</v>
      </c>
      <c r="GFG948" s="2" t="str">
        <f t="shared" ref="GFG948" ca="1" si="2281">IF(GFE948&lt;TODAY(),"VENCIDO",IF(GFE948=TODAY(),"VENCE HOY",IF(GFE948&gt;TODAY(),"VIGENTE")))</f>
        <v>VIGENTE</v>
      </c>
      <c r="GFH948" s="6" t="s">
        <v>25</v>
      </c>
      <c r="GFI948" s="23" t="s">
        <v>138</v>
      </c>
      <c r="GFJ948" s="2" t="s">
        <v>433</v>
      </c>
      <c r="GFK948" s="3" t="s">
        <v>22</v>
      </c>
      <c r="GFL948" s="3" t="s">
        <v>23</v>
      </c>
      <c r="GFM948" s="2" t="s">
        <v>24</v>
      </c>
      <c r="GFN948" s="4">
        <v>0</v>
      </c>
      <c r="GFO948" s="8">
        <f t="shared" ref="GFO948" si="2282">IF(GFK948="Ionizador", 10, IF(GFK948="Mesa", 1000000000, IF(GFK948="Rack", 1000000000, IF(GFK948="Piso", 1000000000, IF(GFK948="Tapete", 1000000000, IF(GFK948="Carrito", 1000000000, IF(GFK948="Cautín", 10, 1)))))))</f>
        <v>1000000000</v>
      </c>
      <c r="GFP948" s="4" t="str">
        <f t="shared" ref="GFP948" si="2283">IF(GFK948="Ionizador", "Segundos", "Ohms")</f>
        <v>Ohms</v>
      </c>
      <c r="GFQ948" s="6">
        <v>148000000</v>
      </c>
      <c r="GFR948" s="6" t="str">
        <f t="shared" ref="GFR948" si="2284">GFP948</f>
        <v>Ohms</v>
      </c>
      <c r="GFS948" s="2" t="str">
        <f t="shared" ref="GFS948" si="2285">IF(GFK948="Ionizador", "Plato de carga", IF(GFK948="Cautín", "PTG", "RTG"))</f>
        <v>RTG</v>
      </c>
      <c r="GFT948" s="7">
        <v>45992</v>
      </c>
      <c r="GFU948" s="7">
        <f t="shared" ref="GFU948" si="2286">IF(GFV948="Trimestral", GFT948+90, IF(GFV948="Semestral", GFT948+180, GFT948+365))</f>
        <v>46172</v>
      </c>
      <c r="GFV948" s="7" t="str">
        <f t="shared" ref="GFV948" si="2287">IF(GFK948="Ionizador", "Trimestral", IF(GFK948="Rack", "Semestral", IF(GFK948="Mesa", "Semestral", IF(GFK948="Tapete", "Semestral", IF(GFK948="Cautín", "Semestral", IF(GFK948="Silla", "Semestral", "Anual"))))))</f>
        <v>Semestral</v>
      </c>
      <c r="GFW948" s="2" t="str">
        <f t="shared" ref="GFW948" ca="1" si="2288">IF(GFU948&lt;TODAY(),"VENCIDO",IF(GFU948=TODAY(),"VENCE HOY",IF(GFU948&gt;TODAY(),"VIGENTE")))</f>
        <v>VIGENTE</v>
      </c>
      <c r="GFX948" s="6" t="s">
        <v>25</v>
      </c>
      <c r="GFY948" s="23" t="s">
        <v>138</v>
      </c>
      <c r="GFZ948" s="2" t="s">
        <v>433</v>
      </c>
      <c r="GGA948" s="3" t="s">
        <v>22</v>
      </c>
      <c r="GGB948" s="3" t="s">
        <v>23</v>
      </c>
      <c r="GGC948" s="2" t="s">
        <v>24</v>
      </c>
      <c r="GGD948" s="4">
        <v>0</v>
      </c>
      <c r="GGE948" s="8">
        <f t="shared" ref="GGE948" si="2289">IF(GGA948="Ionizador", 10, IF(GGA948="Mesa", 1000000000, IF(GGA948="Rack", 1000000000, IF(GGA948="Piso", 1000000000, IF(GGA948="Tapete", 1000000000, IF(GGA948="Carrito", 1000000000, IF(GGA948="Cautín", 10, 1)))))))</f>
        <v>1000000000</v>
      </c>
      <c r="GGF948" s="4" t="str">
        <f t="shared" ref="GGF948" si="2290">IF(GGA948="Ionizador", "Segundos", "Ohms")</f>
        <v>Ohms</v>
      </c>
      <c r="GGG948" s="6">
        <v>148000000</v>
      </c>
      <c r="GGH948" s="6" t="str">
        <f t="shared" ref="GGH948" si="2291">GGF948</f>
        <v>Ohms</v>
      </c>
      <c r="GGI948" s="2" t="str">
        <f t="shared" ref="GGI948" si="2292">IF(GGA948="Ionizador", "Plato de carga", IF(GGA948="Cautín", "PTG", "RTG"))</f>
        <v>RTG</v>
      </c>
      <c r="GGJ948" s="7">
        <v>45992</v>
      </c>
      <c r="GGK948" s="7">
        <f t="shared" ref="GGK948" si="2293">IF(GGL948="Trimestral", GGJ948+90, IF(GGL948="Semestral", GGJ948+180, GGJ948+365))</f>
        <v>46172</v>
      </c>
      <c r="GGL948" s="7" t="str">
        <f t="shared" ref="GGL948" si="2294">IF(GGA948="Ionizador", "Trimestral", IF(GGA948="Rack", "Semestral", IF(GGA948="Mesa", "Semestral", IF(GGA948="Tapete", "Semestral", IF(GGA948="Cautín", "Semestral", IF(GGA948="Silla", "Semestral", "Anual"))))))</f>
        <v>Semestral</v>
      </c>
      <c r="GGM948" s="2" t="str">
        <f t="shared" ref="GGM948" ca="1" si="2295">IF(GGK948&lt;TODAY(),"VENCIDO",IF(GGK948=TODAY(),"VENCE HOY",IF(GGK948&gt;TODAY(),"VIGENTE")))</f>
        <v>VIGENTE</v>
      </c>
      <c r="GGN948" s="6" t="s">
        <v>25</v>
      </c>
      <c r="GGO948" s="23" t="s">
        <v>138</v>
      </c>
      <c r="GGP948" s="2" t="s">
        <v>433</v>
      </c>
      <c r="GGQ948" s="3" t="s">
        <v>22</v>
      </c>
      <c r="GGR948" s="3" t="s">
        <v>23</v>
      </c>
      <c r="GGS948" s="2" t="s">
        <v>24</v>
      </c>
      <c r="GGT948" s="4">
        <v>0</v>
      </c>
      <c r="GGU948" s="8">
        <f t="shared" ref="GGU948" si="2296">IF(GGQ948="Ionizador", 10, IF(GGQ948="Mesa", 1000000000, IF(GGQ948="Rack", 1000000000, IF(GGQ948="Piso", 1000000000, IF(GGQ948="Tapete", 1000000000, IF(GGQ948="Carrito", 1000000000, IF(GGQ948="Cautín", 10, 1)))))))</f>
        <v>1000000000</v>
      </c>
      <c r="GGV948" s="4" t="str">
        <f t="shared" ref="GGV948" si="2297">IF(GGQ948="Ionizador", "Segundos", "Ohms")</f>
        <v>Ohms</v>
      </c>
      <c r="GGW948" s="6">
        <v>148000000</v>
      </c>
      <c r="GGX948" s="6" t="str">
        <f t="shared" ref="GGX948" si="2298">GGV948</f>
        <v>Ohms</v>
      </c>
      <c r="GGY948" s="2" t="str">
        <f t="shared" ref="GGY948" si="2299">IF(GGQ948="Ionizador", "Plato de carga", IF(GGQ948="Cautín", "PTG", "RTG"))</f>
        <v>RTG</v>
      </c>
      <c r="GGZ948" s="7">
        <v>45992</v>
      </c>
      <c r="GHA948" s="7">
        <f t="shared" ref="GHA948" si="2300">IF(GHB948="Trimestral", GGZ948+90, IF(GHB948="Semestral", GGZ948+180, GGZ948+365))</f>
        <v>46172</v>
      </c>
      <c r="GHB948" s="7" t="str">
        <f t="shared" ref="GHB948" si="2301">IF(GGQ948="Ionizador", "Trimestral", IF(GGQ948="Rack", "Semestral", IF(GGQ948="Mesa", "Semestral", IF(GGQ948="Tapete", "Semestral", IF(GGQ948="Cautín", "Semestral", IF(GGQ948="Silla", "Semestral", "Anual"))))))</f>
        <v>Semestral</v>
      </c>
      <c r="GHC948" s="2" t="str">
        <f t="shared" ref="GHC948" ca="1" si="2302">IF(GHA948&lt;TODAY(),"VENCIDO",IF(GHA948=TODAY(),"VENCE HOY",IF(GHA948&gt;TODAY(),"VIGENTE")))</f>
        <v>VIGENTE</v>
      </c>
      <c r="GHD948" s="6" t="s">
        <v>25</v>
      </c>
      <c r="GHE948" s="23" t="s">
        <v>138</v>
      </c>
      <c r="GHF948" s="2" t="s">
        <v>433</v>
      </c>
      <c r="GHG948" s="3" t="s">
        <v>22</v>
      </c>
      <c r="GHH948" s="3" t="s">
        <v>23</v>
      </c>
      <c r="GHI948" s="2" t="s">
        <v>24</v>
      </c>
      <c r="GHJ948" s="4">
        <v>0</v>
      </c>
      <c r="GHK948" s="8">
        <f t="shared" ref="GHK948" si="2303">IF(GHG948="Ionizador", 10, IF(GHG948="Mesa", 1000000000, IF(GHG948="Rack", 1000000000, IF(GHG948="Piso", 1000000000, IF(GHG948="Tapete", 1000000000, IF(GHG948="Carrito", 1000000000, IF(GHG948="Cautín", 10, 1)))))))</f>
        <v>1000000000</v>
      </c>
      <c r="GHL948" s="4" t="str">
        <f t="shared" ref="GHL948" si="2304">IF(GHG948="Ionizador", "Segundos", "Ohms")</f>
        <v>Ohms</v>
      </c>
      <c r="GHM948" s="6">
        <v>148000000</v>
      </c>
      <c r="GHN948" s="6" t="str">
        <f t="shared" ref="GHN948" si="2305">GHL948</f>
        <v>Ohms</v>
      </c>
      <c r="GHO948" s="2" t="str">
        <f t="shared" ref="GHO948" si="2306">IF(GHG948="Ionizador", "Plato de carga", IF(GHG948="Cautín", "PTG", "RTG"))</f>
        <v>RTG</v>
      </c>
      <c r="GHP948" s="7">
        <v>45992</v>
      </c>
      <c r="GHQ948" s="7">
        <f t="shared" ref="GHQ948" si="2307">IF(GHR948="Trimestral", GHP948+90, IF(GHR948="Semestral", GHP948+180, GHP948+365))</f>
        <v>46172</v>
      </c>
      <c r="GHR948" s="7" t="str">
        <f t="shared" ref="GHR948" si="2308">IF(GHG948="Ionizador", "Trimestral", IF(GHG948="Rack", "Semestral", IF(GHG948="Mesa", "Semestral", IF(GHG948="Tapete", "Semestral", IF(GHG948="Cautín", "Semestral", IF(GHG948="Silla", "Semestral", "Anual"))))))</f>
        <v>Semestral</v>
      </c>
      <c r="GHS948" s="2" t="str">
        <f t="shared" ref="GHS948" ca="1" si="2309">IF(GHQ948&lt;TODAY(),"VENCIDO",IF(GHQ948=TODAY(),"VENCE HOY",IF(GHQ948&gt;TODAY(),"VIGENTE")))</f>
        <v>VIGENTE</v>
      </c>
      <c r="GHT948" s="6" t="s">
        <v>25</v>
      </c>
      <c r="GHU948" s="23" t="s">
        <v>138</v>
      </c>
      <c r="GHV948" s="2" t="s">
        <v>433</v>
      </c>
      <c r="GHW948" s="3" t="s">
        <v>22</v>
      </c>
      <c r="GHX948" s="3" t="s">
        <v>23</v>
      </c>
      <c r="GHY948" s="2" t="s">
        <v>24</v>
      </c>
      <c r="GHZ948" s="4">
        <v>0</v>
      </c>
      <c r="GIA948" s="8">
        <f t="shared" ref="GIA948" si="2310">IF(GHW948="Ionizador", 10, IF(GHW948="Mesa", 1000000000, IF(GHW948="Rack", 1000000000, IF(GHW948="Piso", 1000000000, IF(GHW948="Tapete", 1000000000, IF(GHW948="Carrito", 1000000000, IF(GHW948="Cautín", 10, 1)))))))</f>
        <v>1000000000</v>
      </c>
      <c r="GIB948" s="4" t="str">
        <f t="shared" ref="GIB948" si="2311">IF(GHW948="Ionizador", "Segundos", "Ohms")</f>
        <v>Ohms</v>
      </c>
      <c r="GIC948" s="6">
        <v>148000000</v>
      </c>
      <c r="GID948" s="6" t="str">
        <f t="shared" ref="GID948" si="2312">GIB948</f>
        <v>Ohms</v>
      </c>
      <c r="GIE948" s="2" t="str">
        <f t="shared" ref="GIE948" si="2313">IF(GHW948="Ionizador", "Plato de carga", IF(GHW948="Cautín", "PTG", "RTG"))</f>
        <v>RTG</v>
      </c>
      <c r="GIF948" s="7">
        <v>45992</v>
      </c>
      <c r="GIG948" s="7">
        <f t="shared" ref="GIG948" si="2314">IF(GIH948="Trimestral", GIF948+90, IF(GIH948="Semestral", GIF948+180, GIF948+365))</f>
        <v>46172</v>
      </c>
      <c r="GIH948" s="7" t="str">
        <f t="shared" ref="GIH948" si="2315">IF(GHW948="Ionizador", "Trimestral", IF(GHW948="Rack", "Semestral", IF(GHW948="Mesa", "Semestral", IF(GHW948="Tapete", "Semestral", IF(GHW948="Cautín", "Semestral", IF(GHW948="Silla", "Semestral", "Anual"))))))</f>
        <v>Semestral</v>
      </c>
      <c r="GII948" s="2" t="str">
        <f t="shared" ref="GII948" ca="1" si="2316">IF(GIG948&lt;TODAY(),"VENCIDO",IF(GIG948=TODAY(),"VENCE HOY",IF(GIG948&gt;TODAY(),"VIGENTE")))</f>
        <v>VIGENTE</v>
      </c>
      <c r="GIJ948" s="6" t="s">
        <v>25</v>
      </c>
      <c r="GIK948" s="23" t="s">
        <v>138</v>
      </c>
      <c r="GIL948" s="2" t="s">
        <v>433</v>
      </c>
      <c r="GIM948" s="3" t="s">
        <v>22</v>
      </c>
      <c r="GIN948" s="3" t="s">
        <v>23</v>
      </c>
      <c r="GIO948" s="2" t="s">
        <v>24</v>
      </c>
      <c r="GIP948" s="4">
        <v>0</v>
      </c>
      <c r="GIQ948" s="8">
        <f t="shared" ref="GIQ948" si="2317">IF(GIM948="Ionizador", 10, IF(GIM948="Mesa", 1000000000, IF(GIM948="Rack", 1000000000, IF(GIM948="Piso", 1000000000, IF(GIM948="Tapete", 1000000000, IF(GIM948="Carrito", 1000000000, IF(GIM948="Cautín", 10, 1)))))))</f>
        <v>1000000000</v>
      </c>
      <c r="GIR948" s="4" t="str">
        <f t="shared" ref="GIR948" si="2318">IF(GIM948="Ionizador", "Segundos", "Ohms")</f>
        <v>Ohms</v>
      </c>
      <c r="GIS948" s="6">
        <v>148000000</v>
      </c>
      <c r="GIT948" s="6" t="str">
        <f t="shared" ref="GIT948" si="2319">GIR948</f>
        <v>Ohms</v>
      </c>
      <c r="GIU948" s="2" t="str">
        <f t="shared" ref="GIU948" si="2320">IF(GIM948="Ionizador", "Plato de carga", IF(GIM948="Cautín", "PTG", "RTG"))</f>
        <v>RTG</v>
      </c>
      <c r="GIV948" s="7">
        <v>45992</v>
      </c>
      <c r="GIW948" s="7">
        <f t="shared" ref="GIW948" si="2321">IF(GIX948="Trimestral", GIV948+90, IF(GIX948="Semestral", GIV948+180, GIV948+365))</f>
        <v>46172</v>
      </c>
      <c r="GIX948" s="7" t="str">
        <f t="shared" ref="GIX948" si="2322">IF(GIM948="Ionizador", "Trimestral", IF(GIM948="Rack", "Semestral", IF(GIM948="Mesa", "Semestral", IF(GIM948="Tapete", "Semestral", IF(GIM948="Cautín", "Semestral", IF(GIM948="Silla", "Semestral", "Anual"))))))</f>
        <v>Semestral</v>
      </c>
      <c r="GIY948" s="2" t="str">
        <f t="shared" ref="GIY948" ca="1" si="2323">IF(GIW948&lt;TODAY(),"VENCIDO",IF(GIW948=TODAY(),"VENCE HOY",IF(GIW948&gt;TODAY(),"VIGENTE")))</f>
        <v>VIGENTE</v>
      </c>
      <c r="GIZ948" s="6" t="s">
        <v>25</v>
      </c>
      <c r="GJA948" s="23" t="s">
        <v>138</v>
      </c>
      <c r="GJB948" s="2" t="s">
        <v>433</v>
      </c>
      <c r="GJC948" s="3" t="s">
        <v>22</v>
      </c>
      <c r="GJD948" s="3" t="s">
        <v>23</v>
      </c>
      <c r="GJE948" s="2" t="s">
        <v>24</v>
      </c>
      <c r="GJF948" s="4">
        <v>0</v>
      </c>
      <c r="GJG948" s="8">
        <f t="shared" ref="GJG948" si="2324">IF(GJC948="Ionizador", 10, IF(GJC948="Mesa", 1000000000, IF(GJC948="Rack", 1000000000, IF(GJC948="Piso", 1000000000, IF(GJC948="Tapete", 1000000000, IF(GJC948="Carrito", 1000000000, IF(GJC948="Cautín", 10, 1)))))))</f>
        <v>1000000000</v>
      </c>
      <c r="GJH948" s="4" t="str">
        <f t="shared" ref="GJH948" si="2325">IF(GJC948="Ionizador", "Segundos", "Ohms")</f>
        <v>Ohms</v>
      </c>
      <c r="GJI948" s="6">
        <v>148000000</v>
      </c>
      <c r="GJJ948" s="6" t="str">
        <f t="shared" ref="GJJ948" si="2326">GJH948</f>
        <v>Ohms</v>
      </c>
      <c r="GJK948" s="2" t="str">
        <f t="shared" ref="GJK948" si="2327">IF(GJC948="Ionizador", "Plato de carga", IF(GJC948="Cautín", "PTG", "RTG"))</f>
        <v>RTG</v>
      </c>
      <c r="GJL948" s="7">
        <v>45992</v>
      </c>
      <c r="GJM948" s="7">
        <f t="shared" ref="GJM948" si="2328">IF(GJN948="Trimestral", GJL948+90, IF(GJN948="Semestral", GJL948+180, GJL948+365))</f>
        <v>46172</v>
      </c>
      <c r="GJN948" s="7" t="str">
        <f t="shared" ref="GJN948" si="2329">IF(GJC948="Ionizador", "Trimestral", IF(GJC948="Rack", "Semestral", IF(GJC948="Mesa", "Semestral", IF(GJC948="Tapete", "Semestral", IF(GJC948="Cautín", "Semestral", IF(GJC948="Silla", "Semestral", "Anual"))))))</f>
        <v>Semestral</v>
      </c>
      <c r="GJO948" s="2" t="str">
        <f t="shared" ref="GJO948" ca="1" si="2330">IF(GJM948&lt;TODAY(),"VENCIDO",IF(GJM948=TODAY(),"VENCE HOY",IF(GJM948&gt;TODAY(),"VIGENTE")))</f>
        <v>VIGENTE</v>
      </c>
      <c r="GJP948" s="6" t="s">
        <v>25</v>
      </c>
      <c r="GJQ948" s="23" t="s">
        <v>138</v>
      </c>
      <c r="GJR948" s="2" t="s">
        <v>433</v>
      </c>
      <c r="GJS948" s="3" t="s">
        <v>22</v>
      </c>
      <c r="GJT948" s="3" t="s">
        <v>23</v>
      </c>
      <c r="GJU948" s="2" t="s">
        <v>24</v>
      </c>
      <c r="GJV948" s="4">
        <v>0</v>
      </c>
      <c r="GJW948" s="8">
        <f t="shared" ref="GJW948" si="2331">IF(GJS948="Ionizador", 10, IF(GJS948="Mesa", 1000000000, IF(GJS948="Rack", 1000000000, IF(GJS948="Piso", 1000000000, IF(GJS948="Tapete", 1000000000, IF(GJS948="Carrito", 1000000000, IF(GJS948="Cautín", 10, 1)))))))</f>
        <v>1000000000</v>
      </c>
      <c r="GJX948" s="4" t="str">
        <f t="shared" ref="GJX948" si="2332">IF(GJS948="Ionizador", "Segundos", "Ohms")</f>
        <v>Ohms</v>
      </c>
      <c r="GJY948" s="6">
        <v>148000000</v>
      </c>
      <c r="GJZ948" s="6" t="str">
        <f t="shared" ref="GJZ948" si="2333">GJX948</f>
        <v>Ohms</v>
      </c>
      <c r="GKA948" s="2" t="str">
        <f t="shared" ref="GKA948" si="2334">IF(GJS948="Ionizador", "Plato de carga", IF(GJS948="Cautín", "PTG", "RTG"))</f>
        <v>RTG</v>
      </c>
      <c r="GKB948" s="7">
        <v>45992</v>
      </c>
      <c r="GKC948" s="7">
        <f t="shared" ref="GKC948" si="2335">IF(GKD948="Trimestral", GKB948+90, IF(GKD948="Semestral", GKB948+180, GKB948+365))</f>
        <v>46172</v>
      </c>
      <c r="GKD948" s="7" t="str">
        <f t="shared" ref="GKD948" si="2336">IF(GJS948="Ionizador", "Trimestral", IF(GJS948="Rack", "Semestral", IF(GJS948="Mesa", "Semestral", IF(GJS948="Tapete", "Semestral", IF(GJS948="Cautín", "Semestral", IF(GJS948="Silla", "Semestral", "Anual"))))))</f>
        <v>Semestral</v>
      </c>
      <c r="GKE948" s="2" t="str">
        <f t="shared" ref="GKE948" ca="1" si="2337">IF(GKC948&lt;TODAY(),"VENCIDO",IF(GKC948=TODAY(),"VENCE HOY",IF(GKC948&gt;TODAY(),"VIGENTE")))</f>
        <v>VIGENTE</v>
      </c>
      <c r="GKF948" s="6" t="s">
        <v>25</v>
      </c>
      <c r="GKG948" s="23" t="s">
        <v>138</v>
      </c>
      <c r="GKH948" s="2" t="s">
        <v>433</v>
      </c>
      <c r="GKI948" s="3" t="s">
        <v>22</v>
      </c>
      <c r="GKJ948" s="3" t="s">
        <v>23</v>
      </c>
      <c r="GKK948" s="2" t="s">
        <v>24</v>
      </c>
      <c r="GKL948" s="4">
        <v>0</v>
      </c>
      <c r="GKM948" s="8">
        <f t="shared" ref="GKM948" si="2338">IF(GKI948="Ionizador", 10, IF(GKI948="Mesa", 1000000000, IF(GKI948="Rack", 1000000000, IF(GKI948="Piso", 1000000000, IF(GKI948="Tapete", 1000000000, IF(GKI948="Carrito", 1000000000, IF(GKI948="Cautín", 10, 1)))))))</f>
        <v>1000000000</v>
      </c>
      <c r="GKN948" s="4" t="str">
        <f t="shared" ref="GKN948" si="2339">IF(GKI948="Ionizador", "Segundos", "Ohms")</f>
        <v>Ohms</v>
      </c>
      <c r="GKO948" s="6">
        <v>148000000</v>
      </c>
      <c r="GKP948" s="6" t="str">
        <f t="shared" ref="GKP948" si="2340">GKN948</f>
        <v>Ohms</v>
      </c>
      <c r="GKQ948" s="2" t="str">
        <f t="shared" ref="GKQ948" si="2341">IF(GKI948="Ionizador", "Plato de carga", IF(GKI948="Cautín", "PTG", "RTG"))</f>
        <v>RTG</v>
      </c>
      <c r="GKR948" s="7">
        <v>45992</v>
      </c>
      <c r="GKS948" s="7">
        <f t="shared" ref="GKS948" si="2342">IF(GKT948="Trimestral", GKR948+90, IF(GKT948="Semestral", GKR948+180, GKR948+365))</f>
        <v>46172</v>
      </c>
      <c r="GKT948" s="7" t="str">
        <f t="shared" ref="GKT948" si="2343">IF(GKI948="Ionizador", "Trimestral", IF(GKI948="Rack", "Semestral", IF(GKI948="Mesa", "Semestral", IF(GKI948="Tapete", "Semestral", IF(GKI948="Cautín", "Semestral", IF(GKI948="Silla", "Semestral", "Anual"))))))</f>
        <v>Semestral</v>
      </c>
      <c r="GKU948" s="2" t="str">
        <f t="shared" ref="GKU948" ca="1" si="2344">IF(GKS948&lt;TODAY(),"VENCIDO",IF(GKS948=TODAY(),"VENCE HOY",IF(GKS948&gt;TODAY(),"VIGENTE")))</f>
        <v>VIGENTE</v>
      </c>
      <c r="GKV948" s="6" t="s">
        <v>25</v>
      </c>
      <c r="GKW948" s="23" t="s">
        <v>138</v>
      </c>
      <c r="GKX948" s="2" t="s">
        <v>433</v>
      </c>
      <c r="GKY948" s="3" t="s">
        <v>22</v>
      </c>
      <c r="GKZ948" s="3" t="s">
        <v>23</v>
      </c>
      <c r="GLA948" s="2" t="s">
        <v>24</v>
      </c>
      <c r="GLB948" s="4">
        <v>0</v>
      </c>
      <c r="GLC948" s="8">
        <f t="shared" ref="GLC948" si="2345">IF(GKY948="Ionizador", 10, IF(GKY948="Mesa", 1000000000, IF(GKY948="Rack", 1000000000, IF(GKY948="Piso", 1000000000, IF(GKY948="Tapete", 1000000000, IF(GKY948="Carrito", 1000000000, IF(GKY948="Cautín", 10, 1)))))))</f>
        <v>1000000000</v>
      </c>
      <c r="GLD948" s="4" t="str">
        <f t="shared" ref="GLD948" si="2346">IF(GKY948="Ionizador", "Segundos", "Ohms")</f>
        <v>Ohms</v>
      </c>
      <c r="GLE948" s="6">
        <v>148000000</v>
      </c>
      <c r="GLF948" s="6" t="str">
        <f t="shared" ref="GLF948" si="2347">GLD948</f>
        <v>Ohms</v>
      </c>
      <c r="GLG948" s="2" t="str">
        <f t="shared" ref="GLG948" si="2348">IF(GKY948="Ionizador", "Plato de carga", IF(GKY948="Cautín", "PTG", "RTG"))</f>
        <v>RTG</v>
      </c>
      <c r="GLH948" s="7">
        <v>45992</v>
      </c>
      <c r="GLI948" s="7">
        <f t="shared" ref="GLI948" si="2349">IF(GLJ948="Trimestral", GLH948+90, IF(GLJ948="Semestral", GLH948+180, GLH948+365))</f>
        <v>46172</v>
      </c>
      <c r="GLJ948" s="7" t="str">
        <f t="shared" ref="GLJ948" si="2350">IF(GKY948="Ionizador", "Trimestral", IF(GKY948="Rack", "Semestral", IF(GKY948="Mesa", "Semestral", IF(GKY948="Tapete", "Semestral", IF(GKY948="Cautín", "Semestral", IF(GKY948="Silla", "Semestral", "Anual"))))))</f>
        <v>Semestral</v>
      </c>
      <c r="GLK948" s="2" t="str">
        <f t="shared" ref="GLK948" ca="1" si="2351">IF(GLI948&lt;TODAY(),"VENCIDO",IF(GLI948=TODAY(),"VENCE HOY",IF(GLI948&gt;TODAY(),"VIGENTE")))</f>
        <v>VIGENTE</v>
      </c>
      <c r="GLL948" s="6" t="s">
        <v>25</v>
      </c>
      <c r="GLM948" s="23" t="s">
        <v>138</v>
      </c>
      <c r="GLN948" s="2" t="s">
        <v>433</v>
      </c>
      <c r="GLO948" s="3" t="s">
        <v>22</v>
      </c>
      <c r="GLP948" s="3" t="s">
        <v>23</v>
      </c>
      <c r="GLQ948" s="2" t="s">
        <v>24</v>
      </c>
      <c r="GLR948" s="4">
        <v>0</v>
      </c>
      <c r="GLS948" s="8">
        <f t="shared" ref="GLS948" si="2352">IF(GLO948="Ionizador", 10, IF(GLO948="Mesa", 1000000000, IF(GLO948="Rack", 1000000000, IF(GLO948="Piso", 1000000000, IF(GLO948="Tapete", 1000000000, IF(GLO948="Carrito", 1000000000, IF(GLO948="Cautín", 10, 1)))))))</f>
        <v>1000000000</v>
      </c>
      <c r="GLT948" s="4" t="str">
        <f t="shared" ref="GLT948" si="2353">IF(GLO948="Ionizador", "Segundos", "Ohms")</f>
        <v>Ohms</v>
      </c>
      <c r="GLU948" s="6">
        <v>148000000</v>
      </c>
      <c r="GLV948" s="6" t="str">
        <f t="shared" ref="GLV948" si="2354">GLT948</f>
        <v>Ohms</v>
      </c>
      <c r="GLW948" s="2" t="str">
        <f t="shared" ref="GLW948" si="2355">IF(GLO948="Ionizador", "Plato de carga", IF(GLO948="Cautín", "PTG", "RTG"))</f>
        <v>RTG</v>
      </c>
      <c r="GLX948" s="7">
        <v>45992</v>
      </c>
      <c r="GLY948" s="7">
        <f t="shared" ref="GLY948" si="2356">IF(GLZ948="Trimestral", GLX948+90, IF(GLZ948="Semestral", GLX948+180, GLX948+365))</f>
        <v>46172</v>
      </c>
      <c r="GLZ948" s="7" t="str">
        <f t="shared" ref="GLZ948" si="2357">IF(GLO948="Ionizador", "Trimestral", IF(GLO948="Rack", "Semestral", IF(GLO948="Mesa", "Semestral", IF(GLO948="Tapete", "Semestral", IF(GLO948="Cautín", "Semestral", IF(GLO948="Silla", "Semestral", "Anual"))))))</f>
        <v>Semestral</v>
      </c>
      <c r="GMA948" s="2" t="str">
        <f t="shared" ref="GMA948" ca="1" si="2358">IF(GLY948&lt;TODAY(),"VENCIDO",IF(GLY948=TODAY(),"VENCE HOY",IF(GLY948&gt;TODAY(),"VIGENTE")))</f>
        <v>VIGENTE</v>
      </c>
      <c r="GMB948" s="6" t="s">
        <v>25</v>
      </c>
      <c r="GMC948" s="23" t="s">
        <v>138</v>
      </c>
      <c r="GMD948" s="2" t="s">
        <v>433</v>
      </c>
      <c r="GME948" s="3" t="s">
        <v>22</v>
      </c>
      <c r="GMF948" s="3" t="s">
        <v>23</v>
      </c>
      <c r="GMG948" s="2" t="s">
        <v>24</v>
      </c>
      <c r="GMH948" s="4">
        <v>0</v>
      </c>
      <c r="GMI948" s="8">
        <f t="shared" ref="GMI948" si="2359">IF(GME948="Ionizador", 10, IF(GME948="Mesa", 1000000000, IF(GME948="Rack", 1000000000, IF(GME948="Piso", 1000000000, IF(GME948="Tapete", 1000000000, IF(GME948="Carrito", 1000000000, IF(GME948="Cautín", 10, 1)))))))</f>
        <v>1000000000</v>
      </c>
      <c r="GMJ948" s="4" t="str">
        <f t="shared" ref="GMJ948" si="2360">IF(GME948="Ionizador", "Segundos", "Ohms")</f>
        <v>Ohms</v>
      </c>
      <c r="GMK948" s="6">
        <v>148000000</v>
      </c>
      <c r="GML948" s="6" t="str">
        <f t="shared" ref="GML948" si="2361">GMJ948</f>
        <v>Ohms</v>
      </c>
      <c r="GMM948" s="2" t="str">
        <f t="shared" ref="GMM948" si="2362">IF(GME948="Ionizador", "Plato de carga", IF(GME948="Cautín", "PTG", "RTG"))</f>
        <v>RTG</v>
      </c>
      <c r="GMN948" s="7">
        <v>45992</v>
      </c>
      <c r="GMO948" s="7">
        <f t="shared" ref="GMO948" si="2363">IF(GMP948="Trimestral", GMN948+90, IF(GMP948="Semestral", GMN948+180, GMN948+365))</f>
        <v>46172</v>
      </c>
      <c r="GMP948" s="7" t="str">
        <f t="shared" ref="GMP948" si="2364">IF(GME948="Ionizador", "Trimestral", IF(GME948="Rack", "Semestral", IF(GME948="Mesa", "Semestral", IF(GME948="Tapete", "Semestral", IF(GME948="Cautín", "Semestral", IF(GME948="Silla", "Semestral", "Anual"))))))</f>
        <v>Semestral</v>
      </c>
      <c r="GMQ948" s="2" t="str">
        <f t="shared" ref="GMQ948" ca="1" si="2365">IF(GMO948&lt;TODAY(),"VENCIDO",IF(GMO948=TODAY(),"VENCE HOY",IF(GMO948&gt;TODAY(),"VIGENTE")))</f>
        <v>VIGENTE</v>
      </c>
      <c r="GMR948" s="6" t="s">
        <v>25</v>
      </c>
      <c r="GMS948" s="23" t="s">
        <v>138</v>
      </c>
      <c r="GMT948" s="2" t="s">
        <v>433</v>
      </c>
      <c r="GMU948" s="3" t="s">
        <v>22</v>
      </c>
      <c r="GMV948" s="3" t="s">
        <v>23</v>
      </c>
      <c r="GMW948" s="2" t="s">
        <v>24</v>
      </c>
      <c r="GMX948" s="4">
        <v>0</v>
      </c>
      <c r="GMY948" s="8">
        <f t="shared" ref="GMY948" si="2366">IF(GMU948="Ionizador", 10, IF(GMU948="Mesa", 1000000000, IF(GMU948="Rack", 1000000000, IF(GMU948="Piso", 1000000000, IF(GMU948="Tapete", 1000000000, IF(GMU948="Carrito", 1000000000, IF(GMU948="Cautín", 10, 1)))))))</f>
        <v>1000000000</v>
      </c>
      <c r="GMZ948" s="4" t="str">
        <f t="shared" ref="GMZ948" si="2367">IF(GMU948="Ionizador", "Segundos", "Ohms")</f>
        <v>Ohms</v>
      </c>
      <c r="GNA948" s="6">
        <v>148000000</v>
      </c>
      <c r="GNB948" s="6" t="str">
        <f t="shared" ref="GNB948" si="2368">GMZ948</f>
        <v>Ohms</v>
      </c>
      <c r="GNC948" s="2" t="str">
        <f t="shared" ref="GNC948" si="2369">IF(GMU948="Ionizador", "Plato de carga", IF(GMU948="Cautín", "PTG", "RTG"))</f>
        <v>RTG</v>
      </c>
      <c r="GND948" s="7">
        <v>45992</v>
      </c>
      <c r="GNE948" s="7">
        <f t="shared" ref="GNE948" si="2370">IF(GNF948="Trimestral", GND948+90, IF(GNF948="Semestral", GND948+180, GND948+365))</f>
        <v>46172</v>
      </c>
      <c r="GNF948" s="7" t="str">
        <f t="shared" ref="GNF948" si="2371">IF(GMU948="Ionizador", "Trimestral", IF(GMU948="Rack", "Semestral", IF(GMU948="Mesa", "Semestral", IF(GMU948="Tapete", "Semestral", IF(GMU948="Cautín", "Semestral", IF(GMU948="Silla", "Semestral", "Anual"))))))</f>
        <v>Semestral</v>
      </c>
      <c r="GNG948" s="2" t="str">
        <f t="shared" ref="GNG948" ca="1" si="2372">IF(GNE948&lt;TODAY(),"VENCIDO",IF(GNE948=TODAY(),"VENCE HOY",IF(GNE948&gt;TODAY(),"VIGENTE")))</f>
        <v>VIGENTE</v>
      </c>
      <c r="GNH948" s="6" t="s">
        <v>25</v>
      </c>
      <c r="GNI948" s="23" t="s">
        <v>138</v>
      </c>
      <c r="GNJ948" s="2" t="s">
        <v>433</v>
      </c>
      <c r="GNK948" s="3" t="s">
        <v>22</v>
      </c>
      <c r="GNL948" s="3" t="s">
        <v>23</v>
      </c>
      <c r="GNM948" s="2" t="s">
        <v>24</v>
      </c>
      <c r="GNN948" s="4">
        <v>0</v>
      </c>
      <c r="GNO948" s="8">
        <f t="shared" ref="GNO948" si="2373">IF(GNK948="Ionizador", 10, IF(GNK948="Mesa", 1000000000, IF(GNK948="Rack", 1000000000, IF(GNK948="Piso", 1000000000, IF(GNK948="Tapete", 1000000000, IF(GNK948="Carrito", 1000000000, IF(GNK948="Cautín", 10, 1)))))))</f>
        <v>1000000000</v>
      </c>
      <c r="GNP948" s="4" t="str">
        <f t="shared" ref="GNP948" si="2374">IF(GNK948="Ionizador", "Segundos", "Ohms")</f>
        <v>Ohms</v>
      </c>
      <c r="GNQ948" s="6">
        <v>148000000</v>
      </c>
      <c r="GNR948" s="6" t="str">
        <f t="shared" ref="GNR948" si="2375">GNP948</f>
        <v>Ohms</v>
      </c>
      <c r="GNS948" s="2" t="str">
        <f t="shared" ref="GNS948" si="2376">IF(GNK948="Ionizador", "Plato de carga", IF(GNK948="Cautín", "PTG", "RTG"))</f>
        <v>RTG</v>
      </c>
      <c r="GNT948" s="7">
        <v>45992</v>
      </c>
      <c r="GNU948" s="7">
        <f t="shared" ref="GNU948" si="2377">IF(GNV948="Trimestral", GNT948+90, IF(GNV948="Semestral", GNT948+180, GNT948+365))</f>
        <v>46172</v>
      </c>
      <c r="GNV948" s="7" t="str">
        <f t="shared" ref="GNV948" si="2378">IF(GNK948="Ionizador", "Trimestral", IF(GNK948="Rack", "Semestral", IF(GNK948="Mesa", "Semestral", IF(GNK948="Tapete", "Semestral", IF(GNK948="Cautín", "Semestral", IF(GNK948="Silla", "Semestral", "Anual"))))))</f>
        <v>Semestral</v>
      </c>
      <c r="GNW948" s="2" t="str">
        <f t="shared" ref="GNW948" ca="1" si="2379">IF(GNU948&lt;TODAY(),"VENCIDO",IF(GNU948=TODAY(),"VENCE HOY",IF(GNU948&gt;TODAY(),"VIGENTE")))</f>
        <v>VIGENTE</v>
      </c>
      <c r="GNX948" s="6" t="s">
        <v>25</v>
      </c>
      <c r="GNY948" s="23" t="s">
        <v>138</v>
      </c>
      <c r="GNZ948" s="2" t="s">
        <v>433</v>
      </c>
      <c r="GOA948" s="3" t="s">
        <v>22</v>
      </c>
      <c r="GOB948" s="3" t="s">
        <v>23</v>
      </c>
      <c r="GOC948" s="2" t="s">
        <v>24</v>
      </c>
      <c r="GOD948" s="4">
        <v>0</v>
      </c>
      <c r="GOE948" s="8">
        <f t="shared" ref="GOE948" si="2380">IF(GOA948="Ionizador", 10, IF(GOA948="Mesa", 1000000000, IF(GOA948="Rack", 1000000000, IF(GOA948="Piso", 1000000000, IF(GOA948="Tapete", 1000000000, IF(GOA948="Carrito", 1000000000, IF(GOA948="Cautín", 10, 1)))))))</f>
        <v>1000000000</v>
      </c>
      <c r="GOF948" s="4" t="str">
        <f t="shared" ref="GOF948" si="2381">IF(GOA948="Ionizador", "Segundos", "Ohms")</f>
        <v>Ohms</v>
      </c>
      <c r="GOG948" s="6">
        <v>148000000</v>
      </c>
      <c r="GOH948" s="6" t="str">
        <f t="shared" ref="GOH948" si="2382">GOF948</f>
        <v>Ohms</v>
      </c>
      <c r="GOI948" s="2" t="str">
        <f t="shared" ref="GOI948" si="2383">IF(GOA948="Ionizador", "Plato de carga", IF(GOA948="Cautín", "PTG", "RTG"))</f>
        <v>RTG</v>
      </c>
      <c r="GOJ948" s="7">
        <v>45992</v>
      </c>
      <c r="GOK948" s="7">
        <f t="shared" ref="GOK948" si="2384">IF(GOL948="Trimestral", GOJ948+90, IF(GOL948="Semestral", GOJ948+180, GOJ948+365))</f>
        <v>46172</v>
      </c>
      <c r="GOL948" s="7" t="str">
        <f t="shared" ref="GOL948" si="2385">IF(GOA948="Ionizador", "Trimestral", IF(GOA948="Rack", "Semestral", IF(GOA948="Mesa", "Semestral", IF(GOA948="Tapete", "Semestral", IF(GOA948="Cautín", "Semestral", IF(GOA948="Silla", "Semestral", "Anual"))))))</f>
        <v>Semestral</v>
      </c>
      <c r="GOM948" s="2" t="str">
        <f t="shared" ref="GOM948" ca="1" si="2386">IF(GOK948&lt;TODAY(),"VENCIDO",IF(GOK948=TODAY(),"VENCE HOY",IF(GOK948&gt;TODAY(),"VIGENTE")))</f>
        <v>VIGENTE</v>
      </c>
      <c r="GON948" s="6" t="s">
        <v>25</v>
      </c>
      <c r="GOO948" s="23" t="s">
        <v>138</v>
      </c>
      <c r="GOP948" s="2" t="s">
        <v>433</v>
      </c>
      <c r="GOQ948" s="3" t="s">
        <v>22</v>
      </c>
      <c r="GOR948" s="3" t="s">
        <v>23</v>
      </c>
      <c r="GOS948" s="2" t="s">
        <v>24</v>
      </c>
      <c r="GOT948" s="4">
        <v>0</v>
      </c>
      <c r="GOU948" s="8">
        <f t="shared" ref="GOU948" si="2387">IF(GOQ948="Ionizador", 10, IF(GOQ948="Mesa", 1000000000, IF(GOQ948="Rack", 1000000000, IF(GOQ948="Piso", 1000000000, IF(GOQ948="Tapete", 1000000000, IF(GOQ948="Carrito", 1000000000, IF(GOQ948="Cautín", 10, 1)))))))</f>
        <v>1000000000</v>
      </c>
      <c r="GOV948" s="4" t="str">
        <f t="shared" ref="GOV948" si="2388">IF(GOQ948="Ionizador", "Segundos", "Ohms")</f>
        <v>Ohms</v>
      </c>
      <c r="GOW948" s="6">
        <v>148000000</v>
      </c>
      <c r="GOX948" s="6" t="str">
        <f t="shared" ref="GOX948" si="2389">GOV948</f>
        <v>Ohms</v>
      </c>
      <c r="GOY948" s="2" t="str">
        <f t="shared" ref="GOY948" si="2390">IF(GOQ948="Ionizador", "Plato de carga", IF(GOQ948="Cautín", "PTG", "RTG"))</f>
        <v>RTG</v>
      </c>
      <c r="GOZ948" s="7">
        <v>45992</v>
      </c>
      <c r="GPA948" s="7">
        <f t="shared" ref="GPA948" si="2391">IF(GPB948="Trimestral", GOZ948+90, IF(GPB948="Semestral", GOZ948+180, GOZ948+365))</f>
        <v>46172</v>
      </c>
      <c r="GPB948" s="7" t="str">
        <f t="shared" ref="GPB948" si="2392">IF(GOQ948="Ionizador", "Trimestral", IF(GOQ948="Rack", "Semestral", IF(GOQ948="Mesa", "Semestral", IF(GOQ948="Tapete", "Semestral", IF(GOQ948="Cautín", "Semestral", IF(GOQ948="Silla", "Semestral", "Anual"))))))</f>
        <v>Semestral</v>
      </c>
      <c r="GPC948" s="2" t="str">
        <f t="shared" ref="GPC948" ca="1" si="2393">IF(GPA948&lt;TODAY(),"VENCIDO",IF(GPA948=TODAY(),"VENCE HOY",IF(GPA948&gt;TODAY(),"VIGENTE")))</f>
        <v>VIGENTE</v>
      </c>
      <c r="GPD948" s="6" t="s">
        <v>25</v>
      </c>
      <c r="GPE948" s="23" t="s">
        <v>138</v>
      </c>
      <c r="GPF948" s="2" t="s">
        <v>433</v>
      </c>
      <c r="GPG948" s="3" t="s">
        <v>22</v>
      </c>
      <c r="GPH948" s="3" t="s">
        <v>23</v>
      </c>
      <c r="GPI948" s="2" t="s">
        <v>24</v>
      </c>
      <c r="GPJ948" s="4">
        <v>0</v>
      </c>
      <c r="GPK948" s="8">
        <f t="shared" ref="GPK948" si="2394">IF(GPG948="Ionizador", 10, IF(GPG948="Mesa", 1000000000, IF(GPG948="Rack", 1000000000, IF(GPG948="Piso", 1000000000, IF(GPG948="Tapete", 1000000000, IF(GPG948="Carrito", 1000000000, IF(GPG948="Cautín", 10, 1)))))))</f>
        <v>1000000000</v>
      </c>
      <c r="GPL948" s="4" t="str">
        <f t="shared" ref="GPL948" si="2395">IF(GPG948="Ionizador", "Segundos", "Ohms")</f>
        <v>Ohms</v>
      </c>
      <c r="GPM948" s="6">
        <v>148000000</v>
      </c>
      <c r="GPN948" s="6" t="str">
        <f t="shared" ref="GPN948" si="2396">GPL948</f>
        <v>Ohms</v>
      </c>
      <c r="GPO948" s="2" t="str">
        <f t="shared" ref="GPO948" si="2397">IF(GPG948="Ionizador", "Plato de carga", IF(GPG948="Cautín", "PTG", "RTG"))</f>
        <v>RTG</v>
      </c>
      <c r="GPP948" s="7">
        <v>45992</v>
      </c>
      <c r="GPQ948" s="7">
        <f t="shared" ref="GPQ948" si="2398">IF(GPR948="Trimestral", GPP948+90, IF(GPR948="Semestral", GPP948+180, GPP948+365))</f>
        <v>46172</v>
      </c>
      <c r="GPR948" s="7" t="str">
        <f t="shared" ref="GPR948" si="2399">IF(GPG948="Ionizador", "Trimestral", IF(GPG948="Rack", "Semestral", IF(GPG948="Mesa", "Semestral", IF(GPG948="Tapete", "Semestral", IF(GPG948="Cautín", "Semestral", IF(GPG948="Silla", "Semestral", "Anual"))))))</f>
        <v>Semestral</v>
      </c>
      <c r="GPS948" s="2" t="str">
        <f t="shared" ref="GPS948" ca="1" si="2400">IF(GPQ948&lt;TODAY(),"VENCIDO",IF(GPQ948=TODAY(),"VENCE HOY",IF(GPQ948&gt;TODAY(),"VIGENTE")))</f>
        <v>VIGENTE</v>
      </c>
      <c r="GPT948" s="6" t="s">
        <v>25</v>
      </c>
      <c r="GPU948" s="23" t="s">
        <v>138</v>
      </c>
      <c r="GPV948" s="2" t="s">
        <v>433</v>
      </c>
      <c r="GPW948" s="3" t="s">
        <v>22</v>
      </c>
      <c r="GPX948" s="3" t="s">
        <v>23</v>
      </c>
      <c r="GPY948" s="2" t="s">
        <v>24</v>
      </c>
      <c r="GPZ948" s="4">
        <v>0</v>
      </c>
      <c r="GQA948" s="8">
        <f t="shared" ref="GQA948" si="2401">IF(GPW948="Ionizador", 10, IF(GPW948="Mesa", 1000000000, IF(GPW948="Rack", 1000000000, IF(GPW948="Piso", 1000000000, IF(GPW948="Tapete", 1000000000, IF(GPW948="Carrito", 1000000000, IF(GPW948="Cautín", 10, 1)))))))</f>
        <v>1000000000</v>
      </c>
      <c r="GQB948" s="4" t="str">
        <f t="shared" ref="GQB948" si="2402">IF(GPW948="Ionizador", "Segundos", "Ohms")</f>
        <v>Ohms</v>
      </c>
      <c r="GQC948" s="6">
        <v>148000000</v>
      </c>
      <c r="GQD948" s="6" t="str">
        <f t="shared" ref="GQD948" si="2403">GQB948</f>
        <v>Ohms</v>
      </c>
      <c r="GQE948" s="2" t="str">
        <f t="shared" ref="GQE948" si="2404">IF(GPW948="Ionizador", "Plato de carga", IF(GPW948="Cautín", "PTG", "RTG"))</f>
        <v>RTG</v>
      </c>
      <c r="GQF948" s="7">
        <v>45992</v>
      </c>
      <c r="GQG948" s="7">
        <f t="shared" ref="GQG948" si="2405">IF(GQH948="Trimestral", GQF948+90, IF(GQH948="Semestral", GQF948+180, GQF948+365))</f>
        <v>46172</v>
      </c>
      <c r="GQH948" s="7" t="str">
        <f t="shared" ref="GQH948" si="2406">IF(GPW948="Ionizador", "Trimestral", IF(GPW948="Rack", "Semestral", IF(GPW948="Mesa", "Semestral", IF(GPW948="Tapete", "Semestral", IF(GPW948="Cautín", "Semestral", IF(GPW948="Silla", "Semestral", "Anual"))))))</f>
        <v>Semestral</v>
      </c>
      <c r="GQI948" s="2" t="str">
        <f t="shared" ref="GQI948" ca="1" si="2407">IF(GQG948&lt;TODAY(),"VENCIDO",IF(GQG948=TODAY(),"VENCE HOY",IF(GQG948&gt;TODAY(),"VIGENTE")))</f>
        <v>VIGENTE</v>
      </c>
      <c r="GQJ948" s="6" t="s">
        <v>25</v>
      </c>
      <c r="GQK948" s="23" t="s">
        <v>138</v>
      </c>
      <c r="GQL948" s="2" t="s">
        <v>433</v>
      </c>
      <c r="GQM948" s="3" t="s">
        <v>22</v>
      </c>
      <c r="GQN948" s="3" t="s">
        <v>23</v>
      </c>
      <c r="GQO948" s="2" t="s">
        <v>24</v>
      </c>
      <c r="GQP948" s="4">
        <v>0</v>
      </c>
      <c r="GQQ948" s="8">
        <f t="shared" ref="GQQ948" si="2408">IF(GQM948="Ionizador", 10, IF(GQM948="Mesa", 1000000000, IF(GQM948="Rack", 1000000000, IF(GQM948="Piso", 1000000000, IF(GQM948="Tapete", 1000000000, IF(GQM948="Carrito", 1000000000, IF(GQM948="Cautín", 10, 1)))))))</f>
        <v>1000000000</v>
      </c>
      <c r="GQR948" s="4" t="str">
        <f t="shared" ref="GQR948" si="2409">IF(GQM948="Ionizador", "Segundos", "Ohms")</f>
        <v>Ohms</v>
      </c>
      <c r="GQS948" s="6">
        <v>148000000</v>
      </c>
      <c r="GQT948" s="6" t="str">
        <f t="shared" ref="GQT948" si="2410">GQR948</f>
        <v>Ohms</v>
      </c>
      <c r="GQU948" s="2" t="str">
        <f t="shared" ref="GQU948" si="2411">IF(GQM948="Ionizador", "Plato de carga", IF(GQM948="Cautín", "PTG", "RTG"))</f>
        <v>RTG</v>
      </c>
      <c r="GQV948" s="7">
        <v>45992</v>
      </c>
      <c r="GQW948" s="7">
        <f t="shared" ref="GQW948" si="2412">IF(GQX948="Trimestral", GQV948+90, IF(GQX948="Semestral", GQV948+180, GQV948+365))</f>
        <v>46172</v>
      </c>
      <c r="GQX948" s="7" t="str">
        <f t="shared" ref="GQX948" si="2413">IF(GQM948="Ionizador", "Trimestral", IF(GQM948="Rack", "Semestral", IF(GQM948="Mesa", "Semestral", IF(GQM948="Tapete", "Semestral", IF(GQM948="Cautín", "Semestral", IF(GQM948="Silla", "Semestral", "Anual"))))))</f>
        <v>Semestral</v>
      </c>
      <c r="GQY948" s="2" t="str">
        <f t="shared" ref="GQY948" ca="1" si="2414">IF(GQW948&lt;TODAY(),"VENCIDO",IF(GQW948=TODAY(),"VENCE HOY",IF(GQW948&gt;TODAY(),"VIGENTE")))</f>
        <v>VIGENTE</v>
      </c>
      <c r="GQZ948" s="6" t="s">
        <v>25</v>
      </c>
      <c r="GRA948" s="23" t="s">
        <v>138</v>
      </c>
      <c r="GRB948" s="2" t="s">
        <v>433</v>
      </c>
      <c r="GRC948" s="3" t="s">
        <v>22</v>
      </c>
      <c r="GRD948" s="3" t="s">
        <v>23</v>
      </c>
      <c r="GRE948" s="2" t="s">
        <v>24</v>
      </c>
      <c r="GRF948" s="4">
        <v>0</v>
      </c>
      <c r="GRG948" s="8">
        <f t="shared" ref="GRG948" si="2415">IF(GRC948="Ionizador", 10, IF(GRC948="Mesa", 1000000000, IF(GRC948="Rack", 1000000000, IF(GRC948="Piso", 1000000000, IF(GRC948="Tapete", 1000000000, IF(GRC948="Carrito", 1000000000, IF(GRC948="Cautín", 10, 1)))))))</f>
        <v>1000000000</v>
      </c>
      <c r="GRH948" s="4" t="str">
        <f t="shared" ref="GRH948" si="2416">IF(GRC948="Ionizador", "Segundos", "Ohms")</f>
        <v>Ohms</v>
      </c>
      <c r="GRI948" s="6">
        <v>148000000</v>
      </c>
      <c r="GRJ948" s="6" t="str">
        <f t="shared" ref="GRJ948" si="2417">GRH948</f>
        <v>Ohms</v>
      </c>
      <c r="GRK948" s="2" t="str">
        <f t="shared" ref="GRK948" si="2418">IF(GRC948="Ionizador", "Plato de carga", IF(GRC948="Cautín", "PTG", "RTG"))</f>
        <v>RTG</v>
      </c>
      <c r="GRL948" s="7">
        <v>45992</v>
      </c>
      <c r="GRM948" s="7">
        <f t="shared" ref="GRM948" si="2419">IF(GRN948="Trimestral", GRL948+90, IF(GRN948="Semestral", GRL948+180, GRL948+365))</f>
        <v>46172</v>
      </c>
      <c r="GRN948" s="7" t="str">
        <f t="shared" ref="GRN948" si="2420">IF(GRC948="Ionizador", "Trimestral", IF(GRC948="Rack", "Semestral", IF(GRC948="Mesa", "Semestral", IF(GRC948="Tapete", "Semestral", IF(GRC948="Cautín", "Semestral", IF(GRC948="Silla", "Semestral", "Anual"))))))</f>
        <v>Semestral</v>
      </c>
      <c r="GRO948" s="2" t="str">
        <f t="shared" ref="GRO948" ca="1" si="2421">IF(GRM948&lt;TODAY(),"VENCIDO",IF(GRM948=TODAY(),"VENCE HOY",IF(GRM948&gt;TODAY(),"VIGENTE")))</f>
        <v>VIGENTE</v>
      </c>
      <c r="GRP948" s="6" t="s">
        <v>25</v>
      </c>
      <c r="GRQ948" s="23" t="s">
        <v>138</v>
      </c>
      <c r="GRR948" s="2" t="s">
        <v>433</v>
      </c>
      <c r="GRS948" s="3" t="s">
        <v>22</v>
      </c>
      <c r="GRT948" s="3" t="s">
        <v>23</v>
      </c>
      <c r="GRU948" s="2" t="s">
        <v>24</v>
      </c>
      <c r="GRV948" s="4">
        <v>0</v>
      </c>
      <c r="GRW948" s="8">
        <f t="shared" ref="GRW948" si="2422">IF(GRS948="Ionizador", 10, IF(GRS948="Mesa", 1000000000, IF(GRS948="Rack", 1000000000, IF(GRS948="Piso", 1000000000, IF(GRS948="Tapete", 1000000000, IF(GRS948="Carrito", 1000000000, IF(GRS948="Cautín", 10, 1)))))))</f>
        <v>1000000000</v>
      </c>
      <c r="GRX948" s="4" t="str">
        <f t="shared" ref="GRX948" si="2423">IF(GRS948="Ionizador", "Segundos", "Ohms")</f>
        <v>Ohms</v>
      </c>
      <c r="GRY948" s="6">
        <v>148000000</v>
      </c>
      <c r="GRZ948" s="6" t="str">
        <f t="shared" ref="GRZ948" si="2424">GRX948</f>
        <v>Ohms</v>
      </c>
      <c r="GSA948" s="2" t="str">
        <f t="shared" ref="GSA948" si="2425">IF(GRS948="Ionizador", "Plato de carga", IF(GRS948="Cautín", "PTG", "RTG"))</f>
        <v>RTG</v>
      </c>
      <c r="GSB948" s="7">
        <v>45992</v>
      </c>
      <c r="GSC948" s="7">
        <f t="shared" ref="GSC948" si="2426">IF(GSD948="Trimestral", GSB948+90, IF(GSD948="Semestral", GSB948+180, GSB948+365))</f>
        <v>46172</v>
      </c>
      <c r="GSD948" s="7" t="str">
        <f t="shared" ref="GSD948" si="2427">IF(GRS948="Ionizador", "Trimestral", IF(GRS948="Rack", "Semestral", IF(GRS948="Mesa", "Semestral", IF(GRS948="Tapete", "Semestral", IF(GRS948="Cautín", "Semestral", IF(GRS948="Silla", "Semestral", "Anual"))))))</f>
        <v>Semestral</v>
      </c>
      <c r="GSE948" s="2" t="str">
        <f t="shared" ref="GSE948" ca="1" si="2428">IF(GSC948&lt;TODAY(),"VENCIDO",IF(GSC948=TODAY(),"VENCE HOY",IF(GSC948&gt;TODAY(),"VIGENTE")))</f>
        <v>VIGENTE</v>
      </c>
      <c r="GSF948" s="6" t="s">
        <v>25</v>
      </c>
      <c r="GSG948" s="23" t="s">
        <v>138</v>
      </c>
      <c r="GSH948" s="2" t="s">
        <v>433</v>
      </c>
      <c r="GSI948" s="3" t="s">
        <v>22</v>
      </c>
      <c r="GSJ948" s="3" t="s">
        <v>23</v>
      </c>
      <c r="GSK948" s="2" t="s">
        <v>24</v>
      </c>
      <c r="GSL948" s="4">
        <v>0</v>
      </c>
      <c r="GSM948" s="8">
        <f t="shared" ref="GSM948" si="2429">IF(GSI948="Ionizador", 10, IF(GSI948="Mesa", 1000000000, IF(GSI948="Rack", 1000000000, IF(GSI948="Piso", 1000000000, IF(GSI948="Tapete", 1000000000, IF(GSI948="Carrito", 1000000000, IF(GSI948="Cautín", 10, 1)))))))</f>
        <v>1000000000</v>
      </c>
      <c r="GSN948" s="4" t="str">
        <f t="shared" ref="GSN948" si="2430">IF(GSI948="Ionizador", "Segundos", "Ohms")</f>
        <v>Ohms</v>
      </c>
      <c r="GSO948" s="6">
        <v>148000000</v>
      </c>
      <c r="GSP948" s="6" t="str">
        <f t="shared" ref="GSP948" si="2431">GSN948</f>
        <v>Ohms</v>
      </c>
      <c r="GSQ948" s="2" t="str">
        <f t="shared" ref="GSQ948" si="2432">IF(GSI948="Ionizador", "Plato de carga", IF(GSI948="Cautín", "PTG", "RTG"))</f>
        <v>RTG</v>
      </c>
      <c r="GSR948" s="7">
        <v>45992</v>
      </c>
      <c r="GSS948" s="7">
        <f t="shared" ref="GSS948" si="2433">IF(GST948="Trimestral", GSR948+90, IF(GST948="Semestral", GSR948+180, GSR948+365))</f>
        <v>46172</v>
      </c>
      <c r="GST948" s="7" t="str">
        <f t="shared" ref="GST948" si="2434">IF(GSI948="Ionizador", "Trimestral", IF(GSI948="Rack", "Semestral", IF(GSI948="Mesa", "Semestral", IF(GSI948="Tapete", "Semestral", IF(GSI948="Cautín", "Semestral", IF(GSI948="Silla", "Semestral", "Anual"))))))</f>
        <v>Semestral</v>
      </c>
      <c r="GSU948" s="2" t="str">
        <f t="shared" ref="GSU948" ca="1" si="2435">IF(GSS948&lt;TODAY(),"VENCIDO",IF(GSS948=TODAY(),"VENCE HOY",IF(GSS948&gt;TODAY(),"VIGENTE")))</f>
        <v>VIGENTE</v>
      </c>
      <c r="GSV948" s="6" t="s">
        <v>25</v>
      </c>
      <c r="GSW948" s="23" t="s">
        <v>138</v>
      </c>
      <c r="GSX948" s="2" t="s">
        <v>433</v>
      </c>
      <c r="GSY948" s="3" t="s">
        <v>22</v>
      </c>
      <c r="GSZ948" s="3" t="s">
        <v>23</v>
      </c>
      <c r="GTA948" s="2" t="s">
        <v>24</v>
      </c>
      <c r="GTB948" s="4">
        <v>0</v>
      </c>
      <c r="GTC948" s="8">
        <f t="shared" ref="GTC948" si="2436">IF(GSY948="Ionizador", 10, IF(GSY948="Mesa", 1000000000, IF(GSY948="Rack", 1000000000, IF(GSY948="Piso", 1000000000, IF(GSY948="Tapete", 1000000000, IF(GSY948="Carrito", 1000000000, IF(GSY948="Cautín", 10, 1)))))))</f>
        <v>1000000000</v>
      </c>
      <c r="GTD948" s="4" t="str">
        <f t="shared" ref="GTD948" si="2437">IF(GSY948="Ionizador", "Segundos", "Ohms")</f>
        <v>Ohms</v>
      </c>
      <c r="GTE948" s="6">
        <v>148000000</v>
      </c>
      <c r="GTF948" s="6" t="str">
        <f t="shared" ref="GTF948" si="2438">GTD948</f>
        <v>Ohms</v>
      </c>
      <c r="GTG948" s="2" t="str">
        <f t="shared" ref="GTG948" si="2439">IF(GSY948="Ionizador", "Plato de carga", IF(GSY948="Cautín", "PTG", "RTG"))</f>
        <v>RTG</v>
      </c>
      <c r="GTH948" s="7">
        <v>45992</v>
      </c>
      <c r="GTI948" s="7">
        <f t="shared" ref="GTI948" si="2440">IF(GTJ948="Trimestral", GTH948+90, IF(GTJ948="Semestral", GTH948+180, GTH948+365))</f>
        <v>46172</v>
      </c>
      <c r="GTJ948" s="7" t="str">
        <f t="shared" ref="GTJ948" si="2441">IF(GSY948="Ionizador", "Trimestral", IF(GSY948="Rack", "Semestral", IF(GSY948="Mesa", "Semestral", IF(GSY948="Tapete", "Semestral", IF(GSY948="Cautín", "Semestral", IF(GSY948="Silla", "Semestral", "Anual"))))))</f>
        <v>Semestral</v>
      </c>
      <c r="GTK948" s="2" t="str">
        <f t="shared" ref="GTK948" ca="1" si="2442">IF(GTI948&lt;TODAY(),"VENCIDO",IF(GTI948=TODAY(),"VENCE HOY",IF(GTI948&gt;TODAY(),"VIGENTE")))</f>
        <v>VIGENTE</v>
      </c>
      <c r="GTL948" s="6" t="s">
        <v>25</v>
      </c>
      <c r="GTM948" s="23" t="s">
        <v>138</v>
      </c>
      <c r="GTN948" s="2" t="s">
        <v>433</v>
      </c>
      <c r="GTO948" s="3" t="s">
        <v>22</v>
      </c>
      <c r="GTP948" s="3" t="s">
        <v>23</v>
      </c>
      <c r="GTQ948" s="2" t="s">
        <v>24</v>
      </c>
      <c r="GTR948" s="4">
        <v>0</v>
      </c>
      <c r="GTS948" s="8">
        <f t="shared" ref="GTS948" si="2443">IF(GTO948="Ionizador", 10, IF(GTO948="Mesa", 1000000000, IF(GTO948="Rack", 1000000000, IF(GTO948="Piso", 1000000000, IF(GTO948="Tapete", 1000000000, IF(GTO948="Carrito", 1000000000, IF(GTO948="Cautín", 10, 1)))))))</f>
        <v>1000000000</v>
      </c>
      <c r="GTT948" s="4" t="str">
        <f t="shared" ref="GTT948" si="2444">IF(GTO948="Ionizador", "Segundos", "Ohms")</f>
        <v>Ohms</v>
      </c>
      <c r="GTU948" s="6">
        <v>148000000</v>
      </c>
      <c r="GTV948" s="6" t="str">
        <f t="shared" ref="GTV948" si="2445">GTT948</f>
        <v>Ohms</v>
      </c>
      <c r="GTW948" s="2" t="str">
        <f t="shared" ref="GTW948" si="2446">IF(GTO948="Ionizador", "Plato de carga", IF(GTO948="Cautín", "PTG", "RTG"))</f>
        <v>RTG</v>
      </c>
      <c r="GTX948" s="7">
        <v>45992</v>
      </c>
      <c r="GTY948" s="7">
        <f t="shared" ref="GTY948" si="2447">IF(GTZ948="Trimestral", GTX948+90, IF(GTZ948="Semestral", GTX948+180, GTX948+365))</f>
        <v>46172</v>
      </c>
      <c r="GTZ948" s="7" t="str">
        <f t="shared" ref="GTZ948" si="2448">IF(GTO948="Ionizador", "Trimestral", IF(GTO948="Rack", "Semestral", IF(GTO948="Mesa", "Semestral", IF(GTO948="Tapete", "Semestral", IF(GTO948="Cautín", "Semestral", IF(GTO948="Silla", "Semestral", "Anual"))))))</f>
        <v>Semestral</v>
      </c>
      <c r="GUA948" s="2" t="str">
        <f t="shared" ref="GUA948" ca="1" si="2449">IF(GTY948&lt;TODAY(),"VENCIDO",IF(GTY948=TODAY(),"VENCE HOY",IF(GTY948&gt;TODAY(),"VIGENTE")))</f>
        <v>VIGENTE</v>
      </c>
      <c r="GUB948" s="6" t="s">
        <v>25</v>
      </c>
      <c r="GUC948" s="23" t="s">
        <v>138</v>
      </c>
      <c r="GUD948" s="2" t="s">
        <v>433</v>
      </c>
      <c r="GUE948" s="3" t="s">
        <v>22</v>
      </c>
      <c r="GUF948" s="3" t="s">
        <v>23</v>
      </c>
      <c r="GUG948" s="2" t="s">
        <v>24</v>
      </c>
      <c r="GUH948" s="4">
        <v>0</v>
      </c>
      <c r="GUI948" s="8">
        <f t="shared" ref="GUI948" si="2450">IF(GUE948="Ionizador", 10, IF(GUE948="Mesa", 1000000000, IF(GUE948="Rack", 1000000000, IF(GUE948="Piso", 1000000000, IF(GUE948="Tapete", 1000000000, IF(GUE948="Carrito", 1000000000, IF(GUE948="Cautín", 10, 1)))))))</f>
        <v>1000000000</v>
      </c>
      <c r="GUJ948" s="4" t="str">
        <f t="shared" ref="GUJ948" si="2451">IF(GUE948="Ionizador", "Segundos", "Ohms")</f>
        <v>Ohms</v>
      </c>
      <c r="GUK948" s="6">
        <v>148000000</v>
      </c>
      <c r="GUL948" s="6" t="str">
        <f t="shared" ref="GUL948" si="2452">GUJ948</f>
        <v>Ohms</v>
      </c>
      <c r="GUM948" s="2" t="str">
        <f t="shared" ref="GUM948" si="2453">IF(GUE948="Ionizador", "Plato de carga", IF(GUE948="Cautín", "PTG", "RTG"))</f>
        <v>RTG</v>
      </c>
      <c r="GUN948" s="7">
        <v>45992</v>
      </c>
      <c r="GUO948" s="7">
        <f t="shared" ref="GUO948" si="2454">IF(GUP948="Trimestral", GUN948+90, IF(GUP948="Semestral", GUN948+180, GUN948+365))</f>
        <v>46172</v>
      </c>
      <c r="GUP948" s="7" t="str">
        <f t="shared" ref="GUP948" si="2455">IF(GUE948="Ionizador", "Trimestral", IF(GUE948="Rack", "Semestral", IF(GUE948="Mesa", "Semestral", IF(GUE948="Tapete", "Semestral", IF(GUE948="Cautín", "Semestral", IF(GUE948="Silla", "Semestral", "Anual"))))))</f>
        <v>Semestral</v>
      </c>
      <c r="GUQ948" s="2" t="str">
        <f t="shared" ref="GUQ948" ca="1" si="2456">IF(GUO948&lt;TODAY(),"VENCIDO",IF(GUO948=TODAY(),"VENCE HOY",IF(GUO948&gt;TODAY(),"VIGENTE")))</f>
        <v>VIGENTE</v>
      </c>
      <c r="GUR948" s="6" t="s">
        <v>25</v>
      </c>
      <c r="GUS948" s="23" t="s">
        <v>138</v>
      </c>
      <c r="GUT948" s="2" t="s">
        <v>433</v>
      </c>
      <c r="GUU948" s="3" t="s">
        <v>22</v>
      </c>
      <c r="GUV948" s="3" t="s">
        <v>23</v>
      </c>
      <c r="GUW948" s="2" t="s">
        <v>24</v>
      </c>
      <c r="GUX948" s="4">
        <v>0</v>
      </c>
      <c r="GUY948" s="8">
        <f t="shared" ref="GUY948" si="2457">IF(GUU948="Ionizador", 10, IF(GUU948="Mesa", 1000000000, IF(GUU948="Rack", 1000000000, IF(GUU948="Piso", 1000000000, IF(GUU948="Tapete", 1000000000, IF(GUU948="Carrito", 1000000000, IF(GUU948="Cautín", 10, 1)))))))</f>
        <v>1000000000</v>
      </c>
      <c r="GUZ948" s="4" t="str">
        <f t="shared" ref="GUZ948" si="2458">IF(GUU948="Ionizador", "Segundos", "Ohms")</f>
        <v>Ohms</v>
      </c>
      <c r="GVA948" s="6">
        <v>148000000</v>
      </c>
      <c r="GVB948" s="6" t="str">
        <f t="shared" ref="GVB948" si="2459">GUZ948</f>
        <v>Ohms</v>
      </c>
      <c r="GVC948" s="2" t="str">
        <f t="shared" ref="GVC948" si="2460">IF(GUU948="Ionizador", "Plato de carga", IF(GUU948="Cautín", "PTG", "RTG"))</f>
        <v>RTG</v>
      </c>
      <c r="GVD948" s="7">
        <v>45992</v>
      </c>
      <c r="GVE948" s="7">
        <f t="shared" ref="GVE948" si="2461">IF(GVF948="Trimestral", GVD948+90, IF(GVF948="Semestral", GVD948+180, GVD948+365))</f>
        <v>46172</v>
      </c>
      <c r="GVF948" s="7" t="str">
        <f t="shared" ref="GVF948" si="2462">IF(GUU948="Ionizador", "Trimestral", IF(GUU948="Rack", "Semestral", IF(GUU948="Mesa", "Semestral", IF(GUU948="Tapete", "Semestral", IF(GUU948="Cautín", "Semestral", IF(GUU948="Silla", "Semestral", "Anual"))))))</f>
        <v>Semestral</v>
      </c>
      <c r="GVG948" s="2" t="str">
        <f t="shared" ref="GVG948" ca="1" si="2463">IF(GVE948&lt;TODAY(),"VENCIDO",IF(GVE948=TODAY(),"VENCE HOY",IF(GVE948&gt;TODAY(),"VIGENTE")))</f>
        <v>VIGENTE</v>
      </c>
      <c r="GVH948" s="6" t="s">
        <v>25</v>
      </c>
      <c r="GVI948" s="23" t="s">
        <v>138</v>
      </c>
      <c r="GVJ948" s="2" t="s">
        <v>433</v>
      </c>
      <c r="GVK948" s="3" t="s">
        <v>22</v>
      </c>
      <c r="GVL948" s="3" t="s">
        <v>23</v>
      </c>
      <c r="GVM948" s="2" t="s">
        <v>24</v>
      </c>
      <c r="GVN948" s="4">
        <v>0</v>
      </c>
      <c r="GVO948" s="8">
        <f t="shared" ref="GVO948" si="2464">IF(GVK948="Ionizador", 10, IF(GVK948="Mesa", 1000000000, IF(GVK948="Rack", 1000000000, IF(GVK948="Piso", 1000000000, IF(GVK948="Tapete", 1000000000, IF(GVK948="Carrito", 1000000000, IF(GVK948="Cautín", 10, 1)))))))</f>
        <v>1000000000</v>
      </c>
      <c r="GVP948" s="4" t="str">
        <f t="shared" ref="GVP948" si="2465">IF(GVK948="Ionizador", "Segundos", "Ohms")</f>
        <v>Ohms</v>
      </c>
      <c r="GVQ948" s="6">
        <v>148000000</v>
      </c>
      <c r="GVR948" s="6" t="str">
        <f t="shared" ref="GVR948" si="2466">GVP948</f>
        <v>Ohms</v>
      </c>
      <c r="GVS948" s="2" t="str">
        <f t="shared" ref="GVS948" si="2467">IF(GVK948="Ionizador", "Plato de carga", IF(GVK948="Cautín", "PTG", "RTG"))</f>
        <v>RTG</v>
      </c>
      <c r="GVT948" s="7">
        <v>45992</v>
      </c>
      <c r="GVU948" s="7">
        <f t="shared" ref="GVU948" si="2468">IF(GVV948="Trimestral", GVT948+90, IF(GVV948="Semestral", GVT948+180, GVT948+365))</f>
        <v>46172</v>
      </c>
      <c r="GVV948" s="7" t="str">
        <f t="shared" ref="GVV948" si="2469">IF(GVK948="Ionizador", "Trimestral", IF(GVK948="Rack", "Semestral", IF(GVK948="Mesa", "Semestral", IF(GVK948="Tapete", "Semestral", IF(GVK948="Cautín", "Semestral", IF(GVK948="Silla", "Semestral", "Anual"))))))</f>
        <v>Semestral</v>
      </c>
      <c r="GVW948" s="2" t="str">
        <f t="shared" ref="GVW948" ca="1" si="2470">IF(GVU948&lt;TODAY(),"VENCIDO",IF(GVU948=TODAY(),"VENCE HOY",IF(GVU948&gt;TODAY(),"VIGENTE")))</f>
        <v>VIGENTE</v>
      </c>
      <c r="GVX948" s="6" t="s">
        <v>25</v>
      </c>
      <c r="GVY948" s="23" t="s">
        <v>138</v>
      </c>
      <c r="GVZ948" s="2" t="s">
        <v>433</v>
      </c>
      <c r="GWA948" s="3" t="s">
        <v>22</v>
      </c>
      <c r="GWB948" s="3" t="s">
        <v>23</v>
      </c>
      <c r="GWC948" s="2" t="s">
        <v>24</v>
      </c>
      <c r="GWD948" s="4">
        <v>0</v>
      </c>
      <c r="GWE948" s="8">
        <f t="shared" ref="GWE948" si="2471">IF(GWA948="Ionizador", 10, IF(GWA948="Mesa", 1000000000, IF(GWA948="Rack", 1000000000, IF(GWA948="Piso", 1000000000, IF(GWA948="Tapete", 1000000000, IF(GWA948="Carrito", 1000000000, IF(GWA948="Cautín", 10, 1)))))))</f>
        <v>1000000000</v>
      </c>
      <c r="GWF948" s="4" t="str">
        <f t="shared" ref="GWF948" si="2472">IF(GWA948="Ionizador", "Segundos", "Ohms")</f>
        <v>Ohms</v>
      </c>
      <c r="GWG948" s="6">
        <v>148000000</v>
      </c>
      <c r="GWH948" s="6" t="str">
        <f t="shared" ref="GWH948" si="2473">GWF948</f>
        <v>Ohms</v>
      </c>
      <c r="GWI948" s="2" t="str">
        <f t="shared" ref="GWI948" si="2474">IF(GWA948="Ionizador", "Plato de carga", IF(GWA948="Cautín", "PTG", "RTG"))</f>
        <v>RTG</v>
      </c>
      <c r="GWJ948" s="7">
        <v>45992</v>
      </c>
      <c r="GWK948" s="7">
        <f t="shared" ref="GWK948" si="2475">IF(GWL948="Trimestral", GWJ948+90, IF(GWL948="Semestral", GWJ948+180, GWJ948+365))</f>
        <v>46172</v>
      </c>
      <c r="GWL948" s="7" t="str">
        <f t="shared" ref="GWL948" si="2476">IF(GWA948="Ionizador", "Trimestral", IF(GWA948="Rack", "Semestral", IF(GWA948="Mesa", "Semestral", IF(GWA948="Tapete", "Semestral", IF(GWA948="Cautín", "Semestral", IF(GWA948="Silla", "Semestral", "Anual"))))))</f>
        <v>Semestral</v>
      </c>
      <c r="GWM948" s="2" t="str">
        <f t="shared" ref="GWM948" ca="1" si="2477">IF(GWK948&lt;TODAY(),"VENCIDO",IF(GWK948=TODAY(),"VENCE HOY",IF(GWK948&gt;TODAY(),"VIGENTE")))</f>
        <v>VIGENTE</v>
      </c>
      <c r="GWN948" s="6" t="s">
        <v>25</v>
      </c>
      <c r="GWO948" s="23" t="s">
        <v>138</v>
      </c>
      <c r="GWP948" s="2" t="s">
        <v>433</v>
      </c>
      <c r="GWQ948" s="3" t="s">
        <v>22</v>
      </c>
      <c r="GWR948" s="3" t="s">
        <v>23</v>
      </c>
      <c r="GWS948" s="2" t="s">
        <v>24</v>
      </c>
      <c r="GWT948" s="4">
        <v>0</v>
      </c>
      <c r="GWU948" s="8">
        <f t="shared" ref="GWU948" si="2478">IF(GWQ948="Ionizador", 10, IF(GWQ948="Mesa", 1000000000, IF(GWQ948="Rack", 1000000000, IF(GWQ948="Piso", 1000000000, IF(GWQ948="Tapete", 1000000000, IF(GWQ948="Carrito", 1000000000, IF(GWQ948="Cautín", 10, 1)))))))</f>
        <v>1000000000</v>
      </c>
      <c r="GWV948" s="4" t="str">
        <f t="shared" ref="GWV948" si="2479">IF(GWQ948="Ionizador", "Segundos", "Ohms")</f>
        <v>Ohms</v>
      </c>
      <c r="GWW948" s="6">
        <v>148000000</v>
      </c>
      <c r="GWX948" s="6" t="str">
        <f t="shared" ref="GWX948" si="2480">GWV948</f>
        <v>Ohms</v>
      </c>
      <c r="GWY948" s="2" t="str">
        <f t="shared" ref="GWY948" si="2481">IF(GWQ948="Ionizador", "Plato de carga", IF(GWQ948="Cautín", "PTG", "RTG"))</f>
        <v>RTG</v>
      </c>
      <c r="GWZ948" s="7">
        <v>45992</v>
      </c>
      <c r="GXA948" s="7">
        <f t="shared" ref="GXA948" si="2482">IF(GXB948="Trimestral", GWZ948+90, IF(GXB948="Semestral", GWZ948+180, GWZ948+365))</f>
        <v>46172</v>
      </c>
      <c r="GXB948" s="7" t="str">
        <f t="shared" ref="GXB948" si="2483">IF(GWQ948="Ionizador", "Trimestral", IF(GWQ948="Rack", "Semestral", IF(GWQ948="Mesa", "Semestral", IF(GWQ948="Tapete", "Semestral", IF(GWQ948="Cautín", "Semestral", IF(GWQ948="Silla", "Semestral", "Anual"))))))</f>
        <v>Semestral</v>
      </c>
      <c r="GXC948" s="2" t="str">
        <f t="shared" ref="GXC948" ca="1" si="2484">IF(GXA948&lt;TODAY(),"VENCIDO",IF(GXA948=TODAY(),"VENCE HOY",IF(GXA948&gt;TODAY(),"VIGENTE")))</f>
        <v>VIGENTE</v>
      </c>
      <c r="GXD948" s="6" t="s">
        <v>25</v>
      </c>
      <c r="GXE948" s="23" t="s">
        <v>138</v>
      </c>
      <c r="GXF948" s="2" t="s">
        <v>433</v>
      </c>
      <c r="GXG948" s="3" t="s">
        <v>22</v>
      </c>
      <c r="GXH948" s="3" t="s">
        <v>23</v>
      </c>
      <c r="GXI948" s="2" t="s">
        <v>24</v>
      </c>
      <c r="GXJ948" s="4">
        <v>0</v>
      </c>
      <c r="GXK948" s="8">
        <f t="shared" ref="GXK948" si="2485">IF(GXG948="Ionizador", 10, IF(GXG948="Mesa", 1000000000, IF(GXG948="Rack", 1000000000, IF(GXG948="Piso", 1000000000, IF(GXG948="Tapete", 1000000000, IF(GXG948="Carrito", 1000000000, IF(GXG948="Cautín", 10, 1)))))))</f>
        <v>1000000000</v>
      </c>
      <c r="GXL948" s="4" t="str">
        <f t="shared" ref="GXL948" si="2486">IF(GXG948="Ionizador", "Segundos", "Ohms")</f>
        <v>Ohms</v>
      </c>
      <c r="GXM948" s="6">
        <v>148000000</v>
      </c>
      <c r="GXN948" s="6" t="str">
        <f t="shared" ref="GXN948" si="2487">GXL948</f>
        <v>Ohms</v>
      </c>
      <c r="GXO948" s="2" t="str">
        <f t="shared" ref="GXO948" si="2488">IF(GXG948="Ionizador", "Plato de carga", IF(GXG948="Cautín", "PTG", "RTG"))</f>
        <v>RTG</v>
      </c>
      <c r="GXP948" s="7">
        <v>45992</v>
      </c>
      <c r="GXQ948" s="7">
        <f t="shared" ref="GXQ948" si="2489">IF(GXR948="Trimestral", GXP948+90, IF(GXR948="Semestral", GXP948+180, GXP948+365))</f>
        <v>46172</v>
      </c>
      <c r="GXR948" s="7" t="str">
        <f t="shared" ref="GXR948" si="2490">IF(GXG948="Ionizador", "Trimestral", IF(GXG948="Rack", "Semestral", IF(GXG948="Mesa", "Semestral", IF(GXG948="Tapete", "Semestral", IF(GXG948="Cautín", "Semestral", IF(GXG948="Silla", "Semestral", "Anual"))))))</f>
        <v>Semestral</v>
      </c>
      <c r="GXS948" s="2" t="str">
        <f t="shared" ref="GXS948" ca="1" si="2491">IF(GXQ948&lt;TODAY(),"VENCIDO",IF(GXQ948=TODAY(),"VENCE HOY",IF(GXQ948&gt;TODAY(),"VIGENTE")))</f>
        <v>VIGENTE</v>
      </c>
      <c r="GXT948" s="6" t="s">
        <v>25</v>
      </c>
      <c r="GXU948" s="23" t="s">
        <v>138</v>
      </c>
      <c r="GXV948" s="2" t="s">
        <v>433</v>
      </c>
      <c r="GXW948" s="3" t="s">
        <v>22</v>
      </c>
      <c r="GXX948" s="3" t="s">
        <v>23</v>
      </c>
      <c r="GXY948" s="2" t="s">
        <v>24</v>
      </c>
      <c r="GXZ948" s="4">
        <v>0</v>
      </c>
      <c r="GYA948" s="8">
        <f t="shared" ref="GYA948" si="2492">IF(GXW948="Ionizador", 10, IF(GXW948="Mesa", 1000000000, IF(GXW948="Rack", 1000000000, IF(GXW948="Piso", 1000000000, IF(GXW948="Tapete", 1000000000, IF(GXW948="Carrito", 1000000000, IF(GXW948="Cautín", 10, 1)))))))</f>
        <v>1000000000</v>
      </c>
      <c r="GYB948" s="4" t="str">
        <f t="shared" ref="GYB948" si="2493">IF(GXW948="Ionizador", "Segundos", "Ohms")</f>
        <v>Ohms</v>
      </c>
      <c r="GYC948" s="6">
        <v>148000000</v>
      </c>
      <c r="GYD948" s="6" t="str">
        <f t="shared" ref="GYD948" si="2494">GYB948</f>
        <v>Ohms</v>
      </c>
      <c r="GYE948" s="2" t="str">
        <f t="shared" ref="GYE948" si="2495">IF(GXW948="Ionizador", "Plato de carga", IF(GXW948="Cautín", "PTG", "RTG"))</f>
        <v>RTG</v>
      </c>
      <c r="GYF948" s="7">
        <v>45992</v>
      </c>
      <c r="GYG948" s="7">
        <f t="shared" ref="GYG948" si="2496">IF(GYH948="Trimestral", GYF948+90, IF(GYH948="Semestral", GYF948+180, GYF948+365))</f>
        <v>46172</v>
      </c>
      <c r="GYH948" s="7" t="str">
        <f t="shared" ref="GYH948" si="2497">IF(GXW948="Ionizador", "Trimestral", IF(GXW948="Rack", "Semestral", IF(GXW948="Mesa", "Semestral", IF(GXW948="Tapete", "Semestral", IF(GXW948="Cautín", "Semestral", IF(GXW948="Silla", "Semestral", "Anual"))))))</f>
        <v>Semestral</v>
      </c>
      <c r="GYI948" s="2" t="str">
        <f t="shared" ref="GYI948" ca="1" si="2498">IF(GYG948&lt;TODAY(),"VENCIDO",IF(GYG948=TODAY(),"VENCE HOY",IF(GYG948&gt;TODAY(),"VIGENTE")))</f>
        <v>VIGENTE</v>
      </c>
      <c r="GYJ948" s="6" t="s">
        <v>25</v>
      </c>
      <c r="GYK948" s="23" t="s">
        <v>138</v>
      </c>
      <c r="GYL948" s="2" t="s">
        <v>433</v>
      </c>
      <c r="GYM948" s="3" t="s">
        <v>22</v>
      </c>
      <c r="GYN948" s="3" t="s">
        <v>23</v>
      </c>
      <c r="GYO948" s="2" t="s">
        <v>24</v>
      </c>
      <c r="GYP948" s="4">
        <v>0</v>
      </c>
      <c r="GYQ948" s="8">
        <f t="shared" ref="GYQ948" si="2499">IF(GYM948="Ionizador", 10, IF(GYM948="Mesa", 1000000000, IF(GYM948="Rack", 1000000000, IF(GYM948="Piso", 1000000000, IF(GYM948="Tapete", 1000000000, IF(GYM948="Carrito", 1000000000, IF(GYM948="Cautín", 10, 1)))))))</f>
        <v>1000000000</v>
      </c>
      <c r="GYR948" s="4" t="str">
        <f t="shared" ref="GYR948" si="2500">IF(GYM948="Ionizador", "Segundos", "Ohms")</f>
        <v>Ohms</v>
      </c>
      <c r="GYS948" s="6">
        <v>148000000</v>
      </c>
      <c r="GYT948" s="6" t="str">
        <f t="shared" ref="GYT948" si="2501">GYR948</f>
        <v>Ohms</v>
      </c>
      <c r="GYU948" s="2" t="str">
        <f t="shared" ref="GYU948" si="2502">IF(GYM948="Ionizador", "Plato de carga", IF(GYM948="Cautín", "PTG", "RTG"))</f>
        <v>RTG</v>
      </c>
      <c r="GYV948" s="7">
        <v>45992</v>
      </c>
      <c r="GYW948" s="7">
        <f t="shared" ref="GYW948" si="2503">IF(GYX948="Trimestral", GYV948+90, IF(GYX948="Semestral", GYV948+180, GYV948+365))</f>
        <v>46172</v>
      </c>
      <c r="GYX948" s="7" t="str">
        <f t="shared" ref="GYX948" si="2504">IF(GYM948="Ionizador", "Trimestral", IF(GYM948="Rack", "Semestral", IF(GYM948="Mesa", "Semestral", IF(GYM948="Tapete", "Semestral", IF(GYM948="Cautín", "Semestral", IF(GYM948="Silla", "Semestral", "Anual"))))))</f>
        <v>Semestral</v>
      </c>
      <c r="GYY948" s="2" t="str">
        <f t="shared" ref="GYY948" ca="1" si="2505">IF(GYW948&lt;TODAY(),"VENCIDO",IF(GYW948=TODAY(),"VENCE HOY",IF(GYW948&gt;TODAY(),"VIGENTE")))</f>
        <v>VIGENTE</v>
      </c>
      <c r="GYZ948" s="6" t="s">
        <v>25</v>
      </c>
      <c r="GZA948" s="23" t="s">
        <v>138</v>
      </c>
      <c r="GZB948" s="2" t="s">
        <v>433</v>
      </c>
      <c r="GZC948" s="3" t="s">
        <v>22</v>
      </c>
      <c r="GZD948" s="3" t="s">
        <v>23</v>
      </c>
      <c r="GZE948" s="2" t="s">
        <v>24</v>
      </c>
      <c r="GZF948" s="4">
        <v>0</v>
      </c>
      <c r="GZG948" s="8">
        <f t="shared" ref="GZG948" si="2506">IF(GZC948="Ionizador", 10, IF(GZC948="Mesa", 1000000000, IF(GZC948="Rack", 1000000000, IF(GZC948="Piso", 1000000000, IF(GZC948="Tapete", 1000000000, IF(GZC948="Carrito", 1000000000, IF(GZC948="Cautín", 10, 1)))))))</f>
        <v>1000000000</v>
      </c>
      <c r="GZH948" s="4" t="str">
        <f t="shared" ref="GZH948" si="2507">IF(GZC948="Ionizador", "Segundos", "Ohms")</f>
        <v>Ohms</v>
      </c>
      <c r="GZI948" s="6">
        <v>148000000</v>
      </c>
      <c r="GZJ948" s="6" t="str">
        <f t="shared" ref="GZJ948" si="2508">GZH948</f>
        <v>Ohms</v>
      </c>
      <c r="GZK948" s="2" t="str">
        <f t="shared" ref="GZK948" si="2509">IF(GZC948="Ionizador", "Plato de carga", IF(GZC948="Cautín", "PTG", "RTG"))</f>
        <v>RTG</v>
      </c>
      <c r="GZL948" s="7">
        <v>45992</v>
      </c>
      <c r="GZM948" s="7">
        <f t="shared" ref="GZM948" si="2510">IF(GZN948="Trimestral", GZL948+90, IF(GZN948="Semestral", GZL948+180, GZL948+365))</f>
        <v>46172</v>
      </c>
      <c r="GZN948" s="7" t="str">
        <f t="shared" ref="GZN948" si="2511">IF(GZC948="Ionizador", "Trimestral", IF(GZC948="Rack", "Semestral", IF(GZC948="Mesa", "Semestral", IF(GZC948="Tapete", "Semestral", IF(GZC948="Cautín", "Semestral", IF(GZC948="Silla", "Semestral", "Anual"))))))</f>
        <v>Semestral</v>
      </c>
      <c r="GZO948" s="2" t="str">
        <f t="shared" ref="GZO948" ca="1" si="2512">IF(GZM948&lt;TODAY(),"VENCIDO",IF(GZM948=TODAY(),"VENCE HOY",IF(GZM948&gt;TODAY(),"VIGENTE")))</f>
        <v>VIGENTE</v>
      </c>
      <c r="GZP948" s="6" t="s">
        <v>25</v>
      </c>
      <c r="GZQ948" s="23" t="s">
        <v>138</v>
      </c>
      <c r="GZR948" s="2" t="s">
        <v>433</v>
      </c>
      <c r="GZS948" s="3" t="s">
        <v>22</v>
      </c>
      <c r="GZT948" s="3" t="s">
        <v>23</v>
      </c>
      <c r="GZU948" s="2" t="s">
        <v>24</v>
      </c>
      <c r="GZV948" s="4">
        <v>0</v>
      </c>
      <c r="GZW948" s="8">
        <f t="shared" ref="GZW948" si="2513">IF(GZS948="Ionizador", 10, IF(GZS948="Mesa", 1000000000, IF(GZS948="Rack", 1000000000, IF(GZS948="Piso", 1000000000, IF(GZS948="Tapete", 1000000000, IF(GZS948="Carrito", 1000000000, IF(GZS948="Cautín", 10, 1)))))))</f>
        <v>1000000000</v>
      </c>
      <c r="GZX948" s="4" t="str">
        <f t="shared" ref="GZX948" si="2514">IF(GZS948="Ionizador", "Segundos", "Ohms")</f>
        <v>Ohms</v>
      </c>
      <c r="GZY948" s="6">
        <v>148000000</v>
      </c>
      <c r="GZZ948" s="6" t="str">
        <f t="shared" ref="GZZ948" si="2515">GZX948</f>
        <v>Ohms</v>
      </c>
      <c r="HAA948" s="2" t="str">
        <f t="shared" ref="HAA948" si="2516">IF(GZS948="Ionizador", "Plato de carga", IF(GZS948="Cautín", "PTG", "RTG"))</f>
        <v>RTG</v>
      </c>
      <c r="HAB948" s="7">
        <v>45992</v>
      </c>
      <c r="HAC948" s="7">
        <f t="shared" ref="HAC948" si="2517">IF(HAD948="Trimestral", HAB948+90, IF(HAD948="Semestral", HAB948+180, HAB948+365))</f>
        <v>46172</v>
      </c>
      <c r="HAD948" s="7" t="str">
        <f t="shared" ref="HAD948" si="2518">IF(GZS948="Ionizador", "Trimestral", IF(GZS948="Rack", "Semestral", IF(GZS948="Mesa", "Semestral", IF(GZS948="Tapete", "Semestral", IF(GZS948="Cautín", "Semestral", IF(GZS948="Silla", "Semestral", "Anual"))))))</f>
        <v>Semestral</v>
      </c>
      <c r="HAE948" s="2" t="str">
        <f t="shared" ref="HAE948" ca="1" si="2519">IF(HAC948&lt;TODAY(),"VENCIDO",IF(HAC948=TODAY(),"VENCE HOY",IF(HAC948&gt;TODAY(),"VIGENTE")))</f>
        <v>VIGENTE</v>
      </c>
      <c r="HAF948" s="6" t="s">
        <v>25</v>
      </c>
      <c r="HAG948" s="23" t="s">
        <v>138</v>
      </c>
      <c r="HAH948" s="2" t="s">
        <v>433</v>
      </c>
      <c r="HAI948" s="3" t="s">
        <v>22</v>
      </c>
      <c r="HAJ948" s="3" t="s">
        <v>23</v>
      </c>
      <c r="HAK948" s="2" t="s">
        <v>24</v>
      </c>
      <c r="HAL948" s="4">
        <v>0</v>
      </c>
      <c r="HAM948" s="8">
        <f t="shared" ref="HAM948" si="2520">IF(HAI948="Ionizador", 10, IF(HAI948="Mesa", 1000000000, IF(HAI948="Rack", 1000000000, IF(HAI948="Piso", 1000000000, IF(HAI948="Tapete", 1000000000, IF(HAI948="Carrito", 1000000000, IF(HAI948="Cautín", 10, 1)))))))</f>
        <v>1000000000</v>
      </c>
      <c r="HAN948" s="4" t="str">
        <f t="shared" ref="HAN948" si="2521">IF(HAI948="Ionizador", "Segundos", "Ohms")</f>
        <v>Ohms</v>
      </c>
      <c r="HAO948" s="6">
        <v>148000000</v>
      </c>
      <c r="HAP948" s="6" t="str">
        <f t="shared" ref="HAP948" si="2522">HAN948</f>
        <v>Ohms</v>
      </c>
      <c r="HAQ948" s="2" t="str">
        <f t="shared" ref="HAQ948" si="2523">IF(HAI948="Ionizador", "Plato de carga", IF(HAI948="Cautín", "PTG", "RTG"))</f>
        <v>RTG</v>
      </c>
      <c r="HAR948" s="7">
        <v>45992</v>
      </c>
      <c r="HAS948" s="7">
        <f t="shared" ref="HAS948" si="2524">IF(HAT948="Trimestral", HAR948+90, IF(HAT948="Semestral", HAR948+180, HAR948+365))</f>
        <v>46172</v>
      </c>
      <c r="HAT948" s="7" t="str">
        <f t="shared" ref="HAT948" si="2525">IF(HAI948="Ionizador", "Trimestral", IF(HAI948="Rack", "Semestral", IF(HAI948="Mesa", "Semestral", IF(HAI948="Tapete", "Semestral", IF(HAI948="Cautín", "Semestral", IF(HAI948="Silla", "Semestral", "Anual"))))))</f>
        <v>Semestral</v>
      </c>
      <c r="HAU948" s="2" t="str">
        <f t="shared" ref="HAU948" ca="1" si="2526">IF(HAS948&lt;TODAY(),"VENCIDO",IF(HAS948=TODAY(),"VENCE HOY",IF(HAS948&gt;TODAY(),"VIGENTE")))</f>
        <v>VIGENTE</v>
      </c>
      <c r="HAV948" s="6" t="s">
        <v>25</v>
      </c>
      <c r="HAW948" s="23" t="s">
        <v>138</v>
      </c>
      <c r="HAX948" s="2" t="s">
        <v>433</v>
      </c>
      <c r="HAY948" s="3" t="s">
        <v>22</v>
      </c>
      <c r="HAZ948" s="3" t="s">
        <v>23</v>
      </c>
      <c r="HBA948" s="2" t="s">
        <v>24</v>
      </c>
      <c r="HBB948" s="4">
        <v>0</v>
      </c>
      <c r="HBC948" s="8">
        <f t="shared" ref="HBC948" si="2527">IF(HAY948="Ionizador", 10, IF(HAY948="Mesa", 1000000000, IF(HAY948="Rack", 1000000000, IF(HAY948="Piso", 1000000000, IF(HAY948="Tapete", 1000000000, IF(HAY948="Carrito", 1000000000, IF(HAY948="Cautín", 10, 1)))))))</f>
        <v>1000000000</v>
      </c>
      <c r="HBD948" s="4" t="str">
        <f t="shared" ref="HBD948" si="2528">IF(HAY948="Ionizador", "Segundos", "Ohms")</f>
        <v>Ohms</v>
      </c>
      <c r="HBE948" s="6">
        <v>148000000</v>
      </c>
      <c r="HBF948" s="6" t="str">
        <f t="shared" ref="HBF948" si="2529">HBD948</f>
        <v>Ohms</v>
      </c>
      <c r="HBG948" s="2" t="str">
        <f t="shared" ref="HBG948" si="2530">IF(HAY948="Ionizador", "Plato de carga", IF(HAY948="Cautín", "PTG", "RTG"))</f>
        <v>RTG</v>
      </c>
      <c r="HBH948" s="7">
        <v>45992</v>
      </c>
      <c r="HBI948" s="7">
        <f t="shared" ref="HBI948" si="2531">IF(HBJ948="Trimestral", HBH948+90, IF(HBJ948="Semestral", HBH948+180, HBH948+365))</f>
        <v>46172</v>
      </c>
      <c r="HBJ948" s="7" t="str">
        <f t="shared" ref="HBJ948" si="2532">IF(HAY948="Ionizador", "Trimestral", IF(HAY948="Rack", "Semestral", IF(HAY948="Mesa", "Semestral", IF(HAY948="Tapete", "Semestral", IF(HAY948="Cautín", "Semestral", IF(HAY948="Silla", "Semestral", "Anual"))))))</f>
        <v>Semestral</v>
      </c>
      <c r="HBK948" s="2" t="str">
        <f t="shared" ref="HBK948" ca="1" si="2533">IF(HBI948&lt;TODAY(),"VENCIDO",IF(HBI948=TODAY(),"VENCE HOY",IF(HBI948&gt;TODAY(),"VIGENTE")))</f>
        <v>VIGENTE</v>
      </c>
      <c r="HBL948" s="6" t="s">
        <v>25</v>
      </c>
      <c r="HBM948" s="23" t="s">
        <v>138</v>
      </c>
      <c r="HBN948" s="2" t="s">
        <v>433</v>
      </c>
      <c r="HBO948" s="3" t="s">
        <v>22</v>
      </c>
      <c r="HBP948" s="3" t="s">
        <v>23</v>
      </c>
      <c r="HBQ948" s="2" t="s">
        <v>24</v>
      </c>
      <c r="HBR948" s="4">
        <v>0</v>
      </c>
      <c r="HBS948" s="8">
        <f t="shared" ref="HBS948" si="2534">IF(HBO948="Ionizador", 10, IF(HBO948="Mesa", 1000000000, IF(HBO948="Rack", 1000000000, IF(HBO948="Piso", 1000000000, IF(HBO948="Tapete", 1000000000, IF(HBO948="Carrito", 1000000000, IF(HBO948="Cautín", 10, 1)))))))</f>
        <v>1000000000</v>
      </c>
      <c r="HBT948" s="4" t="str">
        <f t="shared" ref="HBT948" si="2535">IF(HBO948="Ionizador", "Segundos", "Ohms")</f>
        <v>Ohms</v>
      </c>
      <c r="HBU948" s="6">
        <v>148000000</v>
      </c>
      <c r="HBV948" s="6" t="str">
        <f t="shared" ref="HBV948" si="2536">HBT948</f>
        <v>Ohms</v>
      </c>
      <c r="HBW948" s="2" t="str">
        <f t="shared" ref="HBW948" si="2537">IF(HBO948="Ionizador", "Plato de carga", IF(HBO948="Cautín", "PTG", "RTG"))</f>
        <v>RTG</v>
      </c>
      <c r="HBX948" s="7">
        <v>45992</v>
      </c>
      <c r="HBY948" s="7">
        <f t="shared" ref="HBY948" si="2538">IF(HBZ948="Trimestral", HBX948+90, IF(HBZ948="Semestral", HBX948+180, HBX948+365))</f>
        <v>46172</v>
      </c>
      <c r="HBZ948" s="7" t="str">
        <f t="shared" ref="HBZ948" si="2539">IF(HBO948="Ionizador", "Trimestral", IF(HBO948="Rack", "Semestral", IF(HBO948="Mesa", "Semestral", IF(HBO948="Tapete", "Semestral", IF(HBO948="Cautín", "Semestral", IF(HBO948="Silla", "Semestral", "Anual"))))))</f>
        <v>Semestral</v>
      </c>
      <c r="HCA948" s="2" t="str">
        <f t="shared" ref="HCA948" ca="1" si="2540">IF(HBY948&lt;TODAY(),"VENCIDO",IF(HBY948=TODAY(),"VENCE HOY",IF(HBY948&gt;TODAY(),"VIGENTE")))</f>
        <v>VIGENTE</v>
      </c>
      <c r="HCB948" s="6" t="s">
        <v>25</v>
      </c>
      <c r="HCC948" s="23" t="s">
        <v>138</v>
      </c>
      <c r="HCD948" s="2" t="s">
        <v>433</v>
      </c>
      <c r="HCE948" s="3" t="s">
        <v>22</v>
      </c>
      <c r="HCF948" s="3" t="s">
        <v>23</v>
      </c>
      <c r="HCG948" s="2" t="s">
        <v>24</v>
      </c>
      <c r="HCH948" s="4">
        <v>0</v>
      </c>
      <c r="HCI948" s="8">
        <f t="shared" ref="HCI948" si="2541">IF(HCE948="Ionizador", 10, IF(HCE948="Mesa", 1000000000, IF(HCE948="Rack", 1000000000, IF(HCE948="Piso", 1000000000, IF(HCE948="Tapete", 1000000000, IF(HCE948="Carrito", 1000000000, IF(HCE948="Cautín", 10, 1)))))))</f>
        <v>1000000000</v>
      </c>
      <c r="HCJ948" s="4" t="str">
        <f t="shared" ref="HCJ948" si="2542">IF(HCE948="Ionizador", "Segundos", "Ohms")</f>
        <v>Ohms</v>
      </c>
      <c r="HCK948" s="6">
        <v>148000000</v>
      </c>
      <c r="HCL948" s="6" t="str">
        <f t="shared" ref="HCL948" si="2543">HCJ948</f>
        <v>Ohms</v>
      </c>
      <c r="HCM948" s="2" t="str">
        <f t="shared" ref="HCM948" si="2544">IF(HCE948="Ionizador", "Plato de carga", IF(HCE948="Cautín", "PTG", "RTG"))</f>
        <v>RTG</v>
      </c>
      <c r="HCN948" s="7">
        <v>45992</v>
      </c>
      <c r="HCO948" s="7">
        <f t="shared" ref="HCO948" si="2545">IF(HCP948="Trimestral", HCN948+90, IF(HCP948="Semestral", HCN948+180, HCN948+365))</f>
        <v>46172</v>
      </c>
      <c r="HCP948" s="7" t="str">
        <f t="shared" ref="HCP948" si="2546">IF(HCE948="Ionizador", "Trimestral", IF(HCE948="Rack", "Semestral", IF(HCE948="Mesa", "Semestral", IF(HCE948="Tapete", "Semestral", IF(HCE948="Cautín", "Semestral", IF(HCE948="Silla", "Semestral", "Anual"))))))</f>
        <v>Semestral</v>
      </c>
      <c r="HCQ948" s="2" t="str">
        <f t="shared" ref="HCQ948" ca="1" si="2547">IF(HCO948&lt;TODAY(),"VENCIDO",IF(HCO948=TODAY(),"VENCE HOY",IF(HCO948&gt;TODAY(),"VIGENTE")))</f>
        <v>VIGENTE</v>
      </c>
      <c r="HCR948" s="6" t="s">
        <v>25</v>
      </c>
      <c r="HCS948" s="23" t="s">
        <v>138</v>
      </c>
      <c r="HCT948" s="2" t="s">
        <v>433</v>
      </c>
      <c r="HCU948" s="3" t="s">
        <v>22</v>
      </c>
      <c r="HCV948" s="3" t="s">
        <v>23</v>
      </c>
      <c r="HCW948" s="2" t="s">
        <v>24</v>
      </c>
      <c r="HCX948" s="4">
        <v>0</v>
      </c>
      <c r="HCY948" s="8">
        <f t="shared" ref="HCY948" si="2548">IF(HCU948="Ionizador", 10, IF(HCU948="Mesa", 1000000000, IF(HCU948="Rack", 1000000000, IF(HCU948="Piso", 1000000000, IF(HCU948="Tapete", 1000000000, IF(HCU948="Carrito", 1000000000, IF(HCU948="Cautín", 10, 1)))))))</f>
        <v>1000000000</v>
      </c>
      <c r="HCZ948" s="4" t="str">
        <f t="shared" ref="HCZ948" si="2549">IF(HCU948="Ionizador", "Segundos", "Ohms")</f>
        <v>Ohms</v>
      </c>
      <c r="HDA948" s="6">
        <v>148000000</v>
      </c>
      <c r="HDB948" s="6" t="str">
        <f t="shared" ref="HDB948" si="2550">HCZ948</f>
        <v>Ohms</v>
      </c>
      <c r="HDC948" s="2" t="str">
        <f t="shared" ref="HDC948" si="2551">IF(HCU948="Ionizador", "Plato de carga", IF(HCU948="Cautín", "PTG", "RTG"))</f>
        <v>RTG</v>
      </c>
      <c r="HDD948" s="7">
        <v>45992</v>
      </c>
      <c r="HDE948" s="7">
        <f t="shared" ref="HDE948" si="2552">IF(HDF948="Trimestral", HDD948+90, IF(HDF948="Semestral", HDD948+180, HDD948+365))</f>
        <v>46172</v>
      </c>
      <c r="HDF948" s="7" t="str">
        <f t="shared" ref="HDF948" si="2553">IF(HCU948="Ionizador", "Trimestral", IF(HCU948="Rack", "Semestral", IF(HCU948="Mesa", "Semestral", IF(HCU948="Tapete", "Semestral", IF(HCU948="Cautín", "Semestral", IF(HCU948="Silla", "Semestral", "Anual"))))))</f>
        <v>Semestral</v>
      </c>
      <c r="HDG948" s="2" t="str">
        <f t="shared" ref="HDG948" ca="1" si="2554">IF(HDE948&lt;TODAY(),"VENCIDO",IF(HDE948=TODAY(),"VENCE HOY",IF(HDE948&gt;TODAY(),"VIGENTE")))</f>
        <v>VIGENTE</v>
      </c>
      <c r="HDH948" s="6" t="s">
        <v>25</v>
      </c>
      <c r="HDI948" s="23" t="s">
        <v>138</v>
      </c>
      <c r="HDJ948" s="2" t="s">
        <v>433</v>
      </c>
      <c r="HDK948" s="3" t="s">
        <v>22</v>
      </c>
      <c r="HDL948" s="3" t="s">
        <v>23</v>
      </c>
      <c r="HDM948" s="2" t="s">
        <v>24</v>
      </c>
      <c r="HDN948" s="4">
        <v>0</v>
      </c>
      <c r="HDO948" s="8">
        <f t="shared" ref="HDO948" si="2555">IF(HDK948="Ionizador", 10, IF(HDK948="Mesa", 1000000000, IF(HDK948="Rack", 1000000000, IF(HDK948="Piso", 1000000000, IF(HDK948="Tapete", 1000000000, IF(HDK948="Carrito", 1000000000, IF(HDK948="Cautín", 10, 1)))))))</f>
        <v>1000000000</v>
      </c>
      <c r="HDP948" s="4" t="str">
        <f t="shared" ref="HDP948" si="2556">IF(HDK948="Ionizador", "Segundos", "Ohms")</f>
        <v>Ohms</v>
      </c>
      <c r="HDQ948" s="6">
        <v>148000000</v>
      </c>
      <c r="HDR948" s="6" t="str">
        <f t="shared" ref="HDR948" si="2557">HDP948</f>
        <v>Ohms</v>
      </c>
      <c r="HDS948" s="2" t="str">
        <f t="shared" ref="HDS948" si="2558">IF(HDK948="Ionizador", "Plato de carga", IF(HDK948="Cautín", "PTG", "RTG"))</f>
        <v>RTG</v>
      </c>
      <c r="HDT948" s="7">
        <v>45992</v>
      </c>
      <c r="HDU948" s="7">
        <f t="shared" ref="HDU948" si="2559">IF(HDV948="Trimestral", HDT948+90, IF(HDV948="Semestral", HDT948+180, HDT948+365))</f>
        <v>46172</v>
      </c>
      <c r="HDV948" s="7" t="str">
        <f t="shared" ref="HDV948" si="2560">IF(HDK948="Ionizador", "Trimestral", IF(HDK948="Rack", "Semestral", IF(HDK948="Mesa", "Semestral", IF(HDK948="Tapete", "Semestral", IF(HDK948="Cautín", "Semestral", IF(HDK948="Silla", "Semestral", "Anual"))))))</f>
        <v>Semestral</v>
      </c>
      <c r="HDW948" s="2" t="str">
        <f t="shared" ref="HDW948" ca="1" si="2561">IF(HDU948&lt;TODAY(),"VENCIDO",IF(HDU948=TODAY(),"VENCE HOY",IF(HDU948&gt;TODAY(),"VIGENTE")))</f>
        <v>VIGENTE</v>
      </c>
      <c r="HDX948" s="6" t="s">
        <v>25</v>
      </c>
      <c r="HDY948" s="23" t="s">
        <v>138</v>
      </c>
      <c r="HDZ948" s="2" t="s">
        <v>433</v>
      </c>
      <c r="HEA948" s="3" t="s">
        <v>22</v>
      </c>
      <c r="HEB948" s="3" t="s">
        <v>23</v>
      </c>
      <c r="HEC948" s="2" t="s">
        <v>24</v>
      </c>
      <c r="HED948" s="4">
        <v>0</v>
      </c>
      <c r="HEE948" s="8">
        <f t="shared" ref="HEE948" si="2562">IF(HEA948="Ionizador", 10, IF(HEA948="Mesa", 1000000000, IF(HEA948="Rack", 1000000000, IF(HEA948="Piso", 1000000000, IF(HEA948="Tapete", 1000000000, IF(HEA948="Carrito", 1000000000, IF(HEA948="Cautín", 10, 1)))))))</f>
        <v>1000000000</v>
      </c>
      <c r="HEF948" s="4" t="str">
        <f t="shared" ref="HEF948" si="2563">IF(HEA948="Ionizador", "Segundos", "Ohms")</f>
        <v>Ohms</v>
      </c>
      <c r="HEG948" s="6">
        <v>148000000</v>
      </c>
      <c r="HEH948" s="6" t="str">
        <f t="shared" ref="HEH948" si="2564">HEF948</f>
        <v>Ohms</v>
      </c>
      <c r="HEI948" s="2" t="str">
        <f t="shared" ref="HEI948" si="2565">IF(HEA948="Ionizador", "Plato de carga", IF(HEA948="Cautín", "PTG", "RTG"))</f>
        <v>RTG</v>
      </c>
      <c r="HEJ948" s="7">
        <v>45992</v>
      </c>
      <c r="HEK948" s="7">
        <f t="shared" ref="HEK948" si="2566">IF(HEL948="Trimestral", HEJ948+90, IF(HEL948="Semestral", HEJ948+180, HEJ948+365))</f>
        <v>46172</v>
      </c>
      <c r="HEL948" s="7" t="str">
        <f t="shared" ref="HEL948" si="2567">IF(HEA948="Ionizador", "Trimestral", IF(HEA948="Rack", "Semestral", IF(HEA948="Mesa", "Semestral", IF(HEA948="Tapete", "Semestral", IF(HEA948="Cautín", "Semestral", IF(HEA948="Silla", "Semestral", "Anual"))))))</f>
        <v>Semestral</v>
      </c>
      <c r="HEM948" s="2" t="str">
        <f t="shared" ref="HEM948" ca="1" si="2568">IF(HEK948&lt;TODAY(),"VENCIDO",IF(HEK948=TODAY(),"VENCE HOY",IF(HEK948&gt;TODAY(),"VIGENTE")))</f>
        <v>VIGENTE</v>
      </c>
      <c r="HEN948" s="6" t="s">
        <v>25</v>
      </c>
      <c r="HEO948" s="23" t="s">
        <v>138</v>
      </c>
      <c r="HEP948" s="2" t="s">
        <v>433</v>
      </c>
      <c r="HEQ948" s="3" t="s">
        <v>22</v>
      </c>
      <c r="HER948" s="3" t="s">
        <v>23</v>
      </c>
      <c r="HES948" s="2" t="s">
        <v>24</v>
      </c>
      <c r="HET948" s="4">
        <v>0</v>
      </c>
      <c r="HEU948" s="8">
        <f t="shared" ref="HEU948" si="2569">IF(HEQ948="Ionizador", 10, IF(HEQ948="Mesa", 1000000000, IF(HEQ948="Rack", 1000000000, IF(HEQ948="Piso", 1000000000, IF(HEQ948="Tapete", 1000000000, IF(HEQ948="Carrito", 1000000000, IF(HEQ948="Cautín", 10, 1)))))))</f>
        <v>1000000000</v>
      </c>
      <c r="HEV948" s="4" t="str">
        <f t="shared" ref="HEV948" si="2570">IF(HEQ948="Ionizador", "Segundos", "Ohms")</f>
        <v>Ohms</v>
      </c>
      <c r="HEW948" s="6">
        <v>148000000</v>
      </c>
      <c r="HEX948" s="6" t="str">
        <f t="shared" ref="HEX948" si="2571">HEV948</f>
        <v>Ohms</v>
      </c>
      <c r="HEY948" s="2" t="str">
        <f t="shared" ref="HEY948" si="2572">IF(HEQ948="Ionizador", "Plato de carga", IF(HEQ948="Cautín", "PTG", "RTG"))</f>
        <v>RTG</v>
      </c>
      <c r="HEZ948" s="7">
        <v>45992</v>
      </c>
      <c r="HFA948" s="7">
        <f t="shared" ref="HFA948" si="2573">IF(HFB948="Trimestral", HEZ948+90, IF(HFB948="Semestral", HEZ948+180, HEZ948+365))</f>
        <v>46172</v>
      </c>
      <c r="HFB948" s="7" t="str">
        <f t="shared" ref="HFB948" si="2574">IF(HEQ948="Ionizador", "Trimestral", IF(HEQ948="Rack", "Semestral", IF(HEQ948="Mesa", "Semestral", IF(HEQ948="Tapete", "Semestral", IF(HEQ948="Cautín", "Semestral", IF(HEQ948="Silla", "Semestral", "Anual"))))))</f>
        <v>Semestral</v>
      </c>
      <c r="HFC948" s="2" t="str">
        <f t="shared" ref="HFC948" ca="1" si="2575">IF(HFA948&lt;TODAY(),"VENCIDO",IF(HFA948=TODAY(),"VENCE HOY",IF(HFA948&gt;TODAY(),"VIGENTE")))</f>
        <v>VIGENTE</v>
      </c>
      <c r="HFD948" s="6" t="s">
        <v>25</v>
      </c>
      <c r="HFE948" s="23" t="s">
        <v>138</v>
      </c>
      <c r="HFF948" s="2" t="s">
        <v>433</v>
      </c>
      <c r="HFG948" s="3" t="s">
        <v>22</v>
      </c>
      <c r="HFH948" s="3" t="s">
        <v>23</v>
      </c>
      <c r="HFI948" s="2" t="s">
        <v>24</v>
      </c>
      <c r="HFJ948" s="4">
        <v>0</v>
      </c>
      <c r="HFK948" s="8">
        <f t="shared" ref="HFK948" si="2576">IF(HFG948="Ionizador", 10, IF(HFG948="Mesa", 1000000000, IF(HFG948="Rack", 1000000000, IF(HFG948="Piso", 1000000000, IF(HFG948="Tapete", 1000000000, IF(HFG948="Carrito", 1000000000, IF(HFG948="Cautín", 10, 1)))))))</f>
        <v>1000000000</v>
      </c>
      <c r="HFL948" s="4" t="str">
        <f t="shared" ref="HFL948" si="2577">IF(HFG948="Ionizador", "Segundos", "Ohms")</f>
        <v>Ohms</v>
      </c>
      <c r="HFM948" s="6">
        <v>148000000</v>
      </c>
      <c r="HFN948" s="6" t="str">
        <f t="shared" ref="HFN948" si="2578">HFL948</f>
        <v>Ohms</v>
      </c>
      <c r="HFO948" s="2" t="str">
        <f t="shared" ref="HFO948" si="2579">IF(HFG948="Ionizador", "Plato de carga", IF(HFG948="Cautín", "PTG", "RTG"))</f>
        <v>RTG</v>
      </c>
      <c r="HFP948" s="7">
        <v>45992</v>
      </c>
      <c r="HFQ948" s="7">
        <f t="shared" ref="HFQ948" si="2580">IF(HFR948="Trimestral", HFP948+90, IF(HFR948="Semestral", HFP948+180, HFP948+365))</f>
        <v>46172</v>
      </c>
      <c r="HFR948" s="7" t="str">
        <f t="shared" ref="HFR948" si="2581">IF(HFG948="Ionizador", "Trimestral", IF(HFG948="Rack", "Semestral", IF(HFG948="Mesa", "Semestral", IF(HFG948="Tapete", "Semestral", IF(HFG948="Cautín", "Semestral", IF(HFG948="Silla", "Semestral", "Anual"))))))</f>
        <v>Semestral</v>
      </c>
      <c r="HFS948" s="2" t="str">
        <f t="shared" ref="HFS948" ca="1" si="2582">IF(HFQ948&lt;TODAY(),"VENCIDO",IF(HFQ948=TODAY(),"VENCE HOY",IF(HFQ948&gt;TODAY(),"VIGENTE")))</f>
        <v>VIGENTE</v>
      </c>
      <c r="HFT948" s="6" t="s">
        <v>25</v>
      </c>
      <c r="HFU948" s="23" t="s">
        <v>138</v>
      </c>
      <c r="HFV948" s="2" t="s">
        <v>433</v>
      </c>
      <c r="HFW948" s="3" t="s">
        <v>22</v>
      </c>
      <c r="HFX948" s="3" t="s">
        <v>23</v>
      </c>
      <c r="HFY948" s="2" t="s">
        <v>24</v>
      </c>
      <c r="HFZ948" s="4">
        <v>0</v>
      </c>
      <c r="HGA948" s="8">
        <f t="shared" ref="HGA948" si="2583">IF(HFW948="Ionizador", 10, IF(HFW948="Mesa", 1000000000, IF(HFW948="Rack", 1000000000, IF(HFW948="Piso", 1000000000, IF(HFW948="Tapete", 1000000000, IF(HFW948="Carrito", 1000000000, IF(HFW948="Cautín", 10, 1)))))))</f>
        <v>1000000000</v>
      </c>
      <c r="HGB948" s="4" t="str">
        <f t="shared" ref="HGB948" si="2584">IF(HFW948="Ionizador", "Segundos", "Ohms")</f>
        <v>Ohms</v>
      </c>
      <c r="HGC948" s="6">
        <v>148000000</v>
      </c>
      <c r="HGD948" s="6" t="str">
        <f t="shared" ref="HGD948" si="2585">HGB948</f>
        <v>Ohms</v>
      </c>
      <c r="HGE948" s="2" t="str">
        <f t="shared" ref="HGE948" si="2586">IF(HFW948="Ionizador", "Plato de carga", IF(HFW948="Cautín", "PTG", "RTG"))</f>
        <v>RTG</v>
      </c>
      <c r="HGF948" s="7">
        <v>45992</v>
      </c>
      <c r="HGG948" s="7">
        <f t="shared" ref="HGG948" si="2587">IF(HGH948="Trimestral", HGF948+90, IF(HGH948="Semestral", HGF948+180, HGF948+365))</f>
        <v>46172</v>
      </c>
      <c r="HGH948" s="7" t="str">
        <f t="shared" ref="HGH948" si="2588">IF(HFW948="Ionizador", "Trimestral", IF(HFW948="Rack", "Semestral", IF(HFW948="Mesa", "Semestral", IF(HFW948="Tapete", "Semestral", IF(HFW948="Cautín", "Semestral", IF(HFW948="Silla", "Semestral", "Anual"))))))</f>
        <v>Semestral</v>
      </c>
      <c r="HGI948" s="2" t="str">
        <f t="shared" ref="HGI948" ca="1" si="2589">IF(HGG948&lt;TODAY(),"VENCIDO",IF(HGG948=TODAY(),"VENCE HOY",IF(HGG948&gt;TODAY(),"VIGENTE")))</f>
        <v>VIGENTE</v>
      </c>
      <c r="HGJ948" s="6" t="s">
        <v>25</v>
      </c>
      <c r="HGK948" s="23" t="s">
        <v>138</v>
      </c>
      <c r="HGL948" s="2" t="s">
        <v>433</v>
      </c>
      <c r="HGM948" s="3" t="s">
        <v>22</v>
      </c>
      <c r="HGN948" s="3" t="s">
        <v>23</v>
      </c>
      <c r="HGO948" s="2" t="s">
        <v>24</v>
      </c>
      <c r="HGP948" s="4">
        <v>0</v>
      </c>
      <c r="HGQ948" s="8">
        <f t="shared" ref="HGQ948" si="2590">IF(HGM948="Ionizador", 10, IF(HGM948="Mesa", 1000000000, IF(HGM948="Rack", 1000000000, IF(HGM948="Piso", 1000000000, IF(HGM948="Tapete", 1000000000, IF(HGM948="Carrito", 1000000000, IF(HGM948="Cautín", 10, 1)))))))</f>
        <v>1000000000</v>
      </c>
      <c r="HGR948" s="4" t="str">
        <f t="shared" ref="HGR948" si="2591">IF(HGM948="Ionizador", "Segundos", "Ohms")</f>
        <v>Ohms</v>
      </c>
      <c r="HGS948" s="6">
        <v>148000000</v>
      </c>
      <c r="HGT948" s="6" t="str">
        <f t="shared" ref="HGT948" si="2592">HGR948</f>
        <v>Ohms</v>
      </c>
      <c r="HGU948" s="2" t="str">
        <f t="shared" ref="HGU948" si="2593">IF(HGM948="Ionizador", "Plato de carga", IF(HGM948="Cautín", "PTG", "RTG"))</f>
        <v>RTG</v>
      </c>
      <c r="HGV948" s="7">
        <v>45992</v>
      </c>
      <c r="HGW948" s="7">
        <f t="shared" ref="HGW948" si="2594">IF(HGX948="Trimestral", HGV948+90, IF(HGX948="Semestral", HGV948+180, HGV948+365))</f>
        <v>46172</v>
      </c>
      <c r="HGX948" s="7" t="str">
        <f t="shared" ref="HGX948" si="2595">IF(HGM948="Ionizador", "Trimestral", IF(HGM948="Rack", "Semestral", IF(HGM948="Mesa", "Semestral", IF(HGM948="Tapete", "Semestral", IF(HGM948="Cautín", "Semestral", IF(HGM948="Silla", "Semestral", "Anual"))))))</f>
        <v>Semestral</v>
      </c>
      <c r="HGY948" s="2" t="str">
        <f t="shared" ref="HGY948" ca="1" si="2596">IF(HGW948&lt;TODAY(),"VENCIDO",IF(HGW948=TODAY(),"VENCE HOY",IF(HGW948&gt;TODAY(),"VIGENTE")))</f>
        <v>VIGENTE</v>
      </c>
      <c r="HGZ948" s="6" t="s">
        <v>25</v>
      </c>
      <c r="HHA948" s="23" t="s">
        <v>138</v>
      </c>
      <c r="HHB948" s="2" t="s">
        <v>433</v>
      </c>
      <c r="HHC948" s="3" t="s">
        <v>22</v>
      </c>
      <c r="HHD948" s="3" t="s">
        <v>23</v>
      </c>
      <c r="HHE948" s="2" t="s">
        <v>24</v>
      </c>
      <c r="HHF948" s="4">
        <v>0</v>
      </c>
      <c r="HHG948" s="8">
        <f t="shared" ref="HHG948" si="2597">IF(HHC948="Ionizador", 10, IF(HHC948="Mesa", 1000000000, IF(HHC948="Rack", 1000000000, IF(HHC948="Piso", 1000000000, IF(HHC948="Tapete", 1000000000, IF(HHC948="Carrito", 1000000000, IF(HHC948="Cautín", 10, 1)))))))</f>
        <v>1000000000</v>
      </c>
      <c r="HHH948" s="4" t="str">
        <f t="shared" ref="HHH948" si="2598">IF(HHC948="Ionizador", "Segundos", "Ohms")</f>
        <v>Ohms</v>
      </c>
      <c r="HHI948" s="6">
        <v>148000000</v>
      </c>
      <c r="HHJ948" s="6" t="str">
        <f t="shared" ref="HHJ948" si="2599">HHH948</f>
        <v>Ohms</v>
      </c>
      <c r="HHK948" s="2" t="str">
        <f t="shared" ref="HHK948" si="2600">IF(HHC948="Ionizador", "Plato de carga", IF(HHC948="Cautín", "PTG", "RTG"))</f>
        <v>RTG</v>
      </c>
      <c r="HHL948" s="7">
        <v>45992</v>
      </c>
      <c r="HHM948" s="7">
        <f t="shared" ref="HHM948" si="2601">IF(HHN948="Trimestral", HHL948+90, IF(HHN948="Semestral", HHL948+180, HHL948+365))</f>
        <v>46172</v>
      </c>
      <c r="HHN948" s="7" t="str">
        <f t="shared" ref="HHN948" si="2602">IF(HHC948="Ionizador", "Trimestral", IF(HHC948="Rack", "Semestral", IF(HHC948="Mesa", "Semestral", IF(HHC948="Tapete", "Semestral", IF(HHC948="Cautín", "Semestral", IF(HHC948="Silla", "Semestral", "Anual"))))))</f>
        <v>Semestral</v>
      </c>
      <c r="HHO948" s="2" t="str">
        <f t="shared" ref="HHO948" ca="1" si="2603">IF(HHM948&lt;TODAY(),"VENCIDO",IF(HHM948=TODAY(),"VENCE HOY",IF(HHM948&gt;TODAY(),"VIGENTE")))</f>
        <v>VIGENTE</v>
      </c>
      <c r="HHP948" s="6" t="s">
        <v>25</v>
      </c>
      <c r="HHQ948" s="23" t="s">
        <v>138</v>
      </c>
      <c r="HHR948" s="2" t="s">
        <v>433</v>
      </c>
      <c r="HHS948" s="3" t="s">
        <v>22</v>
      </c>
      <c r="HHT948" s="3" t="s">
        <v>23</v>
      </c>
      <c r="HHU948" s="2" t="s">
        <v>24</v>
      </c>
      <c r="HHV948" s="4">
        <v>0</v>
      </c>
      <c r="HHW948" s="8">
        <f t="shared" ref="HHW948" si="2604">IF(HHS948="Ionizador", 10, IF(HHS948="Mesa", 1000000000, IF(HHS948="Rack", 1000000000, IF(HHS948="Piso", 1000000000, IF(HHS948="Tapete", 1000000000, IF(HHS948="Carrito", 1000000000, IF(HHS948="Cautín", 10, 1)))))))</f>
        <v>1000000000</v>
      </c>
      <c r="HHX948" s="4" t="str">
        <f t="shared" ref="HHX948" si="2605">IF(HHS948="Ionizador", "Segundos", "Ohms")</f>
        <v>Ohms</v>
      </c>
      <c r="HHY948" s="6">
        <v>148000000</v>
      </c>
      <c r="HHZ948" s="6" t="str">
        <f t="shared" ref="HHZ948" si="2606">HHX948</f>
        <v>Ohms</v>
      </c>
      <c r="HIA948" s="2" t="str">
        <f t="shared" ref="HIA948" si="2607">IF(HHS948="Ionizador", "Plato de carga", IF(HHS948="Cautín", "PTG", "RTG"))</f>
        <v>RTG</v>
      </c>
      <c r="HIB948" s="7">
        <v>45992</v>
      </c>
      <c r="HIC948" s="7">
        <f t="shared" ref="HIC948" si="2608">IF(HID948="Trimestral", HIB948+90, IF(HID948="Semestral", HIB948+180, HIB948+365))</f>
        <v>46172</v>
      </c>
      <c r="HID948" s="7" t="str">
        <f t="shared" ref="HID948" si="2609">IF(HHS948="Ionizador", "Trimestral", IF(HHS948="Rack", "Semestral", IF(HHS948="Mesa", "Semestral", IF(HHS948="Tapete", "Semestral", IF(HHS948="Cautín", "Semestral", IF(HHS948="Silla", "Semestral", "Anual"))))))</f>
        <v>Semestral</v>
      </c>
      <c r="HIE948" s="2" t="str">
        <f t="shared" ref="HIE948" ca="1" si="2610">IF(HIC948&lt;TODAY(),"VENCIDO",IF(HIC948=TODAY(),"VENCE HOY",IF(HIC948&gt;TODAY(),"VIGENTE")))</f>
        <v>VIGENTE</v>
      </c>
      <c r="HIF948" s="6" t="s">
        <v>25</v>
      </c>
      <c r="HIG948" s="23" t="s">
        <v>138</v>
      </c>
      <c r="HIH948" s="2" t="s">
        <v>433</v>
      </c>
      <c r="HII948" s="3" t="s">
        <v>22</v>
      </c>
      <c r="HIJ948" s="3" t="s">
        <v>23</v>
      </c>
      <c r="HIK948" s="2" t="s">
        <v>24</v>
      </c>
      <c r="HIL948" s="4">
        <v>0</v>
      </c>
      <c r="HIM948" s="8">
        <f t="shared" ref="HIM948" si="2611">IF(HII948="Ionizador", 10, IF(HII948="Mesa", 1000000000, IF(HII948="Rack", 1000000000, IF(HII948="Piso", 1000000000, IF(HII948="Tapete", 1000000000, IF(HII948="Carrito", 1000000000, IF(HII948="Cautín", 10, 1)))))))</f>
        <v>1000000000</v>
      </c>
      <c r="HIN948" s="4" t="str">
        <f t="shared" ref="HIN948" si="2612">IF(HII948="Ionizador", "Segundos", "Ohms")</f>
        <v>Ohms</v>
      </c>
      <c r="HIO948" s="6">
        <v>148000000</v>
      </c>
      <c r="HIP948" s="6" t="str">
        <f t="shared" ref="HIP948" si="2613">HIN948</f>
        <v>Ohms</v>
      </c>
      <c r="HIQ948" s="2" t="str">
        <f t="shared" ref="HIQ948" si="2614">IF(HII948="Ionizador", "Plato de carga", IF(HII948="Cautín", "PTG", "RTG"))</f>
        <v>RTG</v>
      </c>
      <c r="HIR948" s="7">
        <v>45992</v>
      </c>
      <c r="HIS948" s="7">
        <f t="shared" ref="HIS948" si="2615">IF(HIT948="Trimestral", HIR948+90, IF(HIT948="Semestral", HIR948+180, HIR948+365))</f>
        <v>46172</v>
      </c>
      <c r="HIT948" s="7" t="str">
        <f t="shared" ref="HIT948" si="2616">IF(HII948="Ionizador", "Trimestral", IF(HII948="Rack", "Semestral", IF(HII948="Mesa", "Semestral", IF(HII948="Tapete", "Semestral", IF(HII948="Cautín", "Semestral", IF(HII948="Silla", "Semestral", "Anual"))))))</f>
        <v>Semestral</v>
      </c>
      <c r="HIU948" s="2" t="str">
        <f t="shared" ref="HIU948" ca="1" si="2617">IF(HIS948&lt;TODAY(),"VENCIDO",IF(HIS948=TODAY(),"VENCE HOY",IF(HIS948&gt;TODAY(),"VIGENTE")))</f>
        <v>VIGENTE</v>
      </c>
      <c r="HIV948" s="6" t="s">
        <v>25</v>
      </c>
      <c r="HIW948" s="23" t="s">
        <v>138</v>
      </c>
      <c r="HIX948" s="2" t="s">
        <v>433</v>
      </c>
      <c r="HIY948" s="3" t="s">
        <v>22</v>
      </c>
      <c r="HIZ948" s="3" t="s">
        <v>23</v>
      </c>
      <c r="HJA948" s="2" t="s">
        <v>24</v>
      </c>
      <c r="HJB948" s="4">
        <v>0</v>
      </c>
      <c r="HJC948" s="8">
        <f t="shared" ref="HJC948" si="2618">IF(HIY948="Ionizador", 10, IF(HIY948="Mesa", 1000000000, IF(HIY948="Rack", 1000000000, IF(HIY948="Piso", 1000000000, IF(HIY948="Tapete", 1000000000, IF(HIY948="Carrito", 1000000000, IF(HIY948="Cautín", 10, 1)))))))</f>
        <v>1000000000</v>
      </c>
      <c r="HJD948" s="4" t="str">
        <f t="shared" ref="HJD948" si="2619">IF(HIY948="Ionizador", "Segundos", "Ohms")</f>
        <v>Ohms</v>
      </c>
      <c r="HJE948" s="6">
        <v>148000000</v>
      </c>
      <c r="HJF948" s="6" t="str">
        <f t="shared" ref="HJF948" si="2620">HJD948</f>
        <v>Ohms</v>
      </c>
      <c r="HJG948" s="2" t="str">
        <f t="shared" ref="HJG948" si="2621">IF(HIY948="Ionizador", "Plato de carga", IF(HIY948="Cautín", "PTG", "RTG"))</f>
        <v>RTG</v>
      </c>
      <c r="HJH948" s="7">
        <v>45992</v>
      </c>
      <c r="HJI948" s="7">
        <f t="shared" ref="HJI948" si="2622">IF(HJJ948="Trimestral", HJH948+90, IF(HJJ948="Semestral", HJH948+180, HJH948+365))</f>
        <v>46172</v>
      </c>
      <c r="HJJ948" s="7" t="str">
        <f t="shared" ref="HJJ948" si="2623">IF(HIY948="Ionizador", "Trimestral", IF(HIY948="Rack", "Semestral", IF(HIY948="Mesa", "Semestral", IF(HIY948="Tapete", "Semestral", IF(HIY948="Cautín", "Semestral", IF(HIY948="Silla", "Semestral", "Anual"))))))</f>
        <v>Semestral</v>
      </c>
      <c r="HJK948" s="2" t="str">
        <f t="shared" ref="HJK948" ca="1" si="2624">IF(HJI948&lt;TODAY(),"VENCIDO",IF(HJI948=TODAY(),"VENCE HOY",IF(HJI948&gt;TODAY(),"VIGENTE")))</f>
        <v>VIGENTE</v>
      </c>
      <c r="HJL948" s="6" t="s">
        <v>25</v>
      </c>
      <c r="HJM948" s="23" t="s">
        <v>138</v>
      </c>
      <c r="HJN948" s="2" t="s">
        <v>433</v>
      </c>
      <c r="HJO948" s="3" t="s">
        <v>22</v>
      </c>
      <c r="HJP948" s="3" t="s">
        <v>23</v>
      </c>
      <c r="HJQ948" s="2" t="s">
        <v>24</v>
      </c>
      <c r="HJR948" s="4">
        <v>0</v>
      </c>
      <c r="HJS948" s="8">
        <f t="shared" ref="HJS948" si="2625">IF(HJO948="Ionizador", 10, IF(HJO948="Mesa", 1000000000, IF(HJO948="Rack", 1000000000, IF(HJO948="Piso", 1000000000, IF(HJO948="Tapete", 1000000000, IF(HJO948="Carrito", 1000000000, IF(HJO948="Cautín", 10, 1)))))))</f>
        <v>1000000000</v>
      </c>
      <c r="HJT948" s="4" t="str">
        <f t="shared" ref="HJT948" si="2626">IF(HJO948="Ionizador", "Segundos", "Ohms")</f>
        <v>Ohms</v>
      </c>
      <c r="HJU948" s="6">
        <v>148000000</v>
      </c>
      <c r="HJV948" s="6" t="str">
        <f t="shared" ref="HJV948" si="2627">HJT948</f>
        <v>Ohms</v>
      </c>
      <c r="HJW948" s="2" t="str">
        <f t="shared" ref="HJW948" si="2628">IF(HJO948="Ionizador", "Plato de carga", IF(HJO948="Cautín", "PTG", "RTG"))</f>
        <v>RTG</v>
      </c>
      <c r="HJX948" s="7">
        <v>45992</v>
      </c>
      <c r="HJY948" s="7">
        <f t="shared" ref="HJY948" si="2629">IF(HJZ948="Trimestral", HJX948+90, IF(HJZ948="Semestral", HJX948+180, HJX948+365))</f>
        <v>46172</v>
      </c>
      <c r="HJZ948" s="7" t="str">
        <f t="shared" ref="HJZ948" si="2630">IF(HJO948="Ionizador", "Trimestral", IF(HJO948="Rack", "Semestral", IF(HJO948="Mesa", "Semestral", IF(HJO948="Tapete", "Semestral", IF(HJO948="Cautín", "Semestral", IF(HJO948="Silla", "Semestral", "Anual"))))))</f>
        <v>Semestral</v>
      </c>
      <c r="HKA948" s="2" t="str">
        <f t="shared" ref="HKA948" ca="1" si="2631">IF(HJY948&lt;TODAY(),"VENCIDO",IF(HJY948=TODAY(),"VENCE HOY",IF(HJY948&gt;TODAY(),"VIGENTE")))</f>
        <v>VIGENTE</v>
      </c>
      <c r="HKB948" s="6" t="s">
        <v>25</v>
      </c>
      <c r="HKC948" s="23" t="s">
        <v>138</v>
      </c>
      <c r="HKD948" s="2" t="s">
        <v>433</v>
      </c>
      <c r="HKE948" s="3" t="s">
        <v>22</v>
      </c>
      <c r="HKF948" s="3" t="s">
        <v>23</v>
      </c>
      <c r="HKG948" s="2" t="s">
        <v>24</v>
      </c>
      <c r="HKH948" s="4">
        <v>0</v>
      </c>
      <c r="HKI948" s="8">
        <f t="shared" ref="HKI948" si="2632">IF(HKE948="Ionizador", 10, IF(HKE948="Mesa", 1000000000, IF(HKE948="Rack", 1000000000, IF(HKE948="Piso", 1000000000, IF(HKE948="Tapete", 1000000000, IF(HKE948="Carrito", 1000000000, IF(HKE948="Cautín", 10, 1)))))))</f>
        <v>1000000000</v>
      </c>
      <c r="HKJ948" s="4" t="str">
        <f t="shared" ref="HKJ948" si="2633">IF(HKE948="Ionizador", "Segundos", "Ohms")</f>
        <v>Ohms</v>
      </c>
      <c r="HKK948" s="6">
        <v>148000000</v>
      </c>
      <c r="HKL948" s="6" t="str">
        <f t="shared" ref="HKL948" si="2634">HKJ948</f>
        <v>Ohms</v>
      </c>
      <c r="HKM948" s="2" t="str">
        <f t="shared" ref="HKM948" si="2635">IF(HKE948="Ionizador", "Plato de carga", IF(HKE948="Cautín", "PTG", "RTG"))</f>
        <v>RTG</v>
      </c>
      <c r="HKN948" s="7">
        <v>45992</v>
      </c>
      <c r="HKO948" s="7">
        <f t="shared" ref="HKO948" si="2636">IF(HKP948="Trimestral", HKN948+90, IF(HKP948="Semestral", HKN948+180, HKN948+365))</f>
        <v>46172</v>
      </c>
      <c r="HKP948" s="7" t="str">
        <f t="shared" ref="HKP948" si="2637">IF(HKE948="Ionizador", "Trimestral", IF(HKE948="Rack", "Semestral", IF(HKE948="Mesa", "Semestral", IF(HKE948="Tapete", "Semestral", IF(HKE948="Cautín", "Semestral", IF(HKE948="Silla", "Semestral", "Anual"))))))</f>
        <v>Semestral</v>
      </c>
      <c r="HKQ948" s="2" t="str">
        <f t="shared" ref="HKQ948" ca="1" si="2638">IF(HKO948&lt;TODAY(),"VENCIDO",IF(HKO948=TODAY(),"VENCE HOY",IF(HKO948&gt;TODAY(),"VIGENTE")))</f>
        <v>VIGENTE</v>
      </c>
      <c r="HKR948" s="6" t="s">
        <v>25</v>
      </c>
      <c r="HKS948" s="23" t="s">
        <v>138</v>
      </c>
      <c r="HKT948" s="2" t="s">
        <v>433</v>
      </c>
      <c r="HKU948" s="3" t="s">
        <v>22</v>
      </c>
      <c r="HKV948" s="3" t="s">
        <v>23</v>
      </c>
      <c r="HKW948" s="2" t="s">
        <v>24</v>
      </c>
      <c r="HKX948" s="4">
        <v>0</v>
      </c>
      <c r="HKY948" s="8">
        <f t="shared" ref="HKY948" si="2639">IF(HKU948="Ionizador", 10, IF(HKU948="Mesa", 1000000000, IF(HKU948="Rack", 1000000000, IF(HKU948="Piso", 1000000000, IF(HKU948="Tapete", 1000000000, IF(HKU948="Carrito", 1000000000, IF(HKU948="Cautín", 10, 1)))))))</f>
        <v>1000000000</v>
      </c>
      <c r="HKZ948" s="4" t="str">
        <f t="shared" ref="HKZ948" si="2640">IF(HKU948="Ionizador", "Segundos", "Ohms")</f>
        <v>Ohms</v>
      </c>
      <c r="HLA948" s="6">
        <v>148000000</v>
      </c>
      <c r="HLB948" s="6" t="str">
        <f t="shared" ref="HLB948" si="2641">HKZ948</f>
        <v>Ohms</v>
      </c>
      <c r="HLC948" s="2" t="str">
        <f t="shared" ref="HLC948" si="2642">IF(HKU948="Ionizador", "Plato de carga", IF(HKU948="Cautín", "PTG", "RTG"))</f>
        <v>RTG</v>
      </c>
      <c r="HLD948" s="7">
        <v>45992</v>
      </c>
      <c r="HLE948" s="7">
        <f t="shared" ref="HLE948" si="2643">IF(HLF948="Trimestral", HLD948+90, IF(HLF948="Semestral", HLD948+180, HLD948+365))</f>
        <v>46172</v>
      </c>
      <c r="HLF948" s="7" t="str">
        <f t="shared" ref="HLF948" si="2644">IF(HKU948="Ionizador", "Trimestral", IF(HKU948="Rack", "Semestral", IF(HKU948="Mesa", "Semestral", IF(HKU948="Tapete", "Semestral", IF(HKU948="Cautín", "Semestral", IF(HKU948="Silla", "Semestral", "Anual"))))))</f>
        <v>Semestral</v>
      </c>
      <c r="HLG948" s="2" t="str">
        <f t="shared" ref="HLG948" ca="1" si="2645">IF(HLE948&lt;TODAY(),"VENCIDO",IF(HLE948=TODAY(),"VENCE HOY",IF(HLE948&gt;TODAY(),"VIGENTE")))</f>
        <v>VIGENTE</v>
      </c>
      <c r="HLH948" s="6" t="s">
        <v>25</v>
      </c>
      <c r="HLI948" s="23" t="s">
        <v>138</v>
      </c>
      <c r="HLJ948" s="2" t="s">
        <v>433</v>
      </c>
      <c r="HLK948" s="3" t="s">
        <v>22</v>
      </c>
      <c r="HLL948" s="3" t="s">
        <v>23</v>
      </c>
      <c r="HLM948" s="2" t="s">
        <v>24</v>
      </c>
      <c r="HLN948" s="4">
        <v>0</v>
      </c>
      <c r="HLO948" s="8">
        <f t="shared" ref="HLO948" si="2646">IF(HLK948="Ionizador", 10, IF(HLK948="Mesa", 1000000000, IF(HLK948="Rack", 1000000000, IF(HLK948="Piso", 1000000000, IF(HLK948="Tapete", 1000000000, IF(HLK948="Carrito", 1000000000, IF(HLK948="Cautín", 10, 1)))))))</f>
        <v>1000000000</v>
      </c>
      <c r="HLP948" s="4" t="str">
        <f t="shared" ref="HLP948" si="2647">IF(HLK948="Ionizador", "Segundos", "Ohms")</f>
        <v>Ohms</v>
      </c>
      <c r="HLQ948" s="6">
        <v>148000000</v>
      </c>
      <c r="HLR948" s="6" t="str">
        <f t="shared" ref="HLR948" si="2648">HLP948</f>
        <v>Ohms</v>
      </c>
      <c r="HLS948" s="2" t="str">
        <f t="shared" ref="HLS948" si="2649">IF(HLK948="Ionizador", "Plato de carga", IF(HLK948="Cautín", "PTG", "RTG"))</f>
        <v>RTG</v>
      </c>
      <c r="HLT948" s="7">
        <v>45992</v>
      </c>
      <c r="HLU948" s="7">
        <f t="shared" ref="HLU948" si="2650">IF(HLV948="Trimestral", HLT948+90, IF(HLV948="Semestral", HLT948+180, HLT948+365))</f>
        <v>46172</v>
      </c>
      <c r="HLV948" s="7" t="str">
        <f t="shared" ref="HLV948" si="2651">IF(HLK948="Ionizador", "Trimestral", IF(HLK948="Rack", "Semestral", IF(HLK948="Mesa", "Semestral", IF(HLK948="Tapete", "Semestral", IF(HLK948="Cautín", "Semestral", IF(HLK948="Silla", "Semestral", "Anual"))))))</f>
        <v>Semestral</v>
      </c>
      <c r="HLW948" s="2" t="str">
        <f t="shared" ref="HLW948" ca="1" si="2652">IF(HLU948&lt;TODAY(),"VENCIDO",IF(HLU948=TODAY(),"VENCE HOY",IF(HLU948&gt;TODAY(),"VIGENTE")))</f>
        <v>VIGENTE</v>
      </c>
      <c r="HLX948" s="6" t="s">
        <v>25</v>
      </c>
      <c r="HLY948" s="23" t="s">
        <v>138</v>
      </c>
      <c r="HLZ948" s="2" t="s">
        <v>433</v>
      </c>
      <c r="HMA948" s="3" t="s">
        <v>22</v>
      </c>
      <c r="HMB948" s="3" t="s">
        <v>23</v>
      </c>
      <c r="HMC948" s="2" t="s">
        <v>24</v>
      </c>
      <c r="HMD948" s="4">
        <v>0</v>
      </c>
      <c r="HME948" s="8">
        <f t="shared" ref="HME948" si="2653">IF(HMA948="Ionizador", 10, IF(HMA948="Mesa", 1000000000, IF(HMA948="Rack", 1000000000, IF(HMA948="Piso", 1000000000, IF(HMA948="Tapete", 1000000000, IF(HMA948="Carrito", 1000000000, IF(HMA948="Cautín", 10, 1)))))))</f>
        <v>1000000000</v>
      </c>
      <c r="HMF948" s="4" t="str">
        <f t="shared" ref="HMF948" si="2654">IF(HMA948="Ionizador", "Segundos", "Ohms")</f>
        <v>Ohms</v>
      </c>
      <c r="HMG948" s="6">
        <v>148000000</v>
      </c>
      <c r="HMH948" s="6" t="str">
        <f t="shared" ref="HMH948" si="2655">HMF948</f>
        <v>Ohms</v>
      </c>
      <c r="HMI948" s="2" t="str">
        <f t="shared" ref="HMI948" si="2656">IF(HMA948="Ionizador", "Plato de carga", IF(HMA948="Cautín", "PTG", "RTG"))</f>
        <v>RTG</v>
      </c>
      <c r="HMJ948" s="7">
        <v>45992</v>
      </c>
      <c r="HMK948" s="7">
        <f t="shared" ref="HMK948" si="2657">IF(HML948="Trimestral", HMJ948+90, IF(HML948="Semestral", HMJ948+180, HMJ948+365))</f>
        <v>46172</v>
      </c>
      <c r="HML948" s="7" t="str">
        <f t="shared" ref="HML948" si="2658">IF(HMA948="Ionizador", "Trimestral", IF(HMA948="Rack", "Semestral", IF(HMA948="Mesa", "Semestral", IF(HMA948="Tapete", "Semestral", IF(HMA948="Cautín", "Semestral", IF(HMA948="Silla", "Semestral", "Anual"))))))</f>
        <v>Semestral</v>
      </c>
      <c r="HMM948" s="2" t="str">
        <f t="shared" ref="HMM948" ca="1" si="2659">IF(HMK948&lt;TODAY(),"VENCIDO",IF(HMK948=TODAY(),"VENCE HOY",IF(HMK948&gt;TODAY(),"VIGENTE")))</f>
        <v>VIGENTE</v>
      </c>
      <c r="HMN948" s="6" t="s">
        <v>25</v>
      </c>
      <c r="HMO948" s="23" t="s">
        <v>138</v>
      </c>
      <c r="HMP948" s="2" t="s">
        <v>433</v>
      </c>
      <c r="HMQ948" s="3" t="s">
        <v>22</v>
      </c>
      <c r="HMR948" s="3" t="s">
        <v>23</v>
      </c>
      <c r="HMS948" s="2" t="s">
        <v>24</v>
      </c>
      <c r="HMT948" s="4">
        <v>0</v>
      </c>
      <c r="HMU948" s="8">
        <f t="shared" ref="HMU948" si="2660">IF(HMQ948="Ionizador", 10, IF(HMQ948="Mesa", 1000000000, IF(HMQ948="Rack", 1000000000, IF(HMQ948="Piso", 1000000000, IF(HMQ948="Tapete", 1000000000, IF(HMQ948="Carrito", 1000000000, IF(HMQ948="Cautín", 10, 1)))))))</f>
        <v>1000000000</v>
      </c>
      <c r="HMV948" s="4" t="str">
        <f t="shared" ref="HMV948" si="2661">IF(HMQ948="Ionizador", "Segundos", "Ohms")</f>
        <v>Ohms</v>
      </c>
      <c r="HMW948" s="6">
        <v>148000000</v>
      </c>
      <c r="HMX948" s="6" t="str">
        <f t="shared" ref="HMX948" si="2662">HMV948</f>
        <v>Ohms</v>
      </c>
      <c r="HMY948" s="2" t="str">
        <f t="shared" ref="HMY948" si="2663">IF(HMQ948="Ionizador", "Plato de carga", IF(HMQ948="Cautín", "PTG", "RTG"))</f>
        <v>RTG</v>
      </c>
      <c r="HMZ948" s="7">
        <v>45992</v>
      </c>
      <c r="HNA948" s="7">
        <f t="shared" ref="HNA948" si="2664">IF(HNB948="Trimestral", HMZ948+90, IF(HNB948="Semestral", HMZ948+180, HMZ948+365))</f>
        <v>46172</v>
      </c>
      <c r="HNB948" s="7" t="str">
        <f t="shared" ref="HNB948" si="2665">IF(HMQ948="Ionizador", "Trimestral", IF(HMQ948="Rack", "Semestral", IF(HMQ948="Mesa", "Semestral", IF(HMQ948="Tapete", "Semestral", IF(HMQ948="Cautín", "Semestral", IF(HMQ948="Silla", "Semestral", "Anual"))))))</f>
        <v>Semestral</v>
      </c>
      <c r="HNC948" s="2" t="str">
        <f t="shared" ref="HNC948" ca="1" si="2666">IF(HNA948&lt;TODAY(),"VENCIDO",IF(HNA948=TODAY(),"VENCE HOY",IF(HNA948&gt;TODAY(),"VIGENTE")))</f>
        <v>VIGENTE</v>
      </c>
      <c r="HND948" s="6" t="s">
        <v>25</v>
      </c>
      <c r="HNE948" s="23" t="s">
        <v>138</v>
      </c>
      <c r="HNF948" s="2" t="s">
        <v>433</v>
      </c>
      <c r="HNG948" s="3" t="s">
        <v>22</v>
      </c>
      <c r="HNH948" s="3" t="s">
        <v>23</v>
      </c>
      <c r="HNI948" s="2" t="s">
        <v>24</v>
      </c>
      <c r="HNJ948" s="4">
        <v>0</v>
      </c>
      <c r="HNK948" s="8">
        <f t="shared" ref="HNK948" si="2667">IF(HNG948="Ionizador", 10, IF(HNG948="Mesa", 1000000000, IF(HNG948="Rack", 1000000000, IF(HNG948="Piso", 1000000000, IF(HNG948="Tapete", 1000000000, IF(HNG948="Carrito", 1000000000, IF(HNG948="Cautín", 10, 1)))))))</f>
        <v>1000000000</v>
      </c>
      <c r="HNL948" s="4" t="str">
        <f t="shared" ref="HNL948" si="2668">IF(HNG948="Ionizador", "Segundos", "Ohms")</f>
        <v>Ohms</v>
      </c>
      <c r="HNM948" s="6">
        <v>148000000</v>
      </c>
      <c r="HNN948" s="6" t="str">
        <f t="shared" ref="HNN948" si="2669">HNL948</f>
        <v>Ohms</v>
      </c>
      <c r="HNO948" s="2" t="str">
        <f t="shared" ref="HNO948" si="2670">IF(HNG948="Ionizador", "Plato de carga", IF(HNG948="Cautín", "PTG", "RTG"))</f>
        <v>RTG</v>
      </c>
      <c r="HNP948" s="7">
        <v>45992</v>
      </c>
      <c r="HNQ948" s="7">
        <f t="shared" ref="HNQ948" si="2671">IF(HNR948="Trimestral", HNP948+90, IF(HNR948="Semestral", HNP948+180, HNP948+365))</f>
        <v>46172</v>
      </c>
      <c r="HNR948" s="7" t="str">
        <f t="shared" ref="HNR948" si="2672">IF(HNG948="Ionizador", "Trimestral", IF(HNG948="Rack", "Semestral", IF(HNG948="Mesa", "Semestral", IF(HNG948="Tapete", "Semestral", IF(HNG948="Cautín", "Semestral", IF(HNG948="Silla", "Semestral", "Anual"))))))</f>
        <v>Semestral</v>
      </c>
      <c r="HNS948" s="2" t="str">
        <f t="shared" ref="HNS948" ca="1" si="2673">IF(HNQ948&lt;TODAY(),"VENCIDO",IF(HNQ948=TODAY(),"VENCE HOY",IF(HNQ948&gt;TODAY(),"VIGENTE")))</f>
        <v>VIGENTE</v>
      </c>
      <c r="HNT948" s="6" t="s">
        <v>25</v>
      </c>
      <c r="HNU948" s="23" t="s">
        <v>138</v>
      </c>
      <c r="HNV948" s="2" t="s">
        <v>433</v>
      </c>
      <c r="HNW948" s="3" t="s">
        <v>22</v>
      </c>
      <c r="HNX948" s="3" t="s">
        <v>23</v>
      </c>
      <c r="HNY948" s="2" t="s">
        <v>24</v>
      </c>
      <c r="HNZ948" s="4">
        <v>0</v>
      </c>
      <c r="HOA948" s="8">
        <f t="shared" ref="HOA948" si="2674">IF(HNW948="Ionizador", 10, IF(HNW948="Mesa", 1000000000, IF(HNW948="Rack", 1000000000, IF(HNW948="Piso", 1000000000, IF(HNW948="Tapete", 1000000000, IF(HNW948="Carrito", 1000000000, IF(HNW948="Cautín", 10, 1)))))))</f>
        <v>1000000000</v>
      </c>
      <c r="HOB948" s="4" t="str">
        <f t="shared" ref="HOB948" si="2675">IF(HNW948="Ionizador", "Segundos", "Ohms")</f>
        <v>Ohms</v>
      </c>
      <c r="HOC948" s="6">
        <v>148000000</v>
      </c>
      <c r="HOD948" s="6" t="str">
        <f t="shared" ref="HOD948" si="2676">HOB948</f>
        <v>Ohms</v>
      </c>
      <c r="HOE948" s="2" t="str">
        <f t="shared" ref="HOE948" si="2677">IF(HNW948="Ionizador", "Plato de carga", IF(HNW948="Cautín", "PTG", "RTG"))</f>
        <v>RTG</v>
      </c>
      <c r="HOF948" s="7">
        <v>45992</v>
      </c>
      <c r="HOG948" s="7">
        <f t="shared" ref="HOG948" si="2678">IF(HOH948="Trimestral", HOF948+90, IF(HOH948="Semestral", HOF948+180, HOF948+365))</f>
        <v>46172</v>
      </c>
      <c r="HOH948" s="7" t="str">
        <f t="shared" ref="HOH948" si="2679">IF(HNW948="Ionizador", "Trimestral", IF(HNW948="Rack", "Semestral", IF(HNW948="Mesa", "Semestral", IF(HNW948="Tapete", "Semestral", IF(HNW948="Cautín", "Semestral", IF(HNW948="Silla", "Semestral", "Anual"))))))</f>
        <v>Semestral</v>
      </c>
      <c r="HOI948" s="2" t="str">
        <f t="shared" ref="HOI948" ca="1" si="2680">IF(HOG948&lt;TODAY(),"VENCIDO",IF(HOG948=TODAY(),"VENCE HOY",IF(HOG948&gt;TODAY(),"VIGENTE")))</f>
        <v>VIGENTE</v>
      </c>
      <c r="HOJ948" s="6" t="s">
        <v>25</v>
      </c>
      <c r="HOK948" s="23" t="s">
        <v>138</v>
      </c>
      <c r="HOL948" s="2" t="s">
        <v>433</v>
      </c>
      <c r="HOM948" s="3" t="s">
        <v>22</v>
      </c>
      <c r="HON948" s="3" t="s">
        <v>23</v>
      </c>
      <c r="HOO948" s="2" t="s">
        <v>24</v>
      </c>
      <c r="HOP948" s="4">
        <v>0</v>
      </c>
      <c r="HOQ948" s="8">
        <f t="shared" ref="HOQ948" si="2681">IF(HOM948="Ionizador", 10, IF(HOM948="Mesa", 1000000000, IF(HOM948="Rack", 1000000000, IF(HOM948="Piso", 1000000000, IF(HOM948="Tapete", 1000000000, IF(HOM948="Carrito", 1000000000, IF(HOM948="Cautín", 10, 1)))))))</f>
        <v>1000000000</v>
      </c>
      <c r="HOR948" s="4" t="str">
        <f t="shared" ref="HOR948" si="2682">IF(HOM948="Ionizador", "Segundos", "Ohms")</f>
        <v>Ohms</v>
      </c>
      <c r="HOS948" s="6">
        <v>148000000</v>
      </c>
      <c r="HOT948" s="6" t="str">
        <f t="shared" ref="HOT948" si="2683">HOR948</f>
        <v>Ohms</v>
      </c>
      <c r="HOU948" s="2" t="str">
        <f t="shared" ref="HOU948" si="2684">IF(HOM948="Ionizador", "Plato de carga", IF(HOM948="Cautín", "PTG", "RTG"))</f>
        <v>RTG</v>
      </c>
      <c r="HOV948" s="7">
        <v>45992</v>
      </c>
      <c r="HOW948" s="7">
        <f t="shared" ref="HOW948" si="2685">IF(HOX948="Trimestral", HOV948+90, IF(HOX948="Semestral", HOV948+180, HOV948+365))</f>
        <v>46172</v>
      </c>
      <c r="HOX948" s="7" t="str">
        <f t="shared" ref="HOX948" si="2686">IF(HOM948="Ionizador", "Trimestral", IF(HOM948="Rack", "Semestral", IF(HOM948="Mesa", "Semestral", IF(HOM948="Tapete", "Semestral", IF(HOM948="Cautín", "Semestral", IF(HOM948="Silla", "Semestral", "Anual"))))))</f>
        <v>Semestral</v>
      </c>
      <c r="HOY948" s="2" t="str">
        <f t="shared" ref="HOY948" ca="1" si="2687">IF(HOW948&lt;TODAY(),"VENCIDO",IF(HOW948=TODAY(),"VENCE HOY",IF(HOW948&gt;TODAY(),"VIGENTE")))</f>
        <v>VIGENTE</v>
      </c>
      <c r="HOZ948" s="6" t="s">
        <v>25</v>
      </c>
      <c r="HPA948" s="23" t="s">
        <v>138</v>
      </c>
      <c r="HPB948" s="2" t="s">
        <v>433</v>
      </c>
      <c r="HPC948" s="3" t="s">
        <v>22</v>
      </c>
      <c r="HPD948" s="3" t="s">
        <v>23</v>
      </c>
      <c r="HPE948" s="2" t="s">
        <v>24</v>
      </c>
      <c r="HPF948" s="4">
        <v>0</v>
      </c>
      <c r="HPG948" s="8">
        <f t="shared" ref="HPG948" si="2688">IF(HPC948="Ionizador", 10, IF(HPC948="Mesa", 1000000000, IF(HPC948="Rack", 1000000000, IF(HPC948="Piso", 1000000000, IF(HPC948="Tapete", 1000000000, IF(HPC948="Carrito", 1000000000, IF(HPC948="Cautín", 10, 1)))))))</f>
        <v>1000000000</v>
      </c>
      <c r="HPH948" s="4" t="str">
        <f t="shared" ref="HPH948" si="2689">IF(HPC948="Ionizador", "Segundos", "Ohms")</f>
        <v>Ohms</v>
      </c>
      <c r="HPI948" s="6">
        <v>148000000</v>
      </c>
      <c r="HPJ948" s="6" t="str">
        <f t="shared" ref="HPJ948" si="2690">HPH948</f>
        <v>Ohms</v>
      </c>
      <c r="HPK948" s="2" t="str">
        <f t="shared" ref="HPK948" si="2691">IF(HPC948="Ionizador", "Plato de carga", IF(HPC948="Cautín", "PTG", "RTG"))</f>
        <v>RTG</v>
      </c>
      <c r="HPL948" s="7">
        <v>45992</v>
      </c>
      <c r="HPM948" s="7">
        <f t="shared" ref="HPM948" si="2692">IF(HPN948="Trimestral", HPL948+90, IF(HPN948="Semestral", HPL948+180, HPL948+365))</f>
        <v>46172</v>
      </c>
      <c r="HPN948" s="7" t="str">
        <f t="shared" ref="HPN948" si="2693">IF(HPC948="Ionizador", "Trimestral", IF(HPC948="Rack", "Semestral", IF(HPC948="Mesa", "Semestral", IF(HPC948="Tapete", "Semestral", IF(HPC948="Cautín", "Semestral", IF(HPC948="Silla", "Semestral", "Anual"))))))</f>
        <v>Semestral</v>
      </c>
      <c r="HPO948" s="2" t="str">
        <f t="shared" ref="HPO948" ca="1" si="2694">IF(HPM948&lt;TODAY(),"VENCIDO",IF(HPM948=TODAY(),"VENCE HOY",IF(HPM948&gt;TODAY(),"VIGENTE")))</f>
        <v>VIGENTE</v>
      </c>
      <c r="HPP948" s="6" t="s">
        <v>25</v>
      </c>
      <c r="HPQ948" s="23" t="s">
        <v>138</v>
      </c>
      <c r="HPR948" s="2" t="s">
        <v>433</v>
      </c>
      <c r="HPS948" s="3" t="s">
        <v>22</v>
      </c>
      <c r="HPT948" s="3" t="s">
        <v>23</v>
      </c>
      <c r="HPU948" s="2" t="s">
        <v>24</v>
      </c>
      <c r="HPV948" s="4">
        <v>0</v>
      </c>
      <c r="HPW948" s="8">
        <f t="shared" ref="HPW948" si="2695">IF(HPS948="Ionizador", 10, IF(HPS948="Mesa", 1000000000, IF(HPS948="Rack", 1000000000, IF(HPS948="Piso", 1000000000, IF(HPS948="Tapete", 1000000000, IF(HPS948="Carrito", 1000000000, IF(HPS948="Cautín", 10, 1)))))))</f>
        <v>1000000000</v>
      </c>
      <c r="HPX948" s="4" t="str">
        <f t="shared" ref="HPX948" si="2696">IF(HPS948="Ionizador", "Segundos", "Ohms")</f>
        <v>Ohms</v>
      </c>
      <c r="HPY948" s="6">
        <v>148000000</v>
      </c>
      <c r="HPZ948" s="6" t="str">
        <f t="shared" ref="HPZ948" si="2697">HPX948</f>
        <v>Ohms</v>
      </c>
      <c r="HQA948" s="2" t="str">
        <f t="shared" ref="HQA948" si="2698">IF(HPS948="Ionizador", "Plato de carga", IF(HPS948="Cautín", "PTG", "RTG"))</f>
        <v>RTG</v>
      </c>
      <c r="HQB948" s="7">
        <v>45992</v>
      </c>
      <c r="HQC948" s="7">
        <f t="shared" ref="HQC948" si="2699">IF(HQD948="Trimestral", HQB948+90, IF(HQD948="Semestral", HQB948+180, HQB948+365))</f>
        <v>46172</v>
      </c>
      <c r="HQD948" s="7" t="str">
        <f t="shared" ref="HQD948" si="2700">IF(HPS948="Ionizador", "Trimestral", IF(HPS948="Rack", "Semestral", IF(HPS948="Mesa", "Semestral", IF(HPS948="Tapete", "Semestral", IF(HPS948="Cautín", "Semestral", IF(HPS948="Silla", "Semestral", "Anual"))))))</f>
        <v>Semestral</v>
      </c>
      <c r="HQE948" s="2" t="str">
        <f t="shared" ref="HQE948" ca="1" si="2701">IF(HQC948&lt;TODAY(),"VENCIDO",IF(HQC948=TODAY(),"VENCE HOY",IF(HQC948&gt;TODAY(),"VIGENTE")))</f>
        <v>VIGENTE</v>
      </c>
      <c r="HQF948" s="6" t="s">
        <v>25</v>
      </c>
      <c r="HQG948" s="23" t="s">
        <v>138</v>
      </c>
      <c r="HQH948" s="2" t="s">
        <v>433</v>
      </c>
      <c r="HQI948" s="3" t="s">
        <v>22</v>
      </c>
      <c r="HQJ948" s="3" t="s">
        <v>23</v>
      </c>
      <c r="HQK948" s="2" t="s">
        <v>24</v>
      </c>
      <c r="HQL948" s="4">
        <v>0</v>
      </c>
      <c r="HQM948" s="8">
        <f t="shared" ref="HQM948" si="2702">IF(HQI948="Ionizador", 10, IF(HQI948="Mesa", 1000000000, IF(HQI948="Rack", 1000000000, IF(HQI948="Piso", 1000000000, IF(HQI948="Tapete", 1000000000, IF(HQI948="Carrito", 1000000000, IF(HQI948="Cautín", 10, 1)))))))</f>
        <v>1000000000</v>
      </c>
      <c r="HQN948" s="4" t="str">
        <f t="shared" ref="HQN948" si="2703">IF(HQI948="Ionizador", "Segundos", "Ohms")</f>
        <v>Ohms</v>
      </c>
      <c r="HQO948" s="6">
        <v>148000000</v>
      </c>
      <c r="HQP948" s="6" t="str">
        <f t="shared" ref="HQP948" si="2704">HQN948</f>
        <v>Ohms</v>
      </c>
      <c r="HQQ948" s="2" t="str">
        <f t="shared" ref="HQQ948" si="2705">IF(HQI948="Ionizador", "Plato de carga", IF(HQI948="Cautín", "PTG", "RTG"))</f>
        <v>RTG</v>
      </c>
      <c r="HQR948" s="7">
        <v>45992</v>
      </c>
      <c r="HQS948" s="7">
        <f t="shared" ref="HQS948" si="2706">IF(HQT948="Trimestral", HQR948+90, IF(HQT948="Semestral", HQR948+180, HQR948+365))</f>
        <v>46172</v>
      </c>
      <c r="HQT948" s="7" t="str">
        <f t="shared" ref="HQT948" si="2707">IF(HQI948="Ionizador", "Trimestral", IF(HQI948="Rack", "Semestral", IF(HQI948="Mesa", "Semestral", IF(HQI948="Tapete", "Semestral", IF(HQI948="Cautín", "Semestral", IF(HQI948="Silla", "Semestral", "Anual"))))))</f>
        <v>Semestral</v>
      </c>
      <c r="HQU948" s="2" t="str">
        <f t="shared" ref="HQU948" ca="1" si="2708">IF(HQS948&lt;TODAY(),"VENCIDO",IF(HQS948=TODAY(),"VENCE HOY",IF(HQS948&gt;TODAY(),"VIGENTE")))</f>
        <v>VIGENTE</v>
      </c>
      <c r="HQV948" s="6" t="s">
        <v>25</v>
      </c>
      <c r="HQW948" s="23" t="s">
        <v>138</v>
      </c>
      <c r="HQX948" s="2" t="s">
        <v>433</v>
      </c>
      <c r="HQY948" s="3" t="s">
        <v>22</v>
      </c>
      <c r="HQZ948" s="3" t="s">
        <v>23</v>
      </c>
      <c r="HRA948" s="2" t="s">
        <v>24</v>
      </c>
      <c r="HRB948" s="4">
        <v>0</v>
      </c>
      <c r="HRC948" s="8">
        <f t="shared" ref="HRC948" si="2709">IF(HQY948="Ionizador", 10, IF(HQY948="Mesa", 1000000000, IF(HQY948="Rack", 1000000000, IF(HQY948="Piso", 1000000000, IF(HQY948="Tapete", 1000000000, IF(HQY948="Carrito", 1000000000, IF(HQY948="Cautín", 10, 1)))))))</f>
        <v>1000000000</v>
      </c>
      <c r="HRD948" s="4" t="str">
        <f t="shared" ref="HRD948" si="2710">IF(HQY948="Ionizador", "Segundos", "Ohms")</f>
        <v>Ohms</v>
      </c>
      <c r="HRE948" s="6">
        <v>148000000</v>
      </c>
      <c r="HRF948" s="6" t="str">
        <f t="shared" ref="HRF948" si="2711">HRD948</f>
        <v>Ohms</v>
      </c>
      <c r="HRG948" s="2" t="str">
        <f t="shared" ref="HRG948" si="2712">IF(HQY948="Ionizador", "Plato de carga", IF(HQY948="Cautín", "PTG", "RTG"))</f>
        <v>RTG</v>
      </c>
      <c r="HRH948" s="7">
        <v>45992</v>
      </c>
      <c r="HRI948" s="7">
        <f t="shared" ref="HRI948" si="2713">IF(HRJ948="Trimestral", HRH948+90, IF(HRJ948="Semestral", HRH948+180, HRH948+365))</f>
        <v>46172</v>
      </c>
      <c r="HRJ948" s="7" t="str">
        <f t="shared" ref="HRJ948" si="2714">IF(HQY948="Ionizador", "Trimestral", IF(HQY948="Rack", "Semestral", IF(HQY948="Mesa", "Semestral", IF(HQY948="Tapete", "Semestral", IF(HQY948="Cautín", "Semestral", IF(HQY948="Silla", "Semestral", "Anual"))))))</f>
        <v>Semestral</v>
      </c>
      <c r="HRK948" s="2" t="str">
        <f t="shared" ref="HRK948" ca="1" si="2715">IF(HRI948&lt;TODAY(),"VENCIDO",IF(HRI948=TODAY(),"VENCE HOY",IF(HRI948&gt;TODAY(),"VIGENTE")))</f>
        <v>VIGENTE</v>
      </c>
      <c r="HRL948" s="6" t="s">
        <v>25</v>
      </c>
      <c r="HRM948" s="23" t="s">
        <v>138</v>
      </c>
      <c r="HRN948" s="2" t="s">
        <v>433</v>
      </c>
      <c r="HRO948" s="3" t="s">
        <v>22</v>
      </c>
      <c r="HRP948" s="3" t="s">
        <v>23</v>
      </c>
      <c r="HRQ948" s="2" t="s">
        <v>24</v>
      </c>
      <c r="HRR948" s="4">
        <v>0</v>
      </c>
      <c r="HRS948" s="8">
        <f t="shared" ref="HRS948" si="2716">IF(HRO948="Ionizador", 10, IF(HRO948="Mesa", 1000000000, IF(HRO948="Rack", 1000000000, IF(HRO948="Piso", 1000000000, IF(HRO948="Tapete", 1000000000, IF(HRO948="Carrito", 1000000000, IF(HRO948="Cautín", 10, 1)))))))</f>
        <v>1000000000</v>
      </c>
      <c r="HRT948" s="4" t="str">
        <f t="shared" ref="HRT948" si="2717">IF(HRO948="Ionizador", "Segundos", "Ohms")</f>
        <v>Ohms</v>
      </c>
      <c r="HRU948" s="6">
        <v>148000000</v>
      </c>
      <c r="HRV948" s="6" t="str">
        <f t="shared" ref="HRV948" si="2718">HRT948</f>
        <v>Ohms</v>
      </c>
      <c r="HRW948" s="2" t="str">
        <f t="shared" ref="HRW948" si="2719">IF(HRO948="Ionizador", "Plato de carga", IF(HRO948="Cautín", "PTG", "RTG"))</f>
        <v>RTG</v>
      </c>
      <c r="HRX948" s="7">
        <v>45992</v>
      </c>
      <c r="HRY948" s="7">
        <f t="shared" ref="HRY948" si="2720">IF(HRZ948="Trimestral", HRX948+90, IF(HRZ948="Semestral", HRX948+180, HRX948+365))</f>
        <v>46172</v>
      </c>
      <c r="HRZ948" s="7" t="str">
        <f t="shared" ref="HRZ948" si="2721">IF(HRO948="Ionizador", "Trimestral", IF(HRO948="Rack", "Semestral", IF(HRO948="Mesa", "Semestral", IF(HRO948="Tapete", "Semestral", IF(HRO948="Cautín", "Semestral", IF(HRO948="Silla", "Semestral", "Anual"))))))</f>
        <v>Semestral</v>
      </c>
      <c r="HSA948" s="2" t="str">
        <f t="shared" ref="HSA948" ca="1" si="2722">IF(HRY948&lt;TODAY(),"VENCIDO",IF(HRY948=TODAY(),"VENCE HOY",IF(HRY948&gt;TODAY(),"VIGENTE")))</f>
        <v>VIGENTE</v>
      </c>
      <c r="HSB948" s="6" t="s">
        <v>25</v>
      </c>
      <c r="HSC948" s="23" t="s">
        <v>138</v>
      </c>
      <c r="HSD948" s="2" t="s">
        <v>433</v>
      </c>
      <c r="HSE948" s="3" t="s">
        <v>22</v>
      </c>
      <c r="HSF948" s="3" t="s">
        <v>23</v>
      </c>
      <c r="HSG948" s="2" t="s">
        <v>24</v>
      </c>
      <c r="HSH948" s="4">
        <v>0</v>
      </c>
      <c r="HSI948" s="8">
        <f t="shared" ref="HSI948" si="2723">IF(HSE948="Ionizador", 10, IF(HSE948="Mesa", 1000000000, IF(HSE948="Rack", 1000000000, IF(HSE948="Piso", 1000000000, IF(HSE948="Tapete", 1000000000, IF(HSE948="Carrito", 1000000000, IF(HSE948="Cautín", 10, 1)))))))</f>
        <v>1000000000</v>
      </c>
      <c r="HSJ948" s="4" t="str">
        <f t="shared" ref="HSJ948" si="2724">IF(HSE948="Ionizador", "Segundos", "Ohms")</f>
        <v>Ohms</v>
      </c>
      <c r="HSK948" s="6">
        <v>148000000</v>
      </c>
      <c r="HSL948" s="6" t="str">
        <f t="shared" ref="HSL948" si="2725">HSJ948</f>
        <v>Ohms</v>
      </c>
      <c r="HSM948" s="2" t="str">
        <f t="shared" ref="HSM948" si="2726">IF(HSE948="Ionizador", "Plato de carga", IF(HSE948="Cautín", "PTG", "RTG"))</f>
        <v>RTG</v>
      </c>
      <c r="HSN948" s="7">
        <v>45992</v>
      </c>
      <c r="HSO948" s="7">
        <f t="shared" ref="HSO948" si="2727">IF(HSP948="Trimestral", HSN948+90, IF(HSP948="Semestral", HSN948+180, HSN948+365))</f>
        <v>46172</v>
      </c>
      <c r="HSP948" s="7" t="str">
        <f t="shared" ref="HSP948" si="2728">IF(HSE948="Ionizador", "Trimestral", IF(HSE948="Rack", "Semestral", IF(HSE948="Mesa", "Semestral", IF(HSE948="Tapete", "Semestral", IF(HSE948="Cautín", "Semestral", IF(HSE948="Silla", "Semestral", "Anual"))))))</f>
        <v>Semestral</v>
      </c>
      <c r="HSQ948" s="2" t="str">
        <f t="shared" ref="HSQ948" ca="1" si="2729">IF(HSO948&lt;TODAY(),"VENCIDO",IF(HSO948=TODAY(),"VENCE HOY",IF(HSO948&gt;TODAY(),"VIGENTE")))</f>
        <v>VIGENTE</v>
      </c>
      <c r="HSR948" s="6" t="s">
        <v>25</v>
      </c>
      <c r="HSS948" s="23" t="s">
        <v>138</v>
      </c>
      <c r="HST948" s="2" t="s">
        <v>433</v>
      </c>
      <c r="HSU948" s="3" t="s">
        <v>22</v>
      </c>
      <c r="HSV948" s="3" t="s">
        <v>23</v>
      </c>
      <c r="HSW948" s="2" t="s">
        <v>24</v>
      </c>
      <c r="HSX948" s="4">
        <v>0</v>
      </c>
      <c r="HSY948" s="8">
        <f t="shared" ref="HSY948" si="2730">IF(HSU948="Ionizador", 10, IF(HSU948="Mesa", 1000000000, IF(HSU948="Rack", 1000000000, IF(HSU948="Piso", 1000000000, IF(HSU948="Tapete", 1000000000, IF(HSU948="Carrito", 1000000000, IF(HSU948="Cautín", 10, 1)))))))</f>
        <v>1000000000</v>
      </c>
      <c r="HSZ948" s="4" t="str">
        <f t="shared" ref="HSZ948" si="2731">IF(HSU948="Ionizador", "Segundos", "Ohms")</f>
        <v>Ohms</v>
      </c>
      <c r="HTA948" s="6">
        <v>148000000</v>
      </c>
      <c r="HTB948" s="6" t="str">
        <f t="shared" ref="HTB948" si="2732">HSZ948</f>
        <v>Ohms</v>
      </c>
      <c r="HTC948" s="2" t="str">
        <f t="shared" ref="HTC948" si="2733">IF(HSU948="Ionizador", "Plato de carga", IF(HSU948="Cautín", "PTG", "RTG"))</f>
        <v>RTG</v>
      </c>
      <c r="HTD948" s="7">
        <v>45992</v>
      </c>
      <c r="HTE948" s="7">
        <f t="shared" ref="HTE948" si="2734">IF(HTF948="Trimestral", HTD948+90, IF(HTF948="Semestral", HTD948+180, HTD948+365))</f>
        <v>46172</v>
      </c>
      <c r="HTF948" s="7" t="str">
        <f t="shared" ref="HTF948" si="2735">IF(HSU948="Ionizador", "Trimestral", IF(HSU948="Rack", "Semestral", IF(HSU948="Mesa", "Semestral", IF(HSU948="Tapete", "Semestral", IF(HSU948="Cautín", "Semestral", IF(HSU948="Silla", "Semestral", "Anual"))))))</f>
        <v>Semestral</v>
      </c>
      <c r="HTG948" s="2" t="str">
        <f t="shared" ref="HTG948" ca="1" si="2736">IF(HTE948&lt;TODAY(),"VENCIDO",IF(HTE948=TODAY(),"VENCE HOY",IF(HTE948&gt;TODAY(),"VIGENTE")))</f>
        <v>VIGENTE</v>
      </c>
      <c r="HTH948" s="6" t="s">
        <v>25</v>
      </c>
      <c r="HTI948" s="23" t="s">
        <v>138</v>
      </c>
      <c r="HTJ948" s="2" t="s">
        <v>433</v>
      </c>
      <c r="HTK948" s="3" t="s">
        <v>22</v>
      </c>
      <c r="HTL948" s="3" t="s">
        <v>23</v>
      </c>
      <c r="HTM948" s="2" t="s">
        <v>24</v>
      </c>
      <c r="HTN948" s="4">
        <v>0</v>
      </c>
      <c r="HTO948" s="8">
        <f t="shared" ref="HTO948" si="2737">IF(HTK948="Ionizador", 10, IF(HTK948="Mesa", 1000000000, IF(HTK948="Rack", 1000000000, IF(HTK948="Piso", 1000000000, IF(HTK948="Tapete", 1000000000, IF(HTK948="Carrito", 1000000000, IF(HTK948="Cautín", 10, 1)))))))</f>
        <v>1000000000</v>
      </c>
      <c r="HTP948" s="4" t="str">
        <f t="shared" ref="HTP948" si="2738">IF(HTK948="Ionizador", "Segundos", "Ohms")</f>
        <v>Ohms</v>
      </c>
      <c r="HTQ948" s="6">
        <v>148000000</v>
      </c>
      <c r="HTR948" s="6" t="str">
        <f t="shared" ref="HTR948" si="2739">HTP948</f>
        <v>Ohms</v>
      </c>
      <c r="HTS948" s="2" t="str">
        <f t="shared" ref="HTS948" si="2740">IF(HTK948="Ionizador", "Plato de carga", IF(HTK948="Cautín", "PTG", "RTG"))</f>
        <v>RTG</v>
      </c>
      <c r="HTT948" s="7">
        <v>45992</v>
      </c>
      <c r="HTU948" s="7">
        <f t="shared" ref="HTU948" si="2741">IF(HTV948="Trimestral", HTT948+90, IF(HTV948="Semestral", HTT948+180, HTT948+365))</f>
        <v>46172</v>
      </c>
      <c r="HTV948" s="7" t="str">
        <f t="shared" ref="HTV948" si="2742">IF(HTK948="Ionizador", "Trimestral", IF(HTK948="Rack", "Semestral", IF(HTK948="Mesa", "Semestral", IF(HTK948="Tapete", "Semestral", IF(HTK948="Cautín", "Semestral", IF(HTK948="Silla", "Semestral", "Anual"))))))</f>
        <v>Semestral</v>
      </c>
      <c r="HTW948" s="2" t="str">
        <f t="shared" ref="HTW948" ca="1" si="2743">IF(HTU948&lt;TODAY(),"VENCIDO",IF(HTU948=TODAY(),"VENCE HOY",IF(HTU948&gt;TODAY(),"VIGENTE")))</f>
        <v>VIGENTE</v>
      </c>
      <c r="HTX948" s="6" t="s">
        <v>25</v>
      </c>
      <c r="HTY948" s="23" t="s">
        <v>138</v>
      </c>
      <c r="HTZ948" s="2" t="s">
        <v>433</v>
      </c>
      <c r="HUA948" s="3" t="s">
        <v>22</v>
      </c>
      <c r="HUB948" s="3" t="s">
        <v>23</v>
      </c>
      <c r="HUC948" s="2" t="s">
        <v>24</v>
      </c>
      <c r="HUD948" s="4">
        <v>0</v>
      </c>
      <c r="HUE948" s="8">
        <f t="shared" ref="HUE948" si="2744">IF(HUA948="Ionizador", 10, IF(HUA948="Mesa", 1000000000, IF(HUA948="Rack", 1000000000, IF(HUA948="Piso", 1000000000, IF(HUA948="Tapete", 1000000000, IF(HUA948="Carrito", 1000000000, IF(HUA948="Cautín", 10, 1)))))))</f>
        <v>1000000000</v>
      </c>
      <c r="HUF948" s="4" t="str">
        <f t="shared" ref="HUF948" si="2745">IF(HUA948="Ionizador", "Segundos", "Ohms")</f>
        <v>Ohms</v>
      </c>
      <c r="HUG948" s="6">
        <v>148000000</v>
      </c>
      <c r="HUH948" s="6" t="str">
        <f t="shared" ref="HUH948" si="2746">HUF948</f>
        <v>Ohms</v>
      </c>
      <c r="HUI948" s="2" t="str">
        <f t="shared" ref="HUI948" si="2747">IF(HUA948="Ionizador", "Plato de carga", IF(HUA948="Cautín", "PTG", "RTG"))</f>
        <v>RTG</v>
      </c>
      <c r="HUJ948" s="7">
        <v>45992</v>
      </c>
      <c r="HUK948" s="7">
        <f t="shared" ref="HUK948" si="2748">IF(HUL948="Trimestral", HUJ948+90, IF(HUL948="Semestral", HUJ948+180, HUJ948+365))</f>
        <v>46172</v>
      </c>
      <c r="HUL948" s="7" t="str">
        <f t="shared" ref="HUL948" si="2749">IF(HUA948="Ionizador", "Trimestral", IF(HUA948="Rack", "Semestral", IF(HUA948="Mesa", "Semestral", IF(HUA948="Tapete", "Semestral", IF(HUA948="Cautín", "Semestral", IF(HUA948="Silla", "Semestral", "Anual"))))))</f>
        <v>Semestral</v>
      </c>
      <c r="HUM948" s="2" t="str">
        <f t="shared" ref="HUM948" ca="1" si="2750">IF(HUK948&lt;TODAY(),"VENCIDO",IF(HUK948=TODAY(),"VENCE HOY",IF(HUK948&gt;TODAY(),"VIGENTE")))</f>
        <v>VIGENTE</v>
      </c>
      <c r="HUN948" s="6" t="s">
        <v>25</v>
      </c>
      <c r="HUO948" s="23" t="s">
        <v>138</v>
      </c>
      <c r="HUP948" s="2" t="s">
        <v>433</v>
      </c>
      <c r="HUQ948" s="3" t="s">
        <v>22</v>
      </c>
      <c r="HUR948" s="3" t="s">
        <v>23</v>
      </c>
      <c r="HUS948" s="2" t="s">
        <v>24</v>
      </c>
      <c r="HUT948" s="4">
        <v>0</v>
      </c>
      <c r="HUU948" s="8">
        <f t="shared" ref="HUU948" si="2751">IF(HUQ948="Ionizador", 10, IF(HUQ948="Mesa", 1000000000, IF(HUQ948="Rack", 1000000000, IF(HUQ948="Piso", 1000000000, IF(HUQ948="Tapete", 1000000000, IF(HUQ948="Carrito", 1000000000, IF(HUQ948="Cautín", 10, 1)))))))</f>
        <v>1000000000</v>
      </c>
      <c r="HUV948" s="4" t="str">
        <f t="shared" ref="HUV948" si="2752">IF(HUQ948="Ionizador", "Segundos", "Ohms")</f>
        <v>Ohms</v>
      </c>
      <c r="HUW948" s="6">
        <v>148000000</v>
      </c>
      <c r="HUX948" s="6" t="str">
        <f t="shared" ref="HUX948" si="2753">HUV948</f>
        <v>Ohms</v>
      </c>
      <c r="HUY948" s="2" t="str">
        <f t="shared" ref="HUY948" si="2754">IF(HUQ948="Ionizador", "Plato de carga", IF(HUQ948="Cautín", "PTG", "RTG"))</f>
        <v>RTG</v>
      </c>
      <c r="HUZ948" s="7">
        <v>45992</v>
      </c>
      <c r="HVA948" s="7">
        <f t="shared" ref="HVA948" si="2755">IF(HVB948="Trimestral", HUZ948+90, IF(HVB948="Semestral", HUZ948+180, HUZ948+365))</f>
        <v>46172</v>
      </c>
      <c r="HVB948" s="7" t="str">
        <f t="shared" ref="HVB948" si="2756">IF(HUQ948="Ionizador", "Trimestral", IF(HUQ948="Rack", "Semestral", IF(HUQ948="Mesa", "Semestral", IF(HUQ948="Tapete", "Semestral", IF(HUQ948="Cautín", "Semestral", IF(HUQ948="Silla", "Semestral", "Anual"))))))</f>
        <v>Semestral</v>
      </c>
      <c r="HVC948" s="2" t="str">
        <f t="shared" ref="HVC948" ca="1" si="2757">IF(HVA948&lt;TODAY(),"VENCIDO",IF(HVA948=TODAY(),"VENCE HOY",IF(HVA948&gt;TODAY(),"VIGENTE")))</f>
        <v>VIGENTE</v>
      </c>
      <c r="HVD948" s="6" t="s">
        <v>25</v>
      </c>
      <c r="HVE948" s="23" t="s">
        <v>138</v>
      </c>
      <c r="HVF948" s="2" t="s">
        <v>433</v>
      </c>
      <c r="HVG948" s="3" t="s">
        <v>22</v>
      </c>
      <c r="HVH948" s="3" t="s">
        <v>23</v>
      </c>
      <c r="HVI948" s="2" t="s">
        <v>24</v>
      </c>
      <c r="HVJ948" s="4">
        <v>0</v>
      </c>
      <c r="HVK948" s="8">
        <f t="shared" ref="HVK948" si="2758">IF(HVG948="Ionizador", 10, IF(HVG948="Mesa", 1000000000, IF(HVG948="Rack", 1000000000, IF(HVG948="Piso", 1000000000, IF(HVG948="Tapete", 1000000000, IF(HVG948="Carrito", 1000000000, IF(HVG948="Cautín", 10, 1)))))))</f>
        <v>1000000000</v>
      </c>
      <c r="HVL948" s="4" t="str">
        <f t="shared" ref="HVL948" si="2759">IF(HVG948="Ionizador", "Segundos", "Ohms")</f>
        <v>Ohms</v>
      </c>
      <c r="HVM948" s="6">
        <v>148000000</v>
      </c>
      <c r="HVN948" s="6" t="str">
        <f t="shared" ref="HVN948" si="2760">HVL948</f>
        <v>Ohms</v>
      </c>
      <c r="HVO948" s="2" t="str">
        <f t="shared" ref="HVO948" si="2761">IF(HVG948="Ionizador", "Plato de carga", IF(HVG948="Cautín", "PTG", "RTG"))</f>
        <v>RTG</v>
      </c>
      <c r="HVP948" s="7">
        <v>45992</v>
      </c>
      <c r="HVQ948" s="7">
        <f t="shared" ref="HVQ948" si="2762">IF(HVR948="Trimestral", HVP948+90, IF(HVR948="Semestral", HVP948+180, HVP948+365))</f>
        <v>46172</v>
      </c>
      <c r="HVR948" s="7" t="str">
        <f t="shared" ref="HVR948" si="2763">IF(HVG948="Ionizador", "Trimestral", IF(HVG948="Rack", "Semestral", IF(HVG948="Mesa", "Semestral", IF(HVG948="Tapete", "Semestral", IF(HVG948="Cautín", "Semestral", IF(HVG948="Silla", "Semestral", "Anual"))))))</f>
        <v>Semestral</v>
      </c>
      <c r="HVS948" s="2" t="str">
        <f t="shared" ref="HVS948" ca="1" si="2764">IF(HVQ948&lt;TODAY(),"VENCIDO",IF(HVQ948=TODAY(),"VENCE HOY",IF(HVQ948&gt;TODAY(),"VIGENTE")))</f>
        <v>VIGENTE</v>
      </c>
      <c r="HVT948" s="6" t="s">
        <v>25</v>
      </c>
      <c r="HVU948" s="23" t="s">
        <v>138</v>
      </c>
      <c r="HVV948" s="2" t="s">
        <v>433</v>
      </c>
      <c r="HVW948" s="3" t="s">
        <v>22</v>
      </c>
      <c r="HVX948" s="3" t="s">
        <v>23</v>
      </c>
      <c r="HVY948" s="2" t="s">
        <v>24</v>
      </c>
      <c r="HVZ948" s="4">
        <v>0</v>
      </c>
      <c r="HWA948" s="8">
        <f t="shared" ref="HWA948" si="2765">IF(HVW948="Ionizador", 10, IF(HVW948="Mesa", 1000000000, IF(HVW948="Rack", 1000000000, IF(HVW948="Piso", 1000000000, IF(HVW948="Tapete", 1000000000, IF(HVW948="Carrito", 1000000000, IF(HVW948="Cautín", 10, 1)))))))</f>
        <v>1000000000</v>
      </c>
      <c r="HWB948" s="4" t="str">
        <f t="shared" ref="HWB948" si="2766">IF(HVW948="Ionizador", "Segundos", "Ohms")</f>
        <v>Ohms</v>
      </c>
      <c r="HWC948" s="6">
        <v>148000000</v>
      </c>
      <c r="HWD948" s="6" t="str">
        <f t="shared" ref="HWD948" si="2767">HWB948</f>
        <v>Ohms</v>
      </c>
      <c r="HWE948" s="2" t="str">
        <f t="shared" ref="HWE948" si="2768">IF(HVW948="Ionizador", "Plato de carga", IF(HVW948="Cautín", "PTG", "RTG"))</f>
        <v>RTG</v>
      </c>
      <c r="HWF948" s="7">
        <v>45992</v>
      </c>
      <c r="HWG948" s="7">
        <f t="shared" ref="HWG948" si="2769">IF(HWH948="Trimestral", HWF948+90, IF(HWH948="Semestral", HWF948+180, HWF948+365))</f>
        <v>46172</v>
      </c>
      <c r="HWH948" s="7" t="str">
        <f t="shared" ref="HWH948" si="2770">IF(HVW948="Ionizador", "Trimestral", IF(HVW948="Rack", "Semestral", IF(HVW948="Mesa", "Semestral", IF(HVW948="Tapete", "Semestral", IF(HVW948="Cautín", "Semestral", IF(HVW948="Silla", "Semestral", "Anual"))))))</f>
        <v>Semestral</v>
      </c>
      <c r="HWI948" s="2" t="str">
        <f t="shared" ref="HWI948" ca="1" si="2771">IF(HWG948&lt;TODAY(),"VENCIDO",IF(HWG948=TODAY(),"VENCE HOY",IF(HWG948&gt;TODAY(),"VIGENTE")))</f>
        <v>VIGENTE</v>
      </c>
      <c r="HWJ948" s="6" t="s">
        <v>25</v>
      </c>
      <c r="HWK948" s="23" t="s">
        <v>138</v>
      </c>
      <c r="HWL948" s="2" t="s">
        <v>433</v>
      </c>
      <c r="HWM948" s="3" t="s">
        <v>22</v>
      </c>
      <c r="HWN948" s="3" t="s">
        <v>23</v>
      </c>
      <c r="HWO948" s="2" t="s">
        <v>24</v>
      </c>
      <c r="HWP948" s="4">
        <v>0</v>
      </c>
      <c r="HWQ948" s="8">
        <f t="shared" ref="HWQ948" si="2772">IF(HWM948="Ionizador", 10, IF(HWM948="Mesa", 1000000000, IF(HWM948="Rack", 1000000000, IF(HWM948="Piso", 1000000000, IF(HWM948="Tapete", 1000000000, IF(HWM948="Carrito", 1000000000, IF(HWM948="Cautín", 10, 1)))))))</f>
        <v>1000000000</v>
      </c>
      <c r="HWR948" s="4" t="str">
        <f t="shared" ref="HWR948" si="2773">IF(HWM948="Ionizador", "Segundos", "Ohms")</f>
        <v>Ohms</v>
      </c>
      <c r="HWS948" s="6">
        <v>148000000</v>
      </c>
      <c r="HWT948" s="6" t="str">
        <f t="shared" ref="HWT948" si="2774">HWR948</f>
        <v>Ohms</v>
      </c>
      <c r="HWU948" s="2" t="str">
        <f t="shared" ref="HWU948" si="2775">IF(HWM948="Ionizador", "Plato de carga", IF(HWM948="Cautín", "PTG", "RTG"))</f>
        <v>RTG</v>
      </c>
      <c r="HWV948" s="7">
        <v>45992</v>
      </c>
      <c r="HWW948" s="7">
        <f t="shared" ref="HWW948" si="2776">IF(HWX948="Trimestral", HWV948+90, IF(HWX948="Semestral", HWV948+180, HWV948+365))</f>
        <v>46172</v>
      </c>
      <c r="HWX948" s="7" t="str">
        <f t="shared" ref="HWX948" si="2777">IF(HWM948="Ionizador", "Trimestral", IF(HWM948="Rack", "Semestral", IF(HWM948="Mesa", "Semestral", IF(HWM948="Tapete", "Semestral", IF(HWM948="Cautín", "Semestral", IF(HWM948="Silla", "Semestral", "Anual"))))))</f>
        <v>Semestral</v>
      </c>
      <c r="HWY948" s="2" t="str">
        <f t="shared" ref="HWY948" ca="1" si="2778">IF(HWW948&lt;TODAY(),"VENCIDO",IF(HWW948=TODAY(),"VENCE HOY",IF(HWW948&gt;TODAY(),"VIGENTE")))</f>
        <v>VIGENTE</v>
      </c>
      <c r="HWZ948" s="6" t="s">
        <v>25</v>
      </c>
      <c r="HXA948" s="23" t="s">
        <v>138</v>
      </c>
      <c r="HXB948" s="2" t="s">
        <v>433</v>
      </c>
      <c r="HXC948" s="3" t="s">
        <v>22</v>
      </c>
      <c r="HXD948" s="3" t="s">
        <v>23</v>
      </c>
      <c r="HXE948" s="2" t="s">
        <v>24</v>
      </c>
      <c r="HXF948" s="4">
        <v>0</v>
      </c>
      <c r="HXG948" s="8">
        <f t="shared" ref="HXG948" si="2779">IF(HXC948="Ionizador", 10, IF(HXC948="Mesa", 1000000000, IF(HXC948="Rack", 1000000000, IF(HXC948="Piso", 1000000000, IF(HXC948="Tapete", 1000000000, IF(HXC948="Carrito", 1000000000, IF(HXC948="Cautín", 10, 1)))))))</f>
        <v>1000000000</v>
      </c>
      <c r="HXH948" s="4" t="str">
        <f t="shared" ref="HXH948" si="2780">IF(HXC948="Ionizador", "Segundos", "Ohms")</f>
        <v>Ohms</v>
      </c>
      <c r="HXI948" s="6">
        <v>148000000</v>
      </c>
      <c r="HXJ948" s="6" t="str">
        <f t="shared" ref="HXJ948" si="2781">HXH948</f>
        <v>Ohms</v>
      </c>
      <c r="HXK948" s="2" t="str">
        <f t="shared" ref="HXK948" si="2782">IF(HXC948="Ionizador", "Plato de carga", IF(HXC948="Cautín", "PTG", "RTG"))</f>
        <v>RTG</v>
      </c>
      <c r="HXL948" s="7">
        <v>45992</v>
      </c>
      <c r="HXM948" s="7">
        <f t="shared" ref="HXM948" si="2783">IF(HXN948="Trimestral", HXL948+90, IF(HXN948="Semestral", HXL948+180, HXL948+365))</f>
        <v>46172</v>
      </c>
      <c r="HXN948" s="7" t="str">
        <f t="shared" ref="HXN948" si="2784">IF(HXC948="Ionizador", "Trimestral", IF(HXC948="Rack", "Semestral", IF(HXC948="Mesa", "Semestral", IF(HXC948="Tapete", "Semestral", IF(HXC948="Cautín", "Semestral", IF(HXC948="Silla", "Semestral", "Anual"))))))</f>
        <v>Semestral</v>
      </c>
      <c r="HXO948" s="2" t="str">
        <f t="shared" ref="HXO948" ca="1" si="2785">IF(HXM948&lt;TODAY(),"VENCIDO",IF(HXM948=TODAY(),"VENCE HOY",IF(HXM948&gt;TODAY(),"VIGENTE")))</f>
        <v>VIGENTE</v>
      </c>
      <c r="HXP948" s="6" t="s">
        <v>25</v>
      </c>
      <c r="HXQ948" s="23" t="s">
        <v>138</v>
      </c>
      <c r="HXR948" s="2" t="s">
        <v>433</v>
      </c>
      <c r="HXS948" s="3" t="s">
        <v>22</v>
      </c>
      <c r="HXT948" s="3" t="s">
        <v>23</v>
      </c>
      <c r="HXU948" s="2" t="s">
        <v>24</v>
      </c>
      <c r="HXV948" s="4">
        <v>0</v>
      </c>
      <c r="HXW948" s="8">
        <f t="shared" ref="HXW948" si="2786">IF(HXS948="Ionizador", 10, IF(HXS948="Mesa", 1000000000, IF(HXS948="Rack", 1000000000, IF(HXS948="Piso", 1000000000, IF(HXS948="Tapete", 1000000000, IF(HXS948="Carrito", 1000000000, IF(HXS948="Cautín", 10, 1)))))))</f>
        <v>1000000000</v>
      </c>
      <c r="HXX948" s="4" t="str">
        <f t="shared" ref="HXX948" si="2787">IF(HXS948="Ionizador", "Segundos", "Ohms")</f>
        <v>Ohms</v>
      </c>
      <c r="HXY948" s="6">
        <v>148000000</v>
      </c>
      <c r="HXZ948" s="6" t="str">
        <f t="shared" ref="HXZ948" si="2788">HXX948</f>
        <v>Ohms</v>
      </c>
      <c r="HYA948" s="2" t="str">
        <f t="shared" ref="HYA948" si="2789">IF(HXS948="Ionizador", "Plato de carga", IF(HXS948="Cautín", "PTG", "RTG"))</f>
        <v>RTG</v>
      </c>
      <c r="HYB948" s="7">
        <v>45992</v>
      </c>
      <c r="HYC948" s="7">
        <f t="shared" ref="HYC948" si="2790">IF(HYD948="Trimestral", HYB948+90, IF(HYD948="Semestral", HYB948+180, HYB948+365))</f>
        <v>46172</v>
      </c>
      <c r="HYD948" s="7" t="str">
        <f t="shared" ref="HYD948" si="2791">IF(HXS948="Ionizador", "Trimestral", IF(HXS948="Rack", "Semestral", IF(HXS948="Mesa", "Semestral", IF(HXS948="Tapete", "Semestral", IF(HXS948="Cautín", "Semestral", IF(HXS948="Silla", "Semestral", "Anual"))))))</f>
        <v>Semestral</v>
      </c>
      <c r="HYE948" s="2" t="str">
        <f t="shared" ref="HYE948" ca="1" si="2792">IF(HYC948&lt;TODAY(),"VENCIDO",IF(HYC948=TODAY(),"VENCE HOY",IF(HYC948&gt;TODAY(),"VIGENTE")))</f>
        <v>VIGENTE</v>
      </c>
      <c r="HYF948" s="6" t="s">
        <v>25</v>
      </c>
      <c r="HYG948" s="23" t="s">
        <v>138</v>
      </c>
      <c r="HYH948" s="2" t="s">
        <v>433</v>
      </c>
      <c r="HYI948" s="3" t="s">
        <v>22</v>
      </c>
      <c r="HYJ948" s="3" t="s">
        <v>23</v>
      </c>
      <c r="HYK948" s="2" t="s">
        <v>24</v>
      </c>
      <c r="HYL948" s="4">
        <v>0</v>
      </c>
      <c r="HYM948" s="8">
        <f t="shared" ref="HYM948" si="2793">IF(HYI948="Ionizador", 10, IF(HYI948="Mesa", 1000000000, IF(HYI948="Rack", 1000000000, IF(HYI948="Piso", 1000000000, IF(HYI948="Tapete", 1000000000, IF(HYI948="Carrito", 1000000000, IF(HYI948="Cautín", 10, 1)))))))</f>
        <v>1000000000</v>
      </c>
      <c r="HYN948" s="4" t="str">
        <f t="shared" ref="HYN948" si="2794">IF(HYI948="Ionizador", "Segundos", "Ohms")</f>
        <v>Ohms</v>
      </c>
      <c r="HYO948" s="6">
        <v>148000000</v>
      </c>
      <c r="HYP948" s="6" t="str">
        <f t="shared" ref="HYP948" si="2795">HYN948</f>
        <v>Ohms</v>
      </c>
      <c r="HYQ948" s="2" t="str">
        <f t="shared" ref="HYQ948" si="2796">IF(HYI948="Ionizador", "Plato de carga", IF(HYI948="Cautín", "PTG", "RTG"))</f>
        <v>RTG</v>
      </c>
      <c r="HYR948" s="7">
        <v>45992</v>
      </c>
      <c r="HYS948" s="7">
        <f t="shared" ref="HYS948" si="2797">IF(HYT948="Trimestral", HYR948+90, IF(HYT948="Semestral", HYR948+180, HYR948+365))</f>
        <v>46172</v>
      </c>
      <c r="HYT948" s="7" t="str">
        <f t="shared" ref="HYT948" si="2798">IF(HYI948="Ionizador", "Trimestral", IF(HYI948="Rack", "Semestral", IF(HYI948="Mesa", "Semestral", IF(HYI948="Tapete", "Semestral", IF(HYI948="Cautín", "Semestral", IF(HYI948="Silla", "Semestral", "Anual"))))))</f>
        <v>Semestral</v>
      </c>
      <c r="HYU948" s="2" t="str">
        <f t="shared" ref="HYU948" ca="1" si="2799">IF(HYS948&lt;TODAY(),"VENCIDO",IF(HYS948=TODAY(),"VENCE HOY",IF(HYS948&gt;TODAY(),"VIGENTE")))</f>
        <v>VIGENTE</v>
      </c>
      <c r="HYV948" s="6" t="s">
        <v>25</v>
      </c>
      <c r="HYW948" s="23" t="s">
        <v>138</v>
      </c>
      <c r="HYX948" s="2" t="s">
        <v>433</v>
      </c>
      <c r="HYY948" s="3" t="s">
        <v>22</v>
      </c>
      <c r="HYZ948" s="3" t="s">
        <v>23</v>
      </c>
      <c r="HZA948" s="2" t="s">
        <v>24</v>
      </c>
      <c r="HZB948" s="4">
        <v>0</v>
      </c>
      <c r="HZC948" s="8">
        <f t="shared" ref="HZC948" si="2800">IF(HYY948="Ionizador", 10, IF(HYY948="Mesa", 1000000000, IF(HYY948="Rack", 1000000000, IF(HYY948="Piso", 1000000000, IF(HYY948="Tapete", 1000000000, IF(HYY948="Carrito", 1000000000, IF(HYY948="Cautín", 10, 1)))))))</f>
        <v>1000000000</v>
      </c>
      <c r="HZD948" s="4" t="str">
        <f t="shared" ref="HZD948" si="2801">IF(HYY948="Ionizador", "Segundos", "Ohms")</f>
        <v>Ohms</v>
      </c>
      <c r="HZE948" s="6">
        <v>148000000</v>
      </c>
      <c r="HZF948" s="6" t="str">
        <f t="shared" ref="HZF948" si="2802">HZD948</f>
        <v>Ohms</v>
      </c>
      <c r="HZG948" s="2" t="str">
        <f t="shared" ref="HZG948" si="2803">IF(HYY948="Ionizador", "Plato de carga", IF(HYY948="Cautín", "PTG", "RTG"))</f>
        <v>RTG</v>
      </c>
      <c r="HZH948" s="7">
        <v>45992</v>
      </c>
      <c r="HZI948" s="7">
        <f t="shared" ref="HZI948" si="2804">IF(HZJ948="Trimestral", HZH948+90, IF(HZJ948="Semestral", HZH948+180, HZH948+365))</f>
        <v>46172</v>
      </c>
      <c r="HZJ948" s="7" t="str">
        <f t="shared" ref="HZJ948" si="2805">IF(HYY948="Ionizador", "Trimestral", IF(HYY948="Rack", "Semestral", IF(HYY948="Mesa", "Semestral", IF(HYY948="Tapete", "Semestral", IF(HYY948="Cautín", "Semestral", IF(HYY948="Silla", "Semestral", "Anual"))))))</f>
        <v>Semestral</v>
      </c>
      <c r="HZK948" s="2" t="str">
        <f t="shared" ref="HZK948" ca="1" si="2806">IF(HZI948&lt;TODAY(),"VENCIDO",IF(HZI948=TODAY(),"VENCE HOY",IF(HZI948&gt;TODAY(),"VIGENTE")))</f>
        <v>VIGENTE</v>
      </c>
      <c r="HZL948" s="6" t="s">
        <v>25</v>
      </c>
      <c r="HZM948" s="23" t="s">
        <v>138</v>
      </c>
      <c r="HZN948" s="2" t="s">
        <v>433</v>
      </c>
      <c r="HZO948" s="3" t="s">
        <v>22</v>
      </c>
      <c r="HZP948" s="3" t="s">
        <v>23</v>
      </c>
      <c r="HZQ948" s="2" t="s">
        <v>24</v>
      </c>
      <c r="HZR948" s="4">
        <v>0</v>
      </c>
      <c r="HZS948" s="8">
        <f t="shared" ref="HZS948" si="2807">IF(HZO948="Ionizador", 10, IF(HZO948="Mesa", 1000000000, IF(HZO948="Rack", 1000000000, IF(HZO948="Piso", 1000000000, IF(HZO948="Tapete", 1000000000, IF(HZO948="Carrito", 1000000000, IF(HZO948="Cautín", 10, 1)))))))</f>
        <v>1000000000</v>
      </c>
      <c r="HZT948" s="4" t="str">
        <f t="shared" ref="HZT948" si="2808">IF(HZO948="Ionizador", "Segundos", "Ohms")</f>
        <v>Ohms</v>
      </c>
      <c r="HZU948" s="6">
        <v>148000000</v>
      </c>
      <c r="HZV948" s="6" t="str">
        <f t="shared" ref="HZV948" si="2809">HZT948</f>
        <v>Ohms</v>
      </c>
      <c r="HZW948" s="2" t="str">
        <f t="shared" ref="HZW948" si="2810">IF(HZO948="Ionizador", "Plato de carga", IF(HZO948="Cautín", "PTG", "RTG"))</f>
        <v>RTG</v>
      </c>
      <c r="HZX948" s="7">
        <v>45992</v>
      </c>
      <c r="HZY948" s="7">
        <f t="shared" ref="HZY948" si="2811">IF(HZZ948="Trimestral", HZX948+90, IF(HZZ948="Semestral", HZX948+180, HZX948+365))</f>
        <v>46172</v>
      </c>
      <c r="HZZ948" s="7" t="str">
        <f t="shared" ref="HZZ948" si="2812">IF(HZO948="Ionizador", "Trimestral", IF(HZO948="Rack", "Semestral", IF(HZO948="Mesa", "Semestral", IF(HZO948="Tapete", "Semestral", IF(HZO948="Cautín", "Semestral", IF(HZO948="Silla", "Semestral", "Anual"))))))</f>
        <v>Semestral</v>
      </c>
      <c r="IAA948" s="2" t="str">
        <f t="shared" ref="IAA948" ca="1" si="2813">IF(HZY948&lt;TODAY(),"VENCIDO",IF(HZY948=TODAY(),"VENCE HOY",IF(HZY948&gt;TODAY(),"VIGENTE")))</f>
        <v>VIGENTE</v>
      </c>
      <c r="IAB948" s="6" t="s">
        <v>25</v>
      </c>
      <c r="IAC948" s="23" t="s">
        <v>138</v>
      </c>
      <c r="IAD948" s="2" t="s">
        <v>433</v>
      </c>
      <c r="IAE948" s="3" t="s">
        <v>22</v>
      </c>
      <c r="IAF948" s="3" t="s">
        <v>23</v>
      </c>
      <c r="IAG948" s="2" t="s">
        <v>24</v>
      </c>
      <c r="IAH948" s="4">
        <v>0</v>
      </c>
      <c r="IAI948" s="8">
        <f t="shared" ref="IAI948" si="2814">IF(IAE948="Ionizador", 10, IF(IAE948="Mesa", 1000000000, IF(IAE948="Rack", 1000000000, IF(IAE948="Piso", 1000000000, IF(IAE948="Tapete", 1000000000, IF(IAE948="Carrito", 1000000000, IF(IAE948="Cautín", 10, 1)))))))</f>
        <v>1000000000</v>
      </c>
      <c r="IAJ948" s="4" t="str">
        <f t="shared" ref="IAJ948" si="2815">IF(IAE948="Ionizador", "Segundos", "Ohms")</f>
        <v>Ohms</v>
      </c>
      <c r="IAK948" s="6">
        <v>148000000</v>
      </c>
      <c r="IAL948" s="6" t="str">
        <f t="shared" ref="IAL948" si="2816">IAJ948</f>
        <v>Ohms</v>
      </c>
      <c r="IAM948" s="2" t="str">
        <f t="shared" ref="IAM948" si="2817">IF(IAE948="Ionizador", "Plato de carga", IF(IAE948="Cautín", "PTG", "RTG"))</f>
        <v>RTG</v>
      </c>
      <c r="IAN948" s="7">
        <v>45992</v>
      </c>
      <c r="IAO948" s="7">
        <f t="shared" ref="IAO948" si="2818">IF(IAP948="Trimestral", IAN948+90, IF(IAP948="Semestral", IAN948+180, IAN948+365))</f>
        <v>46172</v>
      </c>
      <c r="IAP948" s="7" t="str">
        <f t="shared" ref="IAP948" si="2819">IF(IAE948="Ionizador", "Trimestral", IF(IAE948="Rack", "Semestral", IF(IAE948="Mesa", "Semestral", IF(IAE948="Tapete", "Semestral", IF(IAE948="Cautín", "Semestral", IF(IAE948="Silla", "Semestral", "Anual"))))))</f>
        <v>Semestral</v>
      </c>
      <c r="IAQ948" s="2" t="str">
        <f t="shared" ref="IAQ948" ca="1" si="2820">IF(IAO948&lt;TODAY(),"VENCIDO",IF(IAO948=TODAY(),"VENCE HOY",IF(IAO948&gt;TODAY(),"VIGENTE")))</f>
        <v>VIGENTE</v>
      </c>
      <c r="IAR948" s="6" t="s">
        <v>25</v>
      </c>
      <c r="IAS948" s="23" t="s">
        <v>138</v>
      </c>
      <c r="IAT948" s="2" t="s">
        <v>433</v>
      </c>
      <c r="IAU948" s="3" t="s">
        <v>22</v>
      </c>
      <c r="IAV948" s="3" t="s">
        <v>23</v>
      </c>
      <c r="IAW948" s="2" t="s">
        <v>24</v>
      </c>
      <c r="IAX948" s="4">
        <v>0</v>
      </c>
      <c r="IAY948" s="8">
        <f t="shared" ref="IAY948" si="2821">IF(IAU948="Ionizador", 10, IF(IAU948="Mesa", 1000000000, IF(IAU948="Rack", 1000000000, IF(IAU948="Piso", 1000000000, IF(IAU948="Tapete", 1000000000, IF(IAU948="Carrito", 1000000000, IF(IAU948="Cautín", 10, 1)))))))</f>
        <v>1000000000</v>
      </c>
      <c r="IAZ948" s="4" t="str">
        <f t="shared" ref="IAZ948" si="2822">IF(IAU948="Ionizador", "Segundos", "Ohms")</f>
        <v>Ohms</v>
      </c>
      <c r="IBA948" s="6">
        <v>148000000</v>
      </c>
      <c r="IBB948" s="6" t="str">
        <f t="shared" ref="IBB948" si="2823">IAZ948</f>
        <v>Ohms</v>
      </c>
      <c r="IBC948" s="2" t="str">
        <f t="shared" ref="IBC948" si="2824">IF(IAU948="Ionizador", "Plato de carga", IF(IAU948="Cautín", "PTG", "RTG"))</f>
        <v>RTG</v>
      </c>
      <c r="IBD948" s="7">
        <v>45992</v>
      </c>
      <c r="IBE948" s="7">
        <f t="shared" ref="IBE948" si="2825">IF(IBF948="Trimestral", IBD948+90, IF(IBF948="Semestral", IBD948+180, IBD948+365))</f>
        <v>46172</v>
      </c>
      <c r="IBF948" s="7" t="str">
        <f t="shared" ref="IBF948" si="2826">IF(IAU948="Ionizador", "Trimestral", IF(IAU948="Rack", "Semestral", IF(IAU948="Mesa", "Semestral", IF(IAU948="Tapete", "Semestral", IF(IAU948="Cautín", "Semestral", IF(IAU948="Silla", "Semestral", "Anual"))))))</f>
        <v>Semestral</v>
      </c>
      <c r="IBG948" s="2" t="str">
        <f t="shared" ref="IBG948" ca="1" si="2827">IF(IBE948&lt;TODAY(),"VENCIDO",IF(IBE948=TODAY(),"VENCE HOY",IF(IBE948&gt;TODAY(),"VIGENTE")))</f>
        <v>VIGENTE</v>
      </c>
      <c r="IBH948" s="6" t="s">
        <v>25</v>
      </c>
      <c r="IBI948" s="23" t="s">
        <v>138</v>
      </c>
      <c r="IBJ948" s="2" t="s">
        <v>433</v>
      </c>
      <c r="IBK948" s="3" t="s">
        <v>22</v>
      </c>
      <c r="IBL948" s="3" t="s">
        <v>23</v>
      </c>
      <c r="IBM948" s="2" t="s">
        <v>24</v>
      </c>
      <c r="IBN948" s="4">
        <v>0</v>
      </c>
      <c r="IBO948" s="8">
        <f t="shared" ref="IBO948" si="2828">IF(IBK948="Ionizador", 10, IF(IBK948="Mesa", 1000000000, IF(IBK948="Rack", 1000000000, IF(IBK948="Piso", 1000000000, IF(IBK948="Tapete", 1000000000, IF(IBK948="Carrito", 1000000000, IF(IBK948="Cautín", 10, 1)))))))</f>
        <v>1000000000</v>
      </c>
      <c r="IBP948" s="4" t="str">
        <f t="shared" ref="IBP948" si="2829">IF(IBK948="Ionizador", "Segundos", "Ohms")</f>
        <v>Ohms</v>
      </c>
      <c r="IBQ948" s="6">
        <v>148000000</v>
      </c>
      <c r="IBR948" s="6" t="str">
        <f t="shared" ref="IBR948" si="2830">IBP948</f>
        <v>Ohms</v>
      </c>
      <c r="IBS948" s="2" t="str">
        <f t="shared" ref="IBS948" si="2831">IF(IBK948="Ionizador", "Plato de carga", IF(IBK948="Cautín", "PTG", "RTG"))</f>
        <v>RTG</v>
      </c>
      <c r="IBT948" s="7">
        <v>45992</v>
      </c>
      <c r="IBU948" s="7">
        <f t="shared" ref="IBU948" si="2832">IF(IBV948="Trimestral", IBT948+90, IF(IBV948="Semestral", IBT948+180, IBT948+365))</f>
        <v>46172</v>
      </c>
      <c r="IBV948" s="7" t="str">
        <f t="shared" ref="IBV948" si="2833">IF(IBK948="Ionizador", "Trimestral", IF(IBK948="Rack", "Semestral", IF(IBK948="Mesa", "Semestral", IF(IBK948="Tapete", "Semestral", IF(IBK948="Cautín", "Semestral", IF(IBK948="Silla", "Semestral", "Anual"))))))</f>
        <v>Semestral</v>
      </c>
      <c r="IBW948" s="2" t="str">
        <f t="shared" ref="IBW948" ca="1" si="2834">IF(IBU948&lt;TODAY(),"VENCIDO",IF(IBU948=TODAY(),"VENCE HOY",IF(IBU948&gt;TODAY(),"VIGENTE")))</f>
        <v>VIGENTE</v>
      </c>
      <c r="IBX948" s="6" t="s">
        <v>25</v>
      </c>
      <c r="IBY948" s="23" t="s">
        <v>138</v>
      </c>
      <c r="IBZ948" s="2" t="s">
        <v>433</v>
      </c>
      <c r="ICA948" s="3" t="s">
        <v>22</v>
      </c>
      <c r="ICB948" s="3" t="s">
        <v>23</v>
      </c>
      <c r="ICC948" s="2" t="s">
        <v>24</v>
      </c>
      <c r="ICD948" s="4">
        <v>0</v>
      </c>
      <c r="ICE948" s="8">
        <f t="shared" ref="ICE948" si="2835">IF(ICA948="Ionizador", 10, IF(ICA948="Mesa", 1000000000, IF(ICA948="Rack", 1000000000, IF(ICA948="Piso", 1000000000, IF(ICA948="Tapete", 1000000000, IF(ICA948="Carrito", 1000000000, IF(ICA948="Cautín", 10, 1)))))))</f>
        <v>1000000000</v>
      </c>
      <c r="ICF948" s="4" t="str">
        <f t="shared" ref="ICF948" si="2836">IF(ICA948="Ionizador", "Segundos", "Ohms")</f>
        <v>Ohms</v>
      </c>
      <c r="ICG948" s="6">
        <v>148000000</v>
      </c>
      <c r="ICH948" s="6" t="str">
        <f t="shared" ref="ICH948" si="2837">ICF948</f>
        <v>Ohms</v>
      </c>
      <c r="ICI948" s="2" t="str">
        <f t="shared" ref="ICI948" si="2838">IF(ICA948="Ionizador", "Plato de carga", IF(ICA948="Cautín", "PTG", "RTG"))</f>
        <v>RTG</v>
      </c>
      <c r="ICJ948" s="7">
        <v>45992</v>
      </c>
      <c r="ICK948" s="7">
        <f t="shared" ref="ICK948" si="2839">IF(ICL948="Trimestral", ICJ948+90, IF(ICL948="Semestral", ICJ948+180, ICJ948+365))</f>
        <v>46172</v>
      </c>
      <c r="ICL948" s="7" t="str">
        <f t="shared" ref="ICL948" si="2840">IF(ICA948="Ionizador", "Trimestral", IF(ICA948="Rack", "Semestral", IF(ICA948="Mesa", "Semestral", IF(ICA948="Tapete", "Semestral", IF(ICA948="Cautín", "Semestral", IF(ICA948="Silla", "Semestral", "Anual"))))))</f>
        <v>Semestral</v>
      </c>
      <c r="ICM948" s="2" t="str">
        <f t="shared" ref="ICM948" ca="1" si="2841">IF(ICK948&lt;TODAY(),"VENCIDO",IF(ICK948=TODAY(),"VENCE HOY",IF(ICK948&gt;TODAY(),"VIGENTE")))</f>
        <v>VIGENTE</v>
      </c>
      <c r="ICN948" s="6" t="s">
        <v>25</v>
      </c>
      <c r="ICO948" s="23" t="s">
        <v>138</v>
      </c>
      <c r="ICP948" s="2" t="s">
        <v>433</v>
      </c>
      <c r="ICQ948" s="3" t="s">
        <v>22</v>
      </c>
      <c r="ICR948" s="3" t="s">
        <v>23</v>
      </c>
      <c r="ICS948" s="2" t="s">
        <v>24</v>
      </c>
      <c r="ICT948" s="4">
        <v>0</v>
      </c>
      <c r="ICU948" s="8">
        <f t="shared" ref="ICU948" si="2842">IF(ICQ948="Ionizador", 10, IF(ICQ948="Mesa", 1000000000, IF(ICQ948="Rack", 1000000000, IF(ICQ948="Piso", 1000000000, IF(ICQ948="Tapete", 1000000000, IF(ICQ948="Carrito", 1000000000, IF(ICQ948="Cautín", 10, 1)))))))</f>
        <v>1000000000</v>
      </c>
      <c r="ICV948" s="4" t="str">
        <f t="shared" ref="ICV948" si="2843">IF(ICQ948="Ionizador", "Segundos", "Ohms")</f>
        <v>Ohms</v>
      </c>
      <c r="ICW948" s="6">
        <v>148000000</v>
      </c>
      <c r="ICX948" s="6" t="str">
        <f t="shared" ref="ICX948" si="2844">ICV948</f>
        <v>Ohms</v>
      </c>
      <c r="ICY948" s="2" t="str">
        <f t="shared" ref="ICY948" si="2845">IF(ICQ948="Ionizador", "Plato de carga", IF(ICQ948="Cautín", "PTG", "RTG"))</f>
        <v>RTG</v>
      </c>
      <c r="ICZ948" s="7">
        <v>45992</v>
      </c>
      <c r="IDA948" s="7">
        <f t="shared" ref="IDA948" si="2846">IF(IDB948="Trimestral", ICZ948+90, IF(IDB948="Semestral", ICZ948+180, ICZ948+365))</f>
        <v>46172</v>
      </c>
      <c r="IDB948" s="7" t="str">
        <f t="shared" ref="IDB948" si="2847">IF(ICQ948="Ionizador", "Trimestral", IF(ICQ948="Rack", "Semestral", IF(ICQ948="Mesa", "Semestral", IF(ICQ948="Tapete", "Semestral", IF(ICQ948="Cautín", "Semestral", IF(ICQ948="Silla", "Semestral", "Anual"))))))</f>
        <v>Semestral</v>
      </c>
      <c r="IDC948" s="2" t="str">
        <f t="shared" ref="IDC948" ca="1" si="2848">IF(IDA948&lt;TODAY(),"VENCIDO",IF(IDA948=TODAY(),"VENCE HOY",IF(IDA948&gt;TODAY(),"VIGENTE")))</f>
        <v>VIGENTE</v>
      </c>
      <c r="IDD948" s="6" t="s">
        <v>25</v>
      </c>
      <c r="IDE948" s="23" t="s">
        <v>138</v>
      </c>
      <c r="IDF948" s="2" t="s">
        <v>433</v>
      </c>
      <c r="IDG948" s="3" t="s">
        <v>22</v>
      </c>
      <c r="IDH948" s="3" t="s">
        <v>23</v>
      </c>
      <c r="IDI948" s="2" t="s">
        <v>24</v>
      </c>
      <c r="IDJ948" s="4">
        <v>0</v>
      </c>
      <c r="IDK948" s="8">
        <f t="shared" ref="IDK948" si="2849">IF(IDG948="Ionizador", 10, IF(IDG948="Mesa", 1000000000, IF(IDG948="Rack", 1000000000, IF(IDG948="Piso", 1000000000, IF(IDG948="Tapete", 1000000000, IF(IDG948="Carrito", 1000000000, IF(IDG948="Cautín", 10, 1)))))))</f>
        <v>1000000000</v>
      </c>
      <c r="IDL948" s="4" t="str">
        <f t="shared" ref="IDL948" si="2850">IF(IDG948="Ionizador", "Segundos", "Ohms")</f>
        <v>Ohms</v>
      </c>
      <c r="IDM948" s="6">
        <v>148000000</v>
      </c>
      <c r="IDN948" s="6" t="str">
        <f t="shared" ref="IDN948" si="2851">IDL948</f>
        <v>Ohms</v>
      </c>
      <c r="IDO948" s="2" t="str">
        <f t="shared" ref="IDO948" si="2852">IF(IDG948="Ionizador", "Plato de carga", IF(IDG948="Cautín", "PTG", "RTG"))</f>
        <v>RTG</v>
      </c>
      <c r="IDP948" s="7">
        <v>45992</v>
      </c>
      <c r="IDQ948" s="7">
        <f t="shared" ref="IDQ948" si="2853">IF(IDR948="Trimestral", IDP948+90, IF(IDR948="Semestral", IDP948+180, IDP948+365))</f>
        <v>46172</v>
      </c>
      <c r="IDR948" s="7" t="str">
        <f t="shared" ref="IDR948" si="2854">IF(IDG948="Ionizador", "Trimestral", IF(IDG948="Rack", "Semestral", IF(IDG948="Mesa", "Semestral", IF(IDG948="Tapete", "Semestral", IF(IDG948="Cautín", "Semestral", IF(IDG948="Silla", "Semestral", "Anual"))))))</f>
        <v>Semestral</v>
      </c>
      <c r="IDS948" s="2" t="str">
        <f t="shared" ref="IDS948" ca="1" si="2855">IF(IDQ948&lt;TODAY(),"VENCIDO",IF(IDQ948=TODAY(),"VENCE HOY",IF(IDQ948&gt;TODAY(),"VIGENTE")))</f>
        <v>VIGENTE</v>
      </c>
      <c r="IDT948" s="6" t="s">
        <v>25</v>
      </c>
      <c r="IDU948" s="23" t="s">
        <v>138</v>
      </c>
      <c r="IDV948" s="2" t="s">
        <v>433</v>
      </c>
      <c r="IDW948" s="3" t="s">
        <v>22</v>
      </c>
      <c r="IDX948" s="3" t="s">
        <v>23</v>
      </c>
      <c r="IDY948" s="2" t="s">
        <v>24</v>
      </c>
      <c r="IDZ948" s="4">
        <v>0</v>
      </c>
      <c r="IEA948" s="8">
        <f t="shared" ref="IEA948" si="2856">IF(IDW948="Ionizador", 10, IF(IDW948="Mesa", 1000000000, IF(IDW948="Rack", 1000000000, IF(IDW948="Piso", 1000000000, IF(IDW948="Tapete", 1000000000, IF(IDW948="Carrito", 1000000000, IF(IDW948="Cautín", 10, 1)))))))</f>
        <v>1000000000</v>
      </c>
      <c r="IEB948" s="4" t="str">
        <f t="shared" ref="IEB948" si="2857">IF(IDW948="Ionizador", "Segundos", "Ohms")</f>
        <v>Ohms</v>
      </c>
      <c r="IEC948" s="6">
        <v>148000000</v>
      </c>
      <c r="IED948" s="6" t="str">
        <f t="shared" ref="IED948" si="2858">IEB948</f>
        <v>Ohms</v>
      </c>
      <c r="IEE948" s="2" t="str">
        <f t="shared" ref="IEE948" si="2859">IF(IDW948="Ionizador", "Plato de carga", IF(IDW948="Cautín", "PTG", "RTG"))</f>
        <v>RTG</v>
      </c>
      <c r="IEF948" s="7">
        <v>45992</v>
      </c>
      <c r="IEG948" s="7">
        <f t="shared" ref="IEG948" si="2860">IF(IEH948="Trimestral", IEF948+90, IF(IEH948="Semestral", IEF948+180, IEF948+365))</f>
        <v>46172</v>
      </c>
      <c r="IEH948" s="7" t="str">
        <f t="shared" ref="IEH948" si="2861">IF(IDW948="Ionizador", "Trimestral", IF(IDW948="Rack", "Semestral", IF(IDW948="Mesa", "Semestral", IF(IDW948="Tapete", "Semestral", IF(IDW948="Cautín", "Semestral", IF(IDW948="Silla", "Semestral", "Anual"))))))</f>
        <v>Semestral</v>
      </c>
      <c r="IEI948" s="2" t="str">
        <f t="shared" ref="IEI948" ca="1" si="2862">IF(IEG948&lt;TODAY(),"VENCIDO",IF(IEG948=TODAY(),"VENCE HOY",IF(IEG948&gt;TODAY(),"VIGENTE")))</f>
        <v>VIGENTE</v>
      </c>
      <c r="IEJ948" s="6" t="s">
        <v>25</v>
      </c>
      <c r="IEK948" s="23" t="s">
        <v>138</v>
      </c>
      <c r="IEL948" s="2" t="s">
        <v>433</v>
      </c>
      <c r="IEM948" s="3" t="s">
        <v>22</v>
      </c>
      <c r="IEN948" s="3" t="s">
        <v>23</v>
      </c>
      <c r="IEO948" s="2" t="s">
        <v>24</v>
      </c>
      <c r="IEP948" s="4">
        <v>0</v>
      </c>
      <c r="IEQ948" s="8">
        <f t="shared" ref="IEQ948" si="2863">IF(IEM948="Ionizador", 10, IF(IEM948="Mesa", 1000000000, IF(IEM948="Rack", 1000000000, IF(IEM948="Piso", 1000000000, IF(IEM948="Tapete", 1000000000, IF(IEM948="Carrito", 1000000000, IF(IEM948="Cautín", 10, 1)))))))</f>
        <v>1000000000</v>
      </c>
      <c r="IER948" s="4" t="str">
        <f t="shared" ref="IER948" si="2864">IF(IEM948="Ionizador", "Segundos", "Ohms")</f>
        <v>Ohms</v>
      </c>
      <c r="IES948" s="6">
        <v>148000000</v>
      </c>
      <c r="IET948" s="6" t="str">
        <f t="shared" ref="IET948" si="2865">IER948</f>
        <v>Ohms</v>
      </c>
      <c r="IEU948" s="2" t="str">
        <f t="shared" ref="IEU948" si="2866">IF(IEM948="Ionizador", "Plato de carga", IF(IEM948="Cautín", "PTG", "RTG"))</f>
        <v>RTG</v>
      </c>
      <c r="IEV948" s="7">
        <v>45992</v>
      </c>
      <c r="IEW948" s="7">
        <f t="shared" ref="IEW948" si="2867">IF(IEX948="Trimestral", IEV948+90, IF(IEX948="Semestral", IEV948+180, IEV948+365))</f>
        <v>46172</v>
      </c>
      <c r="IEX948" s="7" t="str">
        <f t="shared" ref="IEX948" si="2868">IF(IEM948="Ionizador", "Trimestral", IF(IEM948="Rack", "Semestral", IF(IEM948="Mesa", "Semestral", IF(IEM948="Tapete", "Semestral", IF(IEM948="Cautín", "Semestral", IF(IEM948="Silla", "Semestral", "Anual"))))))</f>
        <v>Semestral</v>
      </c>
      <c r="IEY948" s="2" t="str">
        <f t="shared" ref="IEY948" ca="1" si="2869">IF(IEW948&lt;TODAY(),"VENCIDO",IF(IEW948=TODAY(),"VENCE HOY",IF(IEW948&gt;TODAY(),"VIGENTE")))</f>
        <v>VIGENTE</v>
      </c>
      <c r="IEZ948" s="6" t="s">
        <v>25</v>
      </c>
      <c r="IFA948" s="23" t="s">
        <v>138</v>
      </c>
      <c r="IFB948" s="2" t="s">
        <v>433</v>
      </c>
      <c r="IFC948" s="3" t="s">
        <v>22</v>
      </c>
      <c r="IFD948" s="3" t="s">
        <v>23</v>
      </c>
      <c r="IFE948" s="2" t="s">
        <v>24</v>
      </c>
      <c r="IFF948" s="4">
        <v>0</v>
      </c>
      <c r="IFG948" s="8">
        <f t="shared" ref="IFG948" si="2870">IF(IFC948="Ionizador", 10, IF(IFC948="Mesa", 1000000000, IF(IFC948="Rack", 1000000000, IF(IFC948="Piso", 1000000000, IF(IFC948="Tapete", 1000000000, IF(IFC948="Carrito", 1000000000, IF(IFC948="Cautín", 10, 1)))))))</f>
        <v>1000000000</v>
      </c>
      <c r="IFH948" s="4" t="str">
        <f t="shared" ref="IFH948" si="2871">IF(IFC948="Ionizador", "Segundos", "Ohms")</f>
        <v>Ohms</v>
      </c>
      <c r="IFI948" s="6">
        <v>148000000</v>
      </c>
      <c r="IFJ948" s="6" t="str">
        <f t="shared" ref="IFJ948" si="2872">IFH948</f>
        <v>Ohms</v>
      </c>
      <c r="IFK948" s="2" t="str">
        <f t="shared" ref="IFK948" si="2873">IF(IFC948="Ionizador", "Plato de carga", IF(IFC948="Cautín", "PTG", "RTG"))</f>
        <v>RTG</v>
      </c>
      <c r="IFL948" s="7">
        <v>45992</v>
      </c>
      <c r="IFM948" s="7">
        <f t="shared" ref="IFM948" si="2874">IF(IFN948="Trimestral", IFL948+90, IF(IFN948="Semestral", IFL948+180, IFL948+365))</f>
        <v>46172</v>
      </c>
      <c r="IFN948" s="7" t="str">
        <f t="shared" ref="IFN948" si="2875">IF(IFC948="Ionizador", "Trimestral", IF(IFC948="Rack", "Semestral", IF(IFC948="Mesa", "Semestral", IF(IFC948="Tapete", "Semestral", IF(IFC948="Cautín", "Semestral", IF(IFC948="Silla", "Semestral", "Anual"))))))</f>
        <v>Semestral</v>
      </c>
      <c r="IFO948" s="2" t="str">
        <f t="shared" ref="IFO948" ca="1" si="2876">IF(IFM948&lt;TODAY(),"VENCIDO",IF(IFM948=TODAY(),"VENCE HOY",IF(IFM948&gt;TODAY(),"VIGENTE")))</f>
        <v>VIGENTE</v>
      </c>
      <c r="IFP948" s="6" t="s">
        <v>25</v>
      </c>
      <c r="IFQ948" s="23" t="s">
        <v>138</v>
      </c>
      <c r="IFR948" s="2" t="s">
        <v>433</v>
      </c>
      <c r="IFS948" s="3" t="s">
        <v>22</v>
      </c>
      <c r="IFT948" s="3" t="s">
        <v>23</v>
      </c>
      <c r="IFU948" s="2" t="s">
        <v>24</v>
      </c>
      <c r="IFV948" s="4">
        <v>0</v>
      </c>
      <c r="IFW948" s="8">
        <f t="shared" ref="IFW948" si="2877">IF(IFS948="Ionizador", 10, IF(IFS948="Mesa", 1000000000, IF(IFS948="Rack", 1000000000, IF(IFS948="Piso", 1000000000, IF(IFS948="Tapete", 1000000000, IF(IFS948="Carrito", 1000000000, IF(IFS948="Cautín", 10, 1)))))))</f>
        <v>1000000000</v>
      </c>
      <c r="IFX948" s="4" t="str">
        <f t="shared" ref="IFX948" si="2878">IF(IFS948="Ionizador", "Segundos", "Ohms")</f>
        <v>Ohms</v>
      </c>
      <c r="IFY948" s="6">
        <v>148000000</v>
      </c>
      <c r="IFZ948" s="6" t="str">
        <f t="shared" ref="IFZ948" si="2879">IFX948</f>
        <v>Ohms</v>
      </c>
      <c r="IGA948" s="2" t="str">
        <f t="shared" ref="IGA948" si="2880">IF(IFS948="Ionizador", "Plato de carga", IF(IFS948="Cautín", "PTG", "RTG"))</f>
        <v>RTG</v>
      </c>
      <c r="IGB948" s="7">
        <v>45992</v>
      </c>
      <c r="IGC948" s="7">
        <f t="shared" ref="IGC948" si="2881">IF(IGD948="Trimestral", IGB948+90, IF(IGD948="Semestral", IGB948+180, IGB948+365))</f>
        <v>46172</v>
      </c>
      <c r="IGD948" s="7" t="str">
        <f t="shared" ref="IGD948" si="2882">IF(IFS948="Ionizador", "Trimestral", IF(IFS948="Rack", "Semestral", IF(IFS948="Mesa", "Semestral", IF(IFS948="Tapete", "Semestral", IF(IFS948="Cautín", "Semestral", IF(IFS948="Silla", "Semestral", "Anual"))))))</f>
        <v>Semestral</v>
      </c>
      <c r="IGE948" s="2" t="str">
        <f t="shared" ref="IGE948" ca="1" si="2883">IF(IGC948&lt;TODAY(),"VENCIDO",IF(IGC948=TODAY(),"VENCE HOY",IF(IGC948&gt;TODAY(),"VIGENTE")))</f>
        <v>VIGENTE</v>
      </c>
      <c r="IGF948" s="6" t="s">
        <v>25</v>
      </c>
      <c r="IGG948" s="23" t="s">
        <v>138</v>
      </c>
      <c r="IGH948" s="2" t="s">
        <v>433</v>
      </c>
      <c r="IGI948" s="3" t="s">
        <v>22</v>
      </c>
      <c r="IGJ948" s="3" t="s">
        <v>23</v>
      </c>
      <c r="IGK948" s="2" t="s">
        <v>24</v>
      </c>
      <c r="IGL948" s="4">
        <v>0</v>
      </c>
      <c r="IGM948" s="8">
        <f t="shared" ref="IGM948" si="2884">IF(IGI948="Ionizador", 10, IF(IGI948="Mesa", 1000000000, IF(IGI948="Rack", 1000000000, IF(IGI948="Piso", 1000000000, IF(IGI948="Tapete", 1000000000, IF(IGI948="Carrito", 1000000000, IF(IGI948="Cautín", 10, 1)))))))</f>
        <v>1000000000</v>
      </c>
      <c r="IGN948" s="4" t="str">
        <f t="shared" ref="IGN948" si="2885">IF(IGI948="Ionizador", "Segundos", "Ohms")</f>
        <v>Ohms</v>
      </c>
      <c r="IGO948" s="6">
        <v>148000000</v>
      </c>
      <c r="IGP948" s="6" t="str">
        <f t="shared" ref="IGP948" si="2886">IGN948</f>
        <v>Ohms</v>
      </c>
      <c r="IGQ948" s="2" t="str">
        <f t="shared" ref="IGQ948" si="2887">IF(IGI948="Ionizador", "Plato de carga", IF(IGI948="Cautín", "PTG", "RTG"))</f>
        <v>RTG</v>
      </c>
      <c r="IGR948" s="7">
        <v>45992</v>
      </c>
      <c r="IGS948" s="7">
        <f t="shared" ref="IGS948" si="2888">IF(IGT948="Trimestral", IGR948+90, IF(IGT948="Semestral", IGR948+180, IGR948+365))</f>
        <v>46172</v>
      </c>
      <c r="IGT948" s="7" t="str">
        <f t="shared" ref="IGT948" si="2889">IF(IGI948="Ionizador", "Trimestral", IF(IGI948="Rack", "Semestral", IF(IGI948="Mesa", "Semestral", IF(IGI948="Tapete", "Semestral", IF(IGI948="Cautín", "Semestral", IF(IGI948="Silla", "Semestral", "Anual"))))))</f>
        <v>Semestral</v>
      </c>
      <c r="IGU948" s="2" t="str">
        <f t="shared" ref="IGU948" ca="1" si="2890">IF(IGS948&lt;TODAY(),"VENCIDO",IF(IGS948=TODAY(),"VENCE HOY",IF(IGS948&gt;TODAY(),"VIGENTE")))</f>
        <v>VIGENTE</v>
      </c>
      <c r="IGV948" s="6" t="s">
        <v>25</v>
      </c>
      <c r="IGW948" s="23" t="s">
        <v>138</v>
      </c>
      <c r="IGX948" s="2" t="s">
        <v>433</v>
      </c>
      <c r="IGY948" s="3" t="s">
        <v>22</v>
      </c>
      <c r="IGZ948" s="3" t="s">
        <v>23</v>
      </c>
      <c r="IHA948" s="2" t="s">
        <v>24</v>
      </c>
      <c r="IHB948" s="4">
        <v>0</v>
      </c>
      <c r="IHC948" s="8">
        <f t="shared" ref="IHC948" si="2891">IF(IGY948="Ionizador", 10, IF(IGY948="Mesa", 1000000000, IF(IGY948="Rack", 1000000000, IF(IGY948="Piso", 1000000000, IF(IGY948="Tapete", 1000000000, IF(IGY948="Carrito", 1000000000, IF(IGY948="Cautín", 10, 1)))))))</f>
        <v>1000000000</v>
      </c>
      <c r="IHD948" s="4" t="str">
        <f t="shared" ref="IHD948" si="2892">IF(IGY948="Ionizador", "Segundos", "Ohms")</f>
        <v>Ohms</v>
      </c>
      <c r="IHE948" s="6">
        <v>148000000</v>
      </c>
      <c r="IHF948" s="6" t="str">
        <f t="shared" ref="IHF948" si="2893">IHD948</f>
        <v>Ohms</v>
      </c>
      <c r="IHG948" s="2" t="str">
        <f t="shared" ref="IHG948" si="2894">IF(IGY948="Ionizador", "Plato de carga", IF(IGY948="Cautín", "PTG", "RTG"))</f>
        <v>RTG</v>
      </c>
      <c r="IHH948" s="7">
        <v>45992</v>
      </c>
      <c r="IHI948" s="7">
        <f t="shared" ref="IHI948" si="2895">IF(IHJ948="Trimestral", IHH948+90, IF(IHJ948="Semestral", IHH948+180, IHH948+365))</f>
        <v>46172</v>
      </c>
      <c r="IHJ948" s="7" t="str">
        <f t="shared" ref="IHJ948" si="2896">IF(IGY948="Ionizador", "Trimestral", IF(IGY948="Rack", "Semestral", IF(IGY948="Mesa", "Semestral", IF(IGY948="Tapete", "Semestral", IF(IGY948="Cautín", "Semestral", IF(IGY948="Silla", "Semestral", "Anual"))))))</f>
        <v>Semestral</v>
      </c>
      <c r="IHK948" s="2" t="str">
        <f t="shared" ref="IHK948" ca="1" si="2897">IF(IHI948&lt;TODAY(),"VENCIDO",IF(IHI948=TODAY(),"VENCE HOY",IF(IHI948&gt;TODAY(),"VIGENTE")))</f>
        <v>VIGENTE</v>
      </c>
      <c r="IHL948" s="6" t="s">
        <v>25</v>
      </c>
      <c r="IHM948" s="23" t="s">
        <v>138</v>
      </c>
      <c r="IHN948" s="2" t="s">
        <v>433</v>
      </c>
      <c r="IHO948" s="3" t="s">
        <v>22</v>
      </c>
      <c r="IHP948" s="3" t="s">
        <v>23</v>
      </c>
      <c r="IHQ948" s="2" t="s">
        <v>24</v>
      </c>
      <c r="IHR948" s="4">
        <v>0</v>
      </c>
      <c r="IHS948" s="8">
        <f t="shared" ref="IHS948" si="2898">IF(IHO948="Ionizador", 10, IF(IHO948="Mesa", 1000000000, IF(IHO948="Rack", 1000000000, IF(IHO948="Piso", 1000000000, IF(IHO948="Tapete", 1000000000, IF(IHO948="Carrito", 1000000000, IF(IHO948="Cautín", 10, 1)))))))</f>
        <v>1000000000</v>
      </c>
      <c r="IHT948" s="4" t="str">
        <f t="shared" ref="IHT948" si="2899">IF(IHO948="Ionizador", "Segundos", "Ohms")</f>
        <v>Ohms</v>
      </c>
      <c r="IHU948" s="6">
        <v>148000000</v>
      </c>
      <c r="IHV948" s="6" t="str">
        <f t="shared" ref="IHV948" si="2900">IHT948</f>
        <v>Ohms</v>
      </c>
      <c r="IHW948" s="2" t="str">
        <f t="shared" ref="IHW948" si="2901">IF(IHO948="Ionizador", "Plato de carga", IF(IHO948="Cautín", "PTG", "RTG"))</f>
        <v>RTG</v>
      </c>
      <c r="IHX948" s="7">
        <v>45992</v>
      </c>
      <c r="IHY948" s="7">
        <f t="shared" ref="IHY948" si="2902">IF(IHZ948="Trimestral", IHX948+90, IF(IHZ948="Semestral", IHX948+180, IHX948+365))</f>
        <v>46172</v>
      </c>
      <c r="IHZ948" s="7" t="str">
        <f t="shared" ref="IHZ948" si="2903">IF(IHO948="Ionizador", "Trimestral", IF(IHO948="Rack", "Semestral", IF(IHO948="Mesa", "Semestral", IF(IHO948="Tapete", "Semestral", IF(IHO948="Cautín", "Semestral", IF(IHO948="Silla", "Semestral", "Anual"))))))</f>
        <v>Semestral</v>
      </c>
      <c r="IIA948" s="2" t="str">
        <f t="shared" ref="IIA948" ca="1" si="2904">IF(IHY948&lt;TODAY(),"VENCIDO",IF(IHY948=TODAY(),"VENCE HOY",IF(IHY948&gt;TODAY(),"VIGENTE")))</f>
        <v>VIGENTE</v>
      </c>
      <c r="IIB948" s="6" t="s">
        <v>25</v>
      </c>
      <c r="IIC948" s="23" t="s">
        <v>138</v>
      </c>
      <c r="IID948" s="2" t="s">
        <v>433</v>
      </c>
      <c r="IIE948" s="3" t="s">
        <v>22</v>
      </c>
      <c r="IIF948" s="3" t="s">
        <v>23</v>
      </c>
      <c r="IIG948" s="2" t="s">
        <v>24</v>
      </c>
      <c r="IIH948" s="4">
        <v>0</v>
      </c>
      <c r="III948" s="8">
        <f t="shared" ref="III948" si="2905">IF(IIE948="Ionizador", 10, IF(IIE948="Mesa", 1000000000, IF(IIE948="Rack", 1000000000, IF(IIE948="Piso", 1000000000, IF(IIE948="Tapete", 1000000000, IF(IIE948="Carrito", 1000000000, IF(IIE948="Cautín", 10, 1)))))))</f>
        <v>1000000000</v>
      </c>
      <c r="IIJ948" s="4" t="str">
        <f t="shared" ref="IIJ948" si="2906">IF(IIE948="Ionizador", "Segundos", "Ohms")</f>
        <v>Ohms</v>
      </c>
      <c r="IIK948" s="6">
        <v>148000000</v>
      </c>
      <c r="IIL948" s="6" t="str">
        <f t="shared" ref="IIL948" si="2907">IIJ948</f>
        <v>Ohms</v>
      </c>
      <c r="IIM948" s="2" t="str">
        <f t="shared" ref="IIM948" si="2908">IF(IIE948="Ionizador", "Plato de carga", IF(IIE948="Cautín", "PTG", "RTG"))</f>
        <v>RTG</v>
      </c>
      <c r="IIN948" s="7">
        <v>45992</v>
      </c>
      <c r="IIO948" s="7">
        <f t="shared" ref="IIO948" si="2909">IF(IIP948="Trimestral", IIN948+90, IF(IIP948="Semestral", IIN948+180, IIN948+365))</f>
        <v>46172</v>
      </c>
      <c r="IIP948" s="7" t="str">
        <f t="shared" ref="IIP948" si="2910">IF(IIE948="Ionizador", "Trimestral", IF(IIE948="Rack", "Semestral", IF(IIE948="Mesa", "Semestral", IF(IIE948="Tapete", "Semestral", IF(IIE948="Cautín", "Semestral", IF(IIE948="Silla", "Semestral", "Anual"))))))</f>
        <v>Semestral</v>
      </c>
      <c r="IIQ948" s="2" t="str">
        <f t="shared" ref="IIQ948" ca="1" si="2911">IF(IIO948&lt;TODAY(),"VENCIDO",IF(IIO948=TODAY(),"VENCE HOY",IF(IIO948&gt;TODAY(),"VIGENTE")))</f>
        <v>VIGENTE</v>
      </c>
      <c r="IIR948" s="6" t="s">
        <v>25</v>
      </c>
      <c r="IIS948" s="23" t="s">
        <v>138</v>
      </c>
      <c r="IIT948" s="2" t="s">
        <v>433</v>
      </c>
      <c r="IIU948" s="3" t="s">
        <v>22</v>
      </c>
      <c r="IIV948" s="3" t="s">
        <v>23</v>
      </c>
      <c r="IIW948" s="2" t="s">
        <v>24</v>
      </c>
      <c r="IIX948" s="4">
        <v>0</v>
      </c>
      <c r="IIY948" s="8">
        <f t="shared" ref="IIY948" si="2912">IF(IIU948="Ionizador", 10, IF(IIU948="Mesa", 1000000000, IF(IIU948="Rack", 1000000000, IF(IIU948="Piso", 1000000000, IF(IIU948="Tapete", 1000000000, IF(IIU948="Carrito", 1000000000, IF(IIU948="Cautín", 10, 1)))))))</f>
        <v>1000000000</v>
      </c>
      <c r="IIZ948" s="4" t="str">
        <f t="shared" ref="IIZ948" si="2913">IF(IIU948="Ionizador", "Segundos", "Ohms")</f>
        <v>Ohms</v>
      </c>
      <c r="IJA948" s="6">
        <v>148000000</v>
      </c>
      <c r="IJB948" s="6" t="str">
        <f t="shared" ref="IJB948" si="2914">IIZ948</f>
        <v>Ohms</v>
      </c>
      <c r="IJC948" s="2" t="str">
        <f t="shared" ref="IJC948" si="2915">IF(IIU948="Ionizador", "Plato de carga", IF(IIU948="Cautín", "PTG", "RTG"))</f>
        <v>RTG</v>
      </c>
      <c r="IJD948" s="7">
        <v>45992</v>
      </c>
      <c r="IJE948" s="7">
        <f t="shared" ref="IJE948" si="2916">IF(IJF948="Trimestral", IJD948+90, IF(IJF948="Semestral", IJD948+180, IJD948+365))</f>
        <v>46172</v>
      </c>
      <c r="IJF948" s="7" t="str">
        <f t="shared" ref="IJF948" si="2917">IF(IIU948="Ionizador", "Trimestral", IF(IIU948="Rack", "Semestral", IF(IIU948="Mesa", "Semestral", IF(IIU948="Tapete", "Semestral", IF(IIU948="Cautín", "Semestral", IF(IIU948="Silla", "Semestral", "Anual"))))))</f>
        <v>Semestral</v>
      </c>
      <c r="IJG948" s="2" t="str">
        <f t="shared" ref="IJG948" ca="1" si="2918">IF(IJE948&lt;TODAY(),"VENCIDO",IF(IJE948=TODAY(),"VENCE HOY",IF(IJE948&gt;TODAY(),"VIGENTE")))</f>
        <v>VIGENTE</v>
      </c>
      <c r="IJH948" s="6" t="s">
        <v>25</v>
      </c>
      <c r="IJI948" s="23" t="s">
        <v>138</v>
      </c>
      <c r="IJJ948" s="2" t="s">
        <v>433</v>
      </c>
      <c r="IJK948" s="3" t="s">
        <v>22</v>
      </c>
      <c r="IJL948" s="3" t="s">
        <v>23</v>
      </c>
      <c r="IJM948" s="2" t="s">
        <v>24</v>
      </c>
      <c r="IJN948" s="4">
        <v>0</v>
      </c>
      <c r="IJO948" s="8">
        <f t="shared" ref="IJO948" si="2919">IF(IJK948="Ionizador", 10, IF(IJK948="Mesa", 1000000000, IF(IJK948="Rack", 1000000000, IF(IJK948="Piso", 1000000000, IF(IJK948="Tapete", 1000000000, IF(IJK948="Carrito", 1000000000, IF(IJK948="Cautín", 10, 1)))))))</f>
        <v>1000000000</v>
      </c>
      <c r="IJP948" s="4" t="str">
        <f t="shared" ref="IJP948" si="2920">IF(IJK948="Ionizador", "Segundos", "Ohms")</f>
        <v>Ohms</v>
      </c>
      <c r="IJQ948" s="6">
        <v>148000000</v>
      </c>
      <c r="IJR948" s="6" t="str">
        <f t="shared" ref="IJR948" si="2921">IJP948</f>
        <v>Ohms</v>
      </c>
      <c r="IJS948" s="2" t="str">
        <f t="shared" ref="IJS948" si="2922">IF(IJK948="Ionizador", "Plato de carga", IF(IJK948="Cautín", "PTG", "RTG"))</f>
        <v>RTG</v>
      </c>
      <c r="IJT948" s="7">
        <v>45992</v>
      </c>
      <c r="IJU948" s="7">
        <f t="shared" ref="IJU948" si="2923">IF(IJV948="Trimestral", IJT948+90, IF(IJV948="Semestral", IJT948+180, IJT948+365))</f>
        <v>46172</v>
      </c>
      <c r="IJV948" s="7" t="str">
        <f t="shared" ref="IJV948" si="2924">IF(IJK948="Ionizador", "Trimestral", IF(IJK948="Rack", "Semestral", IF(IJK948="Mesa", "Semestral", IF(IJK948="Tapete", "Semestral", IF(IJK948="Cautín", "Semestral", IF(IJK948="Silla", "Semestral", "Anual"))))))</f>
        <v>Semestral</v>
      </c>
      <c r="IJW948" s="2" t="str">
        <f t="shared" ref="IJW948" ca="1" si="2925">IF(IJU948&lt;TODAY(),"VENCIDO",IF(IJU948=TODAY(),"VENCE HOY",IF(IJU948&gt;TODAY(),"VIGENTE")))</f>
        <v>VIGENTE</v>
      </c>
      <c r="IJX948" s="6" t="s">
        <v>25</v>
      </c>
      <c r="IJY948" s="23" t="s">
        <v>138</v>
      </c>
      <c r="IJZ948" s="2" t="s">
        <v>433</v>
      </c>
      <c r="IKA948" s="3" t="s">
        <v>22</v>
      </c>
      <c r="IKB948" s="3" t="s">
        <v>23</v>
      </c>
      <c r="IKC948" s="2" t="s">
        <v>24</v>
      </c>
      <c r="IKD948" s="4">
        <v>0</v>
      </c>
      <c r="IKE948" s="8">
        <f t="shared" ref="IKE948" si="2926">IF(IKA948="Ionizador", 10, IF(IKA948="Mesa", 1000000000, IF(IKA948="Rack", 1000000000, IF(IKA948="Piso", 1000000000, IF(IKA948="Tapete", 1000000000, IF(IKA948="Carrito", 1000000000, IF(IKA948="Cautín", 10, 1)))))))</f>
        <v>1000000000</v>
      </c>
      <c r="IKF948" s="4" t="str">
        <f t="shared" ref="IKF948" si="2927">IF(IKA948="Ionizador", "Segundos", "Ohms")</f>
        <v>Ohms</v>
      </c>
      <c r="IKG948" s="6">
        <v>148000000</v>
      </c>
      <c r="IKH948" s="6" t="str">
        <f t="shared" ref="IKH948" si="2928">IKF948</f>
        <v>Ohms</v>
      </c>
      <c r="IKI948" s="2" t="str">
        <f t="shared" ref="IKI948" si="2929">IF(IKA948="Ionizador", "Plato de carga", IF(IKA948="Cautín", "PTG", "RTG"))</f>
        <v>RTG</v>
      </c>
      <c r="IKJ948" s="7">
        <v>45992</v>
      </c>
      <c r="IKK948" s="7">
        <f t="shared" ref="IKK948" si="2930">IF(IKL948="Trimestral", IKJ948+90, IF(IKL948="Semestral", IKJ948+180, IKJ948+365))</f>
        <v>46172</v>
      </c>
      <c r="IKL948" s="7" t="str">
        <f t="shared" ref="IKL948" si="2931">IF(IKA948="Ionizador", "Trimestral", IF(IKA948="Rack", "Semestral", IF(IKA948="Mesa", "Semestral", IF(IKA948="Tapete", "Semestral", IF(IKA948="Cautín", "Semestral", IF(IKA948="Silla", "Semestral", "Anual"))))))</f>
        <v>Semestral</v>
      </c>
      <c r="IKM948" s="2" t="str">
        <f t="shared" ref="IKM948" ca="1" si="2932">IF(IKK948&lt;TODAY(),"VENCIDO",IF(IKK948=TODAY(),"VENCE HOY",IF(IKK948&gt;TODAY(),"VIGENTE")))</f>
        <v>VIGENTE</v>
      </c>
      <c r="IKN948" s="6" t="s">
        <v>25</v>
      </c>
      <c r="IKO948" s="23" t="s">
        <v>138</v>
      </c>
      <c r="IKP948" s="2" t="s">
        <v>433</v>
      </c>
      <c r="IKQ948" s="3" t="s">
        <v>22</v>
      </c>
      <c r="IKR948" s="3" t="s">
        <v>23</v>
      </c>
      <c r="IKS948" s="2" t="s">
        <v>24</v>
      </c>
      <c r="IKT948" s="4">
        <v>0</v>
      </c>
      <c r="IKU948" s="8">
        <f t="shared" ref="IKU948" si="2933">IF(IKQ948="Ionizador", 10, IF(IKQ948="Mesa", 1000000000, IF(IKQ948="Rack", 1000000000, IF(IKQ948="Piso", 1000000000, IF(IKQ948="Tapete", 1000000000, IF(IKQ948="Carrito", 1000000000, IF(IKQ948="Cautín", 10, 1)))))))</f>
        <v>1000000000</v>
      </c>
      <c r="IKV948" s="4" t="str">
        <f t="shared" ref="IKV948" si="2934">IF(IKQ948="Ionizador", "Segundos", "Ohms")</f>
        <v>Ohms</v>
      </c>
      <c r="IKW948" s="6">
        <v>148000000</v>
      </c>
      <c r="IKX948" s="6" t="str">
        <f t="shared" ref="IKX948" si="2935">IKV948</f>
        <v>Ohms</v>
      </c>
      <c r="IKY948" s="2" t="str">
        <f t="shared" ref="IKY948" si="2936">IF(IKQ948="Ionizador", "Plato de carga", IF(IKQ948="Cautín", "PTG", "RTG"))</f>
        <v>RTG</v>
      </c>
      <c r="IKZ948" s="7">
        <v>45992</v>
      </c>
      <c r="ILA948" s="7">
        <f t="shared" ref="ILA948" si="2937">IF(ILB948="Trimestral", IKZ948+90, IF(ILB948="Semestral", IKZ948+180, IKZ948+365))</f>
        <v>46172</v>
      </c>
      <c r="ILB948" s="7" t="str">
        <f t="shared" ref="ILB948" si="2938">IF(IKQ948="Ionizador", "Trimestral", IF(IKQ948="Rack", "Semestral", IF(IKQ948="Mesa", "Semestral", IF(IKQ948="Tapete", "Semestral", IF(IKQ948="Cautín", "Semestral", IF(IKQ948="Silla", "Semestral", "Anual"))))))</f>
        <v>Semestral</v>
      </c>
      <c r="ILC948" s="2" t="str">
        <f t="shared" ref="ILC948" ca="1" si="2939">IF(ILA948&lt;TODAY(),"VENCIDO",IF(ILA948=TODAY(),"VENCE HOY",IF(ILA948&gt;TODAY(),"VIGENTE")))</f>
        <v>VIGENTE</v>
      </c>
      <c r="ILD948" s="6" t="s">
        <v>25</v>
      </c>
      <c r="ILE948" s="23" t="s">
        <v>138</v>
      </c>
      <c r="ILF948" s="2" t="s">
        <v>433</v>
      </c>
      <c r="ILG948" s="3" t="s">
        <v>22</v>
      </c>
      <c r="ILH948" s="3" t="s">
        <v>23</v>
      </c>
      <c r="ILI948" s="2" t="s">
        <v>24</v>
      </c>
      <c r="ILJ948" s="4">
        <v>0</v>
      </c>
      <c r="ILK948" s="8">
        <f t="shared" ref="ILK948" si="2940">IF(ILG948="Ionizador", 10, IF(ILG948="Mesa", 1000000000, IF(ILG948="Rack", 1000000000, IF(ILG948="Piso", 1000000000, IF(ILG948="Tapete", 1000000000, IF(ILG948="Carrito", 1000000000, IF(ILG948="Cautín", 10, 1)))))))</f>
        <v>1000000000</v>
      </c>
      <c r="ILL948" s="4" t="str">
        <f t="shared" ref="ILL948" si="2941">IF(ILG948="Ionizador", "Segundos", "Ohms")</f>
        <v>Ohms</v>
      </c>
      <c r="ILM948" s="6">
        <v>148000000</v>
      </c>
      <c r="ILN948" s="6" t="str">
        <f t="shared" ref="ILN948" si="2942">ILL948</f>
        <v>Ohms</v>
      </c>
      <c r="ILO948" s="2" t="str">
        <f t="shared" ref="ILO948" si="2943">IF(ILG948="Ionizador", "Plato de carga", IF(ILG948="Cautín", "PTG", "RTG"))</f>
        <v>RTG</v>
      </c>
      <c r="ILP948" s="7">
        <v>45992</v>
      </c>
      <c r="ILQ948" s="7">
        <f t="shared" ref="ILQ948" si="2944">IF(ILR948="Trimestral", ILP948+90, IF(ILR948="Semestral", ILP948+180, ILP948+365))</f>
        <v>46172</v>
      </c>
      <c r="ILR948" s="7" t="str">
        <f t="shared" ref="ILR948" si="2945">IF(ILG948="Ionizador", "Trimestral", IF(ILG948="Rack", "Semestral", IF(ILG948="Mesa", "Semestral", IF(ILG948="Tapete", "Semestral", IF(ILG948="Cautín", "Semestral", IF(ILG948="Silla", "Semestral", "Anual"))))))</f>
        <v>Semestral</v>
      </c>
      <c r="ILS948" s="2" t="str">
        <f t="shared" ref="ILS948" ca="1" si="2946">IF(ILQ948&lt;TODAY(),"VENCIDO",IF(ILQ948=TODAY(),"VENCE HOY",IF(ILQ948&gt;TODAY(),"VIGENTE")))</f>
        <v>VIGENTE</v>
      </c>
      <c r="ILT948" s="6" t="s">
        <v>25</v>
      </c>
      <c r="ILU948" s="23" t="s">
        <v>138</v>
      </c>
      <c r="ILV948" s="2" t="s">
        <v>433</v>
      </c>
      <c r="ILW948" s="3" t="s">
        <v>22</v>
      </c>
      <c r="ILX948" s="3" t="s">
        <v>23</v>
      </c>
      <c r="ILY948" s="2" t="s">
        <v>24</v>
      </c>
      <c r="ILZ948" s="4">
        <v>0</v>
      </c>
      <c r="IMA948" s="8">
        <f t="shared" ref="IMA948" si="2947">IF(ILW948="Ionizador", 10, IF(ILW948="Mesa", 1000000000, IF(ILW948="Rack", 1000000000, IF(ILW948="Piso", 1000000000, IF(ILW948="Tapete", 1000000000, IF(ILW948="Carrito", 1000000000, IF(ILW948="Cautín", 10, 1)))))))</f>
        <v>1000000000</v>
      </c>
      <c r="IMB948" s="4" t="str">
        <f t="shared" ref="IMB948" si="2948">IF(ILW948="Ionizador", "Segundos", "Ohms")</f>
        <v>Ohms</v>
      </c>
      <c r="IMC948" s="6">
        <v>148000000</v>
      </c>
      <c r="IMD948" s="6" t="str">
        <f t="shared" ref="IMD948" si="2949">IMB948</f>
        <v>Ohms</v>
      </c>
      <c r="IME948" s="2" t="str">
        <f t="shared" ref="IME948" si="2950">IF(ILW948="Ionizador", "Plato de carga", IF(ILW948="Cautín", "PTG", "RTG"))</f>
        <v>RTG</v>
      </c>
      <c r="IMF948" s="7">
        <v>45992</v>
      </c>
      <c r="IMG948" s="7">
        <f t="shared" ref="IMG948" si="2951">IF(IMH948="Trimestral", IMF948+90, IF(IMH948="Semestral", IMF948+180, IMF948+365))</f>
        <v>46172</v>
      </c>
      <c r="IMH948" s="7" t="str">
        <f t="shared" ref="IMH948" si="2952">IF(ILW948="Ionizador", "Trimestral", IF(ILW948="Rack", "Semestral", IF(ILW948="Mesa", "Semestral", IF(ILW948="Tapete", "Semestral", IF(ILW948="Cautín", "Semestral", IF(ILW948="Silla", "Semestral", "Anual"))))))</f>
        <v>Semestral</v>
      </c>
      <c r="IMI948" s="2" t="str">
        <f t="shared" ref="IMI948" ca="1" si="2953">IF(IMG948&lt;TODAY(),"VENCIDO",IF(IMG948=TODAY(),"VENCE HOY",IF(IMG948&gt;TODAY(),"VIGENTE")))</f>
        <v>VIGENTE</v>
      </c>
      <c r="IMJ948" s="6" t="s">
        <v>25</v>
      </c>
      <c r="IMK948" s="23" t="s">
        <v>138</v>
      </c>
      <c r="IML948" s="2" t="s">
        <v>433</v>
      </c>
      <c r="IMM948" s="3" t="s">
        <v>22</v>
      </c>
      <c r="IMN948" s="3" t="s">
        <v>23</v>
      </c>
      <c r="IMO948" s="2" t="s">
        <v>24</v>
      </c>
      <c r="IMP948" s="4">
        <v>0</v>
      </c>
      <c r="IMQ948" s="8">
        <f t="shared" ref="IMQ948" si="2954">IF(IMM948="Ionizador", 10, IF(IMM948="Mesa", 1000000000, IF(IMM948="Rack", 1000000000, IF(IMM948="Piso", 1000000000, IF(IMM948="Tapete", 1000000000, IF(IMM948="Carrito", 1000000000, IF(IMM948="Cautín", 10, 1)))))))</f>
        <v>1000000000</v>
      </c>
      <c r="IMR948" s="4" t="str">
        <f t="shared" ref="IMR948" si="2955">IF(IMM948="Ionizador", "Segundos", "Ohms")</f>
        <v>Ohms</v>
      </c>
      <c r="IMS948" s="6">
        <v>148000000</v>
      </c>
      <c r="IMT948" s="6" t="str">
        <f t="shared" ref="IMT948" si="2956">IMR948</f>
        <v>Ohms</v>
      </c>
      <c r="IMU948" s="2" t="str">
        <f t="shared" ref="IMU948" si="2957">IF(IMM948="Ionizador", "Plato de carga", IF(IMM948="Cautín", "PTG", "RTG"))</f>
        <v>RTG</v>
      </c>
      <c r="IMV948" s="7">
        <v>45992</v>
      </c>
      <c r="IMW948" s="7">
        <f t="shared" ref="IMW948" si="2958">IF(IMX948="Trimestral", IMV948+90, IF(IMX948="Semestral", IMV948+180, IMV948+365))</f>
        <v>46172</v>
      </c>
      <c r="IMX948" s="7" t="str">
        <f t="shared" ref="IMX948" si="2959">IF(IMM948="Ionizador", "Trimestral", IF(IMM948="Rack", "Semestral", IF(IMM948="Mesa", "Semestral", IF(IMM948="Tapete", "Semestral", IF(IMM948="Cautín", "Semestral", IF(IMM948="Silla", "Semestral", "Anual"))))))</f>
        <v>Semestral</v>
      </c>
      <c r="IMY948" s="2" t="str">
        <f t="shared" ref="IMY948" ca="1" si="2960">IF(IMW948&lt;TODAY(),"VENCIDO",IF(IMW948=TODAY(),"VENCE HOY",IF(IMW948&gt;TODAY(),"VIGENTE")))</f>
        <v>VIGENTE</v>
      </c>
      <c r="IMZ948" s="6" t="s">
        <v>25</v>
      </c>
      <c r="INA948" s="23" t="s">
        <v>138</v>
      </c>
      <c r="INB948" s="2" t="s">
        <v>433</v>
      </c>
      <c r="INC948" s="3" t="s">
        <v>22</v>
      </c>
      <c r="IND948" s="3" t="s">
        <v>23</v>
      </c>
      <c r="INE948" s="2" t="s">
        <v>24</v>
      </c>
      <c r="INF948" s="4">
        <v>0</v>
      </c>
      <c r="ING948" s="8">
        <f t="shared" ref="ING948" si="2961">IF(INC948="Ionizador", 10, IF(INC948="Mesa", 1000000000, IF(INC948="Rack", 1000000000, IF(INC948="Piso", 1000000000, IF(INC948="Tapete", 1000000000, IF(INC948="Carrito", 1000000000, IF(INC948="Cautín", 10, 1)))))))</f>
        <v>1000000000</v>
      </c>
      <c r="INH948" s="4" t="str">
        <f t="shared" ref="INH948" si="2962">IF(INC948="Ionizador", "Segundos", "Ohms")</f>
        <v>Ohms</v>
      </c>
      <c r="INI948" s="6">
        <v>148000000</v>
      </c>
      <c r="INJ948" s="6" t="str">
        <f t="shared" ref="INJ948" si="2963">INH948</f>
        <v>Ohms</v>
      </c>
      <c r="INK948" s="2" t="str">
        <f t="shared" ref="INK948" si="2964">IF(INC948="Ionizador", "Plato de carga", IF(INC948="Cautín", "PTG", "RTG"))</f>
        <v>RTG</v>
      </c>
      <c r="INL948" s="7">
        <v>45992</v>
      </c>
      <c r="INM948" s="7">
        <f t="shared" ref="INM948" si="2965">IF(INN948="Trimestral", INL948+90, IF(INN948="Semestral", INL948+180, INL948+365))</f>
        <v>46172</v>
      </c>
      <c r="INN948" s="7" t="str">
        <f t="shared" ref="INN948" si="2966">IF(INC948="Ionizador", "Trimestral", IF(INC948="Rack", "Semestral", IF(INC948="Mesa", "Semestral", IF(INC948="Tapete", "Semestral", IF(INC948="Cautín", "Semestral", IF(INC948="Silla", "Semestral", "Anual"))))))</f>
        <v>Semestral</v>
      </c>
      <c r="INO948" s="2" t="str">
        <f t="shared" ref="INO948" ca="1" si="2967">IF(INM948&lt;TODAY(),"VENCIDO",IF(INM948=TODAY(),"VENCE HOY",IF(INM948&gt;TODAY(),"VIGENTE")))</f>
        <v>VIGENTE</v>
      </c>
      <c r="INP948" s="6" t="s">
        <v>25</v>
      </c>
      <c r="INQ948" s="23" t="s">
        <v>138</v>
      </c>
      <c r="INR948" s="2" t="s">
        <v>433</v>
      </c>
      <c r="INS948" s="3" t="s">
        <v>22</v>
      </c>
      <c r="INT948" s="3" t="s">
        <v>23</v>
      </c>
      <c r="INU948" s="2" t="s">
        <v>24</v>
      </c>
      <c r="INV948" s="4">
        <v>0</v>
      </c>
      <c r="INW948" s="8">
        <f t="shared" ref="INW948" si="2968">IF(INS948="Ionizador", 10, IF(INS948="Mesa", 1000000000, IF(INS948="Rack", 1000000000, IF(INS948="Piso", 1000000000, IF(INS948="Tapete", 1000000000, IF(INS948="Carrito", 1000000000, IF(INS948="Cautín", 10, 1)))))))</f>
        <v>1000000000</v>
      </c>
      <c r="INX948" s="4" t="str">
        <f t="shared" ref="INX948" si="2969">IF(INS948="Ionizador", "Segundos", "Ohms")</f>
        <v>Ohms</v>
      </c>
      <c r="INY948" s="6">
        <v>148000000</v>
      </c>
      <c r="INZ948" s="6" t="str">
        <f t="shared" ref="INZ948" si="2970">INX948</f>
        <v>Ohms</v>
      </c>
      <c r="IOA948" s="2" t="str">
        <f t="shared" ref="IOA948" si="2971">IF(INS948="Ionizador", "Plato de carga", IF(INS948="Cautín", "PTG", "RTG"))</f>
        <v>RTG</v>
      </c>
      <c r="IOB948" s="7">
        <v>45992</v>
      </c>
      <c r="IOC948" s="7">
        <f t="shared" ref="IOC948" si="2972">IF(IOD948="Trimestral", IOB948+90, IF(IOD948="Semestral", IOB948+180, IOB948+365))</f>
        <v>46172</v>
      </c>
      <c r="IOD948" s="7" t="str">
        <f t="shared" ref="IOD948" si="2973">IF(INS948="Ionizador", "Trimestral", IF(INS948="Rack", "Semestral", IF(INS948="Mesa", "Semestral", IF(INS948="Tapete", "Semestral", IF(INS948="Cautín", "Semestral", IF(INS948="Silla", "Semestral", "Anual"))))))</f>
        <v>Semestral</v>
      </c>
      <c r="IOE948" s="2" t="str">
        <f t="shared" ref="IOE948" ca="1" si="2974">IF(IOC948&lt;TODAY(),"VENCIDO",IF(IOC948=TODAY(),"VENCE HOY",IF(IOC948&gt;TODAY(),"VIGENTE")))</f>
        <v>VIGENTE</v>
      </c>
      <c r="IOF948" s="6" t="s">
        <v>25</v>
      </c>
      <c r="IOG948" s="23" t="s">
        <v>138</v>
      </c>
      <c r="IOH948" s="2" t="s">
        <v>433</v>
      </c>
      <c r="IOI948" s="3" t="s">
        <v>22</v>
      </c>
      <c r="IOJ948" s="3" t="s">
        <v>23</v>
      </c>
      <c r="IOK948" s="2" t="s">
        <v>24</v>
      </c>
      <c r="IOL948" s="4">
        <v>0</v>
      </c>
      <c r="IOM948" s="8">
        <f t="shared" ref="IOM948" si="2975">IF(IOI948="Ionizador", 10, IF(IOI948="Mesa", 1000000000, IF(IOI948="Rack", 1000000000, IF(IOI948="Piso", 1000000000, IF(IOI948="Tapete", 1000000000, IF(IOI948="Carrito", 1000000000, IF(IOI948="Cautín", 10, 1)))))))</f>
        <v>1000000000</v>
      </c>
      <c r="ION948" s="4" t="str">
        <f t="shared" ref="ION948" si="2976">IF(IOI948="Ionizador", "Segundos", "Ohms")</f>
        <v>Ohms</v>
      </c>
      <c r="IOO948" s="6">
        <v>148000000</v>
      </c>
      <c r="IOP948" s="6" t="str">
        <f t="shared" ref="IOP948" si="2977">ION948</f>
        <v>Ohms</v>
      </c>
      <c r="IOQ948" s="2" t="str">
        <f t="shared" ref="IOQ948" si="2978">IF(IOI948="Ionizador", "Plato de carga", IF(IOI948="Cautín", "PTG", "RTG"))</f>
        <v>RTG</v>
      </c>
      <c r="IOR948" s="7">
        <v>45992</v>
      </c>
      <c r="IOS948" s="7">
        <f t="shared" ref="IOS948" si="2979">IF(IOT948="Trimestral", IOR948+90, IF(IOT948="Semestral", IOR948+180, IOR948+365))</f>
        <v>46172</v>
      </c>
      <c r="IOT948" s="7" t="str">
        <f t="shared" ref="IOT948" si="2980">IF(IOI948="Ionizador", "Trimestral", IF(IOI948="Rack", "Semestral", IF(IOI948="Mesa", "Semestral", IF(IOI948="Tapete", "Semestral", IF(IOI948="Cautín", "Semestral", IF(IOI948="Silla", "Semestral", "Anual"))))))</f>
        <v>Semestral</v>
      </c>
      <c r="IOU948" s="2" t="str">
        <f t="shared" ref="IOU948" ca="1" si="2981">IF(IOS948&lt;TODAY(),"VENCIDO",IF(IOS948=TODAY(),"VENCE HOY",IF(IOS948&gt;TODAY(),"VIGENTE")))</f>
        <v>VIGENTE</v>
      </c>
      <c r="IOV948" s="6" t="s">
        <v>25</v>
      </c>
      <c r="IOW948" s="23" t="s">
        <v>138</v>
      </c>
      <c r="IOX948" s="2" t="s">
        <v>433</v>
      </c>
      <c r="IOY948" s="3" t="s">
        <v>22</v>
      </c>
      <c r="IOZ948" s="3" t="s">
        <v>23</v>
      </c>
      <c r="IPA948" s="2" t="s">
        <v>24</v>
      </c>
      <c r="IPB948" s="4">
        <v>0</v>
      </c>
      <c r="IPC948" s="8">
        <f t="shared" ref="IPC948" si="2982">IF(IOY948="Ionizador", 10, IF(IOY948="Mesa", 1000000000, IF(IOY948="Rack", 1000000000, IF(IOY948="Piso", 1000000000, IF(IOY948="Tapete", 1000000000, IF(IOY948="Carrito", 1000000000, IF(IOY948="Cautín", 10, 1)))))))</f>
        <v>1000000000</v>
      </c>
      <c r="IPD948" s="4" t="str">
        <f t="shared" ref="IPD948" si="2983">IF(IOY948="Ionizador", "Segundos", "Ohms")</f>
        <v>Ohms</v>
      </c>
      <c r="IPE948" s="6">
        <v>148000000</v>
      </c>
      <c r="IPF948" s="6" t="str">
        <f t="shared" ref="IPF948" si="2984">IPD948</f>
        <v>Ohms</v>
      </c>
      <c r="IPG948" s="2" t="str">
        <f t="shared" ref="IPG948" si="2985">IF(IOY948="Ionizador", "Plato de carga", IF(IOY948="Cautín", "PTG", "RTG"))</f>
        <v>RTG</v>
      </c>
      <c r="IPH948" s="7">
        <v>45992</v>
      </c>
      <c r="IPI948" s="7">
        <f t="shared" ref="IPI948" si="2986">IF(IPJ948="Trimestral", IPH948+90, IF(IPJ948="Semestral", IPH948+180, IPH948+365))</f>
        <v>46172</v>
      </c>
      <c r="IPJ948" s="7" t="str">
        <f t="shared" ref="IPJ948" si="2987">IF(IOY948="Ionizador", "Trimestral", IF(IOY948="Rack", "Semestral", IF(IOY948="Mesa", "Semestral", IF(IOY948="Tapete", "Semestral", IF(IOY948="Cautín", "Semestral", IF(IOY948="Silla", "Semestral", "Anual"))))))</f>
        <v>Semestral</v>
      </c>
      <c r="IPK948" s="2" t="str">
        <f t="shared" ref="IPK948" ca="1" si="2988">IF(IPI948&lt;TODAY(),"VENCIDO",IF(IPI948=TODAY(),"VENCE HOY",IF(IPI948&gt;TODAY(),"VIGENTE")))</f>
        <v>VIGENTE</v>
      </c>
      <c r="IPL948" s="6" t="s">
        <v>25</v>
      </c>
      <c r="IPM948" s="23" t="s">
        <v>138</v>
      </c>
      <c r="IPN948" s="2" t="s">
        <v>433</v>
      </c>
      <c r="IPO948" s="3" t="s">
        <v>22</v>
      </c>
      <c r="IPP948" s="3" t="s">
        <v>23</v>
      </c>
      <c r="IPQ948" s="2" t="s">
        <v>24</v>
      </c>
      <c r="IPR948" s="4">
        <v>0</v>
      </c>
      <c r="IPS948" s="8">
        <f t="shared" ref="IPS948" si="2989">IF(IPO948="Ionizador", 10, IF(IPO948="Mesa", 1000000000, IF(IPO948="Rack", 1000000000, IF(IPO948="Piso", 1000000000, IF(IPO948="Tapete", 1000000000, IF(IPO948="Carrito", 1000000000, IF(IPO948="Cautín", 10, 1)))))))</f>
        <v>1000000000</v>
      </c>
      <c r="IPT948" s="4" t="str">
        <f t="shared" ref="IPT948" si="2990">IF(IPO948="Ionizador", "Segundos", "Ohms")</f>
        <v>Ohms</v>
      </c>
      <c r="IPU948" s="6">
        <v>148000000</v>
      </c>
      <c r="IPV948" s="6" t="str">
        <f t="shared" ref="IPV948" si="2991">IPT948</f>
        <v>Ohms</v>
      </c>
      <c r="IPW948" s="2" t="str">
        <f t="shared" ref="IPW948" si="2992">IF(IPO948="Ionizador", "Plato de carga", IF(IPO948="Cautín", "PTG", "RTG"))</f>
        <v>RTG</v>
      </c>
      <c r="IPX948" s="7">
        <v>45992</v>
      </c>
      <c r="IPY948" s="7">
        <f t="shared" ref="IPY948" si="2993">IF(IPZ948="Trimestral", IPX948+90, IF(IPZ948="Semestral", IPX948+180, IPX948+365))</f>
        <v>46172</v>
      </c>
      <c r="IPZ948" s="7" t="str">
        <f t="shared" ref="IPZ948" si="2994">IF(IPO948="Ionizador", "Trimestral", IF(IPO948="Rack", "Semestral", IF(IPO948="Mesa", "Semestral", IF(IPO948="Tapete", "Semestral", IF(IPO948="Cautín", "Semestral", IF(IPO948="Silla", "Semestral", "Anual"))))))</f>
        <v>Semestral</v>
      </c>
      <c r="IQA948" s="2" t="str">
        <f t="shared" ref="IQA948" ca="1" si="2995">IF(IPY948&lt;TODAY(),"VENCIDO",IF(IPY948=TODAY(),"VENCE HOY",IF(IPY948&gt;TODAY(),"VIGENTE")))</f>
        <v>VIGENTE</v>
      </c>
      <c r="IQB948" s="6" t="s">
        <v>25</v>
      </c>
      <c r="IQC948" s="23" t="s">
        <v>138</v>
      </c>
      <c r="IQD948" s="2" t="s">
        <v>433</v>
      </c>
      <c r="IQE948" s="3" t="s">
        <v>22</v>
      </c>
      <c r="IQF948" s="3" t="s">
        <v>23</v>
      </c>
      <c r="IQG948" s="2" t="s">
        <v>24</v>
      </c>
      <c r="IQH948" s="4">
        <v>0</v>
      </c>
      <c r="IQI948" s="8">
        <f t="shared" ref="IQI948" si="2996">IF(IQE948="Ionizador", 10, IF(IQE948="Mesa", 1000000000, IF(IQE948="Rack", 1000000000, IF(IQE948="Piso", 1000000000, IF(IQE948="Tapete", 1000000000, IF(IQE948="Carrito", 1000000000, IF(IQE948="Cautín", 10, 1)))))))</f>
        <v>1000000000</v>
      </c>
      <c r="IQJ948" s="4" t="str">
        <f t="shared" ref="IQJ948" si="2997">IF(IQE948="Ionizador", "Segundos", "Ohms")</f>
        <v>Ohms</v>
      </c>
      <c r="IQK948" s="6">
        <v>148000000</v>
      </c>
      <c r="IQL948" s="6" t="str">
        <f t="shared" ref="IQL948" si="2998">IQJ948</f>
        <v>Ohms</v>
      </c>
      <c r="IQM948" s="2" t="str">
        <f t="shared" ref="IQM948" si="2999">IF(IQE948="Ionizador", "Plato de carga", IF(IQE948="Cautín", "PTG", "RTG"))</f>
        <v>RTG</v>
      </c>
      <c r="IQN948" s="7">
        <v>45992</v>
      </c>
      <c r="IQO948" s="7">
        <f t="shared" ref="IQO948" si="3000">IF(IQP948="Trimestral", IQN948+90, IF(IQP948="Semestral", IQN948+180, IQN948+365))</f>
        <v>46172</v>
      </c>
      <c r="IQP948" s="7" t="str">
        <f t="shared" ref="IQP948" si="3001">IF(IQE948="Ionizador", "Trimestral", IF(IQE948="Rack", "Semestral", IF(IQE948="Mesa", "Semestral", IF(IQE948="Tapete", "Semestral", IF(IQE948="Cautín", "Semestral", IF(IQE948="Silla", "Semestral", "Anual"))))))</f>
        <v>Semestral</v>
      </c>
      <c r="IQQ948" s="2" t="str">
        <f t="shared" ref="IQQ948" ca="1" si="3002">IF(IQO948&lt;TODAY(),"VENCIDO",IF(IQO948=TODAY(),"VENCE HOY",IF(IQO948&gt;TODAY(),"VIGENTE")))</f>
        <v>VIGENTE</v>
      </c>
      <c r="IQR948" s="6" t="s">
        <v>25</v>
      </c>
      <c r="IQS948" s="23" t="s">
        <v>138</v>
      </c>
      <c r="IQT948" s="2" t="s">
        <v>433</v>
      </c>
      <c r="IQU948" s="3" t="s">
        <v>22</v>
      </c>
      <c r="IQV948" s="3" t="s">
        <v>23</v>
      </c>
      <c r="IQW948" s="2" t="s">
        <v>24</v>
      </c>
      <c r="IQX948" s="4">
        <v>0</v>
      </c>
      <c r="IQY948" s="8">
        <f t="shared" ref="IQY948" si="3003">IF(IQU948="Ionizador", 10, IF(IQU948="Mesa", 1000000000, IF(IQU948="Rack", 1000000000, IF(IQU948="Piso", 1000000000, IF(IQU948="Tapete", 1000000000, IF(IQU948="Carrito", 1000000000, IF(IQU948="Cautín", 10, 1)))))))</f>
        <v>1000000000</v>
      </c>
      <c r="IQZ948" s="4" t="str">
        <f t="shared" ref="IQZ948" si="3004">IF(IQU948="Ionizador", "Segundos", "Ohms")</f>
        <v>Ohms</v>
      </c>
      <c r="IRA948" s="6">
        <v>148000000</v>
      </c>
      <c r="IRB948" s="6" t="str">
        <f t="shared" ref="IRB948" si="3005">IQZ948</f>
        <v>Ohms</v>
      </c>
      <c r="IRC948" s="2" t="str">
        <f t="shared" ref="IRC948" si="3006">IF(IQU948="Ionizador", "Plato de carga", IF(IQU948="Cautín", "PTG", "RTG"))</f>
        <v>RTG</v>
      </c>
      <c r="IRD948" s="7">
        <v>45992</v>
      </c>
      <c r="IRE948" s="7">
        <f t="shared" ref="IRE948" si="3007">IF(IRF948="Trimestral", IRD948+90, IF(IRF948="Semestral", IRD948+180, IRD948+365))</f>
        <v>46172</v>
      </c>
      <c r="IRF948" s="7" t="str">
        <f t="shared" ref="IRF948" si="3008">IF(IQU948="Ionizador", "Trimestral", IF(IQU948="Rack", "Semestral", IF(IQU948="Mesa", "Semestral", IF(IQU948="Tapete", "Semestral", IF(IQU948="Cautín", "Semestral", IF(IQU948="Silla", "Semestral", "Anual"))))))</f>
        <v>Semestral</v>
      </c>
      <c r="IRG948" s="2" t="str">
        <f t="shared" ref="IRG948" ca="1" si="3009">IF(IRE948&lt;TODAY(),"VENCIDO",IF(IRE948=TODAY(),"VENCE HOY",IF(IRE948&gt;TODAY(),"VIGENTE")))</f>
        <v>VIGENTE</v>
      </c>
      <c r="IRH948" s="6" t="s">
        <v>25</v>
      </c>
      <c r="IRI948" s="23" t="s">
        <v>138</v>
      </c>
      <c r="IRJ948" s="2" t="s">
        <v>433</v>
      </c>
      <c r="IRK948" s="3" t="s">
        <v>22</v>
      </c>
      <c r="IRL948" s="3" t="s">
        <v>23</v>
      </c>
      <c r="IRM948" s="2" t="s">
        <v>24</v>
      </c>
      <c r="IRN948" s="4">
        <v>0</v>
      </c>
      <c r="IRO948" s="8">
        <f t="shared" ref="IRO948" si="3010">IF(IRK948="Ionizador", 10, IF(IRK948="Mesa", 1000000000, IF(IRK948="Rack", 1000000000, IF(IRK948="Piso", 1000000000, IF(IRK948="Tapete", 1000000000, IF(IRK948="Carrito", 1000000000, IF(IRK948="Cautín", 10, 1)))))))</f>
        <v>1000000000</v>
      </c>
      <c r="IRP948" s="4" t="str">
        <f t="shared" ref="IRP948" si="3011">IF(IRK948="Ionizador", "Segundos", "Ohms")</f>
        <v>Ohms</v>
      </c>
      <c r="IRQ948" s="6">
        <v>148000000</v>
      </c>
      <c r="IRR948" s="6" t="str">
        <f t="shared" ref="IRR948" si="3012">IRP948</f>
        <v>Ohms</v>
      </c>
      <c r="IRS948" s="2" t="str">
        <f t="shared" ref="IRS948" si="3013">IF(IRK948="Ionizador", "Plato de carga", IF(IRK948="Cautín", "PTG", "RTG"))</f>
        <v>RTG</v>
      </c>
      <c r="IRT948" s="7">
        <v>45992</v>
      </c>
      <c r="IRU948" s="7">
        <f t="shared" ref="IRU948" si="3014">IF(IRV948="Trimestral", IRT948+90, IF(IRV948="Semestral", IRT948+180, IRT948+365))</f>
        <v>46172</v>
      </c>
      <c r="IRV948" s="7" t="str">
        <f t="shared" ref="IRV948" si="3015">IF(IRK948="Ionizador", "Trimestral", IF(IRK948="Rack", "Semestral", IF(IRK948="Mesa", "Semestral", IF(IRK948="Tapete", "Semestral", IF(IRK948="Cautín", "Semestral", IF(IRK948="Silla", "Semestral", "Anual"))))))</f>
        <v>Semestral</v>
      </c>
      <c r="IRW948" s="2" t="str">
        <f t="shared" ref="IRW948" ca="1" si="3016">IF(IRU948&lt;TODAY(),"VENCIDO",IF(IRU948=TODAY(),"VENCE HOY",IF(IRU948&gt;TODAY(),"VIGENTE")))</f>
        <v>VIGENTE</v>
      </c>
      <c r="IRX948" s="6" t="s">
        <v>25</v>
      </c>
      <c r="IRY948" s="23" t="s">
        <v>138</v>
      </c>
      <c r="IRZ948" s="2" t="s">
        <v>433</v>
      </c>
      <c r="ISA948" s="3" t="s">
        <v>22</v>
      </c>
      <c r="ISB948" s="3" t="s">
        <v>23</v>
      </c>
      <c r="ISC948" s="2" t="s">
        <v>24</v>
      </c>
      <c r="ISD948" s="4">
        <v>0</v>
      </c>
      <c r="ISE948" s="8">
        <f t="shared" ref="ISE948" si="3017">IF(ISA948="Ionizador", 10, IF(ISA948="Mesa", 1000000000, IF(ISA948="Rack", 1000000000, IF(ISA948="Piso", 1000000000, IF(ISA948="Tapete", 1000000000, IF(ISA948="Carrito", 1000000000, IF(ISA948="Cautín", 10, 1)))))))</f>
        <v>1000000000</v>
      </c>
      <c r="ISF948" s="4" t="str">
        <f t="shared" ref="ISF948" si="3018">IF(ISA948="Ionizador", "Segundos", "Ohms")</f>
        <v>Ohms</v>
      </c>
      <c r="ISG948" s="6">
        <v>148000000</v>
      </c>
      <c r="ISH948" s="6" t="str">
        <f t="shared" ref="ISH948" si="3019">ISF948</f>
        <v>Ohms</v>
      </c>
      <c r="ISI948" s="2" t="str">
        <f t="shared" ref="ISI948" si="3020">IF(ISA948="Ionizador", "Plato de carga", IF(ISA948="Cautín", "PTG", "RTG"))</f>
        <v>RTG</v>
      </c>
      <c r="ISJ948" s="7">
        <v>45992</v>
      </c>
      <c r="ISK948" s="7">
        <f t="shared" ref="ISK948" si="3021">IF(ISL948="Trimestral", ISJ948+90, IF(ISL948="Semestral", ISJ948+180, ISJ948+365))</f>
        <v>46172</v>
      </c>
      <c r="ISL948" s="7" t="str">
        <f t="shared" ref="ISL948" si="3022">IF(ISA948="Ionizador", "Trimestral", IF(ISA948="Rack", "Semestral", IF(ISA948="Mesa", "Semestral", IF(ISA948="Tapete", "Semestral", IF(ISA948="Cautín", "Semestral", IF(ISA948="Silla", "Semestral", "Anual"))))))</f>
        <v>Semestral</v>
      </c>
      <c r="ISM948" s="2" t="str">
        <f t="shared" ref="ISM948" ca="1" si="3023">IF(ISK948&lt;TODAY(),"VENCIDO",IF(ISK948=TODAY(),"VENCE HOY",IF(ISK948&gt;TODAY(),"VIGENTE")))</f>
        <v>VIGENTE</v>
      </c>
      <c r="ISN948" s="6" t="s">
        <v>25</v>
      </c>
      <c r="ISO948" s="23" t="s">
        <v>138</v>
      </c>
      <c r="ISP948" s="2" t="s">
        <v>433</v>
      </c>
      <c r="ISQ948" s="3" t="s">
        <v>22</v>
      </c>
      <c r="ISR948" s="3" t="s">
        <v>23</v>
      </c>
      <c r="ISS948" s="2" t="s">
        <v>24</v>
      </c>
      <c r="IST948" s="4">
        <v>0</v>
      </c>
      <c r="ISU948" s="8">
        <f t="shared" ref="ISU948" si="3024">IF(ISQ948="Ionizador", 10, IF(ISQ948="Mesa", 1000000000, IF(ISQ948="Rack", 1000000000, IF(ISQ948="Piso", 1000000000, IF(ISQ948="Tapete", 1000000000, IF(ISQ948="Carrito", 1000000000, IF(ISQ948="Cautín", 10, 1)))))))</f>
        <v>1000000000</v>
      </c>
      <c r="ISV948" s="4" t="str">
        <f t="shared" ref="ISV948" si="3025">IF(ISQ948="Ionizador", "Segundos", "Ohms")</f>
        <v>Ohms</v>
      </c>
      <c r="ISW948" s="6">
        <v>148000000</v>
      </c>
      <c r="ISX948" s="6" t="str">
        <f t="shared" ref="ISX948" si="3026">ISV948</f>
        <v>Ohms</v>
      </c>
      <c r="ISY948" s="2" t="str">
        <f t="shared" ref="ISY948" si="3027">IF(ISQ948="Ionizador", "Plato de carga", IF(ISQ948="Cautín", "PTG", "RTG"))</f>
        <v>RTG</v>
      </c>
      <c r="ISZ948" s="7">
        <v>45992</v>
      </c>
      <c r="ITA948" s="7">
        <f t="shared" ref="ITA948" si="3028">IF(ITB948="Trimestral", ISZ948+90, IF(ITB948="Semestral", ISZ948+180, ISZ948+365))</f>
        <v>46172</v>
      </c>
      <c r="ITB948" s="7" t="str">
        <f t="shared" ref="ITB948" si="3029">IF(ISQ948="Ionizador", "Trimestral", IF(ISQ948="Rack", "Semestral", IF(ISQ948="Mesa", "Semestral", IF(ISQ948="Tapete", "Semestral", IF(ISQ948="Cautín", "Semestral", IF(ISQ948="Silla", "Semestral", "Anual"))))))</f>
        <v>Semestral</v>
      </c>
      <c r="ITC948" s="2" t="str">
        <f t="shared" ref="ITC948" ca="1" si="3030">IF(ITA948&lt;TODAY(),"VENCIDO",IF(ITA948=TODAY(),"VENCE HOY",IF(ITA948&gt;TODAY(),"VIGENTE")))</f>
        <v>VIGENTE</v>
      </c>
      <c r="ITD948" s="6" t="s">
        <v>25</v>
      </c>
      <c r="ITE948" s="23" t="s">
        <v>138</v>
      </c>
      <c r="ITF948" s="2" t="s">
        <v>433</v>
      </c>
      <c r="ITG948" s="3" t="s">
        <v>22</v>
      </c>
      <c r="ITH948" s="3" t="s">
        <v>23</v>
      </c>
      <c r="ITI948" s="2" t="s">
        <v>24</v>
      </c>
      <c r="ITJ948" s="4">
        <v>0</v>
      </c>
      <c r="ITK948" s="8">
        <f t="shared" ref="ITK948" si="3031">IF(ITG948="Ionizador", 10, IF(ITG948="Mesa", 1000000000, IF(ITG948="Rack", 1000000000, IF(ITG948="Piso", 1000000000, IF(ITG948="Tapete", 1000000000, IF(ITG948="Carrito", 1000000000, IF(ITG948="Cautín", 10, 1)))))))</f>
        <v>1000000000</v>
      </c>
      <c r="ITL948" s="4" t="str">
        <f t="shared" ref="ITL948" si="3032">IF(ITG948="Ionizador", "Segundos", "Ohms")</f>
        <v>Ohms</v>
      </c>
      <c r="ITM948" s="6">
        <v>148000000</v>
      </c>
      <c r="ITN948" s="6" t="str">
        <f t="shared" ref="ITN948" si="3033">ITL948</f>
        <v>Ohms</v>
      </c>
      <c r="ITO948" s="2" t="str">
        <f t="shared" ref="ITO948" si="3034">IF(ITG948="Ionizador", "Plato de carga", IF(ITG948="Cautín", "PTG", "RTG"))</f>
        <v>RTG</v>
      </c>
      <c r="ITP948" s="7">
        <v>45992</v>
      </c>
      <c r="ITQ948" s="7">
        <f t="shared" ref="ITQ948" si="3035">IF(ITR948="Trimestral", ITP948+90, IF(ITR948="Semestral", ITP948+180, ITP948+365))</f>
        <v>46172</v>
      </c>
      <c r="ITR948" s="7" t="str">
        <f t="shared" ref="ITR948" si="3036">IF(ITG948="Ionizador", "Trimestral", IF(ITG948="Rack", "Semestral", IF(ITG948="Mesa", "Semestral", IF(ITG948="Tapete", "Semestral", IF(ITG948="Cautín", "Semestral", IF(ITG948="Silla", "Semestral", "Anual"))))))</f>
        <v>Semestral</v>
      </c>
      <c r="ITS948" s="2" t="str">
        <f t="shared" ref="ITS948" ca="1" si="3037">IF(ITQ948&lt;TODAY(),"VENCIDO",IF(ITQ948=TODAY(),"VENCE HOY",IF(ITQ948&gt;TODAY(),"VIGENTE")))</f>
        <v>VIGENTE</v>
      </c>
      <c r="ITT948" s="6" t="s">
        <v>25</v>
      </c>
      <c r="ITU948" s="23" t="s">
        <v>138</v>
      </c>
      <c r="ITV948" s="2" t="s">
        <v>433</v>
      </c>
      <c r="ITW948" s="3" t="s">
        <v>22</v>
      </c>
      <c r="ITX948" s="3" t="s">
        <v>23</v>
      </c>
      <c r="ITY948" s="2" t="s">
        <v>24</v>
      </c>
      <c r="ITZ948" s="4">
        <v>0</v>
      </c>
      <c r="IUA948" s="8">
        <f t="shared" ref="IUA948" si="3038">IF(ITW948="Ionizador", 10, IF(ITW948="Mesa", 1000000000, IF(ITW948="Rack", 1000000000, IF(ITW948="Piso", 1000000000, IF(ITW948="Tapete", 1000000000, IF(ITW948="Carrito", 1000000000, IF(ITW948="Cautín", 10, 1)))))))</f>
        <v>1000000000</v>
      </c>
      <c r="IUB948" s="4" t="str">
        <f t="shared" ref="IUB948" si="3039">IF(ITW948="Ionizador", "Segundos", "Ohms")</f>
        <v>Ohms</v>
      </c>
      <c r="IUC948" s="6">
        <v>148000000</v>
      </c>
      <c r="IUD948" s="6" t="str">
        <f t="shared" ref="IUD948" si="3040">IUB948</f>
        <v>Ohms</v>
      </c>
      <c r="IUE948" s="2" t="str">
        <f t="shared" ref="IUE948" si="3041">IF(ITW948="Ionizador", "Plato de carga", IF(ITW948="Cautín", "PTG", "RTG"))</f>
        <v>RTG</v>
      </c>
      <c r="IUF948" s="7">
        <v>45992</v>
      </c>
      <c r="IUG948" s="7">
        <f t="shared" ref="IUG948" si="3042">IF(IUH948="Trimestral", IUF948+90, IF(IUH948="Semestral", IUF948+180, IUF948+365))</f>
        <v>46172</v>
      </c>
      <c r="IUH948" s="7" t="str">
        <f t="shared" ref="IUH948" si="3043">IF(ITW948="Ionizador", "Trimestral", IF(ITW948="Rack", "Semestral", IF(ITW948="Mesa", "Semestral", IF(ITW948="Tapete", "Semestral", IF(ITW948="Cautín", "Semestral", IF(ITW948="Silla", "Semestral", "Anual"))))))</f>
        <v>Semestral</v>
      </c>
      <c r="IUI948" s="2" t="str">
        <f t="shared" ref="IUI948" ca="1" si="3044">IF(IUG948&lt;TODAY(),"VENCIDO",IF(IUG948=TODAY(),"VENCE HOY",IF(IUG948&gt;TODAY(),"VIGENTE")))</f>
        <v>VIGENTE</v>
      </c>
      <c r="IUJ948" s="6" t="s">
        <v>25</v>
      </c>
      <c r="IUK948" s="23" t="s">
        <v>138</v>
      </c>
      <c r="IUL948" s="2" t="s">
        <v>433</v>
      </c>
      <c r="IUM948" s="3" t="s">
        <v>22</v>
      </c>
      <c r="IUN948" s="3" t="s">
        <v>23</v>
      </c>
      <c r="IUO948" s="2" t="s">
        <v>24</v>
      </c>
      <c r="IUP948" s="4">
        <v>0</v>
      </c>
      <c r="IUQ948" s="8">
        <f t="shared" ref="IUQ948" si="3045">IF(IUM948="Ionizador", 10, IF(IUM948="Mesa", 1000000000, IF(IUM948="Rack", 1000000000, IF(IUM948="Piso", 1000000000, IF(IUM948="Tapete", 1000000000, IF(IUM948="Carrito", 1000000000, IF(IUM948="Cautín", 10, 1)))))))</f>
        <v>1000000000</v>
      </c>
      <c r="IUR948" s="4" t="str">
        <f t="shared" ref="IUR948" si="3046">IF(IUM948="Ionizador", "Segundos", "Ohms")</f>
        <v>Ohms</v>
      </c>
      <c r="IUS948" s="6">
        <v>148000000</v>
      </c>
      <c r="IUT948" s="6" t="str">
        <f t="shared" ref="IUT948" si="3047">IUR948</f>
        <v>Ohms</v>
      </c>
      <c r="IUU948" s="2" t="str">
        <f t="shared" ref="IUU948" si="3048">IF(IUM948="Ionizador", "Plato de carga", IF(IUM948="Cautín", "PTG", "RTG"))</f>
        <v>RTG</v>
      </c>
      <c r="IUV948" s="7">
        <v>45992</v>
      </c>
      <c r="IUW948" s="7">
        <f t="shared" ref="IUW948" si="3049">IF(IUX948="Trimestral", IUV948+90, IF(IUX948="Semestral", IUV948+180, IUV948+365))</f>
        <v>46172</v>
      </c>
      <c r="IUX948" s="7" t="str">
        <f t="shared" ref="IUX948" si="3050">IF(IUM948="Ionizador", "Trimestral", IF(IUM948="Rack", "Semestral", IF(IUM948="Mesa", "Semestral", IF(IUM948="Tapete", "Semestral", IF(IUM948="Cautín", "Semestral", IF(IUM948="Silla", "Semestral", "Anual"))))))</f>
        <v>Semestral</v>
      </c>
      <c r="IUY948" s="2" t="str">
        <f t="shared" ref="IUY948" ca="1" si="3051">IF(IUW948&lt;TODAY(),"VENCIDO",IF(IUW948=TODAY(),"VENCE HOY",IF(IUW948&gt;TODAY(),"VIGENTE")))</f>
        <v>VIGENTE</v>
      </c>
      <c r="IUZ948" s="6" t="s">
        <v>25</v>
      </c>
      <c r="IVA948" s="23" t="s">
        <v>138</v>
      </c>
      <c r="IVB948" s="2" t="s">
        <v>433</v>
      </c>
      <c r="IVC948" s="3" t="s">
        <v>22</v>
      </c>
      <c r="IVD948" s="3" t="s">
        <v>23</v>
      </c>
      <c r="IVE948" s="2" t="s">
        <v>24</v>
      </c>
      <c r="IVF948" s="4">
        <v>0</v>
      </c>
      <c r="IVG948" s="8">
        <f t="shared" ref="IVG948" si="3052">IF(IVC948="Ionizador", 10, IF(IVC948="Mesa", 1000000000, IF(IVC948="Rack", 1000000000, IF(IVC948="Piso", 1000000000, IF(IVC948="Tapete", 1000000000, IF(IVC948="Carrito", 1000000000, IF(IVC948="Cautín", 10, 1)))))))</f>
        <v>1000000000</v>
      </c>
      <c r="IVH948" s="4" t="str">
        <f t="shared" ref="IVH948" si="3053">IF(IVC948="Ionizador", "Segundos", "Ohms")</f>
        <v>Ohms</v>
      </c>
      <c r="IVI948" s="6">
        <v>148000000</v>
      </c>
      <c r="IVJ948" s="6" t="str">
        <f t="shared" ref="IVJ948" si="3054">IVH948</f>
        <v>Ohms</v>
      </c>
      <c r="IVK948" s="2" t="str">
        <f t="shared" ref="IVK948" si="3055">IF(IVC948="Ionizador", "Plato de carga", IF(IVC948="Cautín", "PTG", "RTG"))</f>
        <v>RTG</v>
      </c>
      <c r="IVL948" s="7">
        <v>45992</v>
      </c>
      <c r="IVM948" s="7">
        <f t="shared" ref="IVM948" si="3056">IF(IVN948="Trimestral", IVL948+90, IF(IVN948="Semestral", IVL948+180, IVL948+365))</f>
        <v>46172</v>
      </c>
      <c r="IVN948" s="7" t="str">
        <f t="shared" ref="IVN948" si="3057">IF(IVC948="Ionizador", "Trimestral", IF(IVC948="Rack", "Semestral", IF(IVC948="Mesa", "Semestral", IF(IVC948="Tapete", "Semestral", IF(IVC948="Cautín", "Semestral", IF(IVC948="Silla", "Semestral", "Anual"))))))</f>
        <v>Semestral</v>
      </c>
      <c r="IVO948" s="2" t="str">
        <f t="shared" ref="IVO948" ca="1" si="3058">IF(IVM948&lt;TODAY(),"VENCIDO",IF(IVM948=TODAY(),"VENCE HOY",IF(IVM948&gt;TODAY(),"VIGENTE")))</f>
        <v>VIGENTE</v>
      </c>
      <c r="IVP948" s="6" t="s">
        <v>25</v>
      </c>
      <c r="IVQ948" s="23" t="s">
        <v>138</v>
      </c>
      <c r="IVR948" s="2" t="s">
        <v>433</v>
      </c>
      <c r="IVS948" s="3" t="s">
        <v>22</v>
      </c>
      <c r="IVT948" s="3" t="s">
        <v>23</v>
      </c>
      <c r="IVU948" s="2" t="s">
        <v>24</v>
      </c>
      <c r="IVV948" s="4">
        <v>0</v>
      </c>
      <c r="IVW948" s="8">
        <f t="shared" ref="IVW948" si="3059">IF(IVS948="Ionizador", 10, IF(IVS948="Mesa", 1000000000, IF(IVS948="Rack", 1000000000, IF(IVS948="Piso", 1000000000, IF(IVS948="Tapete", 1000000000, IF(IVS948="Carrito", 1000000000, IF(IVS948="Cautín", 10, 1)))))))</f>
        <v>1000000000</v>
      </c>
      <c r="IVX948" s="4" t="str">
        <f t="shared" ref="IVX948" si="3060">IF(IVS948="Ionizador", "Segundos", "Ohms")</f>
        <v>Ohms</v>
      </c>
      <c r="IVY948" s="6">
        <v>148000000</v>
      </c>
      <c r="IVZ948" s="6" t="str">
        <f t="shared" ref="IVZ948" si="3061">IVX948</f>
        <v>Ohms</v>
      </c>
      <c r="IWA948" s="2" t="str">
        <f t="shared" ref="IWA948" si="3062">IF(IVS948="Ionizador", "Plato de carga", IF(IVS948="Cautín", "PTG", "RTG"))</f>
        <v>RTG</v>
      </c>
      <c r="IWB948" s="7">
        <v>45992</v>
      </c>
      <c r="IWC948" s="7">
        <f t="shared" ref="IWC948" si="3063">IF(IWD948="Trimestral", IWB948+90, IF(IWD948="Semestral", IWB948+180, IWB948+365))</f>
        <v>46172</v>
      </c>
      <c r="IWD948" s="7" t="str">
        <f t="shared" ref="IWD948" si="3064">IF(IVS948="Ionizador", "Trimestral", IF(IVS948="Rack", "Semestral", IF(IVS948="Mesa", "Semestral", IF(IVS948="Tapete", "Semestral", IF(IVS948="Cautín", "Semestral", IF(IVS948="Silla", "Semestral", "Anual"))))))</f>
        <v>Semestral</v>
      </c>
      <c r="IWE948" s="2" t="str">
        <f t="shared" ref="IWE948" ca="1" si="3065">IF(IWC948&lt;TODAY(),"VENCIDO",IF(IWC948=TODAY(),"VENCE HOY",IF(IWC948&gt;TODAY(),"VIGENTE")))</f>
        <v>VIGENTE</v>
      </c>
      <c r="IWF948" s="6" t="s">
        <v>25</v>
      </c>
      <c r="IWG948" s="23" t="s">
        <v>138</v>
      </c>
      <c r="IWH948" s="2" t="s">
        <v>433</v>
      </c>
      <c r="IWI948" s="3" t="s">
        <v>22</v>
      </c>
      <c r="IWJ948" s="3" t="s">
        <v>23</v>
      </c>
      <c r="IWK948" s="2" t="s">
        <v>24</v>
      </c>
      <c r="IWL948" s="4">
        <v>0</v>
      </c>
      <c r="IWM948" s="8">
        <f t="shared" ref="IWM948" si="3066">IF(IWI948="Ionizador", 10, IF(IWI948="Mesa", 1000000000, IF(IWI948="Rack", 1000000000, IF(IWI948="Piso", 1000000000, IF(IWI948="Tapete", 1000000000, IF(IWI948="Carrito", 1000000000, IF(IWI948="Cautín", 10, 1)))))))</f>
        <v>1000000000</v>
      </c>
      <c r="IWN948" s="4" t="str">
        <f t="shared" ref="IWN948" si="3067">IF(IWI948="Ionizador", "Segundos", "Ohms")</f>
        <v>Ohms</v>
      </c>
      <c r="IWO948" s="6">
        <v>148000000</v>
      </c>
      <c r="IWP948" s="6" t="str">
        <f t="shared" ref="IWP948" si="3068">IWN948</f>
        <v>Ohms</v>
      </c>
      <c r="IWQ948" s="2" t="str">
        <f t="shared" ref="IWQ948" si="3069">IF(IWI948="Ionizador", "Plato de carga", IF(IWI948="Cautín", "PTG", "RTG"))</f>
        <v>RTG</v>
      </c>
      <c r="IWR948" s="7">
        <v>45992</v>
      </c>
      <c r="IWS948" s="7">
        <f t="shared" ref="IWS948" si="3070">IF(IWT948="Trimestral", IWR948+90, IF(IWT948="Semestral", IWR948+180, IWR948+365))</f>
        <v>46172</v>
      </c>
      <c r="IWT948" s="7" t="str">
        <f t="shared" ref="IWT948" si="3071">IF(IWI948="Ionizador", "Trimestral", IF(IWI948="Rack", "Semestral", IF(IWI948="Mesa", "Semestral", IF(IWI948="Tapete", "Semestral", IF(IWI948="Cautín", "Semestral", IF(IWI948="Silla", "Semestral", "Anual"))))))</f>
        <v>Semestral</v>
      </c>
      <c r="IWU948" s="2" t="str">
        <f t="shared" ref="IWU948" ca="1" si="3072">IF(IWS948&lt;TODAY(),"VENCIDO",IF(IWS948=TODAY(),"VENCE HOY",IF(IWS948&gt;TODAY(),"VIGENTE")))</f>
        <v>VIGENTE</v>
      </c>
      <c r="IWV948" s="6" t="s">
        <v>25</v>
      </c>
      <c r="IWW948" s="23" t="s">
        <v>138</v>
      </c>
      <c r="IWX948" s="2" t="s">
        <v>433</v>
      </c>
      <c r="IWY948" s="3" t="s">
        <v>22</v>
      </c>
      <c r="IWZ948" s="3" t="s">
        <v>23</v>
      </c>
      <c r="IXA948" s="2" t="s">
        <v>24</v>
      </c>
      <c r="IXB948" s="4">
        <v>0</v>
      </c>
      <c r="IXC948" s="8">
        <f t="shared" ref="IXC948" si="3073">IF(IWY948="Ionizador", 10, IF(IWY948="Mesa", 1000000000, IF(IWY948="Rack", 1000000000, IF(IWY948="Piso", 1000000000, IF(IWY948="Tapete", 1000000000, IF(IWY948="Carrito", 1000000000, IF(IWY948="Cautín", 10, 1)))))))</f>
        <v>1000000000</v>
      </c>
      <c r="IXD948" s="4" t="str">
        <f t="shared" ref="IXD948" si="3074">IF(IWY948="Ionizador", "Segundos", "Ohms")</f>
        <v>Ohms</v>
      </c>
      <c r="IXE948" s="6">
        <v>148000000</v>
      </c>
      <c r="IXF948" s="6" t="str">
        <f t="shared" ref="IXF948" si="3075">IXD948</f>
        <v>Ohms</v>
      </c>
      <c r="IXG948" s="2" t="str">
        <f t="shared" ref="IXG948" si="3076">IF(IWY948="Ionizador", "Plato de carga", IF(IWY948="Cautín", "PTG", "RTG"))</f>
        <v>RTG</v>
      </c>
      <c r="IXH948" s="7">
        <v>45992</v>
      </c>
      <c r="IXI948" s="7">
        <f t="shared" ref="IXI948" si="3077">IF(IXJ948="Trimestral", IXH948+90, IF(IXJ948="Semestral", IXH948+180, IXH948+365))</f>
        <v>46172</v>
      </c>
      <c r="IXJ948" s="7" t="str">
        <f t="shared" ref="IXJ948" si="3078">IF(IWY948="Ionizador", "Trimestral", IF(IWY948="Rack", "Semestral", IF(IWY948="Mesa", "Semestral", IF(IWY948="Tapete", "Semestral", IF(IWY948="Cautín", "Semestral", IF(IWY948="Silla", "Semestral", "Anual"))))))</f>
        <v>Semestral</v>
      </c>
      <c r="IXK948" s="2" t="str">
        <f t="shared" ref="IXK948" ca="1" si="3079">IF(IXI948&lt;TODAY(),"VENCIDO",IF(IXI948=TODAY(),"VENCE HOY",IF(IXI948&gt;TODAY(),"VIGENTE")))</f>
        <v>VIGENTE</v>
      </c>
      <c r="IXL948" s="6" t="s">
        <v>25</v>
      </c>
      <c r="IXM948" s="23" t="s">
        <v>138</v>
      </c>
      <c r="IXN948" s="2" t="s">
        <v>433</v>
      </c>
      <c r="IXO948" s="3" t="s">
        <v>22</v>
      </c>
      <c r="IXP948" s="3" t="s">
        <v>23</v>
      </c>
      <c r="IXQ948" s="2" t="s">
        <v>24</v>
      </c>
      <c r="IXR948" s="4">
        <v>0</v>
      </c>
      <c r="IXS948" s="8">
        <f t="shared" ref="IXS948" si="3080">IF(IXO948="Ionizador", 10, IF(IXO948="Mesa", 1000000000, IF(IXO948="Rack", 1000000000, IF(IXO948="Piso", 1000000000, IF(IXO948="Tapete", 1000000000, IF(IXO948="Carrito", 1000000000, IF(IXO948="Cautín", 10, 1)))))))</f>
        <v>1000000000</v>
      </c>
      <c r="IXT948" s="4" t="str">
        <f t="shared" ref="IXT948" si="3081">IF(IXO948="Ionizador", "Segundos", "Ohms")</f>
        <v>Ohms</v>
      </c>
      <c r="IXU948" s="6">
        <v>148000000</v>
      </c>
      <c r="IXV948" s="6" t="str">
        <f t="shared" ref="IXV948" si="3082">IXT948</f>
        <v>Ohms</v>
      </c>
      <c r="IXW948" s="2" t="str">
        <f t="shared" ref="IXW948" si="3083">IF(IXO948="Ionizador", "Plato de carga", IF(IXO948="Cautín", "PTG", "RTG"))</f>
        <v>RTG</v>
      </c>
      <c r="IXX948" s="7">
        <v>45992</v>
      </c>
      <c r="IXY948" s="7">
        <f t="shared" ref="IXY948" si="3084">IF(IXZ948="Trimestral", IXX948+90, IF(IXZ948="Semestral", IXX948+180, IXX948+365))</f>
        <v>46172</v>
      </c>
      <c r="IXZ948" s="7" t="str">
        <f t="shared" ref="IXZ948" si="3085">IF(IXO948="Ionizador", "Trimestral", IF(IXO948="Rack", "Semestral", IF(IXO948="Mesa", "Semestral", IF(IXO948="Tapete", "Semestral", IF(IXO948="Cautín", "Semestral", IF(IXO948="Silla", "Semestral", "Anual"))))))</f>
        <v>Semestral</v>
      </c>
      <c r="IYA948" s="2" t="str">
        <f t="shared" ref="IYA948" ca="1" si="3086">IF(IXY948&lt;TODAY(),"VENCIDO",IF(IXY948=TODAY(),"VENCE HOY",IF(IXY948&gt;TODAY(),"VIGENTE")))</f>
        <v>VIGENTE</v>
      </c>
      <c r="IYB948" s="6" t="s">
        <v>25</v>
      </c>
      <c r="IYC948" s="23" t="s">
        <v>138</v>
      </c>
      <c r="IYD948" s="2" t="s">
        <v>433</v>
      </c>
      <c r="IYE948" s="3" t="s">
        <v>22</v>
      </c>
      <c r="IYF948" s="3" t="s">
        <v>23</v>
      </c>
      <c r="IYG948" s="2" t="s">
        <v>24</v>
      </c>
      <c r="IYH948" s="4">
        <v>0</v>
      </c>
      <c r="IYI948" s="8">
        <f t="shared" ref="IYI948" si="3087">IF(IYE948="Ionizador", 10, IF(IYE948="Mesa", 1000000000, IF(IYE948="Rack", 1000000000, IF(IYE948="Piso", 1000000000, IF(IYE948="Tapete", 1000000000, IF(IYE948="Carrito", 1000000000, IF(IYE948="Cautín", 10, 1)))))))</f>
        <v>1000000000</v>
      </c>
      <c r="IYJ948" s="4" t="str">
        <f t="shared" ref="IYJ948" si="3088">IF(IYE948="Ionizador", "Segundos", "Ohms")</f>
        <v>Ohms</v>
      </c>
      <c r="IYK948" s="6">
        <v>148000000</v>
      </c>
      <c r="IYL948" s="6" t="str">
        <f t="shared" ref="IYL948" si="3089">IYJ948</f>
        <v>Ohms</v>
      </c>
      <c r="IYM948" s="2" t="str">
        <f t="shared" ref="IYM948" si="3090">IF(IYE948="Ionizador", "Plato de carga", IF(IYE948="Cautín", "PTG", "RTG"))</f>
        <v>RTG</v>
      </c>
      <c r="IYN948" s="7">
        <v>45992</v>
      </c>
      <c r="IYO948" s="7">
        <f t="shared" ref="IYO948" si="3091">IF(IYP948="Trimestral", IYN948+90, IF(IYP948="Semestral", IYN948+180, IYN948+365))</f>
        <v>46172</v>
      </c>
      <c r="IYP948" s="7" t="str">
        <f t="shared" ref="IYP948" si="3092">IF(IYE948="Ionizador", "Trimestral", IF(IYE948="Rack", "Semestral", IF(IYE948="Mesa", "Semestral", IF(IYE948="Tapete", "Semestral", IF(IYE948="Cautín", "Semestral", IF(IYE948="Silla", "Semestral", "Anual"))))))</f>
        <v>Semestral</v>
      </c>
      <c r="IYQ948" s="2" t="str">
        <f t="shared" ref="IYQ948" ca="1" si="3093">IF(IYO948&lt;TODAY(),"VENCIDO",IF(IYO948=TODAY(),"VENCE HOY",IF(IYO948&gt;TODAY(),"VIGENTE")))</f>
        <v>VIGENTE</v>
      </c>
      <c r="IYR948" s="6" t="s">
        <v>25</v>
      </c>
      <c r="IYS948" s="23" t="s">
        <v>138</v>
      </c>
      <c r="IYT948" s="2" t="s">
        <v>433</v>
      </c>
      <c r="IYU948" s="3" t="s">
        <v>22</v>
      </c>
      <c r="IYV948" s="3" t="s">
        <v>23</v>
      </c>
      <c r="IYW948" s="2" t="s">
        <v>24</v>
      </c>
      <c r="IYX948" s="4">
        <v>0</v>
      </c>
      <c r="IYY948" s="8">
        <f t="shared" ref="IYY948" si="3094">IF(IYU948="Ionizador", 10, IF(IYU948="Mesa", 1000000000, IF(IYU948="Rack", 1000000000, IF(IYU948="Piso", 1000000000, IF(IYU948="Tapete", 1000000000, IF(IYU948="Carrito", 1000000000, IF(IYU948="Cautín", 10, 1)))))))</f>
        <v>1000000000</v>
      </c>
      <c r="IYZ948" s="4" t="str">
        <f t="shared" ref="IYZ948" si="3095">IF(IYU948="Ionizador", "Segundos", "Ohms")</f>
        <v>Ohms</v>
      </c>
      <c r="IZA948" s="6">
        <v>148000000</v>
      </c>
      <c r="IZB948" s="6" t="str">
        <f t="shared" ref="IZB948" si="3096">IYZ948</f>
        <v>Ohms</v>
      </c>
      <c r="IZC948" s="2" t="str">
        <f t="shared" ref="IZC948" si="3097">IF(IYU948="Ionizador", "Plato de carga", IF(IYU948="Cautín", "PTG", "RTG"))</f>
        <v>RTG</v>
      </c>
      <c r="IZD948" s="7">
        <v>45992</v>
      </c>
      <c r="IZE948" s="7">
        <f t="shared" ref="IZE948" si="3098">IF(IZF948="Trimestral", IZD948+90, IF(IZF948="Semestral", IZD948+180, IZD948+365))</f>
        <v>46172</v>
      </c>
      <c r="IZF948" s="7" t="str">
        <f t="shared" ref="IZF948" si="3099">IF(IYU948="Ionizador", "Trimestral", IF(IYU948="Rack", "Semestral", IF(IYU948="Mesa", "Semestral", IF(IYU948="Tapete", "Semestral", IF(IYU948="Cautín", "Semestral", IF(IYU948="Silla", "Semestral", "Anual"))))))</f>
        <v>Semestral</v>
      </c>
      <c r="IZG948" s="2" t="str">
        <f t="shared" ref="IZG948" ca="1" si="3100">IF(IZE948&lt;TODAY(),"VENCIDO",IF(IZE948=TODAY(),"VENCE HOY",IF(IZE948&gt;TODAY(),"VIGENTE")))</f>
        <v>VIGENTE</v>
      </c>
      <c r="IZH948" s="6" t="s">
        <v>25</v>
      </c>
      <c r="IZI948" s="23" t="s">
        <v>138</v>
      </c>
      <c r="IZJ948" s="2" t="s">
        <v>433</v>
      </c>
      <c r="IZK948" s="3" t="s">
        <v>22</v>
      </c>
      <c r="IZL948" s="3" t="s">
        <v>23</v>
      </c>
      <c r="IZM948" s="2" t="s">
        <v>24</v>
      </c>
      <c r="IZN948" s="4">
        <v>0</v>
      </c>
      <c r="IZO948" s="8">
        <f t="shared" ref="IZO948" si="3101">IF(IZK948="Ionizador", 10, IF(IZK948="Mesa", 1000000000, IF(IZK948="Rack", 1000000000, IF(IZK948="Piso", 1000000000, IF(IZK948="Tapete", 1000000000, IF(IZK948="Carrito", 1000000000, IF(IZK948="Cautín", 10, 1)))))))</f>
        <v>1000000000</v>
      </c>
      <c r="IZP948" s="4" t="str">
        <f t="shared" ref="IZP948" si="3102">IF(IZK948="Ionizador", "Segundos", "Ohms")</f>
        <v>Ohms</v>
      </c>
      <c r="IZQ948" s="6">
        <v>148000000</v>
      </c>
      <c r="IZR948" s="6" t="str">
        <f t="shared" ref="IZR948" si="3103">IZP948</f>
        <v>Ohms</v>
      </c>
      <c r="IZS948" s="2" t="str">
        <f t="shared" ref="IZS948" si="3104">IF(IZK948="Ionizador", "Plato de carga", IF(IZK948="Cautín", "PTG", "RTG"))</f>
        <v>RTG</v>
      </c>
      <c r="IZT948" s="7">
        <v>45992</v>
      </c>
      <c r="IZU948" s="7">
        <f t="shared" ref="IZU948" si="3105">IF(IZV948="Trimestral", IZT948+90, IF(IZV948="Semestral", IZT948+180, IZT948+365))</f>
        <v>46172</v>
      </c>
      <c r="IZV948" s="7" t="str">
        <f t="shared" ref="IZV948" si="3106">IF(IZK948="Ionizador", "Trimestral", IF(IZK948="Rack", "Semestral", IF(IZK948="Mesa", "Semestral", IF(IZK948="Tapete", "Semestral", IF(IZK948="Cautín", "Semestral", IF(IZK948="Silla", "Semestral", "Anual"))))))</f>
        <v>Semestral</v>
      </c>
      <c r="IZW948" s="2" t="str">
        <f t="shared" ref="IZW948" ca="1" si="3107">IF(IZU948&lt;TODAY(),"VENCIDO",IF(IZU948=TODAY(),"VENCE HOY",IF(IZU948&gt;TODAY(),"VIGENTE")))</f>
        <v>VIGENTE</v>
      </c>
      <c r="IZX948" s="6" t="s">
        <v>25</v>
      </c>
      <c r="IZY948" s="23" t="s">
        <v>138</v>
      </c>
      <c r="IZZ948" s="2" t="s">
        <v>433</v>
      </c>
      <c r="JAA948" s="3" t="s">
        <v>22</v>
      </c>
      <c r="JAB948" s="3" t="s">
        <v>23</v>
      </c>
      <c r="JAC948" s="2" t="s">
        <v>24</v>
      </c>
      <c r="JAD948" s="4">
        <v>0</v>
      </c>
      <c r="JAE948" s="8">
        <f t="shared" ref="JAE948" si="3108">IF(JAA948="Ionizador", 10, IF(JAA948="Mesa", 1000000000, IF(JAA948="Rack", 1000000000, IF(JAA948="Piso", 1000000000, IF(JAA948="Tapete", 1000000000, IF(JAA948="Carrito", 1000000000, IF(JAA948="Cautín", 10, 1)))))))</f>
        <v>1000000000</v>
      </c>
      <c r="JAF948" s="4" t="str">
        <f t="shared" ref="JAF948" si="3109">IF(JAA948="Ionizador", "Segundos", "Ohms")</f>
        <v>Ohms</v>
      </c>
      <c r="JAG948" s="6">
        <v>148000000</v>
      </c>
      <c r="JAH948" s="6" t="str">
        <f t="shared" ref="JAH948" si="3110">JAF948</f>
        <v>Ohms</v>
      </c>
      <c r="JAI948" s="2" t="str">
        <f t="shared" ref="JAI948" si="3111">IF(JAA948="Ionizador", "Plato de carga", IF(JAA948="Cautín", "PTG", "RTG"))</f>
        <v>RTG</v>
      </c>
      <c r="JAJ948" s="7">
        <v>45992</v>
      </c>
      <c r="JAK948" s="7">
        <f t="shared" ref="JAK948" si="3112">IF(JAL948="Trimestral", JAJ948+90, IF(JAL948="Semestral", JAJ948+180, JAJ948+365))</f>
        <v>46172</v>
      </c>
      <c r="JAL948" s="7" t="str">
        <f t="shared" ref="JAL948" si="3113">IF(JAA948="Ionizador", "Trimestral", IF(JAA948="Rack", "Semestral", IF(JAA948="Mesa", "Semestral", IF(JAA948="Tapete", "Semestral", IF(JAA948="Cautín", "Semestral", IF(JAA948="Silla", "Semestral", "Anual"))))))</f>
        <v>Semestral</v>
      </c>
      <c r="JAM948" s="2" t="str">
        <f t="shared" ref="JAM948" ca="1" si="3114">IF(JAK948&lt;TODAY(),"VENCIDO",IF(JAK948=TODAY(),"VENCE HOY",IF(JAK948&gt;TODAY(),"VIGENTE")))</f>
        <v>VIGENTE</v>
      </c>
      <c r="JAN948" s="6" t="s">
        <v>25</v>
      </c>
      <c r="JAO948" s="23" t="s">
        <v>138</v>
      </c>
      <c r="JAP948" s="2" t="s">
        <v>433</v>
      </c>
      <c r="JAQ948" s="3" t="s">
        <v>22</v>
      </c>
      <c r="JAR948" s="3" t="s">
        <v>23</v>
      </c>
      <c r="JAS948" s="2" t="s">
        <v>24</v>
      </c>
      <c r="JAT948" s="4">
        <v>0</v>
      </c>
      <c r="JAU948" s="8">
        <f t="shared" ref="JAU948" si="3115">IF(JAQ948="Ionizador", 10, IF(JAQ948="Mesa", 1000000000, IF(JAQ948="Rack", 1000000000, IF(JAQ948="Piso", 1000000000, IF(JAQ948="Tapete", 1000000000, IF(JAQ948="Carrito", 1000000000, IF(JAQ948="Cautín", 10, 1)))))))</f>
        <v>1000000000</v>
      </c>
      <c r="JAV948" s="4" t="str">
        <f t="shared" ref="JAV948" si="3116">IF(JAQ948="Ionizador", "Segundos", "Ohms")</f>
        <v>Ohms</v>
      </c>
      <c r="JAW948" s="6">
        <v>148000000</v>
      </c>
      <c r="JAX948" s="6" t="str">
        <f t="shared" ref="JAX948" si="3117">JAV948</f>
        <v>Ohms</v>
      </c>
      <c r="JAY948" s="2" t="str">
        <f t="shared" ref="JAY948" si="3118">IF(JAQ948="Ionizador", "Plato de carga", IF(JAQ948="Cautín", "PTG", "RTG"))</f>
        <v>RTG</v>
      </c>
      <c r="JAZ948" s="7">
        <v>45992</v>
      </c>
      <c r="JBA948" s="7">
        <f t="shared" ref="JBA948" si="3119">IF(JBB948="Trimestral", JAZ948+90, IF(JBB948="Semestral", JAZ948+180, JAZ948+365))</f>
        <v>46172</v>
      </c>
      <c r="JBB948" s="7" t="str">
        <f t="shared" ref="JBB948" si="3120">IF(JAQ948="Ionizador", "Trimestral", IF(JAQ948="Rack", "Semestral", IF(JAQ948="Mesa", "Semestral", IF(JAQ948="Tapete", "Semestral", IF(JAQ948="Cautín", "Semestral", IF(JAQ948="Silla", "Semestral", "Anual"))))))</f>
        <v>Semestral</v>
      </c>
      <c r="JBC948" s="2" t="str">
        <f t="shared" ref="JBC948" ca="1" si="3121">IF(JBA948&lt;TODAY(),"VENCIDO",IF(JBA948=TODAY(),"VENCE HOY",IF(JBA948&gt;TODAY(),"VIGENTE")))</f>
        <v>VIGENTE</v>
      </c>
      <c r="JBD948" s="6" t="s">
        <v>25</v>
      </c>
      <c r="JBE948" s="23" t="s">
        <v>138</v>
      </c>
      <c r="JBF948" s="2" t="s">
        <v>433</v>
      </c>
      <c r="JBG948" s="3" t="s">
        <v>22</v>
      </c>
      <c r="JBH948" s="3" t="s">
        <v>23</v>
      </c>
      <c r="JBI948" s="2" t="s">
        <v>24</v>
      </c>
      <c r="JBJ948" s="4">
        <v>0</v>
      </c>
      <c r="JBK948" s="8">
        <f t="shared" ref="JBK948" si="3122">IF(JBG948="Ionizador", 10, IF(JBG948="Mesa", 1000000000, IF(JBG948="Rack", 1000000000, IF(JBG948="Piso", 1000000000, IF(JBG948="Tapete", 1000000000, IF(JBG948="Carrito", 1000000000, IF(JBG948="Cautín", 10, 1)))))))</f>
        <v>1000000000</v>
      </c>
      <c r="JBL948" s="4" t="str">
        <f t="shared" ref="JBL948" si="3123">IF(JBG948="Ionizador", "Segundos", "Ohms")</f>
        <v>Ohms</v>
      </c>
      <c r="JBM948" s="6">
        <v>148000000</v>
      </c>
      <c r="JBN948" s="6" t="str">
        <f t="shared" ref="JBN948" si="3124">JBL948</f>
        <v>Ohms</v>
      </c>
      <c r="JBO948" s="2" t="str">
        <f t="shared" ref="JBO948" si="3125">IF(JBG948="Ionizador", "Plato de carga", IF(JBG948="Cautín", "PTG", "RTG"))</f>
        <v>RTG</v>
      </c>
      <c r="JBP948" s="7">
        <v>45992</v>
      </c>
      <c r="JBQ948" s="7">
        <f t="shared" ref="JBQ948" si="3126">IF(JBR948="Trimestral", JBP948+90, IF(JBR948="Semestral", JBP948+180, JBP948+365))</f>
        <v>46172</v>
      </c>
      <c r="JBR948" s="7" t="str">
        <f t="shared" ref="JBR948" si="3127">IF(JBG948="Ionizador", "Trimestral", IF(JBG948="Rack", "Semestral", IF(JBG948="Mesa", "Semestral", IF(JBG948="Tapete", "Semestral", IF(JBG948="Cautín", "Semestral", IF(JBG948="Silla", "Semestral", "Anual"))))))</f>
        <v>Semestral</v>
      </c>
      <c r="JBS948" s="2" t="str">
        <f t="shared" ref="JBS948" ca="1" si="3128">IF(JBQ948&lt;TODAY(),"VENCIDO",IF(JBQ948=TODAY(),"VENCE HOY",IF(JBQ948&gt;TODAY(),"VIGENTE")))</f>
        <v>VIGENTE</v>
      </c>
      <c r="JBT948" s="6" t="s">
        <v>25</v>
      </c>
      <c r="JBU948" s="23" t="s">
        <v>138</v>
      </c>
      <c r="JBV948" s="2" t="s">
        <v>433</v>
      </c>
      <c r="JBW948" s="3" t="s">
        <v>22</v>
      </c>
      <c r="JBX948" s="3" t="s">
        <v>23</v>
      </c>
      <c r="JBY948" s="2" t="s">
        <v>24</v>
      </c>
      <c r="JBZ948" s="4">
        <v>0</v>
      </c>
      <c r="JCA948" s="8">
        <f t="shared" ref="JCA948" si="3129">IF(JBW948="Ionizador", 10, IF(JBW948="Mesa", 1000000000, IF(JBW948="Rack", 1000000000, IF(JBW948="Piso", 1000000000, IF(JBW948="Tapete", 1000000000, IF(JBW948="Carrito", 1000000000, IF(JBW948="Cautín", 10, 1)))))))</f>
        <v>1000000000</v>
      </c>
      <c r="JCB948" s="4" t="str">
        <f t="shared" ref="JCB948" si="3130">IF(JBW948="Ionizador", "Segundos", "Ohms")</f>
        <v>Ohms</v>
      </c>
      <c r="JCC948" s="6">
        <v>148000000</v>
      </c>
      <c r="JCD948" s="6" t="str">
        <f t="shared" ref="JCD948" si="3131">JCB948</f>
        <v>Ohms</v>
      </c>
      <c r="JCE948" s="2" t="str">
        <f t="shared" ref="JCE948" si="3132">IF(JBW948="Ionizador", "Plato de carga", IF(JBW948="Cautín", "PTG", "RTG"))</f>
        <v>RTG</v>
      </c>
      <c r="JCF948" s="7">
        <v>45992</v>
      </c>
      <c r="JCG948" s="7">
        <f t="shared" ref="JCG948" si="3133">IF(JCH948="Trimestral", JCF948+90, IF(JCH948="Semestral", JCF948+180, JCF948+365))</f>
        <v>46172</v>
      </c>
      <c r="JCH948" s="7" t="str">
        <f t="shared" ref="JCH948" si="3134">IF(JBW948="Ionizador", "Trimestral", IF(JBW948="Rack", "Semestral", IF(JBW948="Mesa", "Semestral", IF(JBW948="Tapete", "Semestral", IF(JBW948="Cautín", "Semestral", IF(JBW948="Silla", "Semestral", "Anual"))))))</f>
        <v>Semestral</v>
      </c>
      <c r="JCI948" s="2" t="str">
        <f t="shared" ref="JCI948" ca="1" si="3135">IF(JCG948&lt;TODAY(),"VENCIDO",IF(JCG948=TODAY(),"VENCE HOY",IF(JCG948&gt;TODAY(),"VIGENTE")))</f>
        <v>VIGENTE</v>
      </c>
      <c r="JCJ948" s="6" t="s">
        <v>25</v>
      </c>
      <c r="JCK948" s="23" t="s">
        <v>138</v>
      </c>
      <c r="JCL948" s="2" t="s">
        <v>433</v>
      </c>
      <c r="JCM948" s="3" t="s">
        <v>22</v>
      </c>
      <c r="JCN948" s="3" t="s">
        <v>23</v>
      </c>
      <c r="JCO948" s="2" t="s">
        <v>24</v>
      </c>
      <c r="JCP948" s="4">
        <v>0</v>
      </c>
      <c r="JCQ948" s="8">
        <f t="shared" ref="JCQ948" si="3136">IF(JCM948="Ionizador", 10, IF(JCM948="Mesa", 1000000000, IF(JCM948="Rack", 1000000000, IF(JCM948="Piso", 1000000000, IF(JCM948="Tapete", 1000000000, IF(JCM948="Carrito", 1000000000, IF(JCM948="Cautín", 10, 1)))))))</f>
        <v>1000000000</v>
      </c>
      <c r="JCR948" s="4" t="str">
        <f t="shared" ref="JCR948" si="3137">IF(JCM948="Ionizador", "Segundos", "Ohms")</f>
        <v>Ohms</v>
      </c>
      <c r="JCS948" s="6">
        <v>148000000</v>
      </c>
      <c r="JCT948" s="6" t="str">
        <f t="shared" ref="JCT948" si="3138">JCR948</f>
        <v>Ohms</v>
      </c>
      <c r="JCU948" s="2" t="str">
        <f t="shared" ref="JCU948" si="3139">IF(JCM948="Ionizador", "Plato de carga", IF(JCM948="Cautín", "PTG", "RTG"))</f>
        <v>RTG</v>
      </c>
      <c r="JCV948" s="7">
        <v>45992</v>
      </c>
      <c r="JCW948" s="7">
        <f t="shared" ref="JCW948" si="3140">IF(JCX948="Trimestral", JCV948+90, IF(JCX948="Semestral", JCV948+180, JCV948+365))</f>
        <v>46172</v>
      </c>
      <c r="JCX948" s="7" t="str">
        <f t="shared" ref="JCX948" si="3141">IF(JCM948="Ionizador", "Trimestral", IF(JCM948="Rack", "Semestral", IF(JCM948="Mesa", "Semestral", IF(JCM948="Tapete", "Semestral", IF(JCM948="Cautín", "Semestral", IF(JCM948="Silla", "Semestral", "Anual"))))))</f>
        <v>Semestral</v>
      </c>
      <c r="JCY948" s="2" t="str">
        <f t="shared" ref="JCY948" ca="1" si="3142">IF(JCW948&lt;TODAY(),"VENCIDO",IF(JCW948=TODAY(),"VENCE HOY",IF(JCW948&gt;TODAY(),"VIGENTE")))</f>
        <v>VIGENTE</v>
      </c>
      <c r="JCZ948" s="6" t="s">
        <v>25</v>
      </c>
      <c r="JDA948" s="23" t="s">
        <v>138</v>
      </c>
      <c r="JDB948" s="2" t="s">
        <v>433</v>
      </c>
      <c r="JDC948" s="3" t="s">
        <v>22</v>
      </c>
      <c r="JDD948" s="3" t="s">
        <v>23</v>
      </c>
      <c r="JDE948" s="2" t="s">
        <v>24</v>
      </c>
      <c r="JDF948" s="4">
        <v>0</v>
      </c>
      <c r="JDG948" s="8">
        <f t="shared" ref="JDG948" si="3143">IF(JDC948="Ionizador", 10, IF(JDC948="Mesa", 1000000000, IF(JDC948="Rack", 1000000000, IF(JDC948="Piso", 1000000000, IF(JDC948="Tapete", 1000000000, IF(JDC948="Carrito", 1000000000, IF(JDC948="Cautín", 10, 1)))))))</f>
        <v>1000000000</v>
      </c>
      <c r="JDH948" s="4" t="str">
        <f t="shared" ref="JDH948" si="3144">IF(JDC948="Ionizador", "Segundos", "Ohms")</f>
        <v>Ohms</v>
      </c>
      <c r="JDI948" s="6">
        <v>148000000</v>
      </c>
      <c r="JDJ948" s="6" t="str">
        <f t="shared" ref="JDJ948" si="3145">JDH948</f>
        <v>Ohms</v>
      </c>
      <c r="JDK948" s="2" t="str">
        <f t="shared" ref="JDK948" si="3146">IF(JDC948="Ionizador", "Plato de carga", IF(JDC948="Cautín", "PTG", "RTG"))</f>
        <v>RTG</v>
      </c>
      <c r="JDL948" s="7">
        <v>45992</v>
      </c>
      <c r="JDM948" s="7">
        <f t="shared" ref="JDM948" si="3147">IF(JDN948="Trimestral", JDL948+90, IF(JDN948="Semestral", JDL948+180, JDL948+365))</f>
        <v>46172</v>
      </c>
      <c r="JDN948" s="7" t="str">
        <f t="shared" ref="JDN948" si="3148">IF(JDC948="Ionizador", "Trimestral", IF(JDC948="Rack", "Semestral", IF(JDC948="Mesa", "Semestral", IF(JDC948="Tapete", "Semestral", IF(JDC948="Cautín", "Semestral", IF(JDC948="Silla", "Semestral", "Anual"))))))</f>
        <v>Semestral</v>
      </c>
      <c r="JDO948" s="2" t="str">
        <f t="shared" ref="JDO948" ca="1" si="3149">IF(JDM948&lt;TODAY(),"VENCIDO",IF(JDM948=TODAY(),"VENCE HOY",IF(JDM948&gt;TODAY(),"VIGENTE")))</f>
        <v>VIGENTE</v>
      </c>
      <c r="JDP948" s="6" t="s">
        <v>25</v>
      </c>
      <c r="JDQ948" s="23" t="s">
        <v>138</v>
      </c>
      <c r="JDR948" s="2" t="s">
        <v>433</v>
      </c>
      <c r="JDS948" s="3" t="s">
        <v>22</v>
      </c>
      <c r="JDT948" s="3" t="s">
        <v>23</v>
      </c>
      <c r="JDU948" s="2" t="s">
        <v>24</v>
      </c>
      <c r="JDV948" s="4">
        <v>0</v>
      </c>
      <c r="JDW948" s="8">
        <f t="shared" ref="JDW948" si="3150">IF(JDS948="Ionizador", 10, IF(JDS948="Mesa", 1000000000, IF(JDS948="Rack", 1000000000, IF(JDS948="Piso", 1000000000, IF(JDS948="Tapete", 1000000000, IF(JDS948="Carrito", 1000000000, IF(JDS948="Cautín", 10, 1)))))))</f>
        <v>1000000000</v>
      </c>
      <c r="JDX948" s="4" t="str">
        <f t="shared" ref="JDX948" si="3151">IF(JDS948="Ionizador", "Segundos", "Ohms")</f>
        <v>Ohms</v>
      </c>
      <c r="JDY948" s="6">
        <v>148000000</v>
      </c>
      <c r="JDZ948" s="6" t="str">
        <f t="shared" ref="JDZ948" si="3152">JDX948</f>
        <v>Ohms</v>
      </c>
      <c r="JEA948" s="2" t="str">
        <f t="shared" ref="JEA948" si="3153">IF(JDS948="Ionizador", "Plato de carga", IF(JDS948="Cautín", "PTG", "RTG"))</f>
        <v>RTG</v>
      </c>
      <c r="JEB948" s="7">
        <v>45992</v>
      </c>
      <c r="JEC948" s="7">
        <f t="shared" ref="JEC948" si="3154">IF(JED948="Trimestral", JEB948+90, IF(JED948="Semestral", JEB948+180, JEB948+365))</f>
        <v>46172</v>
      </c>
      <c r="JED948" s="7" t="str">
        <f t="shared" ref="JED948" si="3155">IF(JDS948="Ionizador", "Trimestral", IF(JDS948="Rack", "Semestral", IF(JDS948="Mesa", "Semestral", IF(JDS948="Tapete", "Semestral", IF(JDS948="Cautín", "Semestral", IF(JDS948="Silla", "Semestral", "Anual"))))))</f>
        <v>Semestral</v>
      </c>
      <c r="JEE948" s="2" t="str">
        <f t="shared" ref="JEE948" ca="1" si="3156">IF(JEC948&lt;TODAY(),"VENCIDO",IF(JEC948=TODAY(),"VENCE HOY",IF(JEC948&gt;TODAY(),"VIGENTE")))</f>
        <v>VIGENTE</v>
      </c>
      <c r="JEF948" s="6" t="s">
        <v>25</v>
      </c>
      <c r="JEG948" s="23" t="s">
        <v>138</v>
      </c>
      <c r="JEH948" s="2" t="s">
        <v>433</v>
      </c>
      <c r="JEI948" s="3" t="s">
        <v>22</v>
      </c>
      <c r="JEJ948" s="3" t="s">
        <v>23</v>
      </c>
      <c r="JEK948" s="2" t="s">
        <v>24</v>
      </c>
      <c r="JEL948" s="4">
        <v>0</v>
      </c>
      <c r="JEM948" s="8">
        <f t="shared" ref="JEM948" si="3157">IF(JEI948="Ionizador", 10, IF(JEI948="Mesa", 1000000000, IF(JEI948="Rack", 1000000000, IF(JEI948="Piso", 1000000000, IF(JEI948="Tapete", 1000000000, IF(JEI948="Carrito", 1000000000, IF(JEI948="Cautín", 10, 1)))))))</f>
        <v>1000000000</v>
      </c>
      <c r="JEN948" s="4" t="str">
        <f t="shared" ref="JEN948" si="3158">IF(JEI948="Ionizador", "Segundos", "Ohms")</f>
        <v>Ohms</v>
      </c>
      <c r="JEO948" s="6">
        <v>148000000</v>
      </c>
      <c r="JEP948" s="6" t="str">
        <f t="shared" ref="JEP948" si="3159">JEN948</f>
        <v>Ohms</v>
      </c>
      <c r="JEQ948" s="2" t="str">
        <f t="shared" ref="JEQ948" si="3160">IF(JEI948="Ionizador", "Plato de carga", IF(JEI948="Cautín", "PTG", "RTG"))</f>
        <v>RTG</v>
      </c>
      <c r="JER948" s="7">
        <v>45992</v>
      </c>
      <c r="JES948" s="7">
        <f t="shared" ref="JES948" si="3161">IF(JET948="Trimestral", JER948+90, IF(JET948="Semestral", JER948+180, JER948+365))</f>
        <v>46172</v>
      </c>
      <c r="JET948" s="7" t="str">
        <f t="shared" ref="JET948" si="3162">IF(JEI948="Ionizador", "Trimestral", IF(JEI948="Rack", "Semestral", IF(JEI948="Mesa", "Semestral", IF(JEI948="Tapete", "Semestral", IF(JEI948="Cautín", "Semestral", IF(JEI948="Silla", "Semestral", "Anual"))))))</f>
        <v>Semestral</v>
      </c>
      <c r="JEU948" s="2" t="str">
        <f t="shared" ref="JEU948" ca="1" si="3163">IF(JES948&lt;TODAY(),"VENCIDO",IF(JES948=TODAY(),"VENCE HOY",IF(JES948&gt;TODAY(),"VIGENTE")))</f>
        <v>VIGENTE</v>
      </c>
      <c r="JEV948" s="6" t="s">
        <v>25</v>
      </c>
      <c r="JEW948" s="23" t="s">
        <v>138</v>
      </c>
      <c r="JEX948" s="2" t="s">
        <v>433</v>
      </c>
      <c r="JEY948" s="3" t="s">
        <v>22</v>
      </c>
      <c r="JEZ948" s="3" t="s">
        <v>23</v>
      </c>
      <c r="JFA948" s="2" t="s">
        <v>24</v>
      </c>
      <c r="JFB948" s="4">
        <v>0</v>
      </c>
      <c r="JFC948" s="8">
        <f t="shared" ref="JFC948" si="3164">IF(JEY948="Ionizador", 10, IF(JEY948="Mesa", 1000000000, IF(JEY948="Rack", 1000000000, IF(JEY948="Piso", 1000000000, IF(JEY948="Tapete", 1000000000, IF(JEY948="Carrito", 1000000000, IF(JEY948="Cautín", 10, 1)))))))</f>
        <v>1000000000</v>
      </c>
      <c r="JFD948" s="4" t="str">
        <f t="shared" ref="JFD948" si="3165">IF(JEY948="Ionizador", "Segundos", "Ohms")</f>
        <v>Ohms</v>
      </c>
      <c r="JFE948" s="6">
        <v>148000000</v>
      </c>
      <c r="JFF948" s="6" t="str">
        <f t="shared" ref="JFF948" si="3166">JFD948</f>
        <v>Ohms</v>
      </c>
      <c r="JFG948" s="2" t="str">
        <f t="shared" ref="JFG948" si="3167">IF(JEY948="Ionizador", "Plato de carga", IF(JEY948="Cautín", "PTG", "RTG"))</f>
        <v>RTG</v>
      </c>
      <c r="JFH948" s="7">
        <v>45992</v>
      </c>
      <c r="JFI948" s="7">
        <f t="shared" ref="JFI948" si="3168">IF(JFJ948="Trimestral", JFH948+90, IF(JFJ948="Semestral", JFH948+180, JFH948+365))</f>
        <v>46172</v>
      </c>
      <c r="JFJ948" s="7" t="str">
        <f t="shared" ref="JFJ948" si="3169">IF(JEY948="Ionizador", "Trimestral", IF(JEY948="Rack", "Semestral", IF(JEY948="Mesa", "Semestral", IF(JEY948="Tapete", "Semestral", IF(JEY948="Cautín", "Semestral", IF(JEY948="Silla", "Semestral", "Anual"))))))</f>
        <v>Semestral</v>
      </c>
      <c r="JFK948" s="2" t="str">
        <f t="shared" ref="JFK948" ca="1" si="3170">IF(JFI948&lt;TODAY(),"VENCIDO",IF(JFI948=TODAY(),"VENCE HOY",IF(JFI948&gt;TODAY(),"VIGENTE")))</f>
        <v>VIGENTE</v>
      </c>
      <c r="JFL948" s="6" t="s">
        <v>25</v>
      </c>
      <c r="JFM948" s="23" t="s">
        <v>138</v>
      </c>
      <c r="JFN948" s="2" t="s">
        <v>433</v>
      </c>
      <c r="JFO948" s="3" t="s">
        <v>22</v>
      </c>
      <c r="JFP948" s="3" t="s">
        <v>23</v>
      </c>
      <c r="JFQ948" s="2" t="s">
        <v>24</v>
      </c>
      <c r="JFR948" s="4">
        <v>0</v>
      </c>
      <c r="JFS948" s="8">
        <f t="shared" ref="JFS948" si="3171">IF(JFO948="Ionizador", 10, IF(JFO948="Mesa", 1000000000, IF(JFO948="Rack", 1000000000, IF(JFO948="Piso", 1000000000, IF(JFO948="Tapete", 1000000000, IF(JFO948="Carrito", 1000000000, IF(JFO948="Cautín", 10, 1)))))))</f>
        <v>1000000000</v>
      </c>
      <c r="JFT948" s="4" t="str">
        <f t="shared" ref="JFT948" si="3172">IF(JFO948="Ionizador", "Segundos", "Ohms")</f>
        <v>Ohms</v>
      </c>
      <c r="JFU948" s="6">
        <v>148000000</v>
      </c>
      <c r="JFV948" s="6" t="str">
        <f t="shared" ref="JFV948" si="3173">JFT948</f>
        <v>Ohms</v>
      </c>
      <c r="JFW948" s="2" t="str">
        <f t="shared" ref="JFW948" si="3174">IF(JFO948="Ionizador", "Plato de carga", IF(JFO948="Cautín", "PTG", "RTG"))</f>
        <v>RTG</v>
      </c>
      <c r="JFX948" s="7">
        <v>45992</v>
      </c>
      <c r="JFY948" s="7">
        <f t="shared" ref="JFY948" si="3175">IF(JFZ948="Trimestral", JFX948+90, IF(JFZ948="Semestral", JFX948+180, JFX948+365))</f>
        <v>46172</v>
      </c>
      <c r="JFZ948" s="7" t="str">
        <f t="shared" ref="JFZ948" si="3176">IF(JFO948="Ionizador", "Trimestral", IF(JFO948="Rack", "Semestral", IF(JFO948="Mesa", "Semestral", IF(JFO948="Tapete", "Semestral", IF(JFO948="Cautín", "Semestral", IF(JFO948="Silla", "Semestral", "Anual"))))))</f>
        <v>Semestral</v>
      </c>
      <c r="JGA948" s="2" t="str">
        <f t="shared" ref="JGA948" ca="1" si="3177">IF(JFY948&lt;TODAY(),"VENCIDO",IF(JFY948=TODAY(),"VENCE HOY",IF(JFY948&gt;TODAY(),"VIGENTE")))</f>
        <v>VIGENTE</v>
      </c>
      <c r="JGB948" s="6" t="s">
        <v>25</v>
      </c>
      <c r="JGC948" s="23" t="s">
        <v>138</v>
      </c>
      <c r="JGD948" s="2" t="s">
        <v>433</v>
      </c>
      <c r="JGE948" s="3" t="s">
        <v>22</v>
      </c>
      <c r="JGF948" s="3" t="s">
        <v>23</v>
      </c>
      <c r="JGG948" s="2" t="s">
        <v>24</v>
      </c>
      <c r="JGH948" s="4">
        <v>0</v>
      </c>
      <c r="JGI948" s="8">
        <f t="shared" ref="JGI948" si="3178">IF(JGE948="Ionizador", 10, IF(JGE948="Mesa", 1000000000, IF(JGE948="Rack", 1000000000, IF(JGE948="Piso", 1000000000, IF(JGE948="Tapete", 1000000000, IF(JGE948="Carrito", 1000000000, IF(JGE948="Cautín", 10, 1)))))))</f>
        <v>1000000000</v>
      </c>
      <c r="JGJ948" s="4" t="str">
        <f t="shared" ref="JGJ948" si="3179">IF(JGE948="Ionizador", "Segundos", "Ohms")</f>
        <v>Ohms</v>
      </c>
      <c r="JGK948" s="6">
        <v>148000000</v>
      </c>
      <c r="JGL948" s="6" t="str">
        <f t="shared" ref="JGL948" si="3180">JGJ948</f>
        <v>Ohms</v>
      </c>
      <c r="JGM948" s="2" t="str">
        <f t="shared" ref="JGM948" si="3181">IF(JGE948="Ionizador", "Plato de carga", IF(JGE948="Cautín", "PTG", "RTG"))</f>
        <v>RTG</v>
      </c>
      <c r="JGN948" s="7">
        <v>45992</v>
      </c>
      <c r="JGO948" s="7">
        <f t="shared" ref="JGO948" si="3182">IF(JGP948="Trimestral", JGN948+90, IF(JGP948="Semestral", JGN948+180, JGN948+365))</f>
        <v>46172</v>
      </c>
      <c r="JGP948" s="7" t="str">
        <f t="shared" ref="JGP948" si="3183">IF(JGE948="Ionizador", "Trimestral", IF(JGE948="Rack", "Semestral", IF(JGE948="Mesa", "Semestral", IF(JGE948="Tapete", "Semestral", IF(JGE948="Cautín", "Semestral", IF(JGE948="Silla", "Semestral", "Anual"))))))</f>
        <v>Semestral</v>
      </c>
      <c r="JGQ948" s="2" t="str">
        <f t="shared" ref="JGQ948" ca="1" si="3184">IF(JGO948&lt;TODAY(),"VENCIDO",IF(JGO948=TODAY(),"VENCE HOY",IF(JGO948&gt;TODAY(),"VIGENTE")))</f>
        <v>VIGENTE</v>
      </c>
      <c r="JGR948" s="6" t="s">
        <v>25</v>
      </c>
      <c r="JGS948" s="23" t="s">
        <v>138</v>
      </c>
      <c r="JGT948" s="2" t="s">
        <v>433</v>
      </c>
      <c r="JGU948" s="3" t="s">
        <v>22</v>
      </c>
      <c r="JGV948" s="3" t="s">
        <v>23</v>
      </c>
      <c r="JGW948" s="2" t="s">
        <v>24</v>
      </c>
      <c r="JGX948" s="4">
        <v>0</v>
      </c>
      <c r="JGY948" s="8">
        <f t="shared" ref="JGY948" si="3185">IF(JGU948="Ionizador", 10, IF(JGU948="Mesa", 1000000000, IF(JGU948="Rack", 1000000000, IF(JGU948="Piso", 1000000000, IF(JGU948="Tapete", 1000000000, IF(JGU948="Carrito", 1000000000, IF(JGU948="Cautín", 10, 1)))))))</f>
        <v>1000000000</v>
      </c>
      <c r="JGZ948" s="4" t="str">
        <f t="shared" ref="JGZ948" si="3186">IF(JGU948="Ionizador", "Segundos", "Ohms")</f>
        <v>Ohms</v>
      </c>
      <c r="JHA948" s="6">
        <v>148000000</v>
      </c>
      <c r="JHB948" s="6" t="str">
        <f t="shared" ref="JHB948" si="3187">JGZ948</f>
        <v>Ohms</v>
      </c>
      <c r="JHC948" s="2" t="str">
        <f t="shared" ref="JHC948" si="3188">IF(JGU948="Ionizador", "Plato de carga", IF(JGU948="Cautín", "PTG", "RTG"))</f>
        <v>RTG</v>
      </c>
      <c r="JHD948" s="7">
        <v>45992</v>
      </c>
      <c r="JHE948" s="7">
        <f t="shared" ref="JHE948" si="3189">IF(JHF948="Trimestral", JHD948+90, IF(JHF948="Semestral", JHD948+180, JHD948+365))</f>
        <v>46172</v>
      </c>
      <c r="JHF948" s="7" t="str">
        <f t="shared" ref="JHF948" si="3190">IF(JGU948="Ionizador", "Trimestral", IF(JGU948="Rack", "Semestral", IF(JGU948="Mesa", "Semestral", IF(JGU948="Tapete", "Semestral", IF(JGU948="Cautín", "Semestral", IF(JGU948="Silla", "Semestral", "Anual"))))))</f>
        <v>Semestral</v>
      </c>
      <c r="JHG948" s="2" t="str">
        <f t="shared" ref="JHG948" ca="1" si="3191">IF(JHE948&lt;TODAY(),"VENCIDO",IF(JHE948=TODAY(),"VENCE HOY",IF(JHE948&gt;TODAY(),"VIGENTE")))</f>
        <v>VIGENTE</v>
      </c>
      <c r="JHH948" s="6" t="s">
        <v>25</v>
      </c>
      <c r="JHI948" s="23" t="s">
        <v>138</v>
      </c>
      <c r="JHJ948" s="2" t="s">
        <v>433</v>
      </c>
      <c r="JHK948" s="3" t="s">
        <v>22</v>
      </c>
      <c r="JHL948" s="3" t="s">
        <v>23</v>
      </c>
      <c r="JHM948" s="2" t="s">
        <v>24</v>
      </c>
      <c r="JHN948" s="4">
        <v>0</v>
      </c>
      <c r="JHO948" s="8">
        <f t="shared" ref="JHO948" si="3192">IF(JHK948="Ionizador", 10, IF(JHK948="Mesa", 1000000000, IF(JHK948="Rack", 1000000000, IF(JHK948="Piso", 1000000000, IF(JHK948="Tapete", 1000000000, IF(JHK948="Carrito", 1000000000, IF(JHK948="Cautín", 10, 1)))))))</f>
        <v>1000000000</v>
      </c>
      <c r="JHP948" s="4" t="str">
        <f t="shared" ref="JHP948" si="3193">IF(JHK948="Ionizador", "Segundos", "Ohms")</f>
        <v>Ohms</v>
      </c>
      <c r="JHQ948" s="6">
        <v>148000000</v>
      </c>
      <c r="JHR948" s="6" t="str">
        <f t="shared" ref="JHR948" si="3194">JHP948</f>
        <v>Ohms</v>
      </c>
      <c r="JHS948" s="2" t="str">
        <f t="shared" ref="JHS948" si="3195">IF(JHK948="Ionizador", "Plato de carga", IF(JHK948="Cautín", "PTG", "RTG"))</f>
        <v>RTG</v>
      </c>
      <c r="JHT948" s="7">
        <v>45992</v>
      </c>
      <c r="JHU948" s="7">
        <f t="shared" ref="JHU948" si="3196">IF(JHV948="Trimestral", JHT948+90, IF(JHV948="Semestral", JHT948+180, JHT948+365))</f>
        <v>46172</v>
      </c>
      <c r="JHV948" s="7" t="str">
        <f t="shared" ref="JHV948" si="3197">IF(JHK948="Ionizador", "Trimestral", IF(JHK948="Rack", "Semestral", IF(JHK948="Mesa", "Semestral", IF(JHK948="Tapete", "Semestral", IF(JHK948="Cautín", "Semestral", IF(JHK948="Silla", "Semestral", "Anual"))))))</f>
        <v>Semestral</v>
      </c>
      <c r="JHW948" s="2" t="str">
        <f t="shared" ref="JHW948" ca="1" si="3198">IF(JHU948&lt;TODAY(),"VENCIDO",IF(JHU948=TODAY(),"VENCE HOY",IF(JHU948&gt;TODAY(),"VIGENTE")))</f>
        <v>VIGENTE</v>
      </c>
      <c r="JHX948" s="6" t="s">
        <v>25</v>
      </c>
      <c r="JHY948" s="23" t="s">
        <v>138</v>
      </c>
      <c r="JHZ948" s="2" t="s">
        <v>433</v>
      </c>
      <c r="JIA948" s="3" t="s">
        <v>22</v>
      </c>
      <c r="JIB948" s="3" t="s">
        <v>23</v>
      </c>
      <c r="JIC948" s="2" t="s">
        <v>24</v>
      </c>
      <c r="JID948" s="4">
        <v>0</v>
      </c>
      <c r="JIE948" s="8">
        <f t="shared" ref="JIE948" si="3199">IF(JIA948="Ionizador", 10, IF(JIA948="Mesa", 1000000000, IF(JIA948="Rack", 1000000000, IF(JIA948="Piso", 1000000000, IF(JIA948="Tapete", 1000000000, IF(JIA948="Carrito", 1000000000, IF(JIA948="Cautín", 10, 1)))))))</f>
        <v>1000000000</v>
      </c>
      <c r="JIF948" s="4" t="str">
        <f t="shared" ref="JIF948" si="3200">IF(JIA948="Ionizador", "Segundos", "Ohms")</f>
        <v>Ohms</v>
      </c>
      <c r="JIG948" s="6">
        <v>148000000</v>
      </c>
      <c r="JIH948" s="6" t="str">
        <f t="shared" ref="JIH948" si="3201">JIF948</f>
        <v>Ohms</v>
      </c>
      <c r="JII948" s="2" t="str">
        <f t="shared" ref="JII948" si="3202">IF(JIA948="Ionizador", "Plato de carga", IF(JIA948="Cautín", "PTG", "RTG"))</f>
        <v>RTG</v>
      </c>
      <c r="JIJ948" s="7">
        <v>45992</v>
      </c>
      <c r="JIK948" s="7">
        <f t="shared" ref="JIK948" si="3203">IF(JIL948="Trimestral", JIJ948+90, IF(JIL948="Semestral", JIJ948+180, JIJ948+365))</f>
        <v>46172</v>
      </c>
      <c r="JIL948" s="7" t="str">
        <f t="shared" ref="JIL948" si="3204">IF(JIA948="Ionizador", "Trimestral", IF(JIA948="Rack", "Semestral", IF(JIA948="Mesa", "Semestral", IF(JIA948="Tapete", "Semestral", IF(JIA948="Cautín", "Semestral", IF(JIA948="Silla", "Semestral", "Anual"))))))</f>
        <v>Semestral</v>
      </c>
      <c r="JIM948" s="2" t="str">
        <f t="shared" ref="JIM948" ca="1" si="3205">IF(JIK948&lt;TODAY(),"VENCIDO",IF(JIK948=TODAY(),"VENCE HOY",IF(JIK948&gt;TODAY(),"VIGENTE")))</f>
        <v>VIGENTE</v>
      </c>
      <c r="JIN948" s="6" t="s">
        <v>25</v>
      </c>
      <c r="JIO948" s="23" t="s">
        <v>138</v>
      </c>
      <c r="JIP948" s="2" t="s">
        <v>433</v>
      </c>
      <c r="JIQ948" s="3" t="s">
        <v>22</v>
      </c>
      <c r="JIR948" s="3" t="s">
        <v>23</v>
      </c>
      <c r="JIS948" s="2" t="s">
        <v>24</v>
      </c>
      <c r="JIT948" s="4">
        <v>0</v>
      </c>
      <c r="JIU948" s="8">
        <f t="shared" ref="JIU948" si="3206">IF(JIQ948="Ionizador", 10, IF(JIQ948="Mesa", 1000000000, IF(JIQ948="Rack", 1000000000, IF(JIQ948="Piso", 1000000000, IF(JIQ948="Tapete", 1000000000, IF(JIQ948="Carrito", 1000000000, IF(JIQ948="Cautín", 10, 1)))))))</f>
        <v>1000000000</v>
      </c>
      <c r="JIV948" s="4" t="str">
        <f t="shared" ref="JIV948" si="3207">IF(JIQ948="Ionizador", "Segundos", "Ohms")</f>
        <v>Ohms</v>
      </c>
      <c r="JIW948" s="6">
        <v>148000000</v>
      </c>
      <c r="JIX948" s="6" t="str">
        <f t="shared" ref="JIX948" si="3208">JIV948</f>
        <v>Ohms</v>
      </c>
      <c r="JIY948" s="2" t="str">
        <f t="shared" ref="JIY948" si="3209">IF(JIQ948="Ionizador", "Plato de carga", IF(JIQ948="Cautín", "PTG", "RTG"))</f>
        <v>RTG</v>
      </c>
      <c r="JIZ948" s="7">
        <v>45992</v>
      </c>
      <c r="JJA948" s="7">
        <f t="shared" ref="JJA948" si="3210">IF(JJB948="Trimestral", JIZ948+90, IF(JJB948="Semestral", JIZ948+180, JIZ948+365))</f>
        <v>46172</v>
      </c>
      <c r="JJB948" s="7" t="str">
        <f t="shared" ref="JJB948" si="3211">IF(JIQ948="Ionizador", "Trimestral", IF(JIQ948="Rack", "Semestral", IF(JIQ948="Mesa", "Semestral", IF(JIQ948="Tapete", "Semestral", IF(JIQ948="Cautín", "Semestral", IF(JIQ948="Silla", "Semestral", "Anual"))))))</f>
        <v>Semestral</v>
      </c>
      <c r="JJC948" s="2" t="str">
        <f t="shared" ref="JJC948" ca="1" si="3212">IF(JJA948&lt;TODAY(),"VENCIDO",IF(JJA948=TODAY(),"VENCE HOY",IF(JJA948&gt;TODAY(),"VIGENTE")))</f>
        <v>VIGENTE</v>
      </c>
      <c r="JJD948" s="6" t="s">
        <v>25</v>
      </c>
      <c r="JJE948" s="23" t="s">
        <v>138</v>
      </c>
      <c r="JJF948" s="2" t="s">
        <v>433</v>
      </c>
      <c r="JJG948" s="3" t="s">
        <v>22</v>
      </c>
      <c r="JJH948" s="3" t="s">
        <v>23</v>
      </c>
      <c r="JJI948" s="2" t="s">
        <v>24</v>
      </c>
      <c r="JJJ948" s="4">
        <v>0</v>
      </c>
      <c r="JJK948" s="8">
        <f t="shared" ref="JJK948" si="3213">IF(JJG948="Ionizador", 10, IF(JJG948="Mesa", 1000000000, IF(JJG948="Rack", 1000000000, IF(JJG948="Piso", 1000000000, IF(JJG948="Tapete", 1000000000, IF(JJG948="Carrito", 1000000000, IF(JJG948="Cautín", 10, 1)))))))</f>
        <v>1000000000</v>
      </c>
      <c r="JJL948" s="4" t="str">
        <f t="shared" ref="JJL948" si="3214">IF(JJG948="Ionizador", "Segundos", "Ohms")</f>
        <v>Ohms</v>
      </c>
      <c r="JJM948" s="6">
        <v>148000000</v>
      </c>
      <c r="JJN948" s="6" t="str">
        <f t="shared" ref="JJN948" si="3215">JJL948</f>
        <v>Ohms</v>
      </c>
      <c r="JJO948" s="2" t="str">
        <f t="shared" ref="JJO948" si="3216">IF(JJG948="Ionizador", "Plato de carga", IF(JJG948="Cautín", "PTG", "RTG"))</f>
        <v>RTG</v>
      </c>
      <c r="JJP948" s="7">
        <v>45992</v>
      </c>
      <c r="JJQ948" s="7">
        <f t="shared" ref="JJQ948" si="3217">IF(JJR948="Trimestral", JJP948+90, IF(JJR948="Semestral", JJP948+180, JJP948+365))</f>
        <v>46172</v>
      </c>
      <c r="JJR948" s="7" t="str">
        <f t="shared" ref="JJR948" si="3218">IF(JJG948="Ionizador", "Trimestral", IF(JJG948="Rack", "Semestral", IF(JJG948="Mesa", "Semestral", IF(JJG948="Tapete", "Semestral", IF(JJG948="Cautín", "Semestral", IF(JJG948="Silla", "Semestral", "Anual"))))))</f>
        <v>Semestral</v>
      </c>
      <c r="JJS948" s="2" t="str">
        <f t="shared" ref="JJS948" ca="1" si="3219">IF(JJQ948&lt;TODAY(),"VENCIDO",IF(JJQ948=TODAY(),"VENCE HOY",IF(JJQ948&gt;TODAY(),"VIGENTE")))</f>
        <v>VIGENTE</v>
      </c>
      <c r="JJT948" s="6" t="s">
        <v>25</v>
      </c>
      <c r="JJU948" s="23" t="s">
        <v>138</v>
      </c>
      <c r="JJV948" s="2" t="s">
        <v>433</v>
      </c>
      <c r="JJW948" s="3" t="s">
        <v>22</v>
      </c>
      <c r="JJX948" s="3" t="s">
        <v>23</v>
      </c>
      <c r="JJY948" s="2" t="s">
        <v>24</v>
      </c>
      <c r="JJZ948" s="4">
        <v>0</v>
      </c>
      <c r="JKA948" s="8">
        <f t="shared" ref="JKA948" si="3220">IF(JJW948="Ionizador", 10, IF(JJW948="Mesa", 1000000000, IF(JJW948="Rack", 1000000000, IF(JJW948="Piso", 1000000000, IF(JJW948="Tapete", 1000000000, IF(JJW948="Carrito", 1000000000, IF(JJW948="Cautín", 10, 1)))))))</f>
        <v>1000000000</v>
      </c>
      <c r="JKB948" s="4" t="str">
        <f t="shared" ref="JKB948" si="3221">IF(JJW948="Ionizador", "Segundos", "Ohms")</f>
        <v>Ohms</v>
      </c>
      <c r="JKC948" s="6">
        <v>148000000</v>
      </c>
      <c r="JKD948" s="6" t="str">
        <f t="shared" ref="JKD948" si="3222">JKB948</f>
        <v>Ohms</v>
      </c>
      <c r="JKE948" s="2" t="str">
        <f t="shared" ref="JKE948" si="3223">IF(JJW948="Ionizador", "Plato de carga", IF(JJW948="Cautín", "PTG", "RTG"))</f>
        <v>RTG</v>
      </c>
      <c r="JKF948" s="7">
        <v>45992</v>
      </c>
      <c r="JKG948" s="7">
        <f t="shared" ref="JKG948" si="3224">IF(JKH948="Trimestral", JKF948+90, IF(JKH948="Semestral", JKF948+180, JKF948+365))</f>
        <v>46172</v>
      </c>
      <c r="JKH948" s="7" t="str">
        <f t="shared" ref="JKH948" si="3225">IF(JJW948="Ionizador", "Trimestral", IF(JJW948="Rack", "Semestral", IF(JJW948="Mesa", "Semestral", IF(JJW948="Tapete", "Semestral", IF(JJW948="Cautín", "Semestral", IF(JJW948="Silla", "Semestral", "Anual"))))))</f>
        <v>Semestral</v>
      </c>
      <c r="JKI948" s="2" t="str">
        <f t="shared" ref="JKI948" ca="1" si="3226">IF(JKG948&lt;TODAY(),"VENCIDO",IF(JKG948=TODAY(),"VENCE HOY",IF(JKG948&gt;TODAY(),"VIGENTE")))</f>
        <v>VIGENTE</v>
      </c>
      <c r="JKJ948" s="6" t="s">
        <v>25</v>
      </c>
      <c r="JKK948" s="23" t="s">
        <v>138</v>
      </c>
      <c r="JKL948" s="2" t="s">
        <v>433</v>
      </c>
      <c r="JKM948" s="3" t="s">
        <v>22</v>
      </c>
      <c r="JKN948" s="3" t="s">
        <v>23</v>
      </c>
      <c r="JKO948" s="2" t="s">
        <v>24</v>
      </c>
      <c r="JKP948" s="4">
        <v>0</v>
      </c>
      <c r="JKQ948" s="8">
        <f t="shared" ref="JKQ948" si="3227">IF(JKM948="Ionizador", 10, IF(JKM948="Mesa", 1000000000, IF(JKM948="Rack", 1000000000, IF(JKM948="Piso", 1000000000, IF(JKM948="Tapete", 1000000000, IF(JKM948="Carrito", 1000000000, IF(JKM948="Cautín", 10, 1)))))))</f>
        <v>1000000000</v>
      </c>
      <c r="JKR948" s="4" t="str">
        <f t="shared" ref="JKR948" si="3228">IF(JKM948="Ionizador", "Segundos", "Ohms")</f>
        <v>Ohms</v>
      </c>
      <c r="JKS948" s="6">
        <v>148000000</v>
      </c>
      <c r="JKT948" s="6" t="str">
        <f t="shared" ref="JKT948" si="3229">JKR948</f>
        <v>Ohms</v>
      </c>
      <c r="JKU948" s="2" t="str">
        <f t="shared" ref="JKU948" si="3230">IF(JKM948="Ionizador", "Plato de carga", IF(JKM948="Cautín", "PTG", "RTG"))</f>
        <v>RTG</v>
      </c>
      <c r="JKV948" s="7">
        <v>45992</v>
      </c>
      <c r="JKW948" s="7">
        <f t="shared" ref="JKW948" si="3231">IF(JKX948="Trimestral", JKV948+90, IF(JKX948="Semestral", JKV948+180, JKV948+365))</f>
        <v>46172</v>
      </c>
      <c r="JKX948" s="7" t="str">
        <f t="shared" ref="JKX948" si="3232">IF(JKM948="Ionizador", "Trimestral", IF(JKM948="Rack", "Semestral", IF(JKM948="Mesa", "Semestral", IF(JKM948="Tapete", "Semestral", IF(JKM948="Cautín", "Semestral", IF(JKM948="Silla", "Semestral", "Anual"))))))</f>
        <v>Semestral</v>
      </c>
      <c r="JKY948" s="2" t="str">
        <f t="shared" ref="JKY948" ca="1" si="3233">IF(JKW948&lt;TODAY(),"VENCIDO",IF(JKW948=TODAY(),"VENCE HOY",IF(JKW948&gt;TODAY(),"VIGENTE")))</f>
        <v>VIGENTE</v>
      </c>
      <c r="JKZ948" s="6" t="s">
        <v>25</v>
      </c>
      <c r="JLA948" s="23" t="s">
        <v>138</v>
      </c>
      <c r="JLB948" s="2" t="s">
        <v>433</v>
      </c>
      <c r="JLC948" s="3" t="s">
        <v>22</v>
      </c>
      <c r="JLD948" s="3" t="s">
        <v>23</v>
      </c>
      <c r="JLE948" s="2" t="s">
        <v>24</v>
      </c>
      <c r="JLF948" s="4">
        <v>0</v>
      </c>
      <c r="JLG948" s="8">
        <f t="shared" ref="JLG948" si="3234">IF(JLC948="Ionizador", 10, IF(JLC948="Mesa", 1000000000, IF(JLC948="Rack", 1000000000, IF(JLC948="Piso", 1000000000, IF(JLC948="Tapete", 1000000000, IF(JLC948="Carrito", 1000000000, IF(JLC948="Cautín", 10, 1)))))))</f>
        <v>1000000000</v>
      </c>
      <c r="JLH948" s="4" t="str">
        <f t="shared" ref="JLH948" si="3235">IF(JLC948="Ionizador", "Segundos", "Ohms")</f>
        <v>Ohms</v>
      </c>
      <c r="JLI948" s="6">
        <v>148000000</v>
      </c>
      <c r="JLJ948" s="6" t="str">
        <f t="shared" ref="JLJ948" si="3236">JLH948</f>
        <v>Ohms</v>
      </c>
      <c r="JLK948" s="2" t="str">
        <f t="shared" ref="JLK948" si="3237">IF(JLC948="Ionizador", "Plato de carga", IF(JLC948="Cautín", "PTG", "RTG"))</f>
        <v>RTG</v>
      </c>
      <c r="JLL948" s="7">
        <v>45992</v>
      </c>
      <c r="JLM948" s="7">
        <f t="shared" ref="JLM948" si="3238">IF(JLN948="Trimestral", JLL948+90, IF(JLN948="Semestral", JLL948+180, JLL948+365))</f>
        <v>46172</v>
      </c>
      <c r="JLN948" s="7" t="str">
        <f t="shared" ref="JLN948" si="3239">IF(JLC948="Ionizador", "Trimestral", IF(JLC948="Rack", "Semestral", IF(JLC948="Mesa", "Semestral", IF(JLC948="Tapete", "Semestral", IF(JLC948="Cautín", "Semestral", IF(JLC948="Silla", "Semestral", "Anual"))))))</f>
        <v>Semestral</v>
      </c>
      <c r="JLO948" s="2" t="str">
        <f t="shared" ref="JLO948" ca="1" si="3240">IF(JLM948&lt;TODAY(),"VENCIDO",IF(JLM948=TODAY(),"VENCE HOY",IF(JLM948&gt;TODAY(),"VIGENTE")))</f>
        <v>VIGENTE</v>
      </c>
      <c r="JLP948" s="6" t="s">
        <v>25</v>
      </c>
      <c r="JLQ948" s="23" t="s">
        <v>138</v>
      </c>
      <c r="JLR948" s="2" t="s">
        <v>433</v>
      </c>
      <c r="JLS948" s="3" t="s">
        <v>22</v>
      </c>
      <c r="JLT948" s="3" t="s">
        <v>23</v>
      </c>
      <c r="JLU948" s="2" t="s">
        <v>24</v>
      </c>
      <c r="JLV948" s="4">
        <v>0</v>
      </c>
      <c r="JLW948" s="8">
        <f t="shared" ref="JLW948" si="3241">IF(JLS948="Ionizador", 10, IF(JLS948="Mesa", 1000000000, IF(JLS948="Rack", 1000000000, IF(JLS948="Piso", 1000000000, IF(JLS948="Tapete", 1000000000, IF(JLS948="Carrito", 1000000000, IF(JLS948="Cautín", 10, 1)))))))</f>
        <v>1000000000</v>
      </c>
      <c r="JLX948" s="4" t="str">
        <f t="shared" ref="JLX948" si="3242">IF(JLS948="Ionizador", "Segundos", "Ohms")</f>
        <v>Ohms</v>
      </c>
      <c r="JLY948" s="6">
        <v>148000000</v>
      </c>
      <c r="JLZ948" s="6" t="str">
        <f t="shared" ref="JLZ948" si="3243">JLX948</f>
        <v>Ohms</v>
      </c>
      <c r="JMA948" s="2" t="str">
        <f t="shared" ref="JMA948" si="3244">IF(JLS948="Ionizador", "Plato de carga", IF(JLS948="Cautín", "PTG", "RTG"))</f>
        <v>RTG</v>
      </c>
      <c r="JMB948" s="7">
        <v>45992</v>
      </c>
      <c r="JMC948" s="7">
        <f t="shared" ref="JMC948" si="3245">IF(JMD948="Trimestral", JMB948+90, IF(JMD948="Semestral", JMB948+180, JMB948+365))</f>
        <v>46172</v>
      </c>
      <c r="JMD948" s="7" t="str">
        <f t="shared" ref="JMD948" si="3246">IF(JLS948="Ionizador", "Trimestral", IF(JLS948="Rack", "Semestral", IF(JLS948="Mesa", "Semestral", IF(JLS948="Tapete", "Semestral", IF(JLS948="Cautín", "Semestral", IF(JLS948="Silla", "Semestral", "Anual"))))))</f>
        <v>Semestral</v>
      </c>
      <c r="JME948" s="2" t="str">
        <f t="shared" ref="JME948" ca="1" si="3247">IF(JMC948&lt;TODAY(),"VENCIDO",IF(JMC948=TODAY(),"VENCE HOY",IF(JMC948&gt;TODAY(),"VIGENTE")))</f>
        <v>VIGENTE</v>
      </c>
      <c r="JMF948" s="6" t="s">
        <v>25</v>
      </c>
      <c r="JMG948" s="23" t="s">
        <v>138</v>
      </c>
      <c r="JMH948" s="2" t="s">
        <v>433</v>
      </c>
      <c r="JMI948" s="3" t="s">
        <v>22</v>
      </c>
      <c r="JMJ948" s="3" t="s">
        <v>23</v>
      </c>
      <c r="JMK948" s="2" t="s">
        <v>24</v>
      </c>
      <c r="JML948" s="4">
        <v>0</v>
      </c>
      <c r="JMM948" s="8">
        <f t="shared" ref="JMM948" si="3248">IF(JMI948="Ionizador", 10, IF(JMI948="Mesa", 1000000000, IF(JMI948="Rack", 1000000000, IF(JMI948="Piso", 1000000000, IF(JMI948="Tapete", 1000000000, IF(JMI948="Carrito", 1000000000, IF(JMI948="Cautín", 10, 1)))))))</f>
        <v>1000000000</v>
      </c>
      <c r="JMN948" s="4" t="str">
        <f t="shared" ref="JMN948" si="3249">IF(JMI948="Ionizador", "Segundos", "Ohms")</f>
        <v>Ohms</v>
      </c>
      <c r="JMO948" s="6">
        <v>148000000</v>
      </c>
      <c r="JMP948" s="6" t="str">
        <f t="shared" ref="JMP948" si="3250">JMN948</f>
        <v>Ohms</v>
      </c>
      <c r="JMQ948" s="2" t="str">
        <f t="shared" ref="JMQ948" si="3251">IF(JMI948="Ionizador", "Plato de carga", IF(JMI948="Cautín", "PTG", "RTG"))</f>
        <v>RTG</v>
      </c>
      <c r="JMR948" s="7">
        <v>45992</v>
      </c>
      <c r="JMS948" s="7">
        <f t="shared" ref="JMS948" si="3252">IF(JMT948="Trimestral", JMR948+90, IF(JMT948="Semestral", JMR948+180, JMR948+365))</f>
        <v>46172</v>
      </c>
      <c r="JMT948" s="7" t="str">
        <f t="shared" ref="JMT948" si="3253">IF(JMI948="Ionizador", "Trimestral", IF(JMI948="Rack", "Semestral", IF(JMI948="Mesa", "Semestral", IF(JMI948="Tapete", "Semestral", IF(JMI948="Cautín", "Semestral", IF(JMI948="Silla", "Semestral", "Anual"))))))</f>
        <v>Semestral</v>
      </c>
      <c r="JMU948" s="2" t="str">
        <f t="shared" ref="JMU948" ca="1" si="3254">IF(JMS948&lt;TODAY(),"VENCIDO",IF(JMS948=TODAY(),"VENCE HOY",IF(JMS948&gt;TODAY(),"VIGENTE")))</f>
        <v>VIGENTE</v>
      </c>
      <c r="JMV948" s="6" t="s">
        <v>25</v>
      </c>
      <c r="JMW948" s="23" t="s">
        <v>138</v>
      </c>
      <c r="JMX948" s="2" t="s">
        <v>433</v>
      </c>
      <c r="JMY948" s="3" t="s">
        <v>22</v>
      </c>
      <c r="JMZ948" s="3" t="s">
        <v>23</v>
      </c>
      <c r="JNA948" s="2" t="s">
        <v>24</v>
      </c>
      <c r="JNB948" s="4">
        <v>0</v>
      </c>
      <c r="JNC948" s="8">
        <f t="shared" ref="JNC948" si="3255">IF(JMY948="Ionizador", 10, IF(JMY948="Mesa", 1000000000, IF(JMY948="Rack", 1000000000, IF(JMY948="Piso", 1000000000, IF(JMY948="Tapete", 1000000000, IF(JMY948="Carrito", 1000000000, IF(JMY948="Cautín", 10, 1)))))))</f>
        <v>1000000000</v>
      </c>
      <c r="JND948" s="4" t="str">
        <f t="shared" ref="JND948" si="3256">IF(JMY948="Ionizador", "Segundos", "Ohms")</f>
        <v>Ohms</v>
      </c>
      <c r="JNE948" s="6">
        <v>148000000</v>
      </c>
      <c r="JNF948" s="6" t="str">
        <f t="shared" ref="JNF948" si="3257">JND948</f>
        <v>Ohms</v>
      </c>
      <c r="JNG948" s="2" t="str">
        <f t="shared" ref="JNG948" si="3258">IF(JMY948="Ionizador", "Plato de carga", IF(JMY948="Cautín", "PTG", "RTG"))</f>
        <v>RTG</v>
      </c>
      <c r="JNH948" s="7">
        <v>45992</v>
      </c>
      <c r="JNI948" s="7">
        <f t="shared" ref="JNI948" si="3259">IF(JNJ948="Trimestral", JNH948+90, IF(JNJ948="Semestral", JNH948+180, JNH948+365))</f>
        <v>46172</v>
      </c>
      <c r="JNJ948" s="7" t="str">
        <f t="shared" ref="JNJ948" si="3260">IF(JMY948="Ionizador", "Trimestral", IF(JMY948="Rack", "Semestral", IF(JMY948="Mesa", "Semestral", IF(JMY948="Tapete", "Semestral", IF(JMY948="Cautín", "Semestral", IF(JMY948="Silla", "Semestral", "Anual"))))))</f>
        <v>Semestral</v>
      </c>
      <c r="JNK948" s="2" t="str">
        <f t="shared" ref="JNK948" ca="1" si="3261">IF(JNI948&lt;TODAY(),"VENCIDO",IF(JNI948=TODAY(),"VENCE HOY",IF(JNI948&gt;TODAY(),"VIGENTE")))</f>
        <v>VIGENTE</v>
      </c>
      <c r="JNL948" s="6" t="s">
        <v>25</v>
      </c>
      <c r="JNM948" s="23" t="s">
        <v>138</v>
      </c>
      <c r="JNN948" s="2" t="s">
        <v>433</v>
      </c>
      <c r="JNO948" s="3" t="s">
        <v>22</v>
      </c>
      <c r="JNP948" s="3" t="s">
        <v>23</v>
      </c>
      <c r="JNQ948" s="2" t="s">
        <v>24</v>
      </c>
      <c r="JNR948" s="4">
        <v>0</v>
      </c>
      <c r="JNS948" s="8">
        <f t="shared" ref="JNS948" si="3262">IF(JNO948="Ionizador", 10, IF(JNO948="Mesa", 1000000000, IF(JNO948="Rack", 1000000000, IF(JNO948="Piso", 1000000000, IF(JNO948="Tapete", 1000000000, IF(JNO948="Carrito", 1000000000, IF(JNO948="Cautín", 10, 1)))))))</f>
        <v>1000000000</v>
      </c>
      <c r="JNT948" s="4" t="str">
        <f t="shared" ref="JNT948" si="3263">IF(JNO948="Ionizador", "Segundos", "Ohms")</f>
        <v>Ohms</v>
      </c>
      <c r="JNU948" s="6">
        <v>148000000</v>
      </c>
      <c r="JNV948" s="6" t="str">
        <f t="shared" ref="JNV948" si="3264">JNT948</f>
        <v>Ohms</v>
      </c>
      <c r="JNW948" s="2" t="str">
        <f t="shared" ref="JNW948" si="3265">IF(JNO948="Ionizador", "Plato de carga", IF(JNO948="Cautín", "PTG", "RTG"))</f>
        <v>RTG</v>
      </c>
      <c r="JNX948" s="7">
        <v>45992</v>
      </c>
      <c r="JNY948" s="7">
        <f t="shared" ref="JNY948" si="3266">IF(JNZ948="Trimestral", JNX948+90, IF(JNZ948="Semestral", JNX948+180, JNX948+365))</f>
        <v>46172</v>
      </c>
      <c r="JNZ948" s="7" t="str">
        <f t="shared" ref="JNZ948" si="3267">IF(JNO948="Ionizador", "Trimestral", IF(JNO948="Rack", "Semestral", IF(JNO948="Mesa", "Semestral", IF(JNO948="Tapete", "Semestral", IF(JNO948="Cautín", "Semestral", IF(JNO948="Silla", "Semestral", "Anual"))))))</f>
        <v>Semestral</v>
      </c>
      <c r="JOA948" s="2" t="str">
        <f t="shared" ref="JOA948" ca="1" si="3268">IF(JNY948&lt;TODAY(),"VENCIDO",IF(JNY948=TODAY(),"VENCE HOY",IF(JNY948&gt;TODAY(),"VIGENTE")))</f>
        <v>VIGENTE</v>
      </c>
      <c r="JOB948" s="6" t="s">
        <v>25</v>
      </c>
      <c r="JOC948" s="23" t="s">
        <v>138</v>
      </c>
      <c r="JOD948" s="2" t="s">
        <v>433</v>
      </c>
      <c r="JOE948" s="3" t="s">
        <v>22</v>
      </c>
      <c r="JOF948" s="3" t="s">
        <v>23</v>
      </c>
      <c r="JOG948" s="2" t="s">
        <v>24</v>
      </c>
      <c r="JOH948" s="4">
        <v>0</v>
      </c>
      <c r="JOI948" s="8">
        <f t="shared" ref="JOI948" si="3269">IF(JOE948="Ionizador", 10, IF(JOE948="Mesa", 1000000000, IF(JOE948="Rack", 1000000000, IF(JOE948="Piso", 1000000000, IF(JOE948="Tapete", 1000000000, IF(JOE948="Carrito", 1000000000, IF(JOE948="Cautín", 10, 1)))))))</f>
        <v>1000000000</v>
      </c>
      <c r="JOJ948" s="4" t="str">
        <f t="shared" ref="JOJ948" si="3270">IF(JOE948="Ionizador", "Segundos", "Ohms")</f>
        <v>Ohms</v>
      </c>
      <c r="JOK948" s="6">
        <v>148000000</v>
      </c>
      <c r="JOL948" s="6" t="str">
        <f t="shared" ref="JOL948" si="3271">JOJ948</f>
        <v>Ohms</v>
      </c>
      <c r="JOM948" s="2" t="str">
        <f t="shared" ref="JOM948" si="3272">IF(JOE948="Ionizador", "Plato de carga", IF(JOE948="Cautín", "PTG", "RTG"))</f>
        <v>RTG</v>
      </c>
      <c r="JON948" s="7">
        <v>45992</v>
      </c>
      <c r="JOO948" s="7">
        <f t="shared" ref="JOO948" si="3273">IF(JOP948="Trimestral", JON948+90, IF(JOP948="Semestral", JON948+180, JON948+365))</f>
        <v>46172</v>
      </c>
      <c r="JOP948" s="7" t="str">
        <f t="shared" ref="JOP948" si="3274">IF(JOE948="Ionizador", "Trimestral", IF(JOE948="Rack", "Semestral", IF(JOE948="Mesa", "Semestral", IF(JOE948="Tapete", "Semestral", IF(JOE948="Cautín", "Semestral", IF(JOE948="Silla", "Semestral", "Anual"))))))</f>
        <v>Semestral</v>
      </c>
      <c r="JOQ948" s="2" t="str">
        <f t="shared" ref="JOQ948" ca="1" si="3275">IF(JOO948&lt;TODAY(),"VENCIDO",IF(JOO948=TODAY(),"VENCE HOY",IF(JOO948&gt;TODAY(),"VIGENTE")))</f>
        <v>VIGENTE</v>
      </c>
      <c r="JOR948" s="6" t="s">
        <v>25</v>
      </c>
      <c r="JOS948" s="23" t="s">
        <v>138</v>
      </c>
      <c r="JOT948" s="2" t="s">
        <v>433</v>
      </c>
      <c r="JOU948" s="3" t="s">
        <v>22</v>
      </c>
      <c r="JOV948" s="3" t="s">
        <v>23</v>
      </c>
      <c r="JOW948" s="2" t="s">
        <v>24</v>
      </c>
      <c r="JOX948" s="4">
        <v>0</v>
      </c>
      <c r="JOY948" s="8">
        <f t="shared" ref="JOY948" si="3276">IF(JOU948="Ionizador", 10, IF(JOU948="Mesa", 1000000000, IF(JOU948="Rack", 1000000000, IF(JOU948="Piso", 1000000000, IF(JOU948="Tapete", 1000000000, IF(JOU948="Carrito", 1000000000, IF(JOU948="Cautín", 10, 1)))))))</f>
        <v>1000000000</v>
      </c>
      <c r="JOZ948" s="4" t="str">
        <f t="shared" ref="JOZ948" si="3277">IF(JOU948="Ionizador", "Segundos", "Ohms")</f>
        <v>Ohms</v>
      </c>
      <c r="JPA948" s="6">
        <v>148000000</v>
      </c>
      <c r="JPB948" s="6" t="str">
        <f t="shared" ref="JPB948" si="3278">JOZ948</f>
        <v>Ohms</v>
      </c>
      <c r="JPC948" s="2" t="str">
        <f t="shared" ref="JPC948" si="3279">IF(JOU948="Ionizador", "Plato de carga", IF(JOU948="Cautín", "PTG", "RTG"))</f>
        <v>RTG</v>
      </c>
      <c r="JPD948" s="7">
        <v>45992</v>
      </c>
      <c r="JPE948" s="7">
        <f t="shared" ref="JPE948" si="3280">IF(JPF948="Trimestral", JPD948+90, IF(JPF948="Semestral", JPD948+180, JPD948+365))</f>
        <v>46172</v>
      </c>
      <c r="JPF948" s="7" t="str">
        <f t="shared" ref="JPF948" si="3281">IF(JOU948="Ionizador", "Trimestral", IF(JOU948="Rack", "Semestral", IF(JOU948="Mesa", "Semestral", IF(JOU948="Tapete", "Semestral", IF(JOU948="Cautín", "Semestral", IF(JOU948="Silla", "Semestral", "Anual"))))))</f>
        <v>Semestral</v>
      </c>
      <c r="JPG948" s="2" t="str">
        <f t="shared" ref="JPG948" ca="1" si="3282">IF(JPE948&lt;TODAY(),"VENCIDO",IF(JPE948=TODAY(),"VENCE HOY",IF(JPE948&gt;TODAY(),"VIGENTE")))</f>
        <v>VIGENTE</v>
      </c>
      <c r="JPH948" s="6" t="s">
        <v>25</v>
      </c>
      <c r="JPI948" s="23" t="s">
        <v>138</v>
      </c>
      <c r="JPJ948" s="2" t="s">
        <v>433</v>
      </c>
      <c r="JPK948" s="3" t="s">
        <v>22</v>
      </c>
      <c r="JPL948" s="3" t="s">
        <v>23</v>
      </c>
      <c r="JPM948" s="2" t="s">
        <v>24</v>
      </c>
      <c r="JPN948" s="4">
        <v>0</v>
      </c>
      <c r="JPO948" s="8">
        <f t="shared" ref="JPO948" si="3283">IF(JPK948="Ionizador", 10, IF(JPK948="Mesa", 1000000000, IF(JPK948="Rack", 1000000000, IF(JPK948="Piso", 1000000000, IF(JPK948="Tapete", 1000000000, IF(JPK948="Carrito", 1000000000, IF(JPK948="Cautín", 10, 1)))))))</f>
        <v>1000000000</v>
      </c>
      <c r="JPP948" s="4" t="str">
        <f t="shared" ref="JPP948" si="3284">IF(JPK948="Ionizador", "Segundos", "Ohms")</f>
        <v>Ohms</v>
      </c>
      <c r="JPQ948" s="6">
        <v>148000000</v>
      </c>
      <c r="JPR948" s="6" t="str">
        <f t="shared" ref="JPR948" si="3285">JPP948</f>
        <v>Ohms</v>
      </c>
      <c r="JPS948" s="2" t="str">
        <f t="shared" ref="JPS948" si="3286">IF(JPK948="Ionizador", "Plato de carga", IF(JPK948="Cautín", "PTG", "RTG"))</f>
        <v>RTG</v>
      </c>
      <c r="JPT948" s="7">
        <v>45992</v>
      </c>
      <c r="JPU948" s="7">
        <f t="shared" ref="JPU948" si="3287">IF(JPV948="Trimestral", JPT948+90, IF(JPV948="Semestral", JPT948+180, JPT948+365))</f>
        <v>46172</v>
      </c>
      <c r="JPV948" s="7" t="str">
        <f t="shared" ref="JPV948" si="3288">IF(JPK948="Ionizador", "Trimestral", IF(JPK948="Rack", "Semestral", IF(JPK948="Mesa", "Semestral", IF(JPK948="Tapete", "Semestral", IF(JPK948="Cautín", "Semestral", IF(JPK948="Silla", "Semestral", "Anual"))))))</f>
        <v>Semestral</v>
      </c>
      <c r="JPW948" s="2" t="str">
        <f t="shared" ref="JPW948" ca="1" si="3289">IF(JPU948&lt;TODAY(),"VENCIDO",IF(JPU948=TODAY(),"VENCE HOY",IF(JPU948&gt;TODAY(),"VIGENTE")))</f>
        <v>VIGENTE</v>
      </c>
      <c r="JPX948" s="6" t="s">
        <v>25</v>
      </c>
      <c r="JPY948" s="23" t="s">
        <v>138</v>
      </c>
      <c r="JPZ948" s="2" t="s">
        <v>433</v>
      </c>
      <c r="JQA948" s="3" t="s">
        <v>22</v>
      </c>
      <c r="JQB948" s="3" t="s">
        <v>23</v>
      </c>
      <c r="JQC948" s="2" t="s">
        <v>24</v>
      </c>
      <c r="JQD948" s="4">
        <v>0</v>
      </c>
      <c r="JQE948" s="8">
        <f t="shared" ref="JQE948" si="3290">IF(JQA948="Ionizador", 10, IF(JQA948="Mesa", 1000000000, IF(JQA948="Rack", 1000000000, IF(JQA948="Piso", 1000000000, IF(JQA948="Tapete", 1000000000, IF(JQA948="Carrito", 1000000000, IF(JQA948="Cautín", 10, 1)))))))</f>
        <v>1000000000</v>
      </c>
      <c r="JQF948" s="4" t="str">
        <f t="shared" ref="JQF948" si="3291">IF(JQA948="Ionizador", "Segundos", "Ohms")</f>
        <v>Ohms</v>
      </c>
      <c r="JQG948" s="6">
        <v>148000000</v>
      </c>
      <c r="JQH948" s="6" t="str">
        <f t="shared" ref="JQH948" si="3292">JQF948</f>
        <v>Ohms</v>
      </c>
      <c r="JQI948" s="2" t="str">
        <f t="shared" ref="JQI948" si="3293">IF(JQA948="Ionizador", "Plato de carga", IF(JQA948="Cautín", "PTG", "RTG"))</f>
        <v>RTG</v>
      </c>
      <c r="JQJ948" s="7">
        <v>45992</v>
      </c>
      <c r="JQK948" s="7">
        <f t="shared" ref="JQK948" si="3294">IF(JQL948="Trimestral", JQJ948+90, IF(JQL948="Semestral", JQJ948+180, JQJ948+365))</f>
        <v>46172</v>
      </c>
      <c r="JQL948" s="7" t="str">
        <f t="shared" ref="JQL948" si="3295">IF(JQA948="Ionizador", "Trimestral", IF(JQA948="Rack", "Semestral", IF(JQA948="Mesa", "Semestral", IF(JQA948="Tapete", "Semestral", IF(JQA948="Cautín", "Semestral", IF(JQA948="Silla", "Semestral", "Anual"))))))</f>
        <v>Semestral</v>
      </c>
      <c r="JQM948" s="2" t="str">
        <f t="shared" ref="JQM948" ca="1" si="3296">IF(JQK948&lt;TODAY(),"VENCIDO",IF(JQK948=TODAY(),"VENCE HOY",IF(JQK948&gt;TODAY(),"VIGENTE")))</f>
        <v>VIGENTE</v>
      </c>
      <c r="JQN948" s="6" t="s">
        <v>25</v>
      </c>
      <c r="JQO948" s="23" t="s">
        <v>138</v>
      </c>
      <c r="JQP948" s="2" t="s">
        <v>433</v>
      </c>
      <c r="JQQ948" s="3" t="s">
        <v>22</v>
      </c>
      <c r="JQR948" s="3" t="s">
        <v>23</v>
      </c>
      <c r="JQS948" s="2" t="s">
        <v>24</v>
      </c>
      <c r="JQT948" s="4">
        <v>0</v>
      </c>
      <c r="JQU948" s="8">
        <f t="shared" ref="JQU948" si="3297">IF(JQQ948="Ionizador", 10, IF(JQQ948="Mesa", 1000000000, IF(JQQ948="Rack", 1000000000, IF(JQQ948="Piso", 1000000000, IF(JQQ948="Tapete", 1000000000, IF(JQQ948="Carrito", 1000000000, IF(JQQ948="Cautín", 10, 1)))))))</f>
        <v>1000000000</v>
      </c>
      <c r="JQV948" s="4" t="str">
        <f t="shared" ref="JQV948" si="3298">IF(JQQ948="Ionizador", "Segundos", "Ohms")</f>
        <v>Ohms</v>
      </c>
      <c r="JQW948" s="6">
        <v>148000000</v>
      </c>
      <c r="JQX948" s="6" t="str">
        <f t="shared" ref="JQX948" si="3299">JQV948</f>
        <v>Ohms</v>
      </c>
      <c r="JQY948" s="2" t="str">
        <f t="shared" ref="JQY948" si="3300">IF(JQQ948="Ionizador", "Plato de carga", IF(JQQ948="Cautín", "PTG", "RTG"))</f>
        <v>RTG</v>
      </c>
      <c r="JQZ948" s="7">
        <v>45992</v>
      </c>
      <c r="JRA948" s="7">
        <f t="shared" ref="JRA948" si="3301">IF(JRB948="Trimestral", JQZ948+90, IF(JRB948="Semestral", JQZ948+180, JQZ948+365))</f>
        <v>46172</v>
      </c>
      <c r="JRB948" s="7" t="str">
        <f t="shared" ref="JRB948" si="3302">IF(JQQ948="Ionizador", "Trimestral", IF(JQQ948="Rack", "Semestral", IF(JQQ948="Mesa", "Semestral", IF(JQQ948="Tapete", "Semestral", IF(JQQ948="Cautín", "Semestral", IF(JQQ948="Silla", "Semestral", "Anual"))))))</f>
        <v>Semestral</v>
      </c>
      <c r="JRC948" s="2" t="str">
        <f t="shared" ref="JRC948" ca="1" si="3303">IF(JRA948&lt;TODAY(),"VENCIDO",IF(JRA948=TODAY(),"VENCE HOY",IF(JRA948&gt;TODAY(),"VIGENTE")))</f>
        <v>VIGENTE</v>
      </c>
      <c r="JRD948" s="6" t="s">
        <v>25</v>
      </c>
      <c r="JRE948" s="23" t="s">
        <v>138</v>
      </c>
      <c r="JRF948" s="2" t="s">
        <v>433</v>
      </c>
      <c r="JRG948" s="3" t="s">
        <v>22</v>
      </c>
      <c r="JRH948" s="3" t="s">
        <v>23</v>
      </c>
      <c r="JRI948" s="2" t="s">
        <v>24</v>
      </c>
      <c r="JRJ948" s="4">
        <v>0</v>
      </c>
      <c r="JRK948" s="8">
        <f t="shared" ref="JRK948" si="3304">IF(JRG948="Ionizador", 10, IF(JRG948="Mesa", 1000000000, IF(JRG948="Rack", 1000000000, IF(JRG948="Piso", 1000000000, IF(JRG948="Tapete", 1000000000, IF(JRG948="Carrito", 1000000000, IF(JRG948="Cautín", 10, 1)))))))</f>
        <v>1000000000</v>
      </c>
      <c r="JRL948" s="4" t="str">
        <f t="shared" ref="JRL948" si="3305">IF(JRG948="Ionizador", "Segundos", "Ohms")</f>
        <v>Ohms</v>
      </c>
      <c r="JRM948" s="6">
        <v>148000000</v>
      </c>
      <c r="JRN948" s="6" t="str">
        <f t="shared" ref="JRN948" si="3306">JRL948</f>
        <v>Ohms</v>
      </c>
      <c r="JRO948" s="2" t="str">
        <f t="shared" ref="JRO948" si="3307">IF(JRG948="Ionizador", "Plato de carga", IF(JRG948="Cautín", "PTG", "RTG"))</f>
        <v>RTG</v>
      </c>
      <c r="JRP948" s="7">
        <v>45992</v>
      </c>
      <c r="JRQ948" s="7">
        <f t="shared" ref="JRQ948" si="3308">IF(JRR948="Trimestral", JRP948+90, IF(JRR948="Semestral", JRP948+180, JRP948+365))</f>
        <v>46172</v>
      </c>
      <c r="JRR948" s="7" t="str">
        <f t="shared" ref="JRR948" si="3309">IF(JRG948="Ionizador", "Trimestral", IF(JRG948="Rack", "Semestral", IF(JRG948="Mesa", "Semestral", IF(JRG948="Tapete", "Semestral", IF(JRG948="Cautín", "Semestral", IF(JRG948="Silla", "Semestral", "Anual"))))))</f>
        <v>Semestral</v>
      </c>
      <c r="JRS948" s="2" t="str">
        <f t="shared" ref="JRS948" ca="1" si="3310">IF(JRQ948&lt;TODAY(),"VENCIDO",IF(JRQ948=TODAY(),"VENCE HOY",IF(JRQ948&gt;TODAY(),"VIGENTE")))</f>
        <v>VIGENTE</v>
      </c>
      <c r="JRT948" s="6" t="s">
        <v>25</v>
      </c>
      <c r="JRU948" s="23" t="s">
        <v>138</v>
      </c>
      <c r="JRV948" s="2" t="s">
        <v>433</v>
      </c>
      <c r="JRW948" s="3" t="s">
        <v>22</v>
      </c>
      <c r="JRX948" s="3" t="s">
        <v>23</v>
      </c>
      <c r="JRY948" s="2" t="s">
        <v>24</v>
      </c>
      <c r="JRZ948" s="4">
        <v>0</v>
      </c>
      <c r="JSA948" s="8">
        <f t="shared" ref="JSA948" si="3311">IF(JRW948="Ionizador", 10, IF(JRW948="Mesa", 1000000000, IF(JRW948="Rack", 1000000000, IF(JRW948="Piso", 1000000000, IF(JRW948="Tapete", 1000000000, IF(JRW948="Carrito", 1000000000, IF(JRW948="Cautín", 10, 1)))))))</f>
        <v>1000000000</v>
      </c>
      <c r="JSB948" s="4" t="str">
        <f t="shared" ref="JSB948" si="3312">IF(JRW948="Ionizador", "Segundos", "Ohms")</f>
        <v>Ohms</v>
      </c>
      <c r="JSC948" s="6">
        <v>148000000</v>
      </c>
      <c r="JSD948" s="6" t="str">
        <f t="shared" ref="JSD948" si="3313">JSB948</f>
        <v>Ohms</v>
      </c>
      <c r="JSE948" s="2" t="str">
        <f t="shared" ref="JSE948" si="3314">IF(JRW948="Ionizador", "Plato de carga", IF(JRW948="Cautín", "PTG", "RTG"))</f>
        <v>RTG</v>
      </c>
      <c r="JSF948" s="7">
        <v>45992</v>
      </c>
      <c r="JSG948" s="7">
        <f t="shared" ref="JSG948" si="3315">IF(JSH948="Trimestral", JSF948+90, IF(JSH948="Semestral", JSF948+180, JSF948+365))</f>
        <v>46172</v>
      </c>
      <c r="JSH948" s="7" t="str">
        <f t="shared" ref="JSH948" si="3316">IF(JRW948="Ionizador", "Trimestral", IF(JRW948="Rack", "Semestral", IF(JRW948="Mesa", "Semestral", IF(JRW948="Tapete", "Semestral", IF(JRW948="Cautín", "Semestral", IF(JRW948="Silla", "Semestral", "Anual"))))))</f>
        <v>Semestral</v>
      </c>
      <c r="JSI948" s="2" t="str">
        <f t="shared" ref="JSI948" ca="1" si="3317">IF(JSG948&lt;TODAY(),"VENCIDO",IF(JSG948=TODAY(),"VENCE HOY",IF(JSG948&gt;TODAY(),"VIGENTE")))</f>
        <v>VIGENTE</v>
      </c>
      <c r="JSJ948" s="6" t="s">
        <v>25</v>
      </c>
      <c r="JSK948" s="23" t="s">
        <v>138</v>
      </c>
      <c r="JSL948" s="2" t="s">
        <v>433</v>
      </c>
      <c r="JSM948" s="3" t="s">
        <v>22</v>
      </c>
      <c r="JSN948" s="3" t="s">
        <v>23</v>
      </c>
      <c r="JSO948" s="2" t="s">
        <v>24</v>
      </c>
      <c r="JSP948" s="4">
        <v>0</v>
      </c>
      <c r="JSQ948" s="8">
        <f t="shared" ref="JSQ948" si="3318">IF(JSM948="Ionizador", 10, IF(JSM948="Mesa", 1000000000, IF(JSM948="Rack", 1000000000, IF(JSM948="Piso", 1000000000, IF(JSM948="Tapete", 1000000000, IF(JSM948="Carrito", 1000000000, IF(JSM948="Cautín", 10, 1)))))))</f>
        <v>1000000000</v>
      </c>
      <c r="JSR948" s="4" t="str">
        <f t="shared" ref="JSR948" si="3319">IF(JSM948="Ionizador", "Segundos", "Ohms")</f>
        <v>Ohms</v>
      </c>
      <c r="JSS948" s="6">
        <v>148000000</v>
      </c>
      <c r="JST948" s="6" t="str">
        <f t="shared" ref="JST948" si="3320">JSR948</f>
        <v>Ohms</v>
      </c>
      <c r="JSU948" s="2" t="str">
        <f t="shared" ref="JSU948" si="3321">IF(JSM948="Ionizador", "Plato de carga", IF(JSM948="Cautín", "PTG", "RTG"))</f>
        <v>RTG</v>
      </c>
      <c r="JSV948" s="7">
        <v>45992</v>
      </c>
      <c r="JSW948" s="7">
        <f t="shared" ref="JSW948" si="3322">IF(JSX948="Trimestral", JSV948+90, IF(JSX948="Semestral", JSV948+180, JSV948+365))</f>
        <v>46172</v>
      </c>
      <c r="JSX948" s="7" t="str">
        <f t="shared" ref="JSX948" si="3323">IF(JSM948="Ionizador", "Trimestral", IF(JSM948="Rack", "Semestral", IF(JSM948="Mesa", "Semestral", IF(JSM948="Tapete", "Semestral", IF(JSM948="Cautín", "Semestral", IF(JSM948="Silla", "Semestral", "Anual"))))))</f>
        <v>Semestral</v>
      </c>
      <c r="JSY948" s="2" t="str">
        <f t="shared" ref="JSY948" ca="1" si="3324">IF(JSW948&lt;TODAY(),"VENCIDO",IF(JSW948=TODAY(),"VENCE HOY",IF(JSW948&gt;TODAY(),"VIGENTE")))</f>
        <v>VIGENTE</v>
      </c>
      <c r="JSZ948" s="6" t="s">
        <v>25</v>
      </c>
      <c r="JTA948" s="23" t="s">
        <v>138</v>
      </c>
      <c r="JTB948" s="2" t="s">
        <v>433</v>
      </c>
      <c r="JTC948" s="3" t="s">
        <v>22</v>
      </c>
      <c r="JTD948" s="3" t="s">
        <v>23</v>
      </c>
      <c r="JTE948" s="2" t="s">
        <v>24</v>
      </c>
      <c r="JTF948" s="4">
        <v>0</v>
      </c>
      <c r="JTG948" s="8">
        <f t="shared" ref="JTG948" si="3325">IF(JTC948="Ionizador", 10, IF(JTC948="Mesa", 1000000000, IF(JTC948="Rack", 1000000000, IF(JTC948="Piso", 1000000000, IF(JTC948="Tapete", 1000000000, IF(JTC948="Carrito", 1000000000, IF(JTC948="Cautín", 10, 1)))))))</f>
        <v>1000000000</v>
      </c>
      <c r="JTH948" s="4" t="str">
        <f t="shared" ref="JTH948" si="3326">IF(JTC948="Ionizador", "Segundos", "Ohms")</f>
        <v>Ohms</v>
      </c>
      <c r="JTI948" s="6">
        <v>148000000</v>
      </c>
      <c r="JTJ948" s="6" t="str">
        <f t="shared" ref="JTJ948" si="3327">JTH948</f>
        <v>Ohms</v>
      </c>
      <c r="JTK948" s="2" t="str">
        <f t="shared" ref="JTK948" si="3328">IF(JTC948="Ionizador", "Plato de carga", IF(JTC948="Cautín", "PTG", "RTG"))</f>
        <v>RTG</v>
      </c>
      <c r="JTL948" s="7">
        <v>45992</v>
      </c>
      <c r="JTM948" s="7">
        <f t="shared" ref="JTM948" si="3329">IF(JTN948="Trimestral", JTL948+90, IF(JTN948="Semestral", JTL948+180, JTL948+365))</f>
        <v>46172</v>
      </c>
      <c r="JTN948" s="7" t="str">
        <f t="shared" ref="JTN948" si="3330">IF(JTC948="Ionizador", "Trimestral", IF(JTC948="Rack", "Semestral", IF(JTC948="Mesa", "Semestral", IF(JTC948="Tapete", "Semestral", IF(JTC948="Cautín", "Semestral", IF(JTC948="Silla", "Semestral", "Anual"))))))</f>
        <v>Semestral</v>
      </c>
      <c r="JTO948" s="2" t="str">
        <f t="shared" ref="JTO948" ca="1" si="3331">IF(JTM948&lt;TODAY(),"VENCIDO",IF(JTM948=TODAY(),"VENCE HOY",IF(JTM948&gt;TODAY(),"VIGENTE")))</f>
        <v>VIGENTE</v>
      </c>
      <c r="JTP948" s="6" t="s">
        <v>25</v>
      </c>
      <c r="JTQ948" s="23" t="s">
        <v>138</v>
      </c>
      <c r="JTR948" s="2" t="s">
        <v>433</v>
      </c>
      <c r="JTS948" s="3" t="s">
        <v>22</v>
      </c>
      <c r="JTT948" s="3" t="s">
        <v>23</v>
      </c>
      <c r="JTU948" s="2" t="s">
        <v>24</v>
      </c>
      <c r="JTV948" s="4">
        <v>0</v>
      </c>
      <c r="JTW948" s="8">
        <f t="shared" ref="JTW948" si="3332">IF(JTS948="Ionizador", 10, IF(JTS948="Mesa", 1000000000, IF(JTS948="Rack", 1000000000, IF(JTS948="Piso", 1000000000, IF(JTS948="Tapete", 1000000000, IF(JTS948="Carrito", 1000000000, IF(JTS948="Cautín", 10, 1)))))))</f>
        <v>1000000000</v>
      </c>
      <c r="JTX948" s="4" t="str">
        <f t="shared" ref="JTX948" si="3333">IF(JTS948="Ionizador", "Segundos", "Ohms")</f>
        <v>Ohms</v>
      </c>
      <c r="JTY948" s="6">
        <v>148000000</v>
      </c>
      <c r="JTZ948" s="6" t="str">
        <f t="shared" ref="JTZ948" si="3334">JTX948</f>
        <v>Ohms</v>
      </c>
      <c r="JUA948" s="2" t="str">
        <f t="shared" ref="JUA948" si="3335">IF(JTS948="Ionizador", "Plato de carga", IF(JTS948="Cautín", "PTG", "RTG"))</f>
        <v>RTG</v>
      </c>
      <c r="JUB948" s="7">
        <v>45992</v>
      </c>
      <c r="JUC948" s="7">
        <f t="shared" ref="JUC948" si="3336">IF(JUD948="Trimestral", JUB948+90, IF(JUD948="Semestral", JUB948+180, JUB948+365))</f>
        <v>46172</v>
      </c>
      <c r="JUD948" s="7" t="str">
        <f t="shared" ref="JUD948" si="3337">IF(JTS948="Ionizador", "Trimestral", IF(JTS948="Rack", "Semestral", IF(JTS948="Mesa", "Semestral", IF(JTS948="Tapete", "Semestral", IF(JTS948="Cautín", "Semestral", IF(JTS948="Silla", "Semestral", "Anual"))))))</f>
        <v>Semestral</v>
      </c>
      <c r="JUE948" s="2" t="str">
        <f t="shared" ref="JUE948" ca="1" si="3338">IF(JUC948&lt;TODAY(),"VENCIDO",IF(JUC948=TODAY(),"VENCE HOY",IF(JUC948&gt;TODAY(),"VIGENTE")))</f>
        <v>VIGENTE</v>
      </c>
      <c r="JUF948" s="6" t="s">
        <v>25</v>
      </c>
      <c r="JUG948" s="23" t="s">
        <v>138</v>
      </c>
      <c r="JUH948" s="2" t="s">
        <v>433</v>
      </c>
      <c r="JUI948" s="3" t="s">
        <v>22</v>
      </c>
      <c r="JUJ948" s="3" t="s">
        <v>23</v>
      </c>
      <c r="JUK948" s="2" t="s">
        <v>24</v>
      </c>
      <c r="JUL948" s="4">
        <v>0</v>
      </c>
      <c r="JUM948" s="8">
        <f t="shared" ref="JUM948" si="3339">IF(JUI948="Ionizador", 10, IF(JUI948="Mesa", 1000000000, IF(JUI948="Rack", 1000000000, IF(JUI948="Piso", 1000000000, IF(JUI948="Tapete", 1000000000, IF(JUI948="Carrito", 1000000000, IF(JUI948="Cautín", 10, 1)))))))</f>
        <v>1000000000</v>
      </c>
      <c r="JUN948" s="4" t="str">
        <f t="shared" ref="JUN948" si="3340">IF(JUI948="Ionizador", "Segundos", "Ohms")</f>
        <v>Ohms</v>
      </c>
      <c r="JUO948" s="6">
        <v>148000000</v>
      </c>
      <c r="JUP948" s="6" t="str">
        <f t="shared" ref="JUP948" si="3341">JUN948</f>
        <v>Ohms</v>
      </c>
      <c r="JUQ948" s="2" t="str">
        <f t="shared" ref="JUQ948" si="3342">IF(JUI948="Ionizador", "Plato de carga", IF(JUI948="Cautín", "PTG", "RTG"))</f>
        <v>RTG</v>
      </c>
      <c r="JUR948" s="7">
        <v>45992</v>
      </c>
      <c r="JUS948" s="7">
        <f t="shared" ref="JUS948" si="3343">IF(JUT948="Trimestral", JUR948+90, IF(JUT948="Semestral", JUR948+180, JUR948+365))</f>
        <v>46172</v>
      </c>
      <c r="JUT948" s="7" t="str">
        <f t="shared" ref="JUT948" si="3344">IF(JUI948="Ionizador", "Trimestral", IF(JUI948="Rack", "Semestral", IF(JUI948="Mesa", "Semestral", IF(JUI948="Tapete", "Semestral", IF(JUI948="Cautín", "Semestral", IF(JUI948="Silla", "Semestral", "Anual"))))))</f>
        <v>Semestral</v>
      </c>
      <c r="JUU948" s="2" t="str">
        <f t="shared" ref="JUU948" ca="1" si="3345">IF(JUS948&lt;TODAY(),"VENCIDO",IF(JUS948=TODAY(),"VENCE HOY",IF(JUS948&gt;TODAY(),"VIGENTE")))</f>
        <v>VIGENTE</v>
      </c>
      <c r="JUV948" s="6" t="s">
        <v>25</v>
      </c>
      <c r="JUW948" s="23" t="s">
        <v>138</v>
      </c>
      <c r="JUX948" s="2" t="s">
        <v>433</v>
      </c>
      <c r="JUY948" s="3" t="s">
        <v>22</v>
      </c>
      <c r="JUZ948" s="3" t="s">
        <v>23</v>
      </c>
      <c r="JVA948" s="2" t="s">
        <v>24</v>
      </c>
      <c r="JVB948" s="4">
        <v>0</v>
      </c>
      <c r="JVC948" s="8">
        <f t="shared" ref="JVC948" si="3346">IF(JUY948="Ionizador", 10, IF(JUY948="Mesa", 1000000000, IF(JUY948="Rack", 1000000000, IF(JUY948="Piso", 1000000000, IF(JUY948="Tapete", 1000000000, IF(JUY948="Carrito", 1000000000, IF(JUY948="Cautín", 10, 1)))))))</f>
        <v>1000000000</v>
      </c>
      <c r="JVD948" s="4" t="str">
        <f t="shared" ref="JVD948" si="3347">IF(JUY948="Ionizador", "Segundos", "Ohms")</f>
        <v>Ohms</v>
      </c>
      <c r="JVE948" s="6">
        <v>148000000</v>
      </c>
      <c r="JVF948" s="6" t="str">
        <f t="shared" ref="JVF948" si="3348">JVD948</f>
        <v>Ohms</v>
      </c>
      <c r="JVG948" s="2" t="str">
        <f t="shared" ref="JVG948" si="3349">IF(JUY948="Ionizador", "Plato de carga", IF(JUY948="Cautín", "PTG", "RTG"))</f>
        <v>RTG</v>
      </c>
      <c r="JVH948" s="7">
        <v>45992</v>
      </c>
      <c r="JVI948" s="7">
        <f t="shared" ref="JVI948" si="3350">IF(JVJ948="Trimestral", JVH948+90, IF(JVJ948="Semestral", JVH948+180, JVH948+365))</f>
        <v>46172</v>
      </c>
      <c r="JVJ948" s="7" t="str">
        <f t="shared" ref="JVJ948" si="3351">IF(JUY948="Ionizador", "Trimestral", IF(JUY948="Rack", "Semestral", IF(JUY948="Mesa", "Semestral", IF(JUY948="Tapete", "Semestral", IF(JUY948="Cautín", "Semestral", IF(JUY948="Silla", "Semestral", "Anual"))))))</f>
        <v>Semestral</v>
      </c>
      <c r="JVK948" s="2" t="str">
        <f t="shared" ref="JVK948" ca="1" si="3352">IF(JVI948&lt;TODAY(),"VENCIDO",IF(JVI948=TODAY(),"VENCE HOY",IF(JVI948&gt;TODAY(),"VIGENTE")))</f>
        <v>VIGENTE</v>
      </c>
      <c r="JVL948" s="6" t="s">
        <v>25</v>
      </c>
      <c r="JVM948" s="23" t="s">
        <v>138</v>
      </c>
      <c r="JVN948" s="2" t="s">
        <v>433</v>
      </c>
      <c r="JVO948" s="3" t="s">
        <v>22</v>
      </c>
      <c r="JVP948" s="3" t="s">
        <v>23</v>
      </c>
      <c r="JVQ948" s="2" t="s">
        <v>24</v>
      </c>
      <c r="JVR948" s="4">
        <v>0</v>
      </c>
      <c r="JVS948" s="8">
        <f t="shared" ref="JVS948" si="3353">IF(JVO948="Ionizador", 10, IF(JVO948="Mesa", 1000000000, IF(JVO948="Rack", 1000000000, IF(JVO948="Piso", 1000000000, IF(JVO948="Tapete", 1000000000, IF(JVO948="Carrito", 1000000000, IF(JVO948="Cautín", 10, 1)))))))</f>
        <v>1000000000</v>
      </c>
      <c r="JVT948" s="4" t="str">
        <f t="shared" ref="JVT948" si="3354">IF(JVO948="Ionizador", "Segundos", "Ohms")</f>
        <v>Ohms</v>
      </c>
      <c r="JVU948" s="6">
        <v>148000000</v>
      </c>
      <c r="JVV948" s="6" t="str">
        <f t="shared" ref="JVV948" si="3355">JVT948</f>
        <v>Ohms</v>
      </c>
      <c r="JVW948" s="2" t="str">
        <f t="shared" ref="JVW948" si="3356">IF(JVO948="Ionizador", "Plato de carga", IF(JVO948="Cautín", "PTG", "RTG"))</f>
        <v>RTG</v>
      </c>
      <c r="JVX948" s="7">
        <v>45992</v>
      </c>
      <c r="JVY948" s="7">
        <f t="shared" ref="JVY948" si="3357">IF(JVZ948="Trimestral", JVX948+90, IF(JVZ948="Semestral", JVX948+180, JVX948+365))</f>
        <v>46172</v>
      </c>
      <c r="JVZ948" s="7" t="str">
        <f t="shared" ref="JVZ948" si="3358">IF(JVO948="Ionizador", "Trimestral", IF(JVO948="Rack", "Semestral", IF(JVO948="Mesa", "Semestral", IF(JVO948="Tapete", "Semestral", IF(JVO948="Cautín", "Semestral", IF(JVO948="Silla", "Semestral", "Anual"))))))</f>
        <v>Semestral</v>
      </c>
      <c r="JWA948" s="2" t="str">
        <f t="shared" ref="JWA948" ca="1" si="3359">IF(JVY948&lt;TODAY(),"VENCIDO",IF(JVY948=TODAY(),"VENCE HOY",IF(JVY948&gt;TODAY(),"VIGENTE")))</f>
        <v>VIGENTE</v>
      </c>
      <c r="JWB948" s="6" t="s">
        <v>25</v>
      </c>
      <c r="JWC948" s="23" t="s">
        <v>138</v>
      </c>
      <c r="JWD948" s="2" t="s">
        <v>433</v>
      </c>
      <c r="JWE948" s="3" t="s">
        <v>22</v>
      </c>
      <c r="JWF948" s="3" t="s">
        <v>23</v>
      </c>
      <c r="JWG948" s="2" t="s">
        <v>24</v>
      </c>
      <c r="JWH948" s="4">
        <v>0</v>
      </c>
      <c r="JWI948" s="8">
        <f t="shared" ref="JWI948" si="3360">IF(JWE948="Ionizador", 10, IF(JWE948="Mesa", 1000000000, IF(JWE948="Rack", 1000000000, IF(JWE948="Piso", 1000000000, IF(JWE948="Tapete", 1000000000, IF(JWE948="Carrito", 1000000000, IF(JWE948="Cautín", 10, 1)))))))</f>
        <v>1000000000</v>
      </c>
      <c r="JWJ948" s="4" t="str">
        <f t="shared" ref="JWJ948" si="3361">IF(JWE948="Ionizador", "Segundos", "Ohms")</f>
        <v>Ohms</v>
      </c>
      <c r="JWK948" s="6">
        <v>148000000</v>
      </c>
      <c r="JWL948" s="6" t="str">
        <f t="shared" ref="JWL948" si="3362">JWJ948</f>
        <v>Ohms</v>
      </c>
      <c r="JWM948" s="2" t="str">
        <f t="shared" ref="JWM948" si="3363">IF(JWE948="Ionizador", "Plato de carga", IF(JWE948="Cautín", "PTG", "RTG"))</f>
        <v>RTG</v>
      </c>
      <c r="JWN948" s="7">
        <v>45992</v>
      </c>
      <c r="JWO948" s="7">
        <f t="shared" ref="JWO948" si="3364">IF(JWP948="Trimestral", JWN948+90, IF(JWP948="Semestral", JWN948+180, JWN948+365))</f>
        <v>46172</v>
      </c>
      <c r="JWP948" s="7" t="str">
        <f t="shared" ref="JWP948" si="3365">IF(JWE948="Ionizador", "Trimestral", IF(JWE948="Rack", "Semestral", IF(JWE948="Mesa", "Semestral", IF(JWE948="Tapete", "Semestral", IF(JWE948="Cautín", "Semestral", IF(JWE948="Silla", "Semestral", "Anual"))))))</f>
        <v>Semestral</v>
      </c>
      <c r="JWQ948" s="2" t="str">
        <f t="shared" ref="JWQ948" ca="1" si="3366">IF(JWO948&lt;TODAY(),"VENCIDO",IF(JWO948=TODAY(),"VENCE HOY",IF(JWO948&gt;TODAY(),"VIGENTE")))</f>
        <v>VIGENTE</v>
      </c>
      <c r="JWR948" s="6" t="s">
        <v>25</v>
      </c>
      <c r="JWS948" s="23" t="s">
        <v>138</v>
      </c>
      <c r="JWT948" s="2" t="s">
        <v>433</v>
      </c>
      <c r="JWU948" s="3" t="s">
        <v>22</v>
      </c>
      <c r="JWV948" s="3" t="s">
        <v>23</v>
      </c>
      <c r="JWW948" s="2" t="s">
        <v>24</v>
      </c>
      <c r="JWX948" s="4">
        <v>0</v>
      </c>
      <c r="JWY948" s="8">
        <f t="shared" ref="JWY948" si="3367">IF(JWU948="Ionizador", 10, IF(JWU948="Mesa", 1000000000, IF(JWU948="Rack", 1000000000, IF(JWU948="Piso", 1000000000, IF(JWU948="Tapete", 1000000000, IF(JWU948="Carrito", 1000000000, IF(JWU948="Cautín", 10, 1)))))))</f>
        <v>1000000000</v>
      </c>
      <c r="JWZ948" s="4" t="str">
        <f t="shared" ref="JWZ948" si="3368">IF(JWU948="Ionizador", "Segundos", "Ohms")</f>
        <v>Ohms</v>
      </c>
      <c r="JXA948" s="6">
        <v>148000000</v>
      </c>
      <c r="JXB948" s="6" t="str">
        <f t="shared" ref="JXB948" si="3369">JWZ948</f>
        <v>Ohms</v>
      </c>
      <c r="JXC948" s="2" t="str">
        <f t="shared" ref="JXC948" si="3370">IF(JWU948="Ionizador", "Plato de carga", IF(JWU948="Cautín", "PTG", "RTG"))</f>
        <v>RTG</v>
      </c>
      <c r="JXD948" s="7">
        <v>45992</v>
      </c>
      <c r="JXE948" s="7">
        <f t="shared" ref="JXE948" si="3371">IF(JXF948="Trimestral", JXD948+90, IF(JXF948="Semestral", JXD948+180, JXD948+365))</f>
        <v>46172</v>
      </c>
      <c r="JXF948" s="7" t="str">
        <f t="shared" ref="JXF948" si="3372">IF(JWU948="Ionizador", "Trimestral", IF(JWU948="Rack", "Semestral", IF(JWU948="Mesa", "Semestral", IF(JWU948="Tapete", "Semestral", IF(JWU948="Cautín", "Semestral", IF(JWU948="Silla", "Semestral", "Anual"))))))</f>
        <v>Semestral</v>
      </c>
      <c r="JXG948" s="2" t="str">
        <f t="shared" ref="JXG948" ca="1" si="3373">IF(JXE948&lt;TODAY(),"VENCIDO",IF(JXE948=TODAY(),"VENCE HOY",IF(JXE948&gt;TODAY(),"VIGENTE")))</f>
        <v>VIGENTE</v>
      </c>
      <c r="JXH948" s="6" t="s">
        <v>25</v>
      </c>
      <c r="JXI948" s="23" t="s">
        <v>138</v>
      </c>
      <c r="JXJ948" s="2" t="s">
        <v>433</v>
      </c>
      <c r="JXK948" s="3" t="s">
        <v>22</v>
      </c>
      <c r="JXL948" s="3" t="s">
        <v>23</v>
      </c>
      <c r="JXM948" s="2" t="s">
        <v>24</v>
      </c>
      <c r="JXN948" s="4">
        <v>0</v>
      </c>
      <c r="JXO948" s="8">
        <f t="shared" ref="JXO948" si="3374">IF(JXK948="Ionizador", 10, IF(JXK948="Mesa", 1000000000, IF(JXK948="Rack", 1000000000, IF(JXK948="Piso", 1000000000, IF(JXK948="Tapete", 1000000000, IF(JXK948="Carrito", 1000000000, IF(JXK948="Cautín", 10, 1)))))))</f>
        <v>1000000000</v>
      </c>
      <c r="JXP948" s="4" t="str">
        <f t="shared" ref="JXP948" si="3375">IF(JXK948="Ionizador", "Segundos", "Ohms")</f>
        <v>Ohms</v>
      </c>
      <c r="JXQ948" s="6">
        <v>148000000</v>
      </c>
      <c r="JXR948" s="6" t="str">
        <f t="shared" ref="JXR948" si="3376">JXP948</f>
        <v>Ohms</v>
      </c>
      <c r="JXS948" s="2" t="str">
        <f t="shared" ref="JXS948" si="3377">IF(JXK948="Ionizador", "Plato de carga", IF(JXK948="Cautín", "PTG", "RTG"))</f>
        <v>RTG</v>
      </c>
      <c r="JXT948" s="7">
        <v>45992</v>
      </c>
      <c r="JXU948" s="7">
        <f t="shared" ref="JXU948" si="3378">IF(JXV948="Trimestral", JXT948+90, IF(JXV948="Semestral", JXT948+180, JXT948+365))</f>
        <v>46172</v>
      </c>
      <c r="JXV948" s="7" t="str">
        <f t="shared" ref="JXV948" si="3379">IF(JXK948="Ionizador", "Trimestral", IF(JXK948="Rack", "Semestral", IF(JXK948="Mesa", "Semestral", IF(JXK948="Tapete", "Semestral", IF(JXK948="Cautín", "Semestral", IF(JXK948="Silla", "Semestral", "Anual"))))))</f>
        <v>Semestral</v>
      </c>
      <c r="JXW948" s="2" t="str">
        <f t="shared" ref="JXW948" ca="1" si="3380">IF(JXU948&lt;TODAY(),"VENCIDO",IF(JXU948=TODAY(),"VENCE HOY",IF(JXU948&gt;TODAY(),"VIGENTE")))</f>
        <v>VIGENTE</v>
      </c>
      <c r="JXX948" s="6" t="s">
        <v>25</v>
      </c>
      <c r="JXY948" s="23" t="s">
        <v>138</v>
      </c>
      <c r="JXZ948" s="2" t="s">
        <v>433</v>
      </c>
      <c r="JYA948" s="3" t="s">
        <v>22</v>
      </c>
      <c r="JYB948" s="3" t="s">
        <v>23</v>
      </c>
      <c r="JYC948" s="2" t="s">
        <v>24</v>
      </c>
      <c r="JYD948" s="4">
        <v>0</v>
      </c>
      <c r="JYE948" s="8">
        <f t="shared" ref="JYE948" si="3381">IF(JYA948="Ionizador", 10, IF(JYA948="Mesa", 1000000000, IF(JYA948="Rack", 1000000000, IF(JYA948="Piso", 1000000000, IF(JYA948="Tapete", 1000000000, IF(JYA948="Carrito", 1000000000, IF(JYA948="Cautín", 10, 1)))))))</f>
        <v>1000000000</v>
      </c>
      <c r="JYF948" s="4" t="str">
        <f t="shared" ref="JYF948" si="3382">IF(JYA948="Ionizador", "Segundos", "Ohms")</f>
        <v>Ohms</v>
      </c>
      <c r="JYG948" s="6">
        <v>148000000</v>
      </c>
      <c r="JYH948" s="6" t="str">
        <f t="shared" ref="JYH948" si="3383">JYF948</f>
        <v>Ohms</v>
      </c>
      <c r="JYI948" s="2" t="str">
        <f t="shared" ref="JYI948" si="3384">IF(JYA948="Ionizador", "Plato de carga", IF(JYA948="Cautín", "PTG", "RTG"))</f>
        <v>RTG</v>
      </c>
      <c r="JYJ948" s="7">
        <v>45992</v>
      </c>
      <c r="JYK948" s="7">
        <f t="shared" ref="JYK948" si="3385">IF(JYL948="Trimestral", JYJ948+90, IF(JYL948="Semestral", JYJ948+180, JYJ948+365))</f>
        <v>46172</v>
      </c>
      <c r="JYL948" s="7" t="str">
        <f t="shared" ref="JYL948" si="3386">IF(JYA948="Ionizador", "Trimestral", IF(JYA948="Rack", "Semestral", IF(JYA948="Mesa", "Semestral", IF(JYA948="Tapete", "Semestral", IF(JYA948="Cautín", "Semestral", IF(JYA948="Silla", "Semestral", "Anual"))))))</f>
        <v>Semestral</v>
      </c>
      <c r="JYM948" s="2" t="str">
        <f t="shared" ref="JYM948" ca="1" si="3387">IF(JYK948&lt;TODAY(),"VENCIDO",IF(JYK948=TODAY(),"VENCE HOY",IF(JYK948&gt;TODAY(),"VIGENTE")))</f>
        <v>VIGENTE</v>
      </c>
      <c r="JYN948" s="6" t="s">
        <v>25</v>
      </c>
      <c r="JYO948" s="23" t="s">
        <v>138</v>
      </c>
      <c r="JYP948" s="2" t="s">
        <v>433</v>
      </c>
      <c r="JYQ948" s="3" t="s">
        <v>22</v>
      </c>
      <c r="JYR948" s="3" t="s">
        <v>23</v>
      </c>
      <c r="JYS948" s="2" t="s">
        <v>24</v>
      </c>
      <c r="JYT948" s="4">
        <v>0</v>
      </c>
      <c r="JYU948" s="8">
        <f t="shared" ref="JYU948" si="3388">IF(JYQ948="Ionizador", 10, IF(JYQ948="Mesa", 1000000000, IF(JYQ948="Rack", 1000000000, IF(JYQ948="Piso", 1000000000, IF(JYQ948="Tapete", 1000000000, IF(JYQ948="Carrito", 1000000000, IF(JYQ948="Cautín", 10, 1)))))))</f>
        <v>1000000000</v>
      </c>
      <c r="JYV948" s="4" t="str">
        <f t="shared" ref="JYV948" si="3389">IF(JYQ948="Ionizador", "Segundos", "Ohms")</f>
        <v>Ohms</v>
      </c>
      <c r="JYW948" s="6">
        <v>148000000</v>
      </c>
      <c r="JYX948" s="6" t="str">
        <f t="shared" ref="JYX948" si="3390">JYV948</f>
        <v>Ohms</v>
      </c>
      <c r="JYY948" s="2" t="str">
        <f t="shared" ref="JYY948" si="3391">IF(JYQ948="Ionizador", "Plato de carga", IF(JYQ948="Cautín", "PTG", "RTG"))</f>
        <v>RTG</v>
      </c>
      <c r="JYZ948" s="7">
        <v>45992</v>
      </c>
      <c r="JZA948" s="7">
        <f t="shared" ref="JZA948" si="3392">IF(JZB948="Trimestral", JYZ948+90, IF(JZB948="Semestral", JYZ948+180, JYZ948+365))</f>
        <v>46172</v>
      </c>
      <c r="JZB948" s="7" t="str">
        <f t="shared" ref="JZB948" si="3393">IF(JYQ948="Ionizador", "Trimestral", IF(JYQ948="Rack", "Semestral", IF(JYQ948="Mesa", "Semestral", IF(JYQ948="Tapete", "Semestral", IF(JYQ948="Cautín", "Semestral", IF(JYQ948="Silla", "Semestral", "Anual"))))))</f>
        <v>Semestral</v>
      </c>
      <c r="JZC948" s="2" t="str">
        <f t="shared" ref="JZC948" ca="1" si="3394">IF(JZA948&lt;TODAY(),"VENCIDO",IF(JZA948=TODAY(),"VENCE HOY",IF(JZA948&gt;TODAY(),"VIGENTE")))</f>
        <v>VIGENTE</v>
      </c>
      <c r="JZD948" s="6" t="s">
        <v>25</v>
      </c>
      <c r="JZE948" s="23" t="s">
        <v>138</v>
      </c>
      <c r="JZF948" s="2" t="s">
        <v>433</v>
      </c>
      <c r="JZG948" s="3" t="s">
        <v>22</v>
      </c>
      <c r="JZH948" s="3" t="s">
        <v>23</v>
      </c>
      <c r="JZI948" s="2" t="s">
        <v>24</v>
      </c>
      <c r="JZJ948" s="4">
        <v>0</v>
      </c>
      <c r="JZK948" s="8">
        <f t="shared" ref="JZK948" si="3395">IF(JZG948="Ionizador", 10, IF(JZG948="Mesa", 1000000000, IF(JZG948="Rack", 1000000000, IF(JZG948="Piso", 1000000000, IF(JZG948="Tapete", 1000000000, IF(JZG948="Carrito", 1000000000, IF(JZG948="Cautín", 10, 1)))))))</f>
        <v>1000000000</v>
      </c>
      <c r="JZL948" s="4" t="str">
        <f t="shared" ref="JZL948" si="3396">IF(JZG948="Ionizador", "Segundos", "Ohms")</f>
        <v>Ohms</v>
      </c>
      <c r="JZM948" s="6">
        <v>148000000</v>
      </c>
      <c r="JZN948" s="6" t="str">
        <f t="shared" ref="JZN948" si="3397">JZL948</f>
        <v>Ohms</v>
      </c>
      <c r="JZO948" s="2" t="str">
        <f t="shared" ref="JZO948" si="3398">IF(JZG948="Ionizador", "Plato de carga", IF(JZG948="Cautín", "PTG", "RTG"))</f>
        <v>RTG</v>
      </c>
      <c r="JZP948" s="7">
        <v>45992</v>
      </c>
      <c r="JZQ948" s="7">
        <f t="shared" ref="JZQ948" si="3399">IF(JZR948="Trimestral", JZP948+90, IF(JZR948="Semestral", JZP948+180, JZP948+365))</f>
        <v>46172</v>
      </c>
      <c r="JZR948" s="7" t="str">
        <f t="shared" ref="JZR948" si="3400">IF(JZG948="Ionizador", "Trimestral", IF(JZG948="Rack", "Semestral", IF(JZG948="Mesa", "Semestral", IF(JZG948="Tapete", "Semestral", IF(JZG948="Cautín", "Semestral", IF(JZG948="Silla", "Semestral", "Anual"))))))</f>
        <v>Semestral</v>
      </c>
      <c r="JZS948" s="2" t="str">
        <f t="shared" ref="JZS948" ca="1" si="3401">IF(JZQ948&lt;TODAY(),"VENCIDO",IF(JZQ948=TODAY(),"VENCE HOY",IF(JZQ948&gt;TODAY(),"VIGENTE")))</f>
        <v>VIGENTE</v>
      </c>
      <c r="JZT948" s="6" t="s">
        <v>25</v>
      </c>
      <c r="JZU948" s="23" t="s">
        <v>138</v>
      </c>
      <c r="JZV948" s="2" t="s">
        <v>433</v>
      </c>
      <c r="JZW948" s="3" t="s">
        <v>22</v>
      </c>
      <c r="JZX948" s="3" t="s">
        <v>23</v>
      </c>
      <c r="JZY948" s="2" t="s">
        <v>24</v>
      </c>
      <c r="JZZ948" s="4">
        <v>0</v>
      </c>
      <c r="KAA948" s="8">
        <f t="shared" ref="KAA948" si="3402">IF(JZW948="Ionizador", 10, IF(JZW948="Mesa", 1000000000, IF(JZW948="Rack", 1000000000, IF(JZW948="Piso", 1000000000, IF(JZW948="Tapete", 1000000000, IF(JZW948="Carrito", 1000000000, IF(JZW948="Cautín", 10, 1)))))))</f>
        <v>1000000000</v>
      </c>
      <c r="KAB948" s="4" t="str">
        <f t="shared" ref="KAB948" si="3403">IF(JZW948="Ionizador", "Segundos", "Ohms")</f>
        <v>Ohms</v>
      </c>
      <c r="KAC948" s="6">
        <v>148000000</v>
      </c>
      <c r="KAD948" s="6" t="str">
        <f t="shared" ref="KAD948" si="3404">KAB948</f>
        <v>Ohms</v>
      </c>
      <c r="KAE948" s="2" t="str">
        <f t="shared" ref="KAE948" si="3405">IF(JZW948="Ionizador", "Plato de carga", IF(JZW948="Cautín", "PTG", "RTG"))</f>
        <v>RTG</v>
      </c>
      <c r="KAF948" s="7">
        <v>45992</v>
      </c>
      <c r="KAG948" s="7">
        <f t="shared" ref="KAG948" si="3406">IF(KAH948="Trimestral", KAF948+90, IF(KAH948="Semestral", KAF948+180, KAF948+365))</f>
        <v>46172</v>
      </c>
      <c r="KAH948" s="7" t="str">
        <f t="shared" ref="KAH948" si="3407">IF(JZW948="Ionizador", "Trimestral", IF(JZW948="Rack", "Semestral", IF(JZW948="Mesa", "Semestral", IF(JZW948="Tapete", "Semestral", IF(JZW948="Cautín", "Semestral", IF(JZW948="Silla", "Semestral", "Anual"))))))</f>
        <v>Semestral</v>
      </c>
      <c r="KAI948" s="2" t="str">
        <f t="shared" ref="KAI948" ca="1" si="3408">IF(KAG948&lt;TODAY(),"VENCIDO",IF(KAG948=TODAY(),"VENCE HOY",IF(KAG948&gt;TODAY(),"VIGENTE")))</f>
        <v>VIGENTE</v>
      </c>
      <c r="KAJ948" s="6" t="s">
        <v>25</v>
      </c>
      <c r="KAK948" s="23" t="s">
        <v>138</v>
      </c>
      <c r="KAL948" s="2" t="s">
        <v>433</v>
      </c>
      <c r="KAM948" s="3" t="s">
        <v>22</v>
      </c>
      <c r="KAN948" s="3" t="s">
        <v>23</v>
      </c>
      <c r="KAO948" s="2" t="s">
        <v>24</v>
      </c>
      <c r="KAP948" s="4">
        <v>0</v>
      </c>
      <c r="KAQ948" s="8">
        <f t="shared" ref="KAQ948" si="3409">IF(KAM948="Ionizador", 10, IF(KAM948="Mesa", 1000000000, IF(KAM948="Rack", 1000000000, IF(KAM948="Piso", 1000000000, IF(KAM948="Tapete", 1000000000, IF(KAM948="Carrito", 1000000000, IF(KAM948="Cautín", 10, 1)))))))</f>
        <v>1000000000</v>
      </c>
      <c r="KAR948" s="4" t="str">
        <f t="shared" ref="KAR948" si="3410">IF(KAM948="Ionizador", "Segundos", "Ohms")</f>
        <v>Ohms</v>
      </c>
      <c r="KAS948" s="6">
        <v>148000000</v>
      </c>
      <c r="KAT948" s="6" t="str">
        <f t="shared" ref="KAT948" si="3411">KAR948</f>
        <v>Ohms</v>
      </c>
      <c r="KAU948" s="2" t="str">
        <f t="shared" ref="KAU948" si="3412">IF(KAM948="Ionizador", "Plato de carga", IF(KAM948="Cautín", "PTG", "RTG"))</f>
        <v>RTG</v>
      </c>
      <c r="KAV948" s="7">
        <v>45992</v>
      </c>
      <c r="KAW948" s="7">
        <f t="shared" ref="KAW948" si="3413">IF(KAX948="Trimestral", KAV948+90, IF(KAX948="Semestral", KAV948+180, KAV948+365))</f>
        <v>46172</v>
      </c>
      <c r="KAX948" s="7" t="str">
        <f t="shared" ref="KAX948" si="3414">IF(KAM948="Ionizador", "Trimestral", IF(KAM948="Rack", "Semestral", IF(KAM948="Mesa", "Semestral", IF(KAM948="Tapete", "Semestral", IF(KAM948="Cautín", "Semestral", IF(KAM948="Silla", "Semestral", "Anual"))))))</f>
        <v>Semestral</v>
      </c>
      <c r="KAY948" s="2" t="str">
        <f t="shared" ref="KAY948" ca="1" si="3415">IF(KAW948&lt;TODAY(),"VENCIDO",IF(KAW948=TODAY(),"VENCE HOY",IF(KAW948&gt;TODAY(),"VIGENTE")))</f>
        <v>VIGENTE</v>
      </c>
      <c r="KAZ948" s="6" t="s">
        <v>25</v>
      </c>
      <c r="KBA948" s="23" t="s">
        <v>138</v>
      </c>
      <c r="KBB948" s="2" t="s">
        <v>433</v>
      </c>
      <c r="KBC948" s="3" t="s">
        <v>22</v>
      </c>
      <c r="KBD948" s="3" t="s">
        <v>23</v>
      </c>
      <c r="KBE948" s="2" t="s">
        <v>24</v>
      </c>
      <c r="KBF948" s="4">
        <v>0</v>
      </c>
      <c r="KBG948" s="8">
        <f t="shared" ref="KBG948" si="3416">IF(KBC948="Ionizador", 10, IF(KBC948="Mesa", 1000000000, IF(KBC948="Rack", 1000000000, IF(KBC948="Piso", 1000000000, IF(KBC948="Tapete", 1000000000, IF(KBC948="Carrito", 1000000000, IF(KBC948="Cautín", 10, 1)))))))</f>
        <v>1000000000</v>
      </c>
      <c r="KBH948" s="4" t="str">
        <f t="shared" ref="KBH948" si="3417">IF(KBC948="Ionizador", "Segundos", "Ohms")</f>
        <v>Ohms</v>
      </c>
      <c r="KBI948" s="6">
        <v>148000000</v>
      </c>
      <c r="KBJ948" s="6" t="str">
        <f t="shared" ref="KBJ948" si="3418">KBH948</f>
        <v>Ohms</v>
      </c>
      <c r="KBK948" s="2" t="str">
        <f t="shared" ref="KBK948" si="3419">IF(KBC948="Ionizador", "Plato de carga", IF(KBC948="Cautín", "PTG", "RTG"))</f>
        <v>RTG</v>
      </c>
      <c r="KBL948" s="7">
        <v>45992</v>
      </c>
      <c r="KBM948" s="7">
        <f t="shared" ref="KBM948" si="3420">IF(KBN948="Trimestral", KBL948+90, IF(KBN948="Semestral", KBL948+180, KBL948+365))</f>
        <v>46172</v>
      </c>
      <c r="KBN948" s="7" t="str">
        <f t="shared" ref="KBN948" si="3421">IF(KBC948="Ionizador", "Trimestral", IF(KBC948="Rack", "Semestral", IF(KBC948="Mesa", "Semestral", IF(KBC948="Tapete", "Semestral", IF(KBC948="Cautín", "Semestral", IF(KBC948="Silla", "Semestral", "Anual"))))))</f>
        <v>Semestral</v>
      </c>
      <c r="KBO948" s="2" t="str">
        <f t="shared" ref="KBO948" ca="1" si="3422">IF(KBM948&lt;TODAY(),"VENCIDO",IF(KBM948=TODAY(),"VENCE HOY",IF(KBM948&gt;TODAY(),"VIGENTE")))</f>
        <v>VIGENTE</v>
      </c>
      <c r="KBP948" s="6" t="s">
        <v>25</v>
      </c>
      <c r="KBQ948" s="23" t="s">
        <v>138</v>
      </c>
      <c r="KBR948" s="2" t="s">
        <v>433</v>
      </c>
      <c r="KBS948" s="3" t="s">
        <v>22</v>
      </c>
      <c r="KBT948" s="3" t="s">
        <v>23</v>
      </c>
      <c r="KBU948" s="2" t="s">
        <v>24</v>
      </c>
      <c r="KBV948" s="4">
        <v>0</v>
      </c>
      <c r="KBW948" s="8">
        <f t="shared" ref="KBW948" si="3423">IF(KBS948="Ionizador", 10, IF(KBS948="Mesa", 1000000000, IF(KBS948="Rack", 1000000000, IF(KBS948="Piso", 1000000000, IF(KBS948="Tapete", 1000000000, IF(KBS948="Carrito", 1000000000, IF(KBS948="Cautín", 10, 1)))))))</f>
        <v>1000000000</v>
      </c>
      <c r="KBX948" s="4" t="str">
        <f t="shared" ref="KBX948" si="3424">IF(KBS948="Ionizador", "Segundos", "Ohms")</f>
        <v>Ohms</v>
      </c>
      <c r="KBY948" s="6">
        <v>148000000</v>
      </c>
      <c r="KBZ948" s="6" t="str">
        <f t="shared" ref="KBZ948" si="3425">KBX948</f>
        <v>Ohms</v>
      </c>
      <c r="KCA948" s="2" t="str">
        <f t="shared" ref="KCA948" si="3426">IF(KBS948="Ionizador", "Plato de carga", IF(KBS948="Cautín", "PTG", "RTG"))</f>
        <v>RTG</v>
      </c>
      <c r="KCB948" s="7">
        <v>45992</v>
      </c>
      <c r="KCC948" s="7">
        <f t="shared" ref="KCC948" si="3427">IF(KCD948="Trimestral", KCB948+90, IF(KCD948="Semestral", KCB948+180, KCB948+365))</f>
        <v>46172</v>
      </c>
      <c r="KCD948" s="7" t="str">
        <f t="shared" ref="KCD948" si="3428">IF(KBS948="Ionizador", "Trimestral", IF(KBS948="Rack", "Semestral", IF(KBS948="Mesa", "Semestral", IF(KBS948="Tapete", "Semestral", IF(KBS948="Cautín", "Semestral", IF(KBS948="Silla", "Semestral", "Anual"))))))</f>
        <v>Semestral</v>
      </c>
      <c r="KCE948" s="2" t="str">
        <f t="shared" ref="KCE948" ca="1" si="3429">IF(KCC948&lt;TODAY(),"VENCIDO",IF(KCC948=TODAY(),"VENCE HOY",IF(KCC948&gt;TODAY(),"VIGENTE")))</f>
        <v>VIGENTE</v>
      </c>
      <c r="KCF948" s="6" t="s">
        <v>25</v>
      </c>
      <c r="KCG948" s="23" t="s">
        <v>138</v>
      </c>
      <c r="KCH948" s="2" t="s">
        <v>433</v>
      </c>
      <c r="KCI948" s="3" t="s">
        <v>22</v>
      </c>
      <c r="KCJ948" s="3" t="s">
        <v>23</v>
      </c>
      <c r="KCK948" s="2" t="s">
        <v>24</v>
      </c>
      <c r="KCL948" s="4">
        <v>0</v>
      </c>
      <c r="KCM948" s="8">
        <f t="shared" ref="KCM948" si="3430">IF(KCI948="Ionizador", 10, IF(KCI948="Mesa", 1000000000, IF(KCI948="Rack", 1000000000, IF(KCI948="Piso", 1000000000, IF(KCI948="Tapete", 1000000000, IF(KCI948="Carrito", 1000000000, IF(KCI948="Cautín", 10, 1)))))))</f>
        <v>1000000000</v>
      </c>
      <c r="KCN948" s="4" t="str">
        <f t="shared" ref="KCN948" si="3431">IF(KCI948="Ionizador", "Segundos", "Ohms")</f>
        <v>Ohms</v>
      </c>
      <c r="KCO948" s="6">
        <v>148000000</v>
      </c>
      <c r="KCP948" s="6" t="str">
        <f t="shared" ref="KCP948" si="3432">KCN948</f>
        <v>Ohms</v>
      </c>
      <c r="KCQ948" s="2" t="str">
        <f t="shared" ref="KCQ948" si="3433">IF(KCI948="Ionizador", "Plato de carga", IF(KCI948="Cautín", "PTG", "RTG"))</f>
        <v>RTG</v>
      </c>
      <c r="KCR948" s="7">
        <v>45992</v>
      </c>
      <c r="KCS948" s="7">
        <f t="shared" ref="KCS948" si="3434">IF(KCT948="Trimestral", KCR948+90, IF(KCT948="Semestral", KCR948+180, KCR948+365))</f>
        <v>46172</v>
      </c>
      <c r="KCT948" s="7" t="str">
        <f t="shared" ref="KCT948" si="3435">IF(KCI948="Ionizador", "Trimestral", IF(KCI948="Rack", "Semestral", IF(KCI948="Mesa", "Semestral", IF(KCI948="Tapete", "Semestral", IF(KCI948="Cautín", "Semestral", IF(KCI948="Silla", "Semestral", "Anual"))))))</f>
        <v>Semestral</v>
      </c>
      <c r="KCU948" s="2" t="str">
        <f t="shared" ref="KCU948" ca="1" si="3436">IF(KCS948&lt;TODAY(),"VENCIDO",IF(KCS948=TODAY(),"VENCE HOY",IF(KCS948&gt;TODAY(),"VIGENTE")))</f>
        <v>VIGENTE</v>
      </c>
      <c r="KCV948" s="6" t="s">
        <v>25</v>
      </c>
      <c r="KCW948" s="23" t="s">
        <v>138</v>
      </c>
      <c r="KCX948" s="2" t="s">
        <v>433</v>
      </c>
      <c r="KCY948" s="3" t="s">
        <v>22</v>
      </c>
      <c r="KCZ948" s="3" t="s">
        <v>23</v>
      </c>
      <c r="KDA948" s="2" t="s">
        <v>24</v>
      </c>
      <c r="KDB948" s="4">
        <v>0</v>
      </c>
      <c r="KDC948" s="8">
        <f t="shared" ref="KDC948" si="3437">IF(KCY948="Ionizador", 10, IF(KCY948="Mesa", 1000000000, IF(KCY948="Rack", 1000000000, IF(KCY948="Piso", 1000000000, IF(KCY948="Tapete", 1000000000, IF(KCY948="Carrito", 1000000000, IF(KCY948="Cautín", 10, 1)))))))</f>
        <v>1000000000</v>
      </c>
      <c r="KDD948" s="4" t="str">
        <f t="shared" ref="KDD948" si="3438">IF(KCY948="Ionizador", "Segundos", "Ohms")</f>
        <v>Ohms</v>
      </c>
      <c r="KDE948" s="6">
        <v>148000000</v>
      </c>
      <c r="KDF948" s="6" t="str">
        <f t="shared" ref="KDF948" si="3439">KDD948</f>
        <v>Ohms</v>
      </c>
      <c r="KDG948" s="2" t="str">
        <f t="shared" ref="KDG948" si="3440">IF(KCY948="Ionizador", "Plato de carga", IF(KCY948="Cautín", "PTG", "RTG"))</f>
        <v>RTG</v>
      </c>
      <c r="KDH948" s="7">
        <v>45992</v>
      </c>
      <c r="KDI948" s="7">
        <f t="shared" ref="KDI948" si="3441">IF(KDJ948="Trimestral", KDH948+90, IF(KDJ948="Semestral", KDH948+180, KDH948+365))</f>
        <v>46172</v>
      </c>
      <c r="KDJ948" s="7" t="str">
        <f t="shared" ref="KDJ948" si="3442">IF(KCY948="Ionizador", "Trimestral", IF(KCY948="Rack", "Semestral", IF(KCY948="Mesa", "Semestral", IF(KCY948="Tapete", "Semestral", IF(KCY948="Cautín", "Semestral", IF(KCY948="Silla", "Semestral", "Anual"))))))</f>
        <v>Semestral</v>
      </c>
      <c r="KDK948" s="2" t="str">
        <f t="shared" ref="KDK948" ca="1" si="3443">IF(KDI948&lt;TODAY(),"VENCIDO",IF(KDI948=TODAY(),"VENCE HOY",IF(KDI948&gt;TODAY(),"VIGENTE")))</f>
        <v>VIGENTE</v>
      </c>
      <c r="KDL948" s="6" t="s">
        <v>25</v>
      </c>
      <c r="KDM948" s="23" t="s">
        <v>138</v>
      </c>
      <c r="KDN948" s="2" t="s">
        <v>433</v>
      </c>
      <c r="KDO948" s="3" t="s">
        <v>22</v>
      </c>
      <c r="KDP948" s="3" t="s">
        <v>23</v>
      </c>
      <c r="KDQ948" s="2" t="s">
        <v>24</v>
      </c>
      <c r="KDR948" s="4">
        <v>0</v>
      </c>
      <c r="KDS948" s="8">
        <f t="shared" ref="KDS948" si="3444">IF(KDO948="Ionizador", 10, IF(KDO948="Mesa", 1000000000, IF(KDO948="Rack", 1000000000, IF(KDO948="Piso", 1000000000, IF(KDO948="Tapete", 1000000000, IF(KDO948="Carrito", 1000000000, IF(KDO948="Cautín", 10, 1)))))))</f>
        <v>1000000000</v>
      </c>
      <c r="KDT948" s="4" t="str">
        <f t="shared" ref="KDT948" si="3445">IF(KDO948="Ionizador", "Segundos", "Ohms")</f>
        <v>Ohms</v>
      </c>
      <c r="KDU948" s="6">
        <v>148000000</v>
      </c>
      <c r="KDV948" s="6" t="str">
        <f t="shared" ref="KDV948" si="3446">KDT948</f>
        <v>Ohms</v>
      </c>
      <c r="KDW948" s="2" t="str">
        <f t="shared" ref="KDW948" si="3447">IF(KDO948="Ionizador", "Plato de carga", IF(KDO948="Cautín", "PTG", "RTG"))</f>
        <v>RTG</v>
      </c>
      <c r="KDX948" s="7">
        <v>45992</v>
      </c>
      <c r="KDY948" s="7">
        <f t="shared" ref="KDY948" si="3448">IF(KDZ948="Trimestral", KDX948+90, IF(KDZ948="Semestral", KDX948+180, KDX948+365))</f>
        <v>46172</v>
      </c>
      <c r="KDZ948" s="7" t="str">
        <f t="shared" ref="KDZ948" si="3449">IF(KDO948="Ionizador", "Trimestral", IF(KDO948="Rack", "Semestral", IF(KDO948="Mesa", "Semestral", IF(KDO948="Tapete", "Semestral", IF(KDO948="Cautín", "Semestral", IF(KDO948="Silla", "Semestral", "Anual"))))))</f>
        <v>Semestral</v>
      </c>
      <c r="KEA948" s="2" t="str">
        <f t="shared" ref="KEA948" ca="1" si="3450">IF(KDY948&lt;TODAY(),"VENCIDO",IF(KDY948=TODAY(),"VENCE HOY",IF(KDY948&gt;TODAY(),"VIGENTE")))</f>
        <v>VIGENTE</v>
      </c>
      <c r="KEB948" s="6" t="s">
        <v>25</v>
      </c>
      <c r="KEC948" s="23" t="s">
        <v>138</v>
      </c>
      <c r="KED948" s="2" t="s">
        <v>433</v>
      </c>
      <c r="KEE948" s="3" t="s">
        <v>22</v>
      </c>
      <c r="KEF948" s="3" t="s">
        <v>23</v>
      </c>
      <c r="KEG948" s="2" t="s">
        <v>24</v>
      </c>
      <c r="KEH948" s="4">
        <v>0</v>
      </c>
      <c r="KEI948" s="8">
        <f t="shared" ref="KEI948" si="3451">IF(KEE948="Ionizador", 10, IF(KEE948="Mesa", 1000000000, IF(KEE948="Rack", 1000000000, IF(KEE948="Piso", 1000000000, IF(KEE948="Tapete", 1000000000, IF(KEE948="Carrito", 1000000000, IF(KEE948="Cautín", 10, 1)))))))</f>
        <v>1000000000</v>
      </c>
      <c r="KEJ948" s="4" t="str">
        <f t="shared" ref="KEJ948" si="3452">IF(KEE948="Ionizador", "Segundos", "Ohms")</f>
        <v>Ohms</v>
      </c>
      <c r="KEK948" s="6">
        <v>148000000</v>
      </c>
      <c r="KEL948" s="6" t="str">
        <f t="shared" ref="KEL948" si="3453">KEJ948</f>
        <v>Ohms</v>
      </c>
      <c r="KEM948" s="2" t="str">
        <f t="shared" ref="KEM948" si="3454">IF(KEE948="Ionizador", "Plato de carga", IF(KEE948="Cautín", "PTG", "RTG"))</f>
        <v>RTG</v>
      </c>
      <c r="KEN948" s="7">
        <v>45992</v>
      </c>
      <c r="KEO948" s="7">
        <f t="shared" ref="KEO948" si="3455">IF(KEP948="Trimestral", KEN948+90, IF(KEP948="Semestral", KEN948+180, KEN948+365))</f>
        <v>46172</v>
      </c>
      <c r="KEP948" s="7" t="str">
        <f t="shared" ref="KEP948" si="3456">IF(KEE948="Ionizador", "Trimestral", IF(KEE948="Rack", "Semestral", IF(KEE948="Mesa", "Semestral", IF(KEE948="Tapete", "Semestral", IF(KEE948="Cautín", "Semestral", IF(KEE948="Silla", "Semestral", "Anual"))))))</f>
        <v>Semestral</v>
      </c>
      <c r="KEQ948" s="2" t="str">
        <f t="shared" ref="KEQ948" ca="1" si="3457">IF(KEO948&lt;TODAY(),"VENCIDO",IF(KEO948=TODAY(),"VENCE HOY",IF(KEO948&gt;TODAY(),"VIGENTE")))</f>
        <v>VIGENTE</v>
      </c>
      <c r="KER948" s="6" t="s">
        <v>25</v>
      </c>
      <c r="KES948" s="23" t="s">
        <v>138</v>
      </c>
      <c r="KET948" s="2" t="s">
        <v>433</v>
      </c>
      <c r="KEU948" s="3" t="s">
        <v>22</v>
      </c>
      <c r="KEV948" s="3" t="s">
        <v>23</v>
      </c>
      <c r="KEW948" s="2" t="s">
        <v>24</v>
      </c>
      <c r="KEX948" s="4">
        <v>0</v>
      </c>
      <c r="KEY948" s="8">
        <f t="shared" ref="KEY948" si="3458">IF(KEU948="Ionizador", 10, IF(KEU948="Mesa", 1000000000, IF(KEU948="Rack", 1000000000, IF(KEU948="Piso", 1000000000, IF(KEU948="Tapete", 1000000000, IF(KEU948="Carrito", 1000000000, IF(KEU948="Cautín", 10, 1)))))))</f>
        <v>1000000000</v>
      </c>
      <c r="KEZ948" s="4" t="str">
        <f t="shared" ref="KEZ948" si="3459">IF(KEU948="Ionizador", "Segundos", "Ohms")</f>
        <v>Ohms</v>
      </c>
      <c r="KFA948" s="6">
        <v>148000000</v>
      </c>
      <c r="KFB948" s="6" t="str">
        <f t="shared" ref="KFB948" si="3460">KEZ948</f>
        <v>Ohms</v>
      </c>
      <c r="KFC948" s="2" t="str">
        <f t="shared" ref="KFC948" si="3461">IF(KEU948="Ionizador", "Plato de carga", IF(KEU948="Cautín", "PTG", "RTG"))</f>
        <v>RTG</v>
      </c>
      <c r="KFD948" s="7">
        <v>45992</v>
      </c>
      <c r="KFE948" s="7">
        <f t="shared" ref="KFE948" si="3462">IF(KFF948="Trimestral", KFD948+90, IF(KFF948="Semestral", KFD948+180, KFD948+365))</f>
        <v>46172</v>
      </c>
      <c r="KFF948" s="7" t="str">
        <f t="shared" ref="KFF948" si="3463">IF(KEU948="Ionizador", "Trimestral", IF(KEU948="Rack", "Semestral", IF(KEU948="Mesa", "Semestral", IF(KEU948="Tapete", "Semestral", IF(KEU948="Cautín", "Semestral", IF(KEU948="Silla", "Semestral", "Anual"))))))</f>
        <v>Semestral</v>
      </c>
      <c r="KFG948" s="2" t="str">
        <f t="shared" ref="KFG948" ca="1" si="3464">IF(KFE948&lt;TODAY(),"VENCIDO",IF(KFE948=TODAY(),"VENCE HOY",IF(KFE948&gt;TODAY(),"VIGENTE")))</f>
        <v>VIGENTE</v>
      </c>
      <c r="KFH948" s="6" t="s">
        <v>25</v>
      </c>
      <c r="KFI948" s="23" t="s">
        <v>138</v>
      </c>
      <c r="KFJ948" s="2" t="s">
        <v>433</v>
      </c>
      <c r="KFK948" s="3" t="s">
        <v>22</v>
      </c>
      <c r="KFL948" s="3" t="s">
        <v>23</v>
      </c>
      <c r="KFM948" s="2" t="s">
        <v>24</v>
      </c>
      <c r="KFN948" s="4">
        <v>0</v>
      </c>
      <c r="KFO948" s="8">
        <f t="shared" ref="KFO948" si="3465">IF(KFK948="Ionizador", 10, IF(KFK948="Mesa", 1000000000, IF(KFK948="Rack", 1000000000, IF(KFK948="Piso", 1000000000, IF(KFK948="Tapete", 1000000000, IF(KFK948="Carrito", 1000000000, IF(KFK948="Cautín", 10, 1)))))))</f>
        <v>1000000000</v>
      </c>
      <c r="KFP948" s="4" t="str">
        <f t="shared" ref="KFP948" si="3466">IF(KFK948="Ionizador", "Segundos", "Ohms")</f>
        <v>Ohms</v>
      </c>
      <c r="KFQ948" s="6">
        <v>148000000</v>
      </c>
      <c r="KFR948" s="6" t="str">
        <f t="shared" ref="KFR948" si="3467">KFP948</f>
        <v>Ohms</v>
      </c>
      <c r="KFS948" s="2" t="str">
        <f t="shared" ref="KFS948" si="3468">IF(KFK948="Ionizador", "Plato de carga", IF(KFK948="Cautín", "PTG", "RTG"))</f>
        <v>RTG</v>
      </c>
      <c r="KFT948" s="7">
        <v>45992</v>
      </c>
      <c r="KFU948" s="7">
        <f t="shared" ref="KFU948" si="3469">IF(KFV948="Trimestral", KFT948+90, IF(KFV948="Semestral", KFT948+180, KFT948+365))</f>
        <v>46172</v>
      </c>
      <c r="KFV948" s="7" t="str">
        <f t="shared" ref="KFV948" si="3470">IF(KFK948="Ionizador", "Trimestral", IF(KFK948="Rack", "Semestral", IF(KFK948="Mesa", "Semestral", IF(KFK948="Tapete", "Semestral", IF(KFK948="Cautín", "Semestral", IF(KFK948="Silla", "Semestral", "Anual"))))))</f>
        <v>Semestral</v>
      </c>
      <c r="KFW948" s="2" t="str">
        <f t="shared" ref="KFW948" ca="1" si="3471">IF(KFU948&lt;TODAY(),"VENCIDO",IF(KFU948=TODAY(),"VENCE HOY",IF(KFU948&gt;TODAY(),"VIGENTE")))</f>
        <v>VIGENTE</v>
      </c>
      <c r="KFX948" s="6" t="s">
        <v>25</v>
      </c>
      <c r="KFY948" s="23" t="s">
        <v>138</v>
      </c>
      <c r="KFZ948" s="2" t="s">
        <v>433</v>
      </c>
      <c r="KGA948" s="3" t="s">
        <v>22</v>
      </c>
      <c r="KGB948" s="3" t="s">
        <v>23</v>
      </c>
      <c r="KGC948" s="2" t="s">
        <v>24</v>
      </c>
      <c r="KGD948" s="4">
        <v>0</v>
      </c>
      <c r="KGE948" s="8">
        <f t="shared" ref="KGE948" si="3472">IF(KGA948="Ionizador", 10, IF(KGA948="Mesa", 1000000000, IF(KGA948="Rack", 1000000000, IF(KGA948="Piso", 1000000000, IF(KGA948="Tapete", 1000000000, IF(KGA948="Carrito", 1000000000, IF(KGA948="Cautín", 10, 1)))))))</f>
        <v>1000000000</v>
      </c>
      <c r="KGF948" s="4" t="str">
        <f t="shared" ref="KGF948" si="3473">IF(KGA948="Ionizador", "Segundos", "Ohms")</f>
        <v>Ohms</v>
      </c>
      <c r="KGG948" s="6">
        <v>148000000</v>
      </c>
      <c r="KGH948" s="6" t="str">
        <f t="shared" ref="KGH948" si="3474">KGF948</f>
        <v>Ohms</v>
      </c>
      <c r="KGI948" s="2" t="str">
        <f t="shared" ref="KGI948" si="3475">IF(KGA948="Ionizador", "Plato de carga", IF(KGA948="Cautín", "PTG", "RTG"))</f>
        <v>RTG</v>
      </c>
      <c r="KGJ948" s="7">
        <v>45992</v>
      </c>
      <c r="KGK948" s="7">
        <f t="shared" ref="KGK948" si="3476">IF(KGL948="Trimestral", KGJ948+90, IF(KGL948="Semestral", KGJ948+180, KGJ948+365))</f>
        <v>46172</v>
      </c>
      <c r="KGL948" s="7" t="str">
        <f t="shared" ref="KGL948" si="3477">IF(KGA948="Ionizador", "Trimestral", IF(KGA948="Rack", "Semestral", IF(KGA948="Mesa", "Semestral", IF(KGA948="Tapete", "Semestral", IF(KGA948="Cautín", "Semestral", IF(KGA948="Silla", "Semestral", "Anual"))))))</f>
        <v>Semestral</v>
      </c>
      <c r="KGM948" s="2" t="str">
        <f t="shared" ref="KGM948" ca="1" si="3478">IF(KGK948&lt;TODAY(),"VENCIDO",IF(KGK948=TODAY(),"VENCE HOY",IF(KGK948&gt;TODAY(),"VIGENTE")))</f>
        <v>VIGENTE</v>
      </c>
      <c r="KGN948" s="6" t="s">
        <v>25</v>
      </c>
      <c r="KGO948" s="23" t="s">
        <v>138</v>
      </c>
      <c r="KGP948" s="2" t="s">
        <v>433</v>
      </c>
      <c r="KGQ948" s="3" t="s">
        <v>22</v>
      </c>
      <c r="KGR948" s="3" t="s">
        <v>23</v>
      </c>
      <c r="KGS948" s="2" t="s">
        <v>24</v>
      </c>
      <c r="KGT948" s="4">
        <v>0</v>
      </c>
      <c r="KGU948" s="8">
        <f t="shared" ref="KGU948" si="3479">IF(KGQ948="Ionizador", 10, IF(KGQ948="Mesa", 1000000000, IF(KGQ948="Rack", 1000000000, IF(KGQ948="Piso", 1000000000, IF(KGQ948="Tapete", 1000000000, IF(KGQ948="Carrito", 1000000000, IF(KGQ948="Cautín", 10, 1)))))))</f>
        <v>1000000000</v>
      </c>
      <c r="KGV948" s="4" t="str">
        <f t="shared" ref="KGV948" si="3480">IF(KGQ948="Ionizador", "Segundos", "Ohms")</f>
        <v>Ohms</v>
      </c>
      <c r="KGW948" s="6">
        <v>148000000</v>
      </c>
      <c r="KGX948" s="6" t="str">
        <f t="shared" ref="KGX948" si="3481">KGV948</f>
        <v>Ohms</v>
      </c>
      <c r="KGY948" s="2" t="str">
        <f t="shared" ref="KGY948" si="3482">IF(KGQ948="Ionizador", "Plato de carga", IF(KGQ948="Cautín", "PTG", "RTG"))</f>
        <v>RTG</v>
      </c>
      <c r="KGZ948" s="7">
        <v>45992</v>
      </c>
      <c r="KHA948" s="7">
        <f t="shared" ref="KHA948" si="3483">IF(KHB948="Trimestral", KGZ948+90, IF(KHB948="Semestral", KGZ948+180, KGZ948+365))</f>
        <v>46172</v>
      </c>
      <c r="KHB948" s="7" t="str">
        <f t="shared" ref="KHB948" si="3484">IF(KGQ948="Ionizador", "Trimestral", IF(KGQ948="Rack", "Semestral", IF(KGQ948="Mesa", "Semestral", IF(KGQ948="Tapete", "Semestral", IF(KGQ948="Cautín", "Semestral", IF(KGQ948="Silla", "Semestral", "Anual"))))))</f>
        <v>Semestral</v>
      </c>
      <c r="KHC948" s="2" t="str">
        <f t="shared" ref="KHC948" ca="1" si="3485">IF(KHA948&lt;TODAY(),"VENCIDO",IF(KHA948=TODAY(),"VENCE HOY",IF(KHA948&gt;TODAY(),"VIGENTE")))</f>
        <v>VIGENTE</v>
      </c>
      <c r="KHD948" s="6" t="s">
        <v>25</v>
      </c>
      <c r="KHE948" s="23" t="s">
        <v>138</v>
      </c>
      <c r="KHF948" s="2" t="s">
        <v>433</v>
      </c>
      <c r="KHG948" s="3" t="s">
        <v>22</v>
      </c>
      <c r="KHH948" s="3" t="s">
        <v>23</v>
      </c>
      <c r="KHI948" s="2" t="s">
        <v>24</v>
      </c>
      <c r="KHJ948" s="4">
        <v>0</v>
      </c>
      <c r="KHK948" s="8">
        <f t="shared" ref="KHK948" si="3486">IF(KHG948="Ionizador", 10, IF(KHG948="Mesa", 1000000000, IF(KHG948="Rack", 1000000000, IF(KHG948="Piso", 1000000000, IF(KHG948="Tapete", 1000000000, IF(KHG948="Carrito", 1000000000, IF(KHG948="Cautín", 10, 1)))))))</f>
        <v>1000000000</v>
      </c>
      <c r="KHL948" s="4" t="str">
        <f t="shared" ref="KHL948" si="3487">IF(KHG948="Ionizador", "Segundos", "Ohms")</f>
        <v>Ohms</v>
      </c>
      <c r="KHM948" s="6">
        <v>148000000</v>
      </c>
      <c r="KHN948" s="6" t="str">
        <f t="shared" ref="KHN948" si="3488">KHL948</f>
        <v>Ohms</v>
      </c>
      <c r="KHO948" s="2" t="str">
        <f t="shared" ref="KHO948" si="3489">IF(KHG948="Ionizador", "Plato de carga", IF(KHG948="Cautín", "PTG", "RTG"))</f>
        <v>RTG</v>
      </c>
      <c r="KHP948" s="7">
        <v>45992</v>
      </c>
      <c r="KHQ948" s="7">
        <f t="shared" ref="KHQ948" si="3490">IF(KHR948="Trimestral", KHP948+90, IF(KHR948="Semestral", KHP948+180, KHP948+365))</f>
        <v>46172</v>
      </c>
      <c r="KHR948" s="7" t="str">
        <f t="shared" ref="KHR948" si="3491">IF(KHG948="Ionizador", "Trimestral", IF(KHG948="Rack", "Semestral", IF(KHG948="Mesa", "Semestral", IF(KHG948="Tapete", "Semestral", IF(KHG948="Cautín", "Semestral", IF(KHG948="Silla", "Semestral", "Anual"))))))</f>
        <v>Semestral</v>
      </c>
      <c r="KHS948" s="2" t="str">
        <f t="shared" ref="KHS948" ca="1" si="3492">IF(KHQ948&lt;TODAY(),"VENCIDO",IF(KHQ948=TODAY(),"VENCE HOY",IF(KHQ948&gt;TODAY(),"VIGENTE")))</f>
        <v>VIGENTE</v>
      </c>
      <c r="KHT948" s="6" t="s">
        <v>25</v>
      </c>
      <c r="KHU948" s="23" t="s">
        <v>138</v>
      </c>
      <c r="KHV948" s="2" t="s">
        <v>433</v>
      </c>
      <c r="KHW948" s="3" t="s">
        <v>22</v>
      </c>
      <c r="KHX948" s="3" t="s">
        <v>23</v>
      </c>
      <c r="KHY948" s="2" t="s">
        <v>24</v>
      </c>
      <c r="KHZ948" s="4">
        <v>0</v>
      </c>
      <c r="KIA948" s="8">
        <f t="shared" ref="KIA948" si="3493">IF(KHW948="Ionizador", 10, IF(KHW948="Mesa", 1000000000, IF(KHW948="Rack", 1000000000, IF(KHW948="Piso", 1000000000, IF(KHW948="Tapete", 1000000000, IF(KHW948="Carrito", 1000000000, IF(KHW948="Cautín", 10, 1)))))))</f>
        <v>1000000000</v>
      </c>
      <c r="KIB948" s="4" t="str">
        <f t="shared" ref="KIB948" si="3494">IF(KHW948="Ionizador", "Segundos", "Ohms")</f>
        <v>Ohms</v>
      </c>
      <c r="KIC948" s="6">
        <v>148000000</v>
      </c>
      <c r="KID948" s="6" t="str">
        <f t="shared" ref="KID948" si="3495">KIB948</f>
        <v>Ohms</v>
      </c>
      <c r="KIE948" s="2" t="str">
        <f t="shared" ref="KIE948" si="3496">IF(KHW948="Ionizador", "Plato de carga", IF(KHW948="Cautín", "PTG", "RTG"))</f>
        <v>RTG</v>
      </c>
      <c r="KIF948" s="7">
        <v>45992</v>
      </c>
      <c r="KIG948" s="7">
        <f t="shared" ref="KIG948" si="3497">IF(KIH948="Trimestral", KIF948+90, IF(KIH948="Semestral", KIF948+180, KIF948+365))</f>
        <v>46172</v>
      </c>
      <c r="KIH948" s="7" t="str">
        <f t="shared" ref="KIH948" si="3498">IF(KHW948="Ionizador", "Trimestral", IF(KHW948="Rack", "Semestral", IF(KHW948="Mesa", "Semestral", IF(KHW948="Tapete", "Semestral", IF(KHW948="Cautín", "Semestral", IF(KHW948="Silla", "Semestral", "Anual"))))))</f>
        <v>Semestral</v>
      </c>
      <c r="KII948" s="2" t="str">
        <f t="shared" ref="KII948" ca="1" si="3499">IF(KIG948&lt;TODAY(),"VENCIDO",IF(KIG948=TODAY(),"VENCE HOY",IF(KIG948&gt;TODAY(),"VIGENTE")))</f>
        <v>VIGENTE</v>
      </c>
      <c r="KIJ948" s="6" t="s">
        <v>25</v>
      </c>
      <c r="KIK948" s="23" t="s">
        <v>138</v>
      </c>
      <c r="KIL948" s="2" t="s">
        <v>433</v>
      </c>
      <c r="KIM948" s="3" t="s">
        <v>22</v>
      </c>
      <c r="KIN948" s="3" t="s">
        <v>23</v>
      </c>
      <c r="KIO948" s="2" t="s">
        <v>24</v>
      </c>
      <c r="KIP948" s="4">
        <v>0</v>
      </c>
      <c r="KIQ948" s="8">
        <f t="shared" ref="KIQ948" si="3500">IF(KIM948="Ionizador", 10, IF(KIM948="Mesa", 1000000000, IF(KIM948="Rack", 1000000000, IF(KIM948="Piso", 1000000000, IF(KIM948="Tapete", 1000000000, IF(KIM948="Carrito", 1000000000, IF(KIM948="Cautín", 10, 1)))))))</f>
        <v>1000000000</v>
      </c>
      <c r="KIR948" s="4" t="str">
        <f t="shared" ref="KIR948" si="3501">IF(KIM948="Ionizador", "Segundos", "Ohms")</f>
        <v>Ohms</v>
      </c>
      <c r="KIS948" s="6">
        <v>148000000</v>
      </c>
      <c r="KIT948" s="6" t="str">
        <f t="shared" ref="KIT948" si="3502">KIR948</f>
        <v>Ohms</v>
      </c>
      <c r="KIU948" s="2" t="str">
        <f t="shared" ref="KIU948" si="3503">IF(KIM948="Ionizador", "Plato de carga", IF(KIM948="Cautín", "PTG", "RTG"))</f>
        <v>RTG</v>
      </c>
      <c r="KIV948" s="7">
        <v>45992</v>
      </c>
      <c r="KIW948" s="7">
        <f t="shared" ref="KIW948" si="3504">IF(KIX948="Trimestral", KIV948+90, IF(KIX948="Semestral", KIV948+180, KIV948+365))</f>
        <v>46172</v>
      </c>
      <c r="KIX948" s="7" t="str">
        <f t="shared" ref="KIX948" si="3505">IF(KIM948="Ionizador", "Trimestral", IF(KIM948="Rack", "Semestral", IF(KIM948="Mesa", "Semestral", IF(KIM948="Tapete", "Semestral", IF(KIM948="Cautín", "Semestral", IF(KIM948="Silla", "Semestral", "Anual"))))))</f>
        <v>Semestral</v>
      </c>
      <c r="KIY948" s="2" t="str">
        <f t="shared" ref="KIY948" ca="1" si="3506">IF(KIW948&lt;TODAY(),"VENCIDO",IF(KIW948=TODAY(),"VENCE HOY",IF(KIW948&gt;TODAY(),"VIGENTE")))</f>
        <v>VIGENTE</v>
      </c>
      <c r="KIZ948" s="6" t="s">
        <v>25</v>
      </c>
      <c r="KJA948" s="23" t="s">
        <v>138</v>
      </c>
      <c r="KJB948" s="2" t="s">
        <v>433</v>
      </c>
      <c r="KJC948" s="3" t="s">
        <v>22</v>
      </c>
      <c r="KJD948" s="3" t="s">
        <v>23</v>
      </c>
      <c r="KJE948" s="2" t="s">
        <v>24</v>
      </c>
      <c r="KJF948" s="4">
        <v>0</v>
      </c>
      <c r="KJG948" s="8">
        <f t="shared" ref="KJG948" si="3507">IF(KJC948="Ionizador", 10, IF(KJC948="Mesa", 1000000000, IF(KJC948="Rack", 1000000000, IF(KJC948="Piso", 1000000000, IF(KJC948="Tapete", 1000000000, IF(KJC948="Carrito", 1000000000, IF(KJC948="Cautín", 10, 1)))))))</f>
        <v>1000000000</v>
      </c>
      <c r="KJH948" s="4" t="str">
        <f t="shared" ref="KJH948" si="3508">IF(KJC948="Ionizador", "Segundos", "Ohms")</f>
        <v>Ohms</v>
      </c>
      <c r="KJI948" s="6">
        <v>148000000</v>
      </c>
      <c r="KJJ948" s="6" t="str">
        <f t="shared" ref="KJJ948" si="3509">KJH948</f>
        <v>Ohms</v>
      </c>
      <c r="KJK948" s="2" t="str">
        <f t="shared" ref="KJK948" si="3510">IF(KJC948="Ionizador", "Plato de carga", IF(KJC948="Cautín", "PTG", "RTG"))</f>
        <v>RTG</v>
      </c>
      <c r="KJL948" s="7">
        <v>45992</v>
      </c>
      <c r="KJM948" s="7">
        <f t="shared" ref="KJM948" si="3511">IF(KJN948="Trimestral", KJL948+90, IF(KJN948="Semestral", KJL948+180, KJL948+365))</f>
        <v>46172</v>
      </c>
      <c r="KJN948" s="7" t="str">
        <f t="shared" ref="KJN948" si="3512">IF(KJC948="Ionizador", "Trimestral", IF(KJC948="Rack", "Semestral", IF(KJC948="Mesa", "Semestral", IF(KJC948="Tapete", "Semestral", IF(KJC948="Cautín", "Semestral", IF(KJC948="Silla", "Semestral", "Anual"))))))</f>
        <v>Semestral</v>
      </c>
      <c r="KJO948" s="2" t="str">
        <f t="shared" ref="KJO948" ca="1" si="3513">IF(KJM948&lt;TODAY(),"VENCIDO",IF(KJM948=TODAY(),"VENCE HOY",IF(KJM948&gt;TODAY(),"VIGENTE")))</f>
        <v>VIGENTE</v>
      </c>
      <c r="KJP948" s="6" t="s">
        <v>25</v>
      </c>
      <c r="KJQ948" s="23" t="s">
        <v>138</v>
      </c>
      <c r="KJR948" s="2" t="s">
        <v>433</v>
      </c>
      <c r="KJS948" s="3" t="s">
        <v>22</v>
      </c>
      <c r="KJT948" s="3" t="s">
        <v>23</v>
      </c>
      <c r="KJU948" s="2" t="s">
        <v>24</v>
      </c>
      <c r="KJV948" s="4">
        <v>0</v>
      </c>
      <c r="KJW948" s="8">
        <f t="shared" ref="KJW948" si="3514">IF(KJS948="Ionizador", 10, IF(KJS948="Mesa", 1000000000, IF(KJS948="Rack", 1000000000, IF(KJS948="Piso", 1000000000, IF(KJS948="Tapete", 1000000000, IF(KJS948="Carrito", 1000000000, IF(KJS948="Cautín", 10, 1)))))))</f>
        <v>1000000000</v>
      </c>
      <c r="KJX948" s="4" t="str">
        <f t="shared" ref="KJX948" si="3515">IF(KJS948="Ionizador", "Segundos", "Ohms")</f>
        <v>Ohms</v>
      </c>
      <c r="KJY948" s="6">
        <v>148000000</v>
      </c>
      <c r="KJZ948" s="6" t="str">
        <f t="shared" ref="KJZ948" si="3516">KJX948</f>
        <v>Ohms</v>
      </c>
      <c r="KKA948" s="2" t="str">
        <f t="shared" ref="KKA948" si="3517">IF(KJS948="Ionizador", "Plato de carga", IF(KJS948="Cautín", "PTG", "RTG"))</f>
        <v>RTG</v>
      </c>
      <c r="KKB948" s="7">
        <v>45992</v>
      </c>
      <c r="KKC948" s="7">
        <f t="shared" ref="KKC948" si="3518">IF(KKD948="Trimestral", KKB948+90, IF(KKD948="Semestral", KKB948+180, KKB948+365))</f>
        <v>46172</v>
      </c>
      <c r="KKD948" s="7" t="str">
        <f t="shared" ref="KKD948" si="3519">IF(KJS948="Ionizador", "Trimestral", IF(KJS948="Rack", "Semestral", IF(KJS948="Mesa", "Semestral", IF(KJS948="Tapete", "Semestral", IF(KJS948="Cautín", "Semestral", IF(KJS948="Silla", "Semestral", "Anual"))))))</f>
        <v>Semestral</v>
      </c>
      <c r="KKE948" s="2" t="str">
        <f t="shared" ref="KKE948" ca="1" si="3520">IF(KKC948&lt;TODAY(),"VENCIDO",IF(KKC948=TODAY(),"VENCE HOY",IF(KKC948&gt;TODAY(),"VIGENTE")))</f>
        <v>VIGENTE</v>
      </c>
      <c r="KKF948" s="6" t="s">
        <v>25</v>
      </c>
      <c r="KKG948" s="23" t="s">
        <v>138</v>
      </c>
      <c r="KKH948" s="2" t="s">
        <v>433</v>
      </c>
      <c r="KKI948" s="3" t="s">
        <v>22</v>
      </c>
      <c r="KKJ948" s="3" t="s">
        <v>23</v>
      </c>
      <c r="KKK948" s="2" t="s">
        <v>24</v>
      </c>
      <c r="KKL948" s="4">
        <v>0</v>
      </c>
      <c r="KKM948" s="8">
        <f t="shared" ref="KKM948" si="3521">IF(KKI948="Ionizador", 10, IF(KKI948="Mesa", 1000000000, IF(KKI948="Rack", 1000000000, IF(KKI948="Piso", 1000000000, IF(KKI948="Tapete", 1000000000, IF(KKI948="Carrito", 1000000000, IF(KKI948="Cautín", 10, 1)))))))</f>
        <v>1000000000</v>
      </c>
      <c r="KKN948" s="4" t="str">
        <f t="shared" ref="KKN948" si="3522">IF(KKI948="Ionizador", "Segundos", "Ohms")</f>
        <v>Ohms</v>
      </c>
      <c r="KKO948" s="6">
        <v>148000000</v>
      </c>
      <c r="KKP948" s="6" t="str">
        <f t="shared" ref="KKP948" si="3523">KKN948</f>
        <v>Ohms</v>
      </c>
      <c r="KKQ948" s="2" t="str">
        <f t="shared" ref="KKQ948" si="3524">IF(KKI948="Ionizador", "Plato de carga", IF(KKI948="Cautín", "PTG", "RTG"))</f>
        <v>RTG</v>
      </c>
      <c r="KKR948" s="7">
        <v>45992</v>
      </c>
      <c r="KKS948" s="7">
        <f t="shared" ref="KKS948" si="3525">IF(KKT948="Trimestral", KKR948+90, IF(KKT948="Semestral", KKR948+180, KKR948+365))</f>
        <v>46172</v>
      </c>
      <c r="KKT948" s="7" t="str">
        <f t="shared" ref="KKT948" si="3526">IF(KKI948="Ionizador", "Trimestral", IF(KKI948="Rack", "Semestral", IF(KKI948="Mesa", "Semestral", IF(KKI948="Tapete", "Semestral", IF(KKI948="Cautín", "Semestral", IF(KKI948="Silla", "Semestral", "Anual"))))))</f>
        <v>Semestral</v>
      </c>
      <c r="KKU948" s="2" t="str">
        <f t="shared" ref="KKU948" ca="1" si="3527">IF(KKS948&lt;TODAY(),"VENCIDO",IF(KKS948=TODAY(),"VENCE HOY",IF(KKS948&gt;TODAY(),"VIGENTE")))</f>
        <v>VIGENTE</v>
      </c>
      <c r="KKV948" s="6" t="s">
        <v>25</v>
      </c>
      <c r="KKW948" s="23" t="s">
        <v>138</v>
      </c>
      <c r="KKX948" s="2" t="s">
        <v>433</v>
      </c>
      <c r="KKY948" s="3" t="s">
        <v>22</v>
      </c>
      <c r="KKZ948" s="3" t="s">
        <v>23</v>
      </c>
      <c r="KLA948" s="2" t="s">
        <v>24</v>
      </c>
      <c r="KLB948" s="4">
        <v>0</v>
      </c>
      <c r="KLC948" s="8">
        <f t="shared" ref="KLC948" si="3528">IF(KKY948="Ionizador", 10, IF(KKY948="Mesa", 1000000000, IF(KKY948="Rack", 1000000000, IF(KKY948="Piso", 1000000000, IF(KKY948="Tapete", 1000000000, IF(KKY948="Carrito", 1000000000, IF(KKY948="Cautín", 10, 1)))))))</f>
        <v>1000000000</v>
      </c>
      <c r="KLD948" s="4" t="str">
        <f t="shared" ref="KLD948" si="3529">IF(KKY948="Ionizador", "Segundos", "Ohms")</f>
        <v>Ohms</v>
      </c>
      <c r="KLE948" s="6">
        <v>148000000</v>
      </c>
      <c r="KLF948" s="6" t="str">
        <f t="shared" ref="KLF948" si="3530">KLD948</f>
        <v>Ohms</v>
      </c>
      <c r="KLG948" s="2" t="str">
        <f t="shared" ref="KLG948" si="3531">IF(KKY948="Ionizador", "Plato de carga", IF(KKY948="Cautín", "PTG", "RTG"))</f>
        <v>RTG</v>
      </c>
      <c r="KLH948" s="7">
        <v>45992</v>
      </c>
      <c r="KLI948" s="7">
        <f t="shared" ref="KLI948" si="3532">IF(KLJ948="Trimestral", KLH948+90, IF(KLJ948="Semestral", KLH948+180, KLH948+365))</f>
        <v>46172</v>
      </c>
      <c r="KLJ948" s="7" t="str">
        <f t="shared" ref="KLJ948" si="3533">IF(KKY948="Ionizador", "Trimestral", IF(KKY948="Rack", "Semestral", IF(KKY948="Mesa", "Semestral", IF(KKY948="Tapete", "Semestral", IF(KKY948="Cautín", "Semestral", IF(KKY948="Silla", "Semestral", "Anual"))))))</f>
        <v>Semestral</v>
      </c>
      <c r="KLK948" s="2" t="str">
        <f t="shared" ref="KLK948" ca="1" si="3534">IF(KLI948&lt;TODAY(),"VENCIDO",IF(KLI948=TODAY(),"VENCE HOY",IF(KLI948&gt;TODAY(),"VIGENTE")))</f>
        <v>VIGENTE</v>
      </c>
      <c r="KLL948" s="6" t="s">
        <v>25</v>
      </c>
      <c r="KLM948" s="23" t="s">
        <v>138</v>
      </c>
      <c r="KLN948" s="2" t="s">
        <v>433</v>
      </c>
      <c r="KLO948" s="3" t="s">
        <v>22</v>
      </c>
      <c r="KLP948" s="3" t="s">
        <v>23</v>
      </c>
      <c r="KLQ948" s="2" t="s">
        <v>24</v>
      </c>
      <c r="KLR948" s="4">
        <v>0</v>
      </c>
      <c r="KLS948" s="8">
        <f t="shared" ref="KLS948" si="3535">IF(KLO948="Ionizador", 10, IF(KLO948="Mesa", 1000000000, IF(KLO948="Rack", 1000000000, IF(KLO948="Piso", 1000000000, IF(KLO948="Tapete", 1000000000, IF(KLO948="Carrito", 1000000000, IF(KLO948="Cautín", 10, 1)))))))</f>
        <v>1000000000</v>
      </c>
      <c r="KLT948" s="4" t="str">
        <f t="shared" ref="KLT948" si="3536">IF(KLO948="Ionizador", "Segundos", "Ohms")</f>
        <v>Ohms</v>
      </c>
      <c r="KLU948" s="6">
        <v>148000000</v>
      </c>
      <c r="KLV948" s="6" t="str">
        <f t="shared" ref="KLV948" si="3537">KLT948</f>
        <v>Ohms</v>
      </c>
      <c r="KLW948" s="2" t="str">
        <f t="shared" ref="KLW948" si="3538">IF(KLO948="Ionizador", "Plato de carga", IF(KLO948="Cautín", "PTG", "RTG"))</f>
        <v>RTG</v>
      </c>
      <c r="KLX948" s="7">
        <v>45992</v>
      </c>
      <c r="KLY948" s="7">
        <f t="shared" ref="KLY948" si="3539">IF(KLZ948="Trimestral", KLX948+90, IF(KLZ948="Semestral", KLX948+180, KLX948+365))</f>
        <v>46172</v>
      </c>
      <c r="KLZ948" s="7" t="str">
        <f t="shared" ref="KLZ948" si="3540">IF(KLO948="Ionizador", "Trimestral", IF(KLO948="Rack", "Semestral", IF(KLO948="Mesa", "Semestral", IF(KLO948="Tapete", "Semestral", IF(KLO948="Cautín", "Semestral", IF(KLO948="Silla", "Semestral", "Anual"))))))</f>
        <v>Semestral</v>
      </c>
      <c r="KMA948" s="2" t="str">
        <f t="shared" ref="KMA948" ca="1" si="3541">IF(KLY948&lt;TODAY(),"VENCIDO",IF(KLY948=TODAY(),"VENCE HOY",IF(KLY948&gt;TODAY(),"VIGENTE")))</f>
        <v>VIGENTE</v>
      </c>
      <c r="KMB948" s="6" t="s">
        <v>25</v>
      </c>
      <c r="KMC948" s="23" t="s">
        <v>138</v>
      </c>
      <c r="KMD948" s="2" t="s">
        <v>433</v>
      </c>
      <c r="KME948" s="3" t="s">
        <v>22</v>
      </c>
      <c r="KMF948" s="3" t="s">
        <v>23</v>
      </c>
      <c r="KMG948" s="2" t="s">
        <v>24</v>
      </c>
      <c r="KMH948" s="4">
        <v>0</v>
      </c>
      <c r="KMI948" s="8">
        <f t="shared" ref="KMI948" si="3542">IF(KME948="Ionizador", 10, IF(KME948="Mesa", 1000000000, IF(KME948="Rack", 1000000000, IF(KME948="Piso", 1000000000, IF(KME948="Tapete", 1000000000, IF(KME948="Carrito", 1000000000, IF(KME948="Cautín", 10, 1)))))))</f>
        <v>1000000000</v>
      </c>
      <c r="KMJ948" s="4" t="str">
        <f t="shared" ref="KMJ948" si="3543">IF(KME948="Ionizador", "Segundos", "Ohms")</f>
        <v>Ohms</v>
      </c>
      <c r="KMK948" s="6">
        <v>148000000</v>
      </c>
      <c r="KML948" s="6" t="str">
        <f t="shared" ref="KML948" si="3544">KMJ948</f>
        <v>Ohms</v>
      </c>
      <c r="KMM948" s="2" t="str">
        <f t="shared" ref="KMM948" si="3545">IF(KME948="Ionizador", "Plato de carga", IF(KME948="Cautín", "PTG", "RTG"))</f>
        <v>RTG</v>
      </c>
      <c r="KMN948" s="7">
        <v>45992</v>
      </c>
      <c r="KMO948" s="7">
        <f t="shared" ref="KMO948" si="3546">IF(KMP948="Trimestral", KMN948+90, IF(KMP948="Semestral", KMN948+180, KMN948+365))</f>
        <v>46172</v>
      </c>
      <c r="KMP948" s="7" t="str">
        <f t="shared" ref="KMP948" si="3547">IF(KME948="Ionizador", "Trimestral", IF(KME948="Rack", "Semestral", IF(KME948="Mesa", "Semestral", IF(KME948="Tapete", "Semestral", IF(KME948="Cautín", "Semestral", IF(KME948="Silla", "Semestral", "Anual"))))))</f>
        <v>Semestral</v>
      </c>
      <c r="KMQ948" s="2" t="str">
        <f t="shared" ref="KMQ948" ca="1" si="3548">IF(KMO948&lt;TODAY(),"VENCIDO",IF(KMO948=TODAY(),"VENCE HOY",IF(KMO948&gt;TODAY(),"VIGENTE")))</f>
        <v>VIGENTE</v>
      </c>
      <c r="KMR948" s="6" t="s">
        <v>25</v>
      </c>
      <c r="KMS948" s="23" t="s">
        <v>138</v>
      </c>
      <c r="KMT948" s="2" t="s">
        <v>433</v>
      </c>
      <c r="KMU948" s="3" t="s">
        <v>22</v>
      </c>
      <c r="KMV948" s="3" t="s">
        <v>23</v>
      </c>
      <c r="KMW948" s="2" t="s">
        <v>24</v>
      </c>
      <c r="KMX948" s="4">
        <v>0</v>
      </c>
      <c r="KMY948" s="8">
        <f t="shared" ref="KMY948" si="3549">IF(KMU948="Ionizador", 10, IF(KMU948="Mesa", 1000000000, IF(KMU948="Rack", 1000000000, IF(KMU948="Piso", 1000000000, IF(KMU948="Tapete", 1000000000, IF(KMU948="Carrito", 1000000000, IF(KMU948="Cautín", 10, 1)))))))</f>
        <v>1000000000</v>
      </c>
      <c r="KMZ948" s="4" t="str">
        <f t="shared" ref="KMZ948" si="3550">IF(KMU948="Ionizador", "Segundos", "Ohms")</f>
        <v>Ohms</v>
      </c>
      <c r="KNA948" s="6">
        <v>148000000</v>
      </c>
      <c r="KNB948" s="6" t="str">
        <f t="shared" ref="KNB948" si="3551">KMZ948</f>
        <v>Ohms</v>
      </c>
      <c r="KNC948" s="2" t="str">
        <f t="shared" ref="KNC948" si="3552">IF(KMU948="Ionizador", "Plato de carga", IF(KMU948="Cautín", "PTG", "RTG"))</f>
        <v>RTG</v>
      </c>
      <c r="KND948" s="7">
        <v>45992</v>
      </c>
      <c r="KNE948" s="7">
        <f t="shared" ref="KNE948" si="3553">IF(KNF948="Trimestral", KND948+90, IF(KNF948="Semestral", KND948+180, KND948+365))</f>
        <v>46172</v>
      </c>
      <c r="KNF948" s="7" t="str">
        <f t="shared" ref="KNF948" si="3554">IF(KMU948="Ionizador", "Trimestral", IF(KMU948="Rack", "Semestral", IF(KMU948="Mesa", "Semestral", IF(KMU948="Tapete", "Semestral", IF(KMU948="Cautín", "Semestral", IF(KMU948="Silla", "Semestral", "Anual"))))))</f>
        <v>Semestral</v>
      </c>
      <c r="KNG948" s="2" t="str">
        <f t="shared" ref="KNG948" ca="1" si="3555">IF(KNE948&lt;TODAY(),"VENCIDO",IF(KNE948=TODAY(),"VENCE HOY",IF(KNE948&gt;TODAY(),"VIGENTE")))</f>
        <v>VIGENTE</v>
      </c>
      <c r="KNH948" s="6" t="s">
        <v>25</v>
      </c>
      <c r="KNI948" s="23" t="s">
        <v>138</v>
      </c>
      <c r="KNJ948" s="2" t="s">
        <v>433</v>
      </c>
      <c r="KNK948" s="3" t="s">
        <v>22</v>
      </c>
      <c r="KNL948" s="3" t="s">
        <v>23</v>
      </c>
      <c r="KNM948" s="2" t="s">
        <v>24</v>
      </c>
      <c r="KNN948" s="4">
        <v>0</v>
      </c>
      <c r="KNO948" s="8">
        <f t="shared" ref="KNO948" si="3556">IF(KNK948="Ionizador", 10, IF(KNK948="Mesa", 1000000000, IF(KNK948="Rack", 1000000000, IF(KNK948="Piso", 1000000000, IF(KNK948="Tapete", 1000000000, IF(KNK948="Carrito", 1000000000, IF(KNK948="Cautín", 10, 1)))))))</f>
        <v>1000000000</v>
      </c>
      <c r="KNP948" s="4" t="str">
        <f t="shared" ref="KNP948" si="3557">IF(KNK948="Ionizador", "Segundos", "Ohms")</f>
        <v>Ohms</v>
      </c>
      <c r="KNQ948" s="6">
        <v>148000000</v>
      </c>
      <c r="KNR948" s="6" t="str">
        <f t="shared" ref="KNR948" si="3558">KNP948</f>
        <v>Ohms</v>
      </c>
      <c r="KNS948" s="2" t="str">
        <f t="shared" ref="KNS948" si="3559">IF(KNK948="Ionizador", "Plato de carga", IF(KNK948="Cautín", "PTG", "RTG"))</f>
        <v>RTG</v>
      </c>
      <c r="KNT948" s="7">
        <v>45992</v>
      </c>
      <c r="KNU948" s="7">
        <f t="shared" ref="KNU948" si="3560">IF(KNV948="Trimestral", KNT948+90, IF(KNV948="Semestral", KNT948+180, KNT948+365))</f>
        <v>46172</v>
      </c>
      <c r="KNV948" s="7" t="str">
        <f t="shared" ref="KNV948" si="3561">IF(KNK948="Ionizador", "Trimestral", IF(KNK948="Rack", "Semestral", IF(KNK948="Mesa", "Semestral", IF(KNK948="Tapete", "Semestral", IF(KNK948="Cautín", "Semestral", IF(KNK948="Silla", "Semestral", "Anual"))))))</f>
        <v>Semestral</v>
      </c>
      <c r="KNW948" s="2" t="str">
        <f t="shared" ref="KNW948" ca="1" si="3562">IF(KNU948&lt;TODAY(),"VENCIDO",IF(KNU948=TODAY(),"VENCE HOY",IF(KNU948&gt;TODAY(),"VIGENTE")))</f>
        <v>VIGENTE</v>
      </c>
      <c r="KNX948" s="6" t="s">
        <v>25</v>
      </c>
      <c r="KNY948" s="23" t="s">
        <v>138</v>
      </c>
      <c r="KNZ948" s="2" t="s">
        <v>433</v>
      </c>
      <c r="KOA948" s="3" t="s">
        <v>22</v>
      </c>
      <c r="KOB948" s="3" t="s">
        <v>23</v>
      </c>
      <c r="KOC948" s="2" t="s">
        <v>24</v>
      </c>
      <c r="KOD948" s="4">
        <v>0</v>
      </c>
      <c r="KOE948" s="8">
        <f t="shared" ref="KOE948" si="3563">IF(KOA948="Ionizador", 10, IF(KOA948="Mesa", 1000000000, IF(KOA948="Rack", 1000000000, IF(KOA948="Piso", 1000000000, IF(KOA948="Tapete", 1000000000, IF(KOA948="Carrito", 1000000000, IF(KOA948="Cautín", 10, 1)))))))</f>
        <v>1000000000</v>
      </c>
      <c r="KOF948" s="4" t="str">
        <f t="shared" ref="KOF948" si="3564">IF(KOA948="Ionizador", "Segundos", "Ohms")</f>
        <v>Ohms</v>
      </c>
      <c r="KOG948" s="6">
        <v>148000000</v>
      </c>
      <c r="KOH948" s="6" t="str">
        <f t="shared" ref="KOH948" si="3565">KOF948</f>
        <v>Ohms</v>
      </c>
      <c r="KOI948" s="2" t="str">
        <f t="shared" ref="KOI948" si="3566">IF(KOA948="Ionizador", "Plato de carga", IF(KOA948="Cautín", "PTG", "RTG"))</f>
        <v>RTG</v>
      </c>
      <c r="KOJ948" s="7">
        <v>45992</v>
      </c>
      <c r="KOK948" s="7">
        <f t="shared" ref="KOK948" si="3567">IF(KOL948="Trimestral", KOJ948+90, IF(KOL948="Semestral", KOJ948+180, KOJ948+365))</f>
        <v>46172</v>
      </c>
      <c r="KOL948" s="7" t="str">
        <f t="shared" ref="KOL948" si="3568">IF(KOA948="Ionizador", "Trimestral", IF(KOA948="Rack", "Semestral", IF(KOA948="Mesa", "Semestral", IF(KOA948="Tapete", "Semestral", IF(KOA948="Cautín", "Semestral", IF(KOA948="Silla", "Semestral", "Anual"))))))</f>
        <v>Semestral</v>
      </c>
      <c r="KOM948" s="2" t="str">
        <f t="shared" ref="KOM948" ca="1" si="3569">IF(KOK948&lt;TODAY(),"VENCIDO",IF(KOK948=TODAY(),"VENCE HOY",IF(KOK948&gt;TODAY(),"VIGENTE")))</f>
        <v>VIGENTE</v>
      </c>
      <c r="KON948" s="6" t="s">
        <v>25</v>
      </c>
      <c r="KOO948" s="23" t="s">
        <v>138</v>
      </c>
      <c r="KOP948" s="2" t="s">
        <v>433</v>
      </c>
      <c r="KOQ948" s="3" t="s">
        <v>22</v>
      </c>
      <c r="KOR948" s="3" t="s">
        <v>23</v>
      </c>
      <c r="KOS948" s="2" t="s">
        <v>24</v>
      </c>
      <c r="KOT948" s="4">
        <v>0</v>
      </c>
      <c r="KOU948" s="8">
        <f t="shared" ref="KOU948" si="3570">IF(KOQ948="Ionizador", 10, IF(KOQ948="Mesa", 1000000000, IF(KOQ948="Rack", 1000000000, IF(KOQ948="Piso", 1000000000, IF(KOQ948="Tapete", 1000000000, IF(KOQ948="Carrito", 1000000000, IF(KOQ948="Cautín", 10, 1)))))))</f>
        <v>1000000000</v>
      </c>
      <c r="KOV948" s="4" t="str">
        <f t="shared" ref="KOV948" si="3571">IF(KOQ948="Ionizador", "Segundos", "Ohms")</f>
        <v>Ohms</v>
      </c>
      <c r="KOW948" s="6">
        <v>148000000</v>
      </c>
      <c r="KOX948" s="6" t="str">
        <f t="shared" ref="KOX948" si="3572">KOV948</f>
        <v>Ohms</v>
      </c>
      <c r="KOY948" s="2" t="str">
        <f t="shared" ref="KOY948" si="3573">IF(KOQ948="Ionizador", "Plato de carga", IF(KOQ948="Cautín", "PTG", "RTG"))</f>
        <v>RTG</v>
      </c>
      <c r="KOZ948" s="7">
        <v>45992</v>
      </c>
      <c r="KPA948" s="7">
        <f t="shared" ref="KPA948" si="3574">IF(KPB948="Trimestral", KOZ948+90, IF(KPB948="Semestral", KOZ948+180, KOZ948+365))</f>
        <v>46172</v>
      </c>
      <c r="KPB948" s="7" t="str">
        <f t="shared" ref="KPB948" si="3575">IF(KOQ948="Ionizador", "Trimestral", IF(KOQ948="Rack", "Semestral", IF(KOQ948="Mesa", "Semestral", IF(KOQ948="Tapete", "Semestral", IF(KOQ948="Cautín", "Semestral", IF(KOQ948="Silla", "Semestral", "Anual"))))))</f>
        <v>Semestral</v>
      </c>
      <c r="KPC948" s="2" t="str">
        <f t="shared" ref="KPC948" ca="1" si="3576">IF(KPA948&lt;TODAY(),"VENCIDO",IF(KPA948=TODAY(),"VENCE HOY",IF(KPA948&gt;TODAY(),"VIGENTE")))</f>
        <v>VIGENTE</v>
      </c>
      <c r="KPD948" s="6" t="s">
        <v>25</v>
      </c>
      <c r="KPE948" s="23" t="s">
        <v>138</v>
      </c>
      <c r="KPF948" s="2" t="s">
        <v>433</v>
      </c>
      <c r="KPG948" s="3" t="s">
        <v>22</v>
      </c>
      <c r="KPH948" s="3" t="s">
        <v>23</v>
      </c>
      <c r="KPI948" s="2" t="s">
        <v>24</v>
      </c>
      <c r="KPJ948" s="4">
        <v>0</v>
      </c>
      <c r="KPK948" s="8">
        <f t="shared" ref="KPK948" si="3577">IF(KPG948="Ionizador", 10, IF(KPG948="Mesa", 1000000000, IF(KPG948="Rack", 1000000000, IF(KPG948="Piso", 1000000000, IF(KPG948="Tapete", 1000000000, IF(KPG948="Carrito", 1000000000, IF(KPG948="Cautín", 10, 1)))))))</f>
        <v>1000000000</v>
      </c>
      <c r="KPL948" s="4" t="str">
        <f t="shared" ref="KPL948" si="3578">IF(KPG948="Ionizador", "Segundos", "Ohms")</f>
        <v>Ohms</v>
      </c>
      <c r="KPM948" s="6">
        <v>148000000</v>
      </c>
      <c r="KPN948" s="6" t="str">
        <f t="shared" ref="KPN948" si="3579">KPL948</f>
        <v>Ohms</v>
      </c>
      <c r="KPO948" s="2" t="str">
        <f t="shared" ref="KPO948" si="3580">IF(KPG948="Ionizador", "Plato de carga", IF(KPG948="Cautín", "PTG", "RTG"))</f>
        <v>RTG</v>
      </c>
      <c r="KPP948" s="7">
        <v>45992</v>
      </c>
      <c r="KPQ948" s="7">
        <f t="shared" ref="KPQ948" si="3581">IF(KPR948="Trimestral", KPP948+90, IF(KPR948="Semestral", KPP948+180, KPP948+365))</f>
        <v>46172</v>
      </c>
      <c r="KPR948" s="7" t="str">
        <f t="shared" ref="KPR948" si="3582">IF(KPG948="Ionizador", "Trimestral", IF(KPG948="Rack", "Semestral", IF(KPG948="Mesa", "Semestral", IF(KPG948="Tapete", "Semestral", IF(KPG948="Cautín", "Semestral", IF(KPG948="Silla", "Semestral", "Anual"))))))</f>
        <v>Semestral</v>
      </c>
      <c r="KPS948" s="2" t="str">
        <f t="shared" ref="KPS948" ca="1" si="3583">IF(KPQ948&lt;TODAY(),"VENCIDO",IF(KPQ948=TODAY(),"VENCE HOY",IF(KPQ948&gt;TODAY(),"VIGENTE")))</f>
        <v>VIGENTE</v>
      </c>
      <c r="KPT948" s="6" t="s">
        <v>25</v>
      </c>
      <c r="KPU948" s="23" t="s">
        <v>138</v>
      </c>
      <c r="KPV948" s="2" t="s">
        <v>433</v>
      </c>
      <c r="KPW948" s="3" t="s">
        <v>22</v>
      </c>
      <c r="KPX948" s="3" t="s">
        <v>23</v>
      </c>
      <c r="KPY948" s="2" t="s">
        <v>24</v>
      </c>
      <c r="KPZ948" s="4">
        <v>0</v>
      </c>
      <c r="KQA948" s="8">
        <f t="shared" ref="KQA948" si="3584">IF(KPW948="Ionizador", 10, IF(KPW948="Mesa", 1000000000, IF(KPW948="Rack", 1000000000, IF(KPW948="Piso", 1000000000, IF(KPW948="Tapete", 1000000000, IF(KPW948="Carrito", 1000000000, IF(KPW948="Cautín", 10, 1)))))))</f>
        <v>1000000000</v>
      </c>
      <c r="KQB948" s="4" t="str">
        <f t="shared" ref="KQB948" si="3585">IF(KPW948="Ionizador", "Segundos", "Ohms")</f>
        <v>Ohms</v>
      </c>
      <c r="KQC948" s="6">
        <v>148000000</v>
      </c>
      <c r="KQD948" s="6" t="str">
        <f t="shared" ref="KQD948" si="3586">KQB948</f>
        <v>Ohms</v>
      </c>
      <c r="KQE948" s="2" t="str">
        <f t="shared" ref="KQE948" si="3587">IF(KPW948="Ionizador", "Plato de carga", IF(KPW948="Cautín", "PTG", "RTG"))</f>
        <v>RTG</v>
      </c>
      <c r="KQF948" s="7">
        <v>45992</v>
      </c>
      <c r="KQG948" s="7">
        <f t="shared" ref="KQG948" si="3588">IF(KQH948="Trimestral", KQF948+90, IF(KQH948="Semestral", KQF948+180, KQF948+365))</f>
        <v>46172</v>
      </c>
      <c r="KQH948" s="7" t="str">
        <f t="shared" ref="KQH948" si="3589">IF(KPW948="Ionizador", "Trimestral", IF(KPW948="Rack", "Semestral", IF(KPW948="Mesa", "Semestral", IF(KPW948="Tapete", "Semestral", IF(KPW948="Cautín", "Semestral", IF(KPW948="Silla", "Semestral", "Anual"))))))</f>
        <v>Semestral</v>
      </c>
      <c r="KQI948" s="2" t="str">
        <f t="shared" ref="KQI948" ca="1" si="3590">IF(KQG948&lt;TODAY(),"VENCIDO",IF(KQG948=TODAY(),"VENCE HOY",IF(KQG948&gt;TODAY(),"VIGENTE")))</f>
        <v>VIGENTE</v>
      </c>
      <c r="KQJ948" s="6" t="s">
        <v>25</v>
      </c>
      <c r="KQK948" s="23" t="s">
        <v>138</v>
      </c>
      <c r="KQL948" s="2" t="s">
        <v>433</v>
      </c>
      <c r="KQM948" s="3" t="s">
        <v>22</v>
      </c>
      <c r="KQN948" s="3" t="s">
        <v>23</v>
      </c>
      <c r="KQO948" s="2" t="s">
        <v>24</v>
      </c>
      <c r="KQP948" s="4">
        <v>0</v>
      </c>
      <c r="KQQ948" s="8">
        <f t="shared" ref="KQQ948" si="3591">IF(KQM948="Ionizador", 10, IF(KQM948="Mesa", 1000000000, IF(KQM948="Rack", 1000000000, IF(KQM948="Piso", 1000000000, IF(KQM948="Tapete", 1000000000, IF(KQM948="Carrito", 1000000000, IF(KQM948="Cautín", 10, 1)))))))</f>
        <v>1000000000</v>
      </c>
      <c r="KQR948" s="4" t="str">
        <f t="shared" ref="KQR948" si="3592">IF(KQM948="Ionizador", "Segundos", "Ohms")</f>
        <v>Ohms</v>
      </c>
      <c r="KQS948" s="6">
        <v>148000000</v>
      </c>
      <c r="KQT948" s="6" t="str">
        <f t="shared" ref="KQT948" si="3593">KQR948</f>
        <v>Ohms</v>
      </c>
      <c r="KQU948" s="2" t="str">
        <f t="shared" ref="KQU948" si="3594">IF(KQM948="Ionizador", "Plato de carga", IF(KQM948="Cautín", "PTG", "RTG"))</f>
        <v>RTG</v>
      </c>
      <c r="KQV948" s="7">
        <v>45992</v>
      </c>
      <c r="KQW948" s="7">
        <f t="shared" ref="KQW948" si="3595">IF(KQX948="Trimestral", KQV948+90, IF(KQX948="Semestral", KQV948+180, KQV948+365))</f>
        <v>46172</v>
      </c>
      <c r="KQX948" s="7" t="str">
        <f t="shared" ref="KQX948" si="3596">IF(KQM948="Ionizador", "Trimestral", IF(KQM948="Rack", "Semestral", IF(KQM948="Mesa", "Semestral", IF(KQM948="Tapete", "Semestral", IF(KQM948="Cautín", "Semestral", IF(KQM948="Silla", "Semestral", "Anual"))))))</f>
        <v>Semestral</v>
      </c>
      <c r="KQY948" s="2" t="str">
        <f t="shared" ref="KQY948" ca="1" si="3597">IF(KQW948&lt;TODAY(),"VENCIDO",IF(KQW948=TODAY(),"VENCE HOY",IF(KQW948&gt;TODAY(),"VIGENTE")))</f>
        <v>VIGENTE</v>
      </c>
      <c r="KQZ948" s="6" t="s">
        <v>25</v>
      </c>
      <c r="KRA948" s="23" t="s">
        <v>138</v>
      </c>
      <c r="KRB948" s="2" t="s">
        <v>433</v>
      </c>
      <c r="KRC948" s="3" t="s">
        <v>22</v>
      </c>
      <c r="KRD948" s="3" t="s">
        <v>23</v>
      </c>
      <c r="KRE948" s="2" t="s">
        <v>24</v>
      </c>
      <c r="KRF948" s="4">
        <v>0</v>
      </c>
      <c r="KRG948" s="8">
        <f t="shared" ref="KRG948" si="3598">IF(KRC948="Ionizador", 10, IF(KRC948="Mesa", 1000000000, IF(KRC948="Rack", 1000000000, IF(KRC948="Piso", 1000000000, IF(KRC948="Tapete", 1000000000, IF(KRC948="Carrito", 1000000000, IF(KRC948="Cautín", 10, 1)))))))</f>
        <v>1000000000</v>
      </c>
      <c r="KRH948" s="4" t="str">
        <f t="shared" ref="KRH948" si="3599">IF(KRC948="Ionizador", "Segundos", "Ohms")</f>
        <v>Ohms</v>
      </c>
      <c r="KRI948" s="6">
        <v>148000000</v>
      </c>
      <c r="KRJ948" s="6" t="str">
        <f t="shared" ref="KRJ948" si="3600">KRH948</f>
        <v>Ohms</v>
      </c>
      <c r="KRK948" s="2" t="str">
        <f t="shared" ref="KRK948" si="3601">IF(KRC948="Ionizador", "Plato de carga", IF(KRC948="Cautín", "PTG", "RTG"))</f>
        <v>RTG</v>
      </c>
      <c r="KRL948" s="7">
        <v>45992</v>
      </c>
      <c r="KRM948" s="7">
        <f t="shared" ref="KRM948" si="3602">IF(KRN948="Trimestral", KRL948+90, IF(KRN948="Semestral", KRL948+180, KRL948+365))</f>
        <v>46172</v>
      </c>
      <c r="KRN948" s="7" t="str">
        <f t="shared" ref="KRN948" si="3603">IF(KRC948="Ionizador", "Trimestral", IF(KRC948="Rack", "Semestral", IF(KRC948="Mesa", "Semestral", IF(KRC948="Tapete", "Semestral", IF(KRC948="Cautín", "Semestral", IF(KRC948="Silla", "Semestral", "Anual"))))))</f>
        <v>Semestral</v>
      </c>
      <c r="KRO948" s="2" t="str">
        <f t="shared" ref="KRO948" ca="1" si="3604">IF(KRM948&lt;TODAY(),"VENCIDO",IF(KRM948=TODAY(),"VENCE HOY",IF(KRM948&gt;TODAY(),"VIGENTE")))</f>
        <v>VIGENTE</v>
      </c>
      <c r="KRP948" s="6" t="s">
        <v>25</v>
      </c>
      <c r="KRQ948" s="23" t="s">
        <v>138</v>
      </c>
      <c r="KRR948" s="2" t="s">
        <v>433</v>
      </c>
      <c r="KRS948" s="3" t="s">
        <v>22</v>
      </c>
      <c r="KRT948" s="3" t="s">
        <v>23</v>
      </c>
      <c r="KRU948" s="2" t="s">
        <v>24</v>
      </c>
      <c r="KRV948" s="4">
        <v>0</v>
      </c>
      <c r="KRW948" s="8">
        <f t="shared" ref="KRW948" si="3605">IF(KRS948="Ionizador", 10, IF(KRS948="Mesa", 1000000000, IF(KRS948="Rack", 1000000000, IF(KRS948="Piso", 1000000000, IF(KRS948="Tapete", 1000000000, IF(KRS948="Carrito", 1000000000, IF(KRS948="Cautín", 10, 1)))))))</f>
        <v>1000000000</v>
      </c>
      <c r="KRX948" s="4" t="str">
        <f t="shared" ref="KRX948" si="3606">IF(KRS948="Ionizador", "Segundos", "Ohms")</f>
        <v>Ohms</v>
      </c>
      <c r="KRY948" s="6">
        <v>148000000</v>
      </c>
      <c r="KRZ948" s="6" t="str">
        <f t="shared" ref="KRZ948" si="3607">KRX948</f>
        <v>Ohms</v>
      </c>
      <c r="KSA948" s="2" t="str">
        <f t="shared" ref="KSA948" si="3608">IF(KRS948="Ionizador", "Plato de carga", IF(KRS948="Cautín", "PTG", "RTG"))</f>
        <v>RTG</v>
      </c>
      <c r="KSB948" s="7">
        <v>45992</v>
      </c>
      <c r="KSC948" s="7">
        <f t="shared" ref="KSC948" si="3609">IF(KSD948="Trimestral", KSB948+90, IF(KSD948="Semestral", KSB948+180, KSB948+365))</f>
        <v>46172</v>
      </c>
      <c r="KSD948" s="7" t="str">
        <f t="shared" ref="KSD948" si="3610">IF(KRS948="Ionizador", "Trimestral", IF(KRS948="Rack", "Semestral", IF(KRS948="Mesa", "Semestral", IF(KRS948="Tapete", "Semestral", IF(KRS948="Cautín", "Semestral", IF(KRS948="Silla", "Semestral", "Anual"))))))</f>
        <v>Semestral</v>
      </c>
      <c r="KSE948" s="2" t="str">
        <f t="shared" ref="KSE948" ca="1" si="3611">IF(KSC948&lt;TODAY(),"VENCIDO",IF(KSC948=TODAY(),"VENCE HOY",IF(KSC948&gt;TODAY(),"VIGENTE")))</f>
        <v>VIGENTE</v>
      </c>
      <c r="KSF948" s="6" t="s">
        <v>25</v>
      </c>
      <c r="KSG948" s="23" t="s">
        <v>138</v>
      </c>
      <c r="KSH948" s="2" t="s">
        <v>433</v>
      </c>
      <c r="KSI948" s="3" t="s">
        <v>22</v>
      </c>
      <c r="KSJ948" s="3" t="s">
        <v>23</v>
      </c>
      <c r="KSK948" s="2" t="s">
        <v>24</v>
      </c>
      <c r="KSL948" s="4">
        <v>0</v>
      </c>
      <c r="KSM948" s="8">
        <f t="shared" ref="KSM948" si="3612">IF(KSI948="Ionizador", 10, IF(KSI948="Mesa", 1000000000, IF(KSI948="Rack", 1000000000, IF(KSI948="Piso", 1000000000, IF(KSI948="Tapete", 1000000000, IF(KSI948="Carrito", 1000000000, IF(KSI948="Cautín", 10, 1)))))))</f>
        <v>1000000000</v>
      </c>
      <c r="KSN948" s="4" t="str">
        <f t="shared" ref="KSN948" si="3613">IF(KSI948="Ionizador", "Segundos", "Ohms")</f>
        <v>Ohms</v>
      </c>
      <c r="KSO948" s="6">
        <v>148000000</v>
      </c>
      <c r="KSP948" s="6" t="str">
        <f t="shared" ref="KSP948" si="3614">KSN948</f>
        <v>Ohms</v>
      </c>
      <c r="KSQ948" s="2" t="str">
        <f t="shared" ref="KSQ948" si="3615">IF(KSI948="Ionizador", "Plato de carga", IF(KSI948="Cautín", "PTG", "RTG"))</f>
        <v>RTG</v>
      </c>
      <c r="KSR948" s="7">
        <v>45992</v>
      </c>
      <c r="KSS948" s="7">
        <f t="shared" ref="KSS948" si="3616">IF(KST948="Trimestral", KSR948+90, IF(KST948="Semestral", KSR948+180, KSR948+365))</f>
        <v>46172</v>
      </c>
      <c r="KST948" s="7" t="str">
        <f t="shared" ref="KST948" si="3617">IF(KSI948="Ionizador", "Trimestral", IF(KSI948="Rack", "Semestral", IF(KSI948="Mesa", "Semestral", IF(KSI948="Tapete", "Semestral", IF(KSI948="Cautín", "Semestral", IF(KSI948="Silla", "Semestral", "Anual"))))))</f>
        <v>Semestral</v>
      </c>
      <c r="KSU948" s="2" t="str">
        <f t="shared" ref="KSU948" ca="1" si="3618">IF(KSS948&lt;TODAY(),"VENCIDO",IF(KSS948=TODAY(),"VENCE HOY",IF(KSS948&gt;TODAY(),"VIGENTE")))</f>
        <v>VIGENTE</v>
      </c>
      <c r="KSV948" s="6" t="s">
        <v>25</v>
      </c>
      <c r="KSW948" s="23" t="s">
        <v>138</v>
      </c>
      <c r="KSX948" s="2" t="s">
        <v>433</v>
      </c>
      <c r="KSY948" s="3" t="s">
        <v>22</v>
      </c>
      <c r="KSZ948" s="3" t="s">
        <v>23</v>
      </c>
      <c r="KTA948" s="2" t="s">
        <v>24</v>
      </c>
      <c r="KTB948" s="4">
        <v>0</v>
      </c>
      <c r="KTC948" s="8">
        <f t="shared" ref="KTC948" si="3619">IF(KSY948="Ionizador", 10, IF(KSY948="Mesa", 1000000000, IF(KSY948="Rack", 1000000000, IF(KSY948="Piso", 1000000000, IF(KSY948="Tapete", 1000000000, IF(KSY948="Carrito", 1000000000, IF(KSY948="Cautín", 10, 1)))))))</f>
        <v>1000000000</v>
      </c>
      <c r="KTD948" s="4" t="str">
        <f t="shared" ref="KTD948" si="3620">IF(KSY948="Ionizador", "Segundos", "Ohms")</f>
        <v>Ohms</v>
      </c>
      <c r="KTE948" s="6">
        <v>148000000</v>
      </c>
      <c r="KTF948" s="6" t="str">
        <f t="shared" ref="KTF948" si="3621">KTD948</f>
        <v>Ohms</v>
      </c>
      <c r="KTG948" s="2" t="str">
        <f t="shared" ref="KTG948" si="3622">IF(KSY948="Ionizador", "Plato de carga", IF(KSY948="Cautín", "PTG", "RTG"))</f>
        <v>RTG</v>
      </c>
      <c r="KTH948" s="7">
        <v>45992</v>
      </c>
      <c r="KTI948" s="7">
        <f t="shared" ref="KTI948" si="3623">IF(KTJ948="Trimestral", KTH948+90, IF(KTJ948="Semestral", KTH948+180, KTH948+365))</f>
        <v>46172</v>
      </c>
      <c r="KTJ948" s="7" t="str">
        <f t="shared" ref="KTJ948" si="3624">IF(KSY948="Ionizador", "Trimestral", IF(KSY948="Rack", "Semestral", IF(KSY948="Mesa", "Semestral", IF(KSY948="Tapete", "Semestral", IF(KSY948="Cautín", "Semestral", IF(KSY948="Silla", "Semestral", "Anual"))))))</f>
        <v>Semestral</v>
      </c>
      <c r="KTK948" s="2" t="str">
        <f t="shared" ref="KTK948" ca="1" si="3625">IF(KTI948&lt;TODAY(),"VENCIDO",IF(KTI948=TODAY(),"VENCE HOY",IF(KTI948&gt;TODAY(),"VIGENTE")))</f>
        <v>VIGENTE</v>
      </c>
      <c r="KTL948" s="6" t="s">
        <v>25</v>
      </c>
      <c r="KTM948" s="23" t="s">
        <v>138</v>
      </c>
      <c r="KTN948" s="2" t="s">
        <v>433</v>
      </c>
      <c r="KTO948" s="3" t="s">
        <v>22</v>
      </c>
      <c r="KTP948" s="3" t="s">
        <v>23</v>
      </c>
      <c r="KTQ948" s="2" t="s">
        <v>24</v>
      </c>
      <c r="KTR948" s="4">
        <v>0</v>
      </c>
      <c r="KTS948" s="8">
        <f t="shared" ref="KTS948" si="3626">IF(KTO948="Ionizador", 10, IF(KTO948="Mesa", 1000000000, IF(KTO948="Rack", 1000000000, IF(KTO948="Piso", 1000000000, IF(KTO948="Tapete", 1000000000, IF(KTO948="Carrito", 1000000000, IF(KTO948="Cautín", 10, 1)))))))</f>
        <v>1000000000</v>
      </c>
      <c r="KTT948" s="4" t="str">
        <f t="shared" ref="KTT948" si="3627">IF(KTO948="Ionizador", "Segundos", "Ohms")</f>
        <v>Ohms</v>
      </c>
      <c r="KTU948" s="6">
        <v>148000000</v>
      </c>
      <c r="KTV948" s="6" t="str">
        <f t="shared" ref="KTV948" si="3628">KTT948</f>
        <v>Ohms</v>
      </c>
      <c r="KTW948" s="2" t="str">
        <f t="shared" ref="KTW948" si="3629">IF(KTO948="Ionizador", "Plato de carga", IF(KTO948="Cautín", "PTG", "RTG"))</f>
        <v>RTG</v>
      </c>
      <c r="KTX948" s="7">
        <v>45992</v>
      </c>
      <c r="KTY948" s="7">
        <f t="shared" ref="KTY948" si="3630">IF(KTZ948="Trimestral", KTX948+90, IF(KTZ948="Semestral", KTX948+180, KTX948+365))</f>
        <v>46172</v>
      </c>
      <c r="KTZ948" s="7" t="str">
        <f t="shared" ref="KTZ948" si="3631">IF(KTO948="Ionizador", "Trimestral", IF(KTO948="Rack", "Semestral", IF(KTO948="Mesa", "Semestral", IF(KTO948="Tapete", "Semestral", IF(KTO948="Cautín", "Semestral", IF(KTO948="Silla", "Semestral", "Anual"))))))</f>
        <v>Semestral</v>
      </c>
      <c r="KUA948" s="2" t="str">
        <f t="shared" ref="KUA948" ca="1" si="3632">IF(KTY948&lt;TODAY(),"VENCIDO",IF(KTY948=TODAY(),"VENCE HOY",IF(KTY948&gt;TODAY(),"VIGENTE")))</f>
        <v>VIGENTE</v>
      </c>
      <c r="KUB948" s="6" t="s">
        <v>25</v>
      </c>
      <c r="KUC948" s="23" t="s">
        <v>138</v>
      </c>
      <c r="KUD948" s="2" t="s">
        <v>433</v>
      </c>
      <c r="KUE948" s="3" t="s">
        <v>22</v>
      </c>
      <c r="KUF948" s="3" t="s">
        <v>23</v>
      </c>
      <c r="KUG948" s="2" t="s">
        <v>24</v>
      </c>
      <c r="KUH948" s="4">
        <v>0</v>
      </c>
      <c r="KUI948" s="8">
        <f t="shared" ref="KUI948" si="3633">IF(KUE948="Ionizador", 10, IF(KUE948="Mesa", 1000000000, IF(KUE948="Rack", 1000000000, IF(KUE948="Piso", 1000000000, IF(KUE948="Tapete", 1000000000, IF(KUE948="Carrito", 1000000000, IF(KUE948="Cautín", 10, 1)))))))</f>
        <v>1000000000</v>
      </c>
      <c r="KUJ948" s="4" t="str">
        <f t="shared" ref="KUJ948" si="3634">IF(KUE948="Ionizador", "Segundos", "Ohms")</f>
        <v>Ohms</v>
      </c>
      <c r="KUK948" s="6">
        <v>148000000</v>
      </c>
      <c r="KUL948" s="6" t="str">
        <f t="shared" ref="KUL948" si="3635">KUJ948</f>
        <v>Ohms</v>
      </c>
      <c r="KUM948" s="2" t="str">
        <f t="shared" ref="KUM948" si="3636">IF(KUE948="Ionizador", "Plato de carga", IF(KUE948="Cautín", "PTG", "RTG"))</f>
        <v>RTG</v>
      </c>
      <c r="KUN948" s="7">
        <v>45992</v>
      </c>
      <c r="KUO948" s="7">
        <f t="shared" ref="KUO948" si="3637">IF(KUP948="Trimestral", KUN948+90, IF(KUP948="Semestral", KUN948+180, KUN948+365))</f>
        <v>46172</v>
      </c>
      <c r="KUP948" s="7" t="str">
        <f t="shared" ref="KUP948" si="3638">IF(KUE948="Ionizador", "Trimestral", IF(KUE948="Rack", "Semestral", IF(KUE948="Mesa", "Semestral", IF(KUE948="Tapete", "Semestral", IF(KUE948="Cautín", "Semestral", IF(KUE948="Silla", "Semestral", "Anual"))))))</f>
        <v>Semestral</v>
      </c>
      <c r="KUQ948" s="2" t="str">
        <f t="shared" ref="KUQ948" ca="1" si="3639">IF(KUO948&lt;TODAY(),"VENCIDO",IF(KUO948=TODAY(),"VENCE HOY",IF(KUO948&gt;TODAY(),"VIGENTE")))</f>
        <v>VIGENTE</v>
      </c>
      <c r="KUR948" s="6" t="s">
        <v>25</v>
      </c>
      <c r="KUS948" s="23" t="s">
        <v>138</v>
      </c>
      <c r="KUT948" s="2" t="s">
        <v>433</v>
      </c>
      <c r="KUU948" s="3" t="s">
        <v>22</v>
      </c>
      <c r="KUV948" s="3" t="s">
        <v>23</v>
      </c>
      <c r="KUW948" s="2" t="s">
        <v>24</v>
      </c>
      <c r="KUX948" s="4">
        <v>0</v>
      </c>
      <c r="KUY948" s="8">
        <f t="shared" ref="KUY948" si="3640">IF(KUU948="Ionizador", 10, IF(KUU948="Mesa", 1000000000, IF(KUU948="Rack", 1000000000, IF(KUU948="Piso", 1000000000, IF(KUU948="Tapete", 1000000000, IF(KUU948="Carrito", 1000000000, IF(KUU948="Cautín", 10, 1)))))))</f>
        <v>1000000000</v>
      </c>
      <c r="KUZ948" s="4" t="str">
        <f t="shared" ref="KUZ948" si="3641">IF(KUU948="Ionizador", "Segundos", "Ohms")</f>
        <v>Ohms</v>
      </c>
      <c r="KVA948" s="6">
        <v>148000000</v>
      </c>
      <c r="KVB948" s="6" t="str">
        <f t="shared" ref="KVB948" si="3642">KUZ948</f>
        <v>Ohms</v>
      </c>
      <c r="KVC948" s="2" t="str">
        <f t="shared" ref="KVC948" si="3643">IF(KUU948="Ionizador", "Plato de carga", IF(KUU948="Cautín", "PTG", "RTG"))</f>
        <v>RTG</v>
      </c>
      <c r="KVD948" s="7">
        <v>45992</v>
      </c>
      <c r="KVE948" s="7">
        <f t="shared" ref="KVE948" si="3644">IF(KVF948="Trimestral", KVD948+90, IF(KVF948="Semestral", KVD948+180, KVD948+365))</f>
        <v>46172</v>
      </c>
      <c r="KVF948" s="7" t="str">
        <f t="shared" ref="KVF948" si="3645">IF(KUU948="Ionizador", "Trimestral", IF(KUU948="Rack", "Semestral", IF(KUU948="Mesa", "Semestral", IF(KUU948="Tapete", "Semestral", IF(KUU948="Cautín", "Semestral", IF(KUU948="Silla", "Semestral", "Anual"))))))</f>
        <v>Semestral</v>
      </c>
      <c r="KVG948" s="2" t="str">
        <f t="shared" ref="KVG948" ca="1" si="3646">IF(KVE948&lt;TODAY(),"VENCIDO",IF(KVE948=TODAY(),"VENCE HOY",IF(KVE948&gt;TODAY(),"VIGENTE")))</f>
        <v>VIGENTE</v>
      </c>
      <c r="KVH948" s="6" t="s">
        <v>25</v>
      </c>
      <c r="KVI948" s="23" t="s">
        <v>138</v>
      </c>
      <c r="KVJ948" s="2" t="s">
        <v>433</v>
      </c>
      <c r="KVK948" s="3" t="s">
        <v>22</v>
      </c>
      <c r="KVL948" s="3" t="s">
        <v>23</v>
      </c>
      <c r="KVM948" s="2" t="s">
        <v>24</v>
      </c>
      <c r="KVN948" s="4">
        <v>0</v>
      </c>
      <c r="KVO948" s="8">
        <f t="shared" ref="KVO948" si="3647">IF(KVK948="Ionizador", 10, IF(KVK948="Mesa", 1000000000, IF(KVK948="Rack", 1000000000, IF(KVK948="Piso", 1000000000, IF(KVK948="Tapete", 1000000000, IF(KVK948="Carrito", 1000000000, IF(KVK948="Cautín", 10, 1)))))))</f>
        <v>1000000000</v>
      </c>
      <c r="KVP948" s="4" t="str">
        <f t="shared" ref="KVP948" si="3648">IF(KVK948="Ionizador", "Segundos", "Ohms")</f>
        <v>Ohms</v>
      </c>
      <c r="KVQ948" s="6">
        <v>148000000</v>
      </c>
      <c r="KVR948" s="6" t="str">
        <f t="shared" ref="KVR948" si="3649">KVP948</f>
        <v>Ohms</v>
      </c>
      <c r="KVS948" s="2" t="str">
        <f t="shared" ref="KVS948" si="3650">IF(KVK948="Ionizador", "Plato de carga", IF(KVK948="Cautín", "PTG", "RTG"))</f>
        <v>RTG</v>
      </c>
      <c r="KVT948" s="7">
        <v>45992</v>
      </c>
      <c r="KVU948" s="7">
        <f t="shared" ref="KVU948" si="3651">IF(KVV948="Trimestral", KVT948+90, IF(KVV948="Semestral", KVT948+180, KVT948+365))</f>
        <v>46172</v>
      </c>
      <c r="KVV948" s="7" t="str">
        <f t="shared" ref="KVV948" si="3652">IF(KVK948="Ionizador", "Trimestral", IF(KVK948="Rack", "Semestral", IF(KVK948="Mesa", "Semestral", IF(KVK948="Tapete", "Semestral", IF(KVK948="Cautín", "Semestral", IF(KVK948="Silla", "Semestral", "Anual"))))))</f>
        <v>Semestral</v>
      </c>
      <c r="KVW948" s="2" t="str">
        <f t="shared" ref="KVW948" ca="1" si="3653">IF(KVU948&lt;TODAY(),"VENCIDO",IF(KVU948=TODAY(),"VENCE HOY",IF(KVU948&gt;TODAY(),"VIGENTE")))</f>
        <v>VIGENTE</v>
      </c>
      <c r="KVX948" s="6" t="s">
        <v>25</v>
      </c>
      <c r="KVY948" s="23" t="s">
        <v>138</v>
      </c>
      <c r="KVZ948" s="2" t="s">
        <v>433</v>
      </c>
      <c r="KWA948" s="3" t="s">
        <v>22</v>
      </c>
      <c r="KWB948" s="3" t="s">
        <v>23</v>
      </c>
      <c r="KWC948" s="2" t="s">
        <v>24</v>
      </c>
      <c r="KWD948" s="4">
        <v>0</v>
      </c>
      <c r="KWE948" s="8">
        <f t="shared" ref="KWE948" si="3654">IF(KWA948="Ionizador", 10, IF(KWA948="Mesa", 1000000000, IF(KWA948="Rack", 1000000000, IF(KWA948="Piso", 1000000000, IF(KWA948="Tapete", 1000000000, IF(KWA948="Carrito", 1000000000, IF(KWA948="Cautín", 10, 1)))))))</f>
        <v>1000000000</v>
      </c>
      <c r="KWF948" s="4" t="str">
        <f t="shared" ref="KWF948" si="3655">IF(KWA948="Ionizador", "Segundos", "Ohms")</f>
        <v>Ohms</v>
      </c>
      <c r="KWG948" s="6">
        <v>148000000</v>
      </c>
      <c r="KWH948" s="6" t="str">
        <f t="shared" ref="KWH948" si="3656">KWF948</f>
        <v>Ohms</v>
      </c>
      <c r="KWI948" s="2" t="str">
        <f t="shared" ref="KWI948" si="3657">IF(KWA948="Ionizador", "Plato de carga", IF(KWA948="Cautín", "PTG", "RTG"))</f>
        <v>RTG</v>
      </c>
      <c r="KWJ948" s="7">
        <v>45992</v>
      </c>
      <c r="KWK948" s="7">
        <f t="shared" ref="KWK948" si="3658">IF(KWL948="Trimestral", KWJ948+90, IF(KWL948="Semestral", KWJ948+180, KWJ948+365))</f>
        <v>46172</v>
      </c>
      <c r="KWL948" s="7" t="str">
        <f t="shared" ref="KWL948" si="3659">IF(KWA948="Ionizador", "Trimestral", IF(KWA948="Rack", "Semestral", IF(KWA948="Mesa", "Semestral", IF(KWA948="Tapete", "Semestral", IF(KWA948="Cautín", "Semestral", IF(KWA948="Silla", "Semestral", "Anual"))))))</f>
        <v>Semestral</v>
      </c>
      <c r="KWM948" s="2" t="str">
        <f t="shared" ref="KWM948" ca="1" si="3660">IF(KWK948&lt;TODAY(),"VENCIDO",IF(KWK948=TODAY(),"VENCE HOY",IF(KWK948&gt;TODAY(),"VIGENTE")))</f>
        <v>VIGENTE</v>
      </c>
      <c r="KWN948" s="6" t="s">
        <v>25</v>
      </c>
      <c r="KWO948" s="23" t="s">
        <v>138</v>
      </c>
      <c r="KWP948" s="2" t="s">
        <v>433</v>
      </c>
      <c r="KWQ948" s="3" t="s">
        <v>22</v>
      </c>
      <c r="KWR948" s="3" t="s">
        <v>23</v>
      </c>
      <c r="KWS948" s="2" t="s">
        <v>24</v>
      </c>
      <c r="KWT948" s="4">
        <v>0</v>
      </c>
      <c r="KWU948" s="8">
        <f t="shared" ref="KWU948" si="3661">IF(KWQ948="Ionizador", 10, IF(KWQ948="Mesa", 1000000000, IF(KWQ948="Rack", 1000000000, IF(KWQ948="Piso", 1000000000, IF(KWQ948="Tapete", 1000000000, IF(KWQ948="Carrito", 1000000000, IF(KWQ948="Cautín", 10, 1)))))))</f>
        <v>1000000000</v>
      </c>
      <c r="KWV948" s="4" t="str">
        <f t="shared" ref="KWV948" si="3662">IF(KWQ948="Ionizador", "Segundos", "Ohms")</f>
        <v>Ohms</v>
      </c>
      <c r="KWW948" s="6">
        <v>148000000</v>
      </c>
      <c r="KWX948" s="6" t="str">
        <f t="shared" ref="KWX948" si="3663">KWV948</f>
        <v>Ohms</v>
      </c>
      <c r="KWY948" s="2" t="str">
        <f t="shared" ref="KWY948" si="3664">IF(KWQ948="Ionizador", "Plato de carga", IF(KWQ948="Cautín", "PTG", "RTG"))</f>
        <v>RTG</v>
      </c>
      <c r="KWZ948" s="7">
        <v>45992</v>
      </c>
      <c r="KXA948" s="7">
        <f t="shared" ref="KXA948" si="3665">IF(KXB948="Trimestral", KWZ948+90, IF(KXB948="Semestral", KWZ948+180, KWZ948+365))</f>
        <v>46172</v>
      </c>
      <c r="KXB948" s="7" t="str">
        <f t="shared" ref="KXB948" si="3666">IF(KWQ948="Ionizador", "Trimestral", IF(KWQ948="Rack", "Semestral", IF(KWQ948="Mesa", "Semestral", IF(KWQ948="Tapete", "Semestral", IF(KWQ948="Cautín", "Semestral", IF(KWQ948="Silla", "Semestral", "Anual"))))))</f>
        <v>Semestral</v>
      </c>
      <c r="KXC948" s="2" t="str">
        <f t="shared" ref="KXC948" ca="1" si="3667">IF(KXA948&lt;TODAY(),"VENCIDO",IF(KXA948=TODAY(),"VENCE HOY",IF(KXA948&gt;TODAY(),"VIGENTE")))</f>
        <v>VIGENTE</v>
      </c>
      <c r="KXD948" s="6" t="s">
        <v>25</v>
      </c>
      <c r="KXE948" s="23" t="s">
        <v>138</v>
      </c>
      <c r="KXF948" s="2" t="s">
        <v>433</v>
      </c>
      <c r="KXG948" s="3" t="s">
        <v>22</v>
      </c>
      <c r="KXH948" s="3" t="s">
        <v>23</v>
      </c>
      <c r="KXI948" s="2" t="s">
        <v>24</v>
      </c>
      <c r="KXJ948" s="4">
        <v>0</v>
      </c>
      <c r="KXK948" s="8">
        <f t="shared" ref="KXK948" si="3668">IF(KXG948="Ionizador", 10, IF(KXG948="Mesa", 1000000000, IF(KXG948="Rack", 1000000000, IF(KXG948="Piso", 1000000000, IF(KXG948="Tapete", 1000000000, IF(KXG948="Carrito", 1000000000, IF(KXG948="Cautín", 10, 1)))))))</f>
        <v>1000000000</v>
      </c>
      <c r="KXL948" s="4" t="str">
        <f t="shared" ref="KXL948" si="3669">IF(KXG948="Ionizador", "Segundos", "Ohms")</f>
        <v>Ohms</v>
      </c>
      <c r="KXM948" s="6">
        <v>148000000</v>
      </c>
      <c r="KXN948" s="6" t="str">
        <f t="shared" ref="KXN948" si="3670">KXL948</f>
        <v>Ohms</v>
      </c>
      <c r="KXO948" s="2" t="str">
        <f t="shared" ref="KXO948" si="3671">IF(KXG948="Ionizador", "Plato de carga", IF(KXG948="Cautín", "PTG", "RTG"))</f>
        <v>RTG</v>
      </c>
      <c r="KXP948" s="7">
        <v>45992</v>
      </c>
      <c r="KXQ948" s="7">
        <f t="shared" ref="KXQ948" si="3672">IF(KXR948="Trimestral", KXP948+90, IF(KXR948="Semestral", KXP948+180, KXP948+365))</f>
        <v>46172</v>
      </c>
      <c r="KXR948" s="7" t="str">
        <f t="shared" ref="KXR948" si="3673">IF(KXG948="Ionizador", "Trimestral", IF(KXG948="Rack", "Semestral", IF(KXG948="Mesa", "Semestral", IF(KXG948="Tapete", "Semestral", IF(KXG948="Cautín", "Semestral", IF(KXG948="Silla", "Semestral", "Anual"))))))</f>
        <v>Semestral</v>
      </c>
      <c r="KXS948" s="2" t="str">
        <f t="shared" ref="KXS948" ca="1" si="3674">IF(KXQ948&lt;TODAY(),"VENCIDO",IF(KXQ948=TODAY(),"VENCE HOY",IF(KXQ948&gt;TODAY(),"VIGENTE")))</f>
        <v>VIGENTE</v>
      </c>
      <c r="KXT948" s="6" t="s">
        <v>25</v>
      </c>
      <c r="KXU948" s="23" t="s">
        <v>138</v>
      </c>
      <c r="KXV948" s="2" t="s">
        <v>433</v>
      </c>
      <c r="KXW948" s="3" t="s">
        <v>22</v>
      </c>
      <c r="KXX948" s="3" t="s">
        <v>23</v>
      </c>
      <c r="KXY948" s="2" t="s">
        <v>24</v>
      </c>
      <c r="KXZ948" s="4">
        <v>0</v>
      </c>
      <c r="KYA948" s="8">
        <f t="shared" ref="KYA948" si="3675">IF(KXW948="Ionizador", 10, IF(KXW948="Mesa", 1000000000, IF(KXW948="Rack", 1000000000, IF(KXW948="Piso", 1000000000, IF(KXW948="Tapete", 1000000000, IF(KXW948="Carrito", 1000000000, IF(KXW948="Cautín", 10, 1)))))))</f>
        <v>1000000000</v>
      </c>
      <c r="KYB948" s="4" t="str">
        <f t="shared" ref="KYB948" si="3676">IF(KXW948="Ionizador", "Segundos", "Ohms")</f>
        <v>Ohms</v>
      </c>
      <c r="KYC948" s="6">
        <v>148000000</v>
      </c>
      <c r="KYD948" s="6" t="str">
        <f t="shared" ref="KYD948" si="3677">KYB948</f>
        <v>Ohms</v>
      </c>
      <c r="KYE948" s="2" t="str">
        <f t="shared" ref="KYE948" si="3678">IF(KXW948="Ionizador", "Plato de carga", IF(KXW948="Cautín", "PTG", "RTG"))</f>
        <v>RTG</v>
      </c>
      <c r="KYF948" s="7">
        <v>45992</v>
      </c>
      <c r="KYG948" s="7">
        <f t="shared" ref="KYG948" si="3679">IF(KYH948="Trimestral", KYF948+90, IF(KYH948="Semestral", KYF948+180, KYF948+365))</f>
        <v>46172</v>
      </c>
      <c r="KYH948" s="7" t="str">
        <f t="shared" ref="KYH948" si="3680">IF(KXW948="Ionizador", "Trimestral", IF(KXW948="Rack", "Semestral", IF(KXW948="Mesa", "Semestral", IF(KXW948="Tapete", "Semestral", IF(KXW948="Cautín", "Semestral", IF(KXW948="Silla", "Semestral", "Anual"))))))</f>
        <v>Semestral</v>
      </c>
      <c r="KYI948" s="2" t="str">
        <f t="shared" ref="KYI948" ca="1" si="3681">IF(KYG948&lt;TODAY(),"VENCIDO",IF(KYG948=TODAY(),"VENCE HOY",IF(KYG948&gt;TODAY(),"VIGENTE")))</f>
        <v>VIGENTE</v>
      </c>
      <c r="KYJ948" s="6" t="s">
        <v>25</v>
      </c>
      <c r="KYK948" s="23" t="s">
        <v>138</v>
      </c>
      <c r="KYL948" s="2" t="s">
        <v>433</v>
      </c>
      <c r="KYM948" s="3" t="s">
        <v>22</v>
      </c>
      <c r="KYN948" s="3" t="s">
        <v>23</v>
      </c>
      <c r="KYO948" s="2" t="s">
        <v>24</v>
      </c>
      <c r="KYP948" s="4">
        <v>0</v>
      </c>
      <c r="KYQ948" s="8">
        <f t="shared" ref="KYQ948" si="3682">IF(KYM948="Ionizador", 10, IF(KYM948="Mesa", 1000000000, IF(KYM948="Rack", 1000000000, IF(KYM948="Piso", 1000000000, IF(KYM948="Tapete", 1000000000, IF(KYM948="Carrito", 1000000000, IF(KYM948="Cautín", 10, 1)))))))</f>
        <v>1000000000</v>
      </c>
      <c r="KYR948" s="4" t="str">
        <f t="shared" ref="KYR948" si="3683">IF(KYM948="Ionizador", "Segundos", "Ohms")</f>
        <v>Ohms</v>
      </c>
      <c r="KYS948" s="6">
        <v>148000000</v>
      </c>
      <c r="KYT948" s="6" t="str">
        <f t="shared" ref="KYT948" si="3684">KYR948</f>
        <v>Ohms</v>
      </c>
      <c r="KYU948" s="2" t="str">
        <f t="shared" ref="KYU948" si="3685">IF(KYM948="Ionizador", "Plato de carga", IF(KYM948="Cautín", "PTG", "RTG"))</f>
        <v>RTG</v>
      </c>
      <c r="KYV948" s="7">
        <v>45992</v>
      </c>
      <c r="KYW948" s="7">
        <f t="shared" ref="KYW948" si="3686">IF(KYX948="Trimestral", KYV948+90, IF(KYX948="Semestral", KYV948+180, KYV948+365))</f>
        <v>46172</v>
      </c>
      <c r="KYX948" s="7" t="str">
        <f t="shared" ref="KYX948" si="3687">IF(KYM948="Ionizador", "Trimestral", IF(KYM948="Rack", "Semestral", IF(KYM948="Mesa", "Semestral", IF(KYM948="Tapete", "Semestral", IF(KYM948="Cautín", "Semestral", IF(KYM948="Silla", "Semestral", "Anual"))))))</f>
        <v>Semestral</v>
      </c>
      <c r="KYY948" s="2" t="str">
        <f t="shared" ref="KYY948" ca="1" si="3688">IF(KYW948&lt;TODAY(),"VENCIDO",IF(KYW948=TODAY(),"VENCE HOY",IF(KYW948&gt;TODAY(),"VIGENTE")))</f>
        <v>VIGENTE</v>
      </c>
      <c r="KYZ948" s="6" t="s">
        <v>25</v>
      </c>
      <c r="KZA948" s="23" t="s">
        <v>138</v>
      </c>
      <c r="KZB948" s="2" t="s">
        <v>433</v>
      </c>
      <c r="KZC948" s="3" t="s">
        <v>22</v>
      </c>
      <c r="KZD948" s="3" t="s">
        <v>23</v>
      </c>
      <c r="KZE948" s="2" t="s">
        <v>24</v>
      </c>
      <c r="KZF948" s="4">
        <v>0</v>
      </c>
      <c r="KZG948" s="8">
        <f t="shared" ref="KZG948" si="3689">IF(KZC948="Ionizador", 10, IF(KZC948="Mesa", 1000000000, IF(KZC948="Rack", 1000000000, IF(KZC948="Piso", 1000000000, IF(KZC948="Tapete", 1000000000, IF(KZC948="Carrito", 1000000000, IF(KZC948="Cautín", 10, 1)))))))</f>
        <v>1000000000</v>
      </c>
      <c r="KZH948" s="4" t="str">
        <f t="shared" ref="KZH948" si="3690">IF(KZC948="Ionizador", "Segundos", "Ohms")</f>
        <v>Ohms</v>
      </c>
      <c r="KZI948" s="6">
        <v>148000000</v>
      </c>
      <c r="KZJ948" s="6" t="str">
        <f t="shared" ref="KZJ948" si="3691">KZH948</f>
        <v>Ohms</v>
      </c>
      <c r="KZK948" s="2" t="str">
        <f t="shared" ref="KZK948" si="3692">IF(KZC948="Ionizador", "Plato de carga", IF(KZC948="Cautín", "PTG", "RTG"))</f>
        <v>RTG</v>
      </c>
      <c r="KZL948" s="7">
        <v>45992</v>
      </c>
      <c r="KZM948" s="7">
        <f t="shared" ref="KZM948" si="3693">IF(KZN948="Trimestral", KZL948+90, IF(KZN948="Semestral", KZL948+180, KZL948+365))</f>
        <v>46172</v>
      </c>
      <c r="KZN948" s="7" t="str">
        <f t="shared" ref="KZN948" si="3694">IF(KZC948="Ionizador", "Trimestral", IF(KZC948="Rack", "Semestral", IF(KZC948="Mesa", "Semestral", IF(KZC948="Tapete", "Semestral", IF(KZC948="Cautín", "Semestral", IF(KZC948="Silla", "Semestral", "Anual"))))))</f>
        <v>Semestral</v>
      </c>
      <c r="KZO948" s="2" t="str">
        <f t="shared" ref="KZO948" ca="1" si="3695">IF(KZM948&lt;TODAY(),"VENCIDO",IF(KZM948=TODAY(),"VENCE HOY",IF(KZM948&gt;TODAY(),"VIGENTE")))</f>
        <v>VIGENTE</v>
      </c>
      <c r="KZP948" s="6" t="s">
        <v>25</v>
      </c>
      <c r="KZQ948" s="23" t="s">
        <v>138</v>
      </c>
      <c r="KZR948" s="2" t="s">
        <v>433</v>
      </c>
      <c r="KZS948" s="3" t="s">
        <v>22</v>
      </c>
      <c r="KZT948" s="3" t="s">
        <v>23</v>
      </c>
      <c r="KZU948" s="2" t="s">
        <v>24</v>
      </c>
      <c r="KZV948" s="4">
        <v>0</v>
      </c>
      <c r="KZW948" s="8">
        <f t="shared" ref="KZW948" si="3696">IF(KZS948="Ionizador", 10, IF(KZS948="Mesa", 1000000000, IF(KZS948="Rack", 1000000000, IF(KZS948="Piso", 1000000000, IF(KZS948="Tapete", 1000000000, IF(KZS948="Carrito", 1000000000, IF(KZS948="Cautín", 10, 1)))))))</f>
        <v>1000000000</v>
      </c>
      <c r="KZX948" s="4" t="str">
        <f t="shared" ref="KZX948" si="3697">IF(KZS948="Ionizador", "Segundos", "Ohms")</f>
        <v>Ohms</v>
      </c>
      <c r="KZY948" s="6">
        <v>148000000</v>
      </c>
      <c r="KZZ948" s="6" t="str">
        <f t="shared" ref="KZZ948" si="3698">KZX948</f>
        <v>Ohms</v>
      </c>
      <c r="LAA948" s="2" t="str">
        <f t="shared" ref="LAA948" si="3699">IF(KZS948="Ionizador", "Plato de carga", IF(KZS948="Cautín", "PTG", "RTG"))</f>
        <v>RTG</v>
      </c>
      <c r="LAB948" s="7">
        <v>45992</v>
      </c>
      <c r="LAC948" s="7">
        <f t="shared" ref="LAC948" si="3700">IF(LAD948="Trimestral", LAB948+90, IF(LAD948="Semestral", LAB948+180, LAB948+365))</f>
        <v>46172</v>
      </c>
      <c r="LAD948" s="7" t="str">
        <f t="shared" ref="LAD948" si="3701">IF(KZS948="Ionizador", "Trimestral", IF(KZS948="Rack", "Semestral", IF(KZS948="Mesa", "Semestral", IF(KZS948="Tapete", "Semestral", IF(KZS948="Cautín", "Semestral", IF(KZS948="Silla", "Semestral", "Anual"))))))</f>
        <v>Semestral</v>
      </c>
      <c r="LAE948" s="2" t="str">
        <f t="shared" ref="LAE948" ca="1" si="3702">IF(LAC948&lt;TODAY(),"VENCIDO",IF(LAC948=TODAY(),"VENCE HOY",IF(LAC948&gt;TODAY(),"VIGENTE")))</f>
        <v>VIGENTE</v>
      </c>
      <c r="LAF948" s="6" t="s">
        <v>25</v>
      </c>
      <c r="LAG948" s="23" t="s">
        <v>138</v>
      </c>
      <c r="LAH948" s="2" t="s">
        <v>433</v>
      </c>
      <c r="LAI948" s="3" t="s">
        <v>22</v>
      </c>
      <c r="LAJ948" s="3" t="s">
        <v>23</v>
      </c>
      <c r="LAK948" s="2" t="s">
        <v>24</v>
      </c>
      <c r="LAL948" s="4">
        <v>0</v>
      </c>
      <c r="LAM948" s="8">
        <f t="shared" ref="LAM948" si="3703">IF(LAI948="Ionizador", 10, IF(LAI948="Mesa", 1000000000, IF(LAI948="Rack", 1000000000, IF(LAI948="Piso", 1000000000, IF(LAI948="Tapete", 1000000000, IF(LAI948="Carrito", 1000000000, IF(LAI948="Cautín", 10, 1)))))))</f>
        <v>1000000000</v>
      </c>
      <c r="LAN948" s="4" t="str">
        <f t="shared" ref="LAN948" si="3704">IF(LAI948="Ionizador", "Segundos", "Ohms")</f>
        <v>Ohms</v>
      </c>
      <c r="LAO948" s="6">
        <v>148000000</v>
      </c>
      <c r="LAP948" s="6" t="str">
        <f t="shared" ref="LAP948" si="3705">LAN948</f>
        <v>Ohms</v>
      </c>
      <c r="LAQ948" s="2" t="str">
        <f t="shared" ref="LAQ948" si="3706">IF(LAI948="Ionizador", "Plato de carga", IF(LAI948="Cautín", "PTG", "RTG"))</f>
        <v>RTG</v>
      </c>
      <c r="LAR948" s="7">
        <v>45992</v>
      </c>
      <c r="LAS948" s="7">
        <f t="shared" ref="LAS948" si="3707">IF(LAT948="Trimestral", LAR948+90, IF(LAT948="Semestral", LAR948+180, LAR948+365))</f>
        <v>46172</v>
      </c>
      <c r="LAT948" s="7" t="str">
        <f t="shared" ref="LAT948" si="3708">IF(LAI948="Ionizador", "Trimestral", IF(LAI948="Rack", "Semestral", IF(LAI948="Mesa", "Semestral", IF(LAI948="Tapete", "Semestral", IF(LAI948="Cautín", "Semestral", IF(LAI948="Silla", "Semestral", "Anual"))))))</f>
        <v>Semestral</v>
      </c>
      <c r="LAU948" s="2" t="str">
        <f t="shared" ref="LAU948" ca="1" si="3709">IF(LAS948&lt;TODAY(),"VENCIDO",IF(LAS948=TODAY(),"VENCE HOY",IF(LAS948&gt;TODAY(),"VIGENTE")))</f>
        <v>VIGENTE</v>
      </c>
      <c r="LAV948" s="6" t="s">
        <v>25</v>
      </c>
      <c r="LAW948" s="23" t="s">
        <v>138</v>
      </c>
      <c r="LAX948" s="2" t="s">
        <v>433</v>
      </c>
      <c r="LAY948" s="3" t="s">
        <v>22</v>
      </c>
      <c r="LAZ948" s="3" t="s">
        <v>23</v>
      </c>
      <c r="LBA948" s="2" t="s">
        <v>24</v>
      </c>
      <c r="LBB948" s="4">
        <v>0</v>
      </c>
      <c r="LBC948" s="8">
        <f t="shared" ref="LBC948" si="3710">IF(LAY948="Ionizador", 10, IF(LAY948="Mesa", 1000000000, IF(LAY948="Rack", 1000000000, IF(LAY948="Piso", 1000000000, IF(LAY948="Tapete", 1000000000, IF(LAY948="Carrito", 1000000000, IF(LAY948="Cautín", 10, 1)))))))</f>
        <v>1000000000</v>
      </c>
      <c r="LBD948" s="4" t="str">
        <f t="shared" ref="LBD948" si="3711">IF(LAY948="Ionizador", "Segundos", "Ohms")</f>
        <v>Ohms</v>
      </c>
      <c r="LBE948" s="6">
        <v>148000000</v>
      </c>
      <c r="LBF948" s="6" t="str">
        <f t="shared" ref="LBF948" si="3712">LBD948</f>
        <v>Ohms</v>
      </c>
      <c r="LBG948" s="2" t="str">
        <f t="shared" ref="LBG948" si="3713">IF(LAY948="Ionizador", "Plato de carga", IF(LAY948="Cautín", "PTG", "RTG"))</f>
        <v>RTG</v>
      </c>
      <c r="LBH948" s="7">
        <v>45992</v>
      </c>
      <c r="LBI948" s="7">
        <f t="shared" ref="LBI948" si="3714">IF(LBJ948="Trimestral", LBH948+90, IF(LBJ948="Semestral", LBH948+180, LBH948+365))</f>
        <v>46172</v>
      </c>
      <c r="LBJ948" s="7" t="str">
        <f t="shared" ref="LBJ948" si="3715">IF(LAY948="Ionizador", "Trimestral", IF(LAY948="Rack", "Semestral", IF(LAY948="Mesa", "Semestral", IF(LAY948="Tapete", "Semestral", IF(LAY948="Cautín", "Semestral", IF(LAY948="Silla", "Semestral", "Anual"))))))</f>
        <v>Semestral</v>
      </c>
      <c r="LBK948" s="2" t="str">
        <f t="shared" ref="LBK948" ca="1" si="3716">IF(LBI948&lt;TODAY(),"VENCIDO",IF(LBI948=TODAY(),"VENCE HOY",IF(LBI948&gt;TODAY(),"VIGENTE")))</f>
        <v>VIGENTE</v>
      </c>
      <c r="LBL948" s="6" t="s">
        <v>25</v>
      </c>
      <c r="LBM948" s="23" t="s">
        <v>138</v>
      </c>
      <c r="LBN948" s="2" t="s">
        <v>433</v>
      </c>
      <c r="LBO948" s="3" t="s">
        <v>22</v>
      </c>
      <c r="LBP948" s="3" t="s">
        <v>23</v>
      </c>
      <c r="LBQ948" s="2" t="s">
        <v>24</v>
      </c>
      <c r="LBR948" s="4">
        <v>0</v>
      </c>
      <c r="LBS948" s="8">
        <f t="shared" ref="LBS948" si="3717">IF(LBO948="Ionizador", 10, IF(LBO948="Mesa", 1000000000, IF(LBO948="Rack", 1000000000, IF(LBO948="Piso", 1000000000, IF(LBO948="Tapete", 1000000000, IF(LBO948="Carrito", 1000000000, IF(LBO948="Cautín", 10, 1)))))))</f>
        <v>1000000000</v>
      </c>
      <c r="LBT948" s="4" t="str">
        <f t="shared" ref="LBT948" si="3718">IF(LBO948="Ionizador", "Segundos", "Ohms")</f>
        <v>Ohms</v>
      </c>
      <c r="LBU948" s="6">
        <v>148000000</v>
      </c>
      <c r="LBV948" s="6" t="str">
        <f t="shared" ref="LBV948" si="3719">LBT948</f>
        <v>Ohms</v>
      </c>
      <c r="LBW948" s="2" t="str">
        <f t="shared" ref="LBW948" si="3720">IF(LBO948="Ionizador", "Plato de carga", IF(LBO948="Cautín", "PTG", "RTG"))</f>
        <v>RTG</v>
      </c>
      <c r="LBX948" s="7">
        <v>45992</v>
      </c>
      <c r="LBY948" s="7">
        <f t="shared" ref="LBY948" si="3721">IF(LBZ948="Trimestral", LBX948+90, IF(LBZ948="Semestral", LBX948+180, LBX948+365))</f>
        <v>46172</v>
      </c>
      <c r="LBZ948" s="7" t="str">
        <f t="shared" ref="LBZ948" si="3722">IF(LBO948="Ionizador", "Trimestral", IF(LBO948="Rack", "Semestral", IF(LBO948="Mesa", "Semestral", IF(LBO948="Tapete", "Semestral", IF(LBO948="Cautín", "Semestral", IF(LBO948="Silla", "Semestral", "Anual"))))))</f>
        <v>Semestral</v>
      </c>
      <c r="LCA948" s="2" t="str">
        <f t="shared" ref="LCA948" ca="1" si="3723">IF(LBY948&lt;TODAY(),"VENCIDO",IF(LBY948=TODAY(),"VENCE HOY",IF(LBY948&gt;TODAY(),"VIGENTE")))</f>
        <v>VIGENTE</v>
      </c>
      <c r="LCB948" s="6" t="s">
        <v>25</v>
      </c>
      <c r="LCC948" s="23" t="s">
        <v>138</v>
      </c>
      <c r="LCD948" s="2" t="s">
        <v>433</v>
      </c>
      <c r="LCE948" s="3" t="s">
        <v>22</v>
      </c>
      <c r="LCF948" s="3" t="s">
        <v>23</v>
      </c>
      <c r="LCG948" s="2" t="s">
        <v>24</v>
      </c>
      <c r="LCH948" s="4">
        <v>0</v>
      </c>
      <c r="LCI948" s="8">
        <f t="shared" ref="LCI948" si="3724">IF(LCE948="Ionizador", 10, IF(LCE948="Mesa", 1000000000, IF(LCE948="Rack", 1000000000, IF(LCE948="Piso", 1000000000, IF(LCE948="Tapete", 1000000000, IF(LCE948="Carrito", 1000000000, IF(LCE948="Cautín", 10, 1)))))))</f>
        <v>1000000000</v>
      </c>
      <c r="LCJ948" s="4" t="str">
        <f t="shared" ref="LCJ948" si="3725">IF(LCE948="Ionizador", "Segundos", "Ohms")</f>
        <v>Ohms</v>
      </c>
      <c r="LCK948" s="6">
        <v>148000000</v>
      </c>
      <c r="LCL948" s="6" t="str">
        <f t="shared" ref="LCL948" si="3726">LCJ948</f>
        <v>Ohms</v>
      </c>
      <c r="LCM948" s="2" t="str">
        <f t="shared" ref="LCM948" si="3727">IF(LCE948="Ionizador", "Plato de carga", IF(LCE948="Cautín", "PTG", "RTG"))</f>
        <v>RTG</v>
      </c>
      <c r="LCN948" s="7">
        <v>45992</v>
      </c>
      <c r="LCO948" s="7">
        <f t="shared" ref="LCO948" si="3728">IF(LCP948="Trimestral", LCN948+90, IF(LCP948="Semestral", LCN948+180, LCN948+365))</f>
        <v>46172</v>
      </c>
      <c r="LCP948" s="7" t="str">
        <f t="shared" ref="LCP948" si="3729">IF(LCE948="Ionizador", "Trimestral", IF(LCE948="Rack", "Semestral", IF(LCE948="Mesa", "Semestral", IF(LCE948="Tapete", "Semestral", IF(LCE948="Cautín", "Semestral", IF(LCE948="Silla", "Semestral", "Anual"))))))</f>
        <v>Semestral</v>
      </c>
      <c r="LCQ948" s="2" t="str">
        <f t="shared" ref="LCQ948" ca="1" si="3730">IF(LCO948&lt;TODAY(),"VENCIDO",IF(LCO948=TODAY(),"VENCE HOY",IF(LCO948&gt;TODAY(),"VIGENTE")))</f>
        <v>VIGENTE</v>
      </c>
      <c r="LCR948" s="6" t="s">
        <v>25</v>
      </c>
      <c r="LCS948" s="23" t="s">
        <v>138</v>
      </c>
      <c r="LCT948" s="2" t="s">
        <v>433</v>
      </c>
      <c r="LCU948" s="3" t="s">
        <v>22</v>
      </c>
      <c r="LCV948" s="3" t="s">
        <v>23</v>
      </c>
      <c r="LCW948" s="2" t="s">
        <v>24</v>
      </c>
      <c r="LCX948" s="4">
        <v>0</v>
      </c>
      <c r="LCY948" s="8">
        <f t="shared" ref="LCY948" si="3731">IF(LCU948="Ionizador", 10, IF(LCU948="Mesa", 1000000000, IF(LCU948="Rack", 1000000000, IF(LCU948="Piso", 1000000000, IF(LCU948="Tapete", 1000000000, IF(LCU948="Carrito", 1000000000, IF(LCU948="Cautín", 10, 1)))))))</f>
        <v>1000000000</v>
      </c>
      <c r="LCZ948" s="4" t="str">
        <f t="shared" ref="LCZ948" si="3732">IF(LCU948="Ionizador", "Segundos", "Ohms")</f>
        <v>Ohms</v>
      </c>
      <c r="LDA948" s="6">
        <v>148000000</v>
      </c>
      <c r="LDB948" s="6" t="str">
        <f t="shared" ref="LDB948" si="3733">LCZ948</f>
        <v>Ohms</v>
      </c>
      <c r="LDC948" s="2" t="str">
        <f t="shared" ref="LDC948" si="3734">IF(LCU948="Ionizador", "Plato de carga", IF(LCU948="Cautín", "PTG", "RTG"))</f>
        <v>RTG</v>
      </c>
      <c r="LDD948" s="7">
        <v>45992</v>
      </c>
      <c r="LDE948" s="7">
        <f t="shared" ref="LDE948" si="3735">IF(LDF948="Trimestral", LDD948+90, IF(LDF948="Semestral", LDD948+180, LDD948+365))</f>
        <v>46172</v>
      </c>
      <c r="LDF948" s="7" t="str">
        <f t="shared" ref="LDF948" si="3736">IF(LCU948="Ionizador", "Trimestral", IF(LCU948="Rack", "Semestral", IF(LCU948="Mesa", "Semestral", IF(LCU948="Tapete", "Semestral", IF(LCU948="Cautín", "Semestral", IF(LCU948="Silla", "Semestral", "Anual"))))))</f>
        <v>Semestral</v>
      </c>
      <c r="LDG948" s="2" t="str">
        <f t="shared" ref="LDG948" ca="1" si="3737">IF(LDE948&lt;TODAY(),"VENCIDO",IF(LDE948=TODAY(),"VENCE HOY",IF(LDE948&gt;TODAY(),"VIGENTE")))</f>
        <v>VIGENTE</v>
      </c>
      <c r="LDH948" s="6" t="s">
        <v>25</v>
      </c>
      <c r="LDI948" s="23" t="s">
        <v>138</v>
      </c>
      <c r="LDJ948" s="2" t="s">
        <v>433</v>
      </c>
      <c r="LDK948" s="3" t="s">
        <v>22</v>
      </c>
      <c r="LDL948" s="3" t="s">
        <v>23</v>
      </c>
      <c r="LDM948" s="2" t="s">
        <v>24</v>
      </c>
      <c r="LDN948" s="4">
        <v>0</v>
      </c>
      <c r="LDO948" s="8">
        <f t="shared" ref="LDO948" si="3738">IF(LDK948="Ionizador", 10, IF(LDK948="Mesa", 1000000000, IF(LDK948="Rack", 1000000000, IF(LDK948="Piso", 1000000000, IF(LDK948="Tapete", 1000000000, IF(LDK948="Carrito", 1000000000, IF(LDK948="Cautín", 10, 1)))))))</f>
        <v>1000000000</v>
      </c>
      <c r="LDP948" s="4" t="str">
        <f t="shared" ref="LDP948" si="3739">IF(LDK948="Ionizador", "Segundos", "Ohms")</f>
        <v>Ohms</v>
      </c>
      <c r="LDQ948" s="6">
        <v>148000000</v>
      </c>
      <c r="LDR948" s="6" t="str">
        <f t="shared" ref="LDR948" si="3740">LDP948</f>
        <v>Ohms</v>
      </c>
      <c r="LDS948" s="2" t="str">
        <f t="shared" ref="LDS948" si="3741">IF(LDK948="Ionizador", "Plato de carga", IF(LDK948="Cautín", "PTG", "RTG"))</f>
        <v>RTG</v>
      </c>
      <c r="LDT948" s="7">
        <v>45992</v>
      </c>
      <c r="LDU948" s="7">
        <f t="shared" ref="LDU948" si="3742">IF(LDV948="Trimestral", LDT948+90, IF(LDV948="Semestral", LDT948+180, LDT948+365))</f>
        <v>46172</v>
      </c>
      <c r="LDV948" s="7" t="str">
        <f t="shared" ref="LDV948" si="3743">IF(LDK948="Ionizador", "Trimestral", IF(LDK948="Rack", "Semestral", IF(LDK948="Mesa", "Semestral", IF(LDK948="Tapete", "Semestral", IF(LDK948="Cautín", "Semestral", IF(LDK948="Silla", "Semestral", "Anual"))))))</f>
        <v>Semestral</v>
      </c>
      <c r="LDW948" s="2" t="str">
        <f t="shared" ref="LDW948" ca="1" si="3744">IF(LDU948&lt;TODAY(),"VENCIDO",IF(LDU948=TODAY(),"VENCE HOY",IF(LDU948&gt;TODAY(),"VIGENTE")))</f>
        <v>VIGENTE</v>
      </c>
      <c r="LDX948" s="6" t="s">
        <v>25</v>
      </c>
      <c r="LDY948" s="23" t="s">
        <v>138</v>
      </c>
      <c r="LDZ948" s="2" t="s">
        <v>433</v>
      </c>
      <c r="LEA948" s="3" t="s">
        <v>22</v>
      </c>
      <c r="LEB948" s="3" t="s">
        <v>23</v>
      </c>
      <c r="LEC948" s="2" t="s">
        <v>24</v>
      </c>
      <c r="LED948" s="4">
        <v>0</v>
      </c>
      <c r="LEE948" s="8">
        <f t="shared" ref="LEE948" si="3745">IF(LEA948="Ionizador", 10, IF(LEA948="Mesa", 1000000000, IF(LEA948="Rack", 1000000000, IF(LEA948="Piso", 1000000000, IF(LEA948="Tapete", 1000000000, IF(LEA948="Carrito", 1000000000, IF(LEA948="Cautín", 10, 1)))))))</f>
        <v>1000000000</v>
      </c>
      <c r="LEF948" s="4" t="str">
        <f t="shared" ref="LEF948" si="3746">IF(LEA948="Ionizador", "Segundos", "Ohms")</f>
        <v>Ohms</v>
      </c>
      <c r="LEG948" s="6">
        <v>148000000</v>
      </c>
      <c r="LEH948" s="6" t="str">
        <f t="shared" ref="LEH948" si="3747">LEF948</f>
        <v>Ohms</v>
      </c>
      <c r="LEI948" s="2" t="str">
        <f t="shared" ref="LEI948" si="3748">IF(LEA948="Ionizador", "Plato de carga", IF(LEA948="Cautín", "PTG", "RTG"))</f>
        <v>RTG</v>
      </c>
      <c r="LEJ948" s="7">
        <v>45992</v>
      </c>
      <c r="LEK948" s="7">
        <f t="shared" ref="LEK948" si="3749">IF(LEL948="Trimestral", LEJ948+90, IF(LEL948="Semestral", LEJ948+180, LEJ948+365))</f>
        <v>46172</v>
      </c>
      <c r="LEL948" s="7" t="str">
        <f t="shared" ref="LEL948" si="3750">IF(LEA948="Ionizador", "Trimestral", IF(LEA948="Rack", "Semestral", IF(LEA948="Mesa", "Semestral", IF(LEA948="Tapete", "Semestral", IF(LEA948="Cautín", "Semestral", IF(LEA948="Silla", "Semestral", "Anual"))))))</f>
        <v>Semestral</v>
      </c>
      <c r="LEM948" s="2" t="str">
        <f t="shared" ref="LEM948" ca="1" si="3751">IF(LEK948&lt;TODAY(),"VENCIDO",IF(LEK948=TODAY(),"VENCE HOY",IF(LEK948&gt;TODAY(),"VIGENTE")))</f>
        <v>VIGENTE</v>
      </c>
      <c r="LEN948" s="6" t="s">
        <v>25</v>
      </c>
      <c r="LEO948" s="23" t="s">
        <v>138</v>
      </c>
      <c r="LEP948" s="2" t="s">
        <v>433</v>
      </c>
      <c r="LEQ948" s="3" t="s">
        <v>22</v>
      </c>
      <c r="LER948" s="3" t="s">
        <v>23</v>
      </c>
      <c r="LES948" s="2" t="s">
        <v>24</v>
      </c>
      <c r="LET948" s="4">
        <v>0</v>
      </c>
      <c r="LEU948" s="8">
        <f t="shared" ref="LEU948" si="3752">IF(LEQ948="Ionizador", 10, IF(LEQ948="Mesa", 1000000000, IF(LEQ948="Rack", 1000000000, IF(LEQ948="Piso", 1000000000, IF(LEQ948="Tapete", 1000000000, IF(LEQ948="Carrito", 1000000000, IF(LEQ948="Cautín", 10, 1)))))))</f>
        <v>1000000000</v>
      </c>
      <c r="LEV948" s="4" t="str">
        <f t="shared" ref="LEV948" si="3753">IF(LEQ948="Ionizador", "Segundos", "Ohms")</f>
        <v>Ohms</v>
      </c>
      <c r="LEW948" s="6">
        <v>148000000</v>
      </c>
      <c r="LEX948" s="6" t="str">
        <f t="shared" ref="LEX948" si="3754">LEV948</f>
        <v>Ohms</v>
      </c>
      <c r="LEY948" s="2" t="str">
        <f t="shared" ref="LEY948" si="3755">IF(LEQ948="Ionizador", "Plato de carga", IF(LEQ948="Cautín", "PTG", "RTG"))</f>
        <v>RTG</v>
      </c>
      <c r="LEZ948" s="7">
        <v>45992</v>
      </c>
      <c r="LFA948" s="7">
        <f t="shared" ref="LFA948" si="3756">IF(LFB948="Trimestral", LEZ948+90, IF(LFB948="Semestral", LEZ948+180, LEZ948+365))</f>
        <v>46172</v>
      </c>
      <c r="LFB948" s="7" t="str">
        <f t="shared" ref="LFB948" si="3757">IF(LEQ948="Ionizador", "Trimestral", IF(LEQ948="Rack", "Semestral", IF(LEQ948="Mesa", "Semestral", IF(LEQ948="Tapete", "Semestral", IF(LEQ948="Cautín", "Semestral", IF(LEQ948="Silla", "Semestral", "Anual"))))))</f>
        <v>Semestral</v>
      </c>
      <c r="LFC948" s="2" t="str">
        <f t="shared" ref="LFC948" ca="1" si="3758">IF(LFA948&lt;TODAY(),"VENCIDO",IF(LFA948=TODAY(),"VENCE HOY",IF(LFA948&gt;TODAY(),"VIGENTE")))</f>
        <v>VIGENTE</v>
      </c>
      <c r="LFD948" s="6" t="s">
        <v>25</v>
      </c>
      <c r="LFE948" s="23" t="s">
        <v>138</v>
      </c>
      <c r="LFF948" s="2" t="s">
        <v>433</v>
      </c>
      <c r="LFG948" s="3" t="s">
        <v>22</v>
      </c>
      <c r="LFH948" s="3" t="s">
        <v>23</v>
      </c>
      <c r="LFI948" s="2" t="s">
        <v>24</v>
      </c>
      <c r="LFJ948" s="4">
        <v>0</v>
      </c>
      <c r="LFK948" s="8">
        <f t="shared" ref="LFK948" si="3759">IF(LFG948="Ionizador", 10, IF(LFG948="Mesa", 1000000000, IF(LFG948="Rack", 1000000000, IF(LFG948="Piso", 1000000000, IF(LFG948="Tapete", 1000000000, IF(LFG948="Carrito", 1000000000, IF(LFG948="Cautín", 10, 1)))))))</f>
        <v>1000000000</v>
      </c>
      <c r="LFL948" s="4" t="str">
        <f t="shared" ref="LFL948" si="3760">IF(LFG948="Ionizador", "Segundos", "Ohms")</f>
        <v>Ohms</v>
      </c>
      <c r="LFM948" s="6">
        <v>148000000</v>
      </c>
      <c r="LFN948" s="6" t="str">
        <f t="shared" ref="LFN948" si="3761">LFL948</f>
        <v>Ohms</v>
      </c>
      <c r="LFO948" s="2" t="str">
        <f t="shared" ref="LFO948" si="3762">IF(LFG948="Ionizador", "Plato de carga", IF(LFG948="Cautín", "PTG", "RTG"))</f>
        <v>RTG</v>
      </c>
      <c r="LFP948" s="7">
        <v>45992</v>
      </c>
      <c r="LFQ948" s="7">
        <f t="shared" ref="LFQ948" si="3763">IF(LFR948="Trimestral", LFP948+90, IF(LFR948="Semestral", LFP948+180, LFP948+365))</f>
        <v>46172</v>
      </c>
      <c r="LFR948" s="7" t="str">
        <f t="shared" ref="LFR948" si="3764">IF(LFG948="Ionizador", "Trimestral", IF(LFG948="Rack", "Semestral", IF(LFG948="Mesa", "Semestral", IF(LFG948="Tapete", "Semestral", IF(LFG948="Cautín", "Semestral", IF(LFG948="Silla", "Semestral", "Anual"))))))</f>
        <v>Semestral</v>
      </c>
      <c r="LFS948" s="2" t="str">
        <f t="shared" ref="LFS948" ca="1" si="3765">IF(LFQ948&lt;TODAY(),"VENCIDO",IF(LFQ948=TODAY(),"VENCE HOY",IF(LFQ948&gt;TODAY(),"VIGENTE")))</f>
        <v>VIGENTE</v>
      </c>
      <c r="LFT948" s="6" t="s">
        <v>25</v>
      </c>
      <c r="LFU948" s="23" t="s">
        <v>138</v>
      </c>
      <c r="LFV948" s="2" t="s">
        <v>433</v>
      </c>
      <c r="LFW948" s="3" t="s">
        <v>22</v>
      </c>
      <c r="LFX948" s="3" t="s">
        <v>23</v>
      </c>
      <c r="LFY948" s="2" t="s">
        <v>24</v>
      </c>
      <c r="LFZ948" s="4">
        <v>0</v>
      </c>
      <c r="LGA948" s="8">
        <f t="shared" ref="LGA948" si="3766">IF(LFW948="Ionizador", 10, IF(LFW948="Mesa", 1000000000, IF(LFW948="Rack", 1000000000, IF(LFW948="Piso", 1000000000, IF(LFW948="Tapete", 1000000000, IF(LFW948="Carrito", 1000000000, IF(LFW948="Cautín", 10, 1)))))))</f>
        <v>1000000000</v>
      </c>
      <c r="LGB948" s="4" t="str">
        <f t="shared" ref="LGB948" si="3767">IF(LFW948="Ionizador", "Segundos", "Ohms")</f>
        <v>Ohms</v>
      </c>
      <c r="LGC948" s="6">
        <v>148000000</v>
      </c>
      <c r="LGD948" s="6" t="str">
        <f t="shared" ref="LGD948" si="3768">LGB948</f>
        <v>Ohms</v>
      </c>
      <c r="LGE948" s="2" t="str">
        <f t="shared" ref="LGE948" si="3769">IF(LFW948="Ionizador", "Plato de carga", IF(LFW948="Cautín", "PTG", "RTG"))</f>
        <v>RTG</v>
      </c>
      <c r="LGF948" s="7">
        <v>45992</v>
      </c>
      <c r="LGG948" s="7">
        <f t="shared" ref="LGG948" si="3770">IF(LGH948="Trimestral", LGF948+90, IF(LGH948="Semestral", LGF948+180, LGF948+365))</f>
        <v>46172</v>
      </c>
      <c r="LGH948" s="7" t="str">
        <f t="shared" ref="LGH948" si="3771">IF(LFW948="Ionizador", "Trimestral", IF(LFW948="Rack", "Semestral", IF(LFW948="Mesa", "Semestral", IF(LFW948="Tapete", "Semestral", IF(LFW948="Cautín", "Semestral", IF(LFW948="Silla", "Semestral", "Anual"))))))</f>
        <v>Semestral</v>
      </c>
      <c r="LGI948" s="2" t="str">
        <f t="shared" ref="LGI948" ca="1" si="3772">IF(LGG948&lt;TODAY(),"VENCIDO",IF(LGG948=TODAY(),"VENCE HOY",IF(LGG948&gt;TODAY(),"VIGENTE")))</f>
        <v>VIGENTE</v>
      </c>
      <c r="LGJ948" s="6" t="s">
        <v>25</v>
      </c>
      <c r="LGK948" s="23" t="s">
        <v>138</v>
      </c>
      <c r="LGL948" s="2" t="s">
        <v>433</v>
      </c>
      <c r="LGM948" s="3" t="s">
        <v>22</v>
      </c>
      <c r="LGN948" s="3" t="s">
        <v>23</v>
      </c>
      <c r="LGO948" s="2" t="s">
        <v>24</v>
      </c>
      <c r="LGP948" s="4">
        <v>0</v>
      </c>
      <c r="LGQ948" s="8">
        <f t="shared" ref="LGQ948" si="3773">IF(LGM948="Ionizador", 10, IF(LGM948="Mesa", 1000000000, IF(LGM948="Rack", 1000000000, IF(LGM948="Piso", 1000000000, IF(LGM948="Tapete", 1000000000, IF(LGM948="Carrito", 1000000000, IF(LGM948="Cautín", 10, 1)))))))</f>
        <v>1000000000</v>
      </c>
      <c r="LGR948" s="4" t="str">
        <f t="shared" ref="LGR948" si="3774">IF(LGM948="Ionizador", "Segundos", "Ohms")</f>
        <v>Ohms</v>
      </c>
      <c r="LGS948" s="6">
        <v>148000000</v>
      </c>
      <c r="LGT948" s="6" t="str">
        <f t="shared" ref="LGT948" si="3775">LGR948</f>
        <v>Ohms</v>
      </c>
      <c r="LGU948" s="2" t="str">
        <f t="shared" ref="LGU948" si="3776">IF(LGM948="Ionizador", "Plato de carga", IF(LGM948="Cautín", "PTG", "RTG"))</f>
        <v>RTG</v>
      </c>
      <c r="LGV948" s="7">
        <v>45992</v>
      </c>
      <c r="LGW948" s="7">
        <f t="shared" ref="LGW948" si="3777">IF(LGX948="Trimestral", LGV948+90, IF(LGX948="Semestral", LGV948+180, LGV948+365))</f>
        <v>46172</v>
      </c>
      <c r="LGX948" s="7" t="str">
        <f t="shared" ref="LGX948" si="3778">IF(LGM948="Ionizador", "Trimestral", IF(LGM948="Rack", "Semestral", IF(LGM948="Mesa", "Semestral", IF(LGM948="Tapete", "Semestral", IF(LGM948="Cautín", "Semestral", IF(LGM948="Silla", "Semestral", "Anual"))))))</f>
        <v>Semestral</v>
      </c>
      <c r="LGY948" s="2" t="str">
        <f t="shared" ref="LGY948" ca="1" si="3779">IF(LGW948&lt;TODAY(),"VENCIDO",IF(LGW948=TODAY(),"VENCE HOY",IF(LGW948&gt;TODAY(),"VIGENTE")))</f>
        <v>VIGENTE</v>
      </c>
      <c r="LGZ948" s="6" t="s">
        <v>25</v>
      </c>
      <c r="LHA948" s="23" t="s">
        <v>138</v>
      </c>
      <c r="LHB948" s="2" t="s">
        <v>433</v>
      </c>
      <c r="LHC948" s="3" t="s">
        <v>22</v>
      </c>
      <c r="LHD948" s="3" t="s">
        <v>23</v>
      </c>
      <c r="LHE948" s="2" t="s">
        <v>24</v>
      </c>
      <c r="LHF948" s="4">
        <v>0</v>
      </c>
      <c r="LHG948" s="8">
        <f t="shared" ref="LHG948" si="3780">IF(LHC948="Ionizador", 10, IF(LHC948="Mesa", 1000000000, IF(LHC948="Rack", 1000000000, IF(LHC948="Piso", 1000000000, IF(LHC948="Tapete", 1000000000, IF(LHC948="Carrito", 1000000000, IF(LHC948="Cautín", 10, 1)))))))</f>
        <v>1000000000</v>
      </c>
      <c r="LHH948" s="4" t="str">
        <f t="shared" ref="LHH948" si="3781">IF(LHC948="Ionizador", "Segundos", "Ohms")</f>
        <v>Ohms</v>
      </c>
      <c r="LHI948" s="6">
        <v>148000000</v>
      </c>
      <c r="LHJ948" s="6" t="str">
        <f t="shared" ref="LHJ948" si="3782">LHH948</f>
        <v>Ohms</v>
      </c>
      <c r="LHK948" s="2" t="str">
        <f t="shared" ref="LHK948" si="3783">IF(LHC948="Ionizador", "Plato de carga", IF(LHC948="Cautín", "PTG", "RTG"))</f>
        <v>RTG</v>
      </c>
      <c r="LHL948" s="7">
        <v>45992</v>
      </c>
      <c r="LHM948" s="7">
        <f t="shared" ref="LHM948" si="3784">IF(LHN948="Trimestral", LHL948+90, IF(LHN948="Semestral", LHL948+180, LHL948+365))</f>
        <v>46172</v>
      </c>
      <c r="LHN948" s="7" t="str">
        <f t="shared" ref="LHN948" si="3785">IF(LHC948="Ionizador", "Trimestral", IF(LHC948="Rack", "Semestral", IF(LHC948="Mesa", "Semestral", IF(LHC948="Tapete", "Semestral", IF(LHC948="Cautín", "Semestral", IF(LHC948="Silla", "Semestral", "Anual"))))))</f>
        <v>Semestral</v>
      </c>
      <c r="LHO948" s="2" t="str">
        <f t="shared" ref="LHO948" ca="1" si="3786">IF(LHM948&lt;TODAY(),"VENCIDO",IF(LHM948=TODAY(),"VENCE HOY",IF(LHM948&gt;TODAY(),"VIGENTE")))</f>
        <v>VIGENTE</v>
      </c>
      <c r="LHP948" s="6" t="s">
        <v>25</v>
      </c>
      <c r="LHQ948" s="23" t="s">
        <v>138</v>
      </c>
      <c r="LHR948" s="2" t="s">
        <v>433</v>
      </c>
      <c r="LHS948" s="3" t="s">
        <v>22</v>
      </c>
      <c r="LHT948" s="3" t="s">
        <v>23</v>
      </c>
      <c r="LHU948" s="2" t="s">
        <v>24</v>
      </c>
      <c r="LHV948" s="4">
        <v>0</v>
      </c>
      <c r="LHW948" s="8">
        <f t="shared" ref="LHW948" si="3787">IF(LHS948="Ionizador", 10, IF(LHS948="Mesa", 1000000000, IF(LHS948="Rack", 1000000000, IF(LHS948="Piso", 1000000000, IF(LHS948="Tapete", 1000000000, IF(LHS948="Carrito", 1000000000, IF(LHS948="Cautín", 10, 1)))))))</f>
        <v>1000000000</v>
      </c>
      <c r="LHX948" s="4" t="str">
        <f t="shared" ref="LHX948" si="3788">IF(LHS948="Ionizador", "Segundos", "Ohms")</f>
        <v>Ohms</v>
      </c>
      <c r="LHY948" s="6">
        <v>148000000</v>
      </c>
      <c r="LHZ948" s="6" t="str">
        <f t="shared" ref="LHZ948" si="3789">LHX948</f>
        <v>Ohms</v>
      </c>
      <c r="LIA948" s="2" t="str">
        <f t="shared" ref="LIA948" si="3790">IF(LHS948="Ionizador", "Plato de carga", IF(LHS948="Cautín", "PTG", "RTG"))</f>
        <v>RTG</v>
      </c>
      <c r="LIB948" s="7">
        <v>45992</v>
      </c>
      <c r="LIC948" s="7">
        <f t="shared" ref="LIC948" si="3791">IF(LID948="Trimestral", LIB948+90, IF(LID948="Semestral", LIB948+180, LIB948+365))</f>
        <v>46172</v>
      </c>
      <c r="LID948" s="7" t="str">
        <f t="shared" ref="LID948" si="3792">IF(LHS948="Ionizador", "Trimestral", IF(LHS948="Rack", "Semestral", IF(LHS948="Mesa", "Semestral", IF(LHS948="Tapete", "Semestral", IF(LHS948="Cautín", "Semestral", IF(LHS948="Silla", "Semestral", "Anual"))))))</f>
        <v>Semestral</v>
      </c>
      <c r="LIE948" s="2" t="str">
        <f t="shared" ref="LIE948" ca="1" si="3793">IF(LIC948&lt;TODAY(),"VENCIDO",IF(LIC948=TODAY(),"VENCE HOY",IF(LIC948&gt;TODAY(),"VIGENTE")))</f>
        <v>VIGENTE</v>
      </c>
      <c r="LIF948" s="6" t="s">
        <v>25</v>
      </c>
      <c r="LIG948" s="23" t="s">
        <v>138</v>
      </c>
      <c r="LIH948" s="2" t="s">
        <v>433</v>
      </c>
      <c r="LII948" s="3" t="s">
        <v>22</v>
      </c>
      <c r="LIJ948" s="3" t="s">
        <v>23</v>
      </c>
      <c r="LIK948" s="2" t="s">
        <v>24</v>
      </c>
      <c r="LIL948" s="4">
        <v>0</v>
      </c>
      <c r="LIM948" s="8">
        <f t="shared" ref="LIM948" si="3794">IF(LII948="Ionizador", 10, IF(LII948="Mesa", 1000000000, IF(LII948="Rack", 1000000000, IF(LII948="Piso", 1000000000, IF(LII948="Tapete", 1000000000, IF(LII948="Carrito", 1000000000, IF(LII948="Cautín", 10, 1)))))))</f>
        <v>1000000000</v>
      </c>
      <c r="LIN948" s="4" t="str">
        <f t="shared" ref="LIN948" si="3795">IF(LII948="Ionizador", "Segundos", "Ohms")</f>
        <v>Ohms</v>
      </c>
      <c r="LIO948" s="6">
        <v>148000000</v>
      </c>
      <c r="LIP948" s="6" t="str">
        <f t="shared" ref="LIP948" si="3796">LIN948</f>
        <v>Ohms</v>
      </c>
      <c r="LIQ948" s="2" t="str">
        <f t="shared" ref="LIQ948" si="3797">IF(LII948="Ionizador", "Plato de carga", IF(LII948="Cautín", "PTG", "RTG"))</f>
        <v>RTG</v>
      </c>
      <c r="LIR948" s="7">
        <v>45992</v>
      </c>
      <c r="LIS948" s="7">
        <f t="shared" ref="LIS948" si="3798">IF(LIT948="Trimestral", LIR948+90, IF(LIT948="Semestral", LIR948+180, LIR948+365))</f>
        <v>46172</v>
      </c>
      <c r="LIT948" s="7" t="str">
        <f t="shared" ref="LIT948" si="3799">IF(LII948="Ionizador", "Trimestral", IF(LII948="Rack", "Semestral", IF(LII948="Mesa", "Semestral", IF(LII948="Tapete", "Semestral", IF(LII948="Cautín", "Semestral", IF(LII948="Silla", "Semestral", "Anual"))))))</f>
        <v>Semestral</v>
      </c>
      <c r="LIU948" s="2" t="str">
        <f t="shared" ref="LIU948" ca="1" si="3800">IF(LIS948&lt;TODAY(),"VENCIDO",IF(LIS948=TODAY(),"VENCE HOY",IF(LIS948&gt;TODAY(),"VIGENTE")))</f>
        <v>VIGENTE</v>
      </c>
      <c r="LIV948" s="6" t="s">
        <v>25</v>
      </c>
      <c r="LIW948" s="23" t="s">
        <v>138</v>
      </c>
      <c r="LIX948" s="2" t="s">
        <v>433</v>
      </c>
      <c r="LIY948" s="3" t="s">
        <v>22</v>
      </c>
      <c r="LIZ948" s="3" t="s">
        <v>23</v>
      </c>
      <c r="LJA948" s="2" t="s">
        <v>24</v>
      </c>
      <c r="LJB948" s="4">
        <v>0</v>
      </c>
      <c r="LJC948" s="8">
        <f t="shared" ref="LJC948" si="3801">IF(LIY948="Ionizador", 10, IF(LIY948="Mesa", 1000000000, IF(LIY948="Rack", 1000000000, IF(LIY948="Piso", 1000000000, IF(LIY948="Tapete", 1000000000, IF(LIY948="Carrito", 1000000000, IF(LIY948="Cautín", 10, 1)))))))</f>
        <v>1000000000</v>
      </c>
      <c r="LJD948" s="4" t="str">
        <f t="shared" ref="LJD948" si="3802">IF(LIY948="Ionizador", "Segundos", "Ohms")</f>
        <v>Ohms</v>
      </c>
      <c r="LJE948" s="6">
        <v>148000000</v>
      </c>
      <c r="LJF948" s="6" t="str">
        <f t="shared" ref="LJF948" si="3803">LJD948</f>
        <v>Ohms</v>
      </c>
      <c r="LJG948" s="2" t="str">
        <f t="shared" ref="LJG948" si="3804">IF(LIY948="Ionizador", "Plato de carga", IF(LIY948="Cautín", "PTG", "RTG"))</f>
        <v>RTG</v>
      </c>
      <c r="LJH948" s="7">
        <v>45992</v>
      </c>
      <c r="LJI948" s="7">
        <f t="shared" ref="LJI948" si="3805">IF(LJJ948="Trimestral", LJH948+90, IF(LJJ948="Semestral", LJH948+180, LJH948+365))</f>
        <v>46172</v>
      </c>
      <c r="LJJ948" s="7" t="str">
        <f t="shared" ref="LJJ948" si="3806">IF(LIY948="Ionizador", "Trimestral", IF(LIY948="Rack", "Semestral", IF(LIY948="Mesa", "Semestral", IF(LIY948="Tapete", "Semestral", IF(LIY948="Cautín", "Semestral", IF(LIY948="Silla", "Semestral", "Anual"))))))</f>
        <v>Semestral</v>
      </c>
      <c r="LJK948" s="2" t="str">
        <f t="shared" ref="LJK948" ca="1" si="3807">IF(LJI948&lt;TODAY(),"VENCIDO",IF(LJI948=TODAY(),"VENCE HOY",IF(LJI948&gt;TODAY(),"VIGENTE")))</f>
        <v>VIGENTE</v>
      </c>
      <c r="LJL948" s="6" t="s">
        <v>25</v>
      </c>
      <c r="LJM948" s="23" t="s">
        <v>138</v>
      </c>
      <c r="LJN948" s="2" t="s">
        <v>433</v>
      </c>
      <c r="LJO948" s="3" t="s">
        <v>22</v>
      </c>
      <c r="LJP948" s="3" t="s">
        <v>23</v>
      </c>
      <c r="LJQ948" s="2" t="s">
        <v>24</v>
      </c>
      <c r="LJR948" s="4">
        <v>0</v>
      </c>
      <c r="LJS948" s="8">
        <f t="shared" ref="LJS948" si="3808">IF(LJO948="Ionizador", 10, IF(LJO948="Mesa", 1000000000, IF(LJO948="Rack", 1000000000, IF(LJO948="Piso", 1000000000, IF(LJO948="Tapete", 1000000000, IF(LJO948="Carrito", 1000000000, IF(LJO948="Cautín", 10, 1)))))))</f>
        <v>1000000000</v>
      </c>
      <c r="LJT948" s="4" t="str">
        <f t="shared" ref="LJT948" si="3809">IF(LJO948="Ionizador", "Segundos", "Ohms")</f>
        <v>Ohms</v>
      </c>
      <c r="LJU948" s="6">
        <v>148000000</v>
      </c>
      <c r="LJV948" s="6" t="str">
        <f t="shared" ref="LJV948" si="3810">LJT948</f>
        <v>Ohms</v>
      </c>
      <c r="LJW948" s="2" t="str">
        <f t="shared" ref="LJW948" si="3811">IF(LJO948="Ionizador", "Plato de carga", IF(LJO948="Cautín", "PTG", "RTG"))</f>
        <v>RTG</v>
      </c>
      <c r="LJX948" s="7">
        <v>45992</v>
      </c>
      <c r="LJY948" s="7">
        <f t="shared" ref="LJY948" si="3812">IF(LJZ948="Trimestral", LJX948+90, IF(LJZ948="Semestral", LJX948+180, LJX948+365))</f>
        <v>46172</v>
      </c>
      <c r="LJZ948" s="7" t="str">
        <f t="shared" ref="LJZ948" si="3813">IF(LJO948="Ionizador", "Trimestral", IF(LJO948="Rack", "Semestral", IF(LJO948="Mesa", "Semestral", IF(LJO948="Tapete", "Semestral", IF(LJO948="Cautín", "Semestral", IF(LJO948="Silla", "Semestral", "Anual"))))))</f>
        <v>Semestral</v>
      </c>
      <c r="LKA948" s="2" t="str">
        <f t="shared" ref="LKA948" ca="1" si="3814">IF(LJY948&lt;TODAY(),"VENCIDO",IF(LJY948=TODAY(),"VENCE HOY",IF(LJY948&gt;TODAY(),"VIGENTE")))</f>
        <v>VIGENTE</v>
      </c>
      <c r="LKB948" s="6" t="s">
        <v>25</v>
      </c>
      <c r="LKC948" s="23" t="s">
        <v>138</v>
      </c>
      <c r="LKD948" s="2" t="s">
        <v>433</v>
      </c>
      <c r="LKE948" s="3" t="s">
        <v>22</v>
      </c>
      <c r="LKF948" s="3" t="s">
        <v>23</v>
      </c>
      <c r="LKG948" s="2" t="s">
        <v>24</v>
      </c>
      <c r="LKH948" s="4">
        <v>0</v>
      </c>
      <c r="LKI948" s="8">
        <f t="shared" ref="LKI948" si="3815">IF(LKE948="Ionizador", 10, IF(LKE948="Mesa", 1000000000, IF(LKE948="Rack", 1000000000, IF(LKE948="Piso", 1000000000, IF(LKE948="Tapete", 1000000000, IF(LKE948="Carrito", 1000000000, IF(LKE948="Cautín", 10, 1)))))))</f>
        <v>1000000000</v>
      </c>
      <c r="LKJ948" s="4" t="str">
        <f t="shared" ref="LKJ948" si="3816">IF(LKE948="Ionizador", "Segundos", "Ohms")</f>
        <v>Ohms</v>
      </c>
      <c r="LKK948" s="6">
        <v>148000000</v>
      </c>
      <c r="LKL948" s="6" t="str">
        <f t="shared" ref="LKL948" si="3817">LKJ948</f>
        <v>Ohms</v>
      </c>
      <c r="LKM948" s="2" t="str">
        <f t="shared" ref="LKM948" si="3818">IF(LKE948="Ionizador", "Plato de carga", IF(LKE948="Cautín", "PTG", "RTG"))</f>
        <v>RTG</v>
      </c>
      <c r="LKN948" s="7">
        <v>45992</v>
      </c>
      <c r="LKO948" s="7">
        <f t="shared" ref="LKO948" si="3819">IF(LKP948="Trimestral", LKN948+90, IF(LKP948="Semestral", LKN948+180, LKN948+365))</f>
        <v>46172</v>
      </c>
      <c r="LKP948" s="7" t="str">
        <f t="shared" ref="LKP948" si="3820">IF(LKE948="Ionizador", "Trimestral", IF(LKE948="Rack", "Semestral", IF(LKE948="Mesa", "Semestral", IF(LKE948="Tapete", "Semestral", IF(LKE948="Cautín", "Semestral", IF(LKE948="Silla", "Semestral", "Anual"))))))</f>
        <v>Semestral</v>
      </c>
      <c r="LKQ948" s="2" t="str">
        <f t="shared" ref="LKQ948" ca="1" si="3821">IF(LKO948&lt;TODAY(),"VENCIDO",IF(LKO948=TODAY(),"VENCE HOY",IF(LKO948&gt;TODAY(),"VIGENTE")))</f>
        <v>VIGENTE</v>
      </c>
      <c r="LKR948" s="6" t="s">
        <v>25</v>
      </c>
      <c r="LKS948" s="23" t="s">
        <v>138</v>
      </c>
      <c r="LKT948" s="2" t="s">
        <v>433</v>
      </c>
      <c r="LKU948" s="3" t="s">
        <v>22</v>
      </c>
      <c r="LKV948" s="3" t="s">
        <v>23</v>
      </c>
      <c r="LKW948" s="2" t="s">
        <v>24</v>
      </c>
      <c r="LKX948" s="4">
        <v>0</v>
      </c>
      <c r="LKY948" s="8">
        <f t="shared" ref="LKY948" si="3822">IF(LKU948="Ionizador", 10, IF(LKU948="Mesa", 1000000000, IF(LKU948="Rack", 1000000000, IF(LKU948="Piso", 1000000000, IF(LKU948="Tapete", 1000000000, IF(LKU948="Carrito", 1000000000, IF(LKU948="Cautín", 10, 1)))))))</f>
        <v>1000000000</v>
      </c>
      <c r="LKZ948" s="4" t="str">
        <f t="shared" ref="LKZ948" si="3823">IF(LKU948="Ionizador", "Segundos", "Ohms")</f>
        <v>Ohms</v>
      </c>
      <c r="LLA948" s="6">
        <v>148000000</v>
      </c>
      <c r="LLB948" s="6" t="str">
        <f t="shared" ref="LLB948" si="3824">LKZ948</f>
        <v>Ohms</v>
      </c>
      <c r="LLC948" s="2" t="str">
        <f t="shared" ref="LLC948" si="3825">IF(LKU948="Ionizador", "Plato de carga", IF(LKU948="Cautín", "PTG", "RTG"))</f>
        <v>RTG</v>
      </c>
      <c r="LLD948" s="7">
        <v>45992</v>
      </c>
      <c r="LLE948" s="7">
        <f t="shared" ref="LLE948" si="3826">IF(LLF948="Trimestral", LLD948+90, IF(LLF948="Semestral", LLD948+180, LLD948+365))</f>
        <v>46172</v>
      </c>
      <c r="LLF948" s="7" t="str">
        <f t="shared" ref="LLF948" si="3827">IF(LKU948="Ionizador", "Trimestral", IF(LKU948="Rack", "Semestral", IF(LKU948="Mesa", "Semestral", IF(LKU948="Tapete", "Semestral", IF(LKU948="Cautín", "Semestral", IF(LKU948="Silla", "Semestral", "Anual"))))))</f>
        <v>Semestral</v>
      </c>
      <c r="LLG948" s="2" t="str">
        <f t="shared" ref="LLG948" ca="1" si="3828">IF(LLE948&lt;TODAY(),"VENCIDO",IF(LLE948=TODAY(),"VENCE HOY",IF(LLE948&gt;TODAY(),"VIGENTE")))</f>
        <v>VIGENTE</v>
      </c>
      <c r="LLH948" s="6" t="s">
        <v>25</v>
      </c>
      <c r="LLI948" s="23" t="s">
        <v>138</v>
      </c>
      <c r="LLJ948" s="2" t="s">
        <v>433</v>
      </c>
      <c r="LLK948" s="3" t="s">
        <v>22</v>
      </c>
      <c r="LLL948" s="3" t="s">
        <v>23</v>
      </c>
      <c r="LLM948" s="2" t="s">
        <v>24</v>
      </c>
      <c r="LLN948" s="4">
        <v>0</v>
      </c>
      <c r="LLO948" s="8">
        <f t="shared" ref="LLO948" si="3829">IF(LLK948="Ionizador", 10, IF(LLK948="Mesa", 1000000000, IF(LLK948="Rack", 1000000000, IF(LLK948="Piso", 1000000000, IF(LLK948="Tapete", 1000000000, IF(LLK948="Carrito", 1000000000, IF(LLK948="Cautín", 10, 1)))))))</f>
        <v>1000000000</v>
      </c>
      <c r="LLP948" s="4" t="str">
        <f t="shared" ref="LLP948" si="3830">IF(LLK948="Ionizador", "Segundos", "Ohms")</f>
        <v>Ohms</v>
      </c>
      <c r="LLQ948" s="6">
        <v>148000000</v>
      </c>
      <c r="LLR948" s="6" t="str">
        <f t="shared" ref="LLR948" si="3831">LLP948</f>
        <v>Ohms</v>
      </c>
      <c r="LLS948" s="2" t="str">
        <f t="shared" ref="LLS948" si="3832">IF(LLK948="Ionizador", "Plato de carga", IF(LLK948="Cautín", "PTG", "RTG"))</f>
        <v>RTG</v>
      </c>
      <c r="LLT948" s="7">
        <v>45992</v>
      </c>
      <c r="LLU948" s="7">
        <f t="shared" ref="LLU948" si="3833">IF(LLV948="Trimestral", LLT948+90, IF(LLV948="Semestral", LLT948+180, LLT948+365))</f>
        <v>46172</v>
      </c>
      <c r="LLV948" s="7" t="str">
        <f t="shared" ref="LLV948" si="3834">IF(LLK948="Ionizador", "Trimestral", IF(LLK948="Rack", "Semestral", IF(LLK948="Mesa", "Semestral", IF(LLK948="Tapete", "Semestral", IF(LLK948="Cautín", "Semestral", IF(LLK948="Silla", "Semestral", "Anual"))))))</f>
        <v>Semestral</v>
      </c>
      <c r="LLW948" s="2" t="str">
        <f t="shared" ref="LLW948" ca="1" si="3835">IF(LLU948&lt;TODAY(),"VENCIDO",IF(LLU948=TODAY(),"VENCE HOY",IF(LLU948&gt;TODAY(),"VIGENTE")))</f>
        <v>VIGENTE</v>
      </c>
      <c r="LLX948" s="6" t="s">
        <v>25</v>
      </c>
      <c r="LLY948" s="23" t="s">
        <v>138</v>
      </c>
      <c r="LLZ948" s="2" t="s">
        <v>433</v>
      </c>
      <c r="LMA948" s="3" t="s">
        <v>22</v>
      </c>
      <c r="LMB948" s="3" t="s">
        <v>23</v>
      </c>
      <c r="LMC948" s="2" t="s">
        <v>24</v>
      </c>
      <c r="LMD948" s="4">
        <v>0</v>
      </c>
      <c r="LME948" s="8">
        <f t="shared" ref="LME948" si="3836">IF(LMA948="Ionizador", 10, IF(LMA948="Mesa", 1000000000, IF(LMA948="Rack", 1000000000, IF(LMA948="Piso", 1000000000, IF(LMA948="Tapete", 1000000000, IF(LMA948="Carrito", 1000000000, IF(LMA948="Cautín", 10, 1)))))))</f>
        <v>1000000000</v>
      </c>
      <c r="LMF948" s="4" t="str">
        <f t="shared" ref="LMF948" si="3837">IF(LMA948="Ionizador", "Segundos", "Ohms")</f>
        <v>Ohms</v>
      </c>
      <c r="LMG948" s="6">
        <v>148000000</v>
      </c>
      <c r="LMH948" s="6" t="str">
        <f t="shared" ref="LMH948" si="3838">LMF948</f>
        <v>Ohms</v>
      </c>
      <c r="LMI948" s="2" t="str">
        <f t="shared" ref="LMI948" si="3839">IF(LMA948="Ionizador", "Plato de carga", IF(LMA948="Cautín", "PTG", "RTG"))</f>
        <v>RTG</v>
      </c>
      <c r="LMJ948" s="7">
        <v>45992</v>
      </c>
      <c r="LMK948" s="7">
        <f t="shared" ref="LMK948" si="3840">IF(LML948="Trimestral", LMJ948+90, IF(LML948="Semestral", LMJ948+180, LMJ948+365))</f>
        <v>46172</v>
      </c>
      <c r="LML948" s="7" t="str">
        <f t="shared" ref="LML948" si="3841">IF(LMA948="Ionizador", "Trimestral", IF(LMA948="Rack", "Semestral", IF(LMA948="Mesa", "Semestral", IF(LMA948="Tapete", "Semestral", IF(LMA948="Cautín", "Semestral", IF(LMA948="Silla", "Semestral", "Anual"))))))</f>
        <v>Semestral</v>
      </c>
      <c r="LMM948" s="2" t="str">
        <f t="shared" ref="LMM948" ca="1" si="3842">IF(LMK948&lt;TODAY(),"VENCIDO",IF(LMK948=TODAY(),"VENCE HOY",IF(LMK948&gt;TODAY(),"VIGENTE")))</f>
        <v>VIGENTE</v>
      </c>
      <c r="LMN948" s="6" t="s">
        <v>25</v>
      </c>
      <c r="LMO948" s="23" t="s">
        <v>138</v>
      </c>
      <c r="LMP948" s="2" t="s">
        <v>433</v>
      </c>
      <c r="LMQ948" s="3" t="s">
        <v>22</v>
      </c>
      <c r="LMR948" s="3" t="s">
        <v>23</v>
      </c>
      <c r="LMS948" s="2" t="s">
        <v>24</v>
      </c>
      <c r="LMT948" s="4">
        <v>0</v>
      </c>
      <c r="LMU948" s="8">
        <f t="shared" ref="LMU948" si="3843">IF(LMQ948="Ionizador", 10, IF(LMQ948="Mesa", 1000000000, IF(LMQ948="Rack", 1000000000, IF(LMQ948="Piso", 1000000000, IF(LMQ948="Tapete", 1000000000, IF(LMQ948="Carrito", 1000000000, IF(LMQ948="Cautín", 10, 1)))))))</f>
        <v>1000000000</v>
      </c>
      <c r="LMV948" s="4" t="str">
        <f t="shared" ref="LMV948" si="3844">IF(LMQ948="Ionizador", "Segundos", "Ohms")</f>
        <v>Ohms</v>
      </c>
      <c r="LMW948" s="6">
        <v>148000000</v>
      </c>
      <c r="LMX948" s="6" t="str">
        <f t="shared" ref="LMX948" si="3845">LMV948</f>
        <v>Ohms</v>
      </c>
      <c r="LMY948" s="2" t="str">
        <f t="shared" ref="LMY948" si="3846">IF(LMQ948="Ionizador", "Plato de carga", IF(LMQ948="Cautín", "PTG", "RTG"))</f>
        <v>RTG</v>
      </c>
      <c r="LMZ948" s="7">
        <v>45992</v>
      </c>
      <c r="LNA948" s="7">
        <f t="shared" ref="LNA948" si="3847">IF(LNB948="Trimestral", LMZ948+90, IF(LNB948="Semestral", LMZ948+180, LMZ948+365))</f>
        <v>46172</v>
      </c>
      <c r="LNB948" s="7" t="str">
        <f t="shared" ref="LNB948" si="3848">IF(LMQ948="Ionizador", "Trimestral", IF(LMQ948="Rack", "Semestral", IF(LMQ948="Mesa", "Semestral", IF(LMQ948="Tapete", "Semestral", IF(LMQ948="Cautín", "Semestral", IF(LMQ948="Silla", "Semestral", "Anual"))))))</f>
        <v>Semestral</v>
      </c>
      <c r="LNC948" s="2" t="str">
        <f t="shared" ref="LNC948" ca="1" si="3849">IF(LNA948&lt;TODAY(),"VENCIDO",IF(LNA948=TODAY(),"VENCE HOY",IF(LNA948&gt;TODAY(),"VIGENTE")))</f>
        <v>VIGENTE</v>
      </c>
      <c r="LND948" s="6" t="s">
        <v>25</v>
      </c>
      <c r="LNE948" s="23" t="s">
        <v>138</v>
      </c>
      <c r="LNF948" s="2" t="s">
        <v>433</v>
      </c>
      <c r="LNG948" s="3" t="s">
        <v>22</v>
      </c>
      <c r="LNH948" s="3" t="s">
        <v>23</v>
      </c>
      <c r="LNI948" s="2" t="s">
        <v>24</v>
      </c>
      <c r="LNJ948" s="4">
        <v>0</v>
      </c>
      <c r="LNK948" s="8">
        <f t="shared" ref="LNK948" si="3850">IF(LNG948="Ionizador", 10, IF(LNG948="Mesa", 1000000000, IF(LNG948="Rack", 1000000000, IF(LNG948="Piso", 1000000000, IF(LNG948="Tapete", 1000000000, IF(LNG948="Carrito", 1000000000, IF(LNG948="Cautín", 10, 1)))))))</f>
        <v>1000000000</v>
      </c>
      <c r="LNL948" s="4" t="str">
        <f t="shared" ref="LNL948" si="3851">IF(LNG948="Ionizador", "Segundos", "Ohms")</f>
        <v>Ohms</v>
      </c>
      <c r="LNM948" s="6">
        <v>148000000</v>
      </c>
      <c r="LNN948" s="6" t="str">
        <f t="shared" ref="LNN948" si="3852">LNL948</f>
        <v>Ohms</v>
      </c>
      <c r="LNO948" s="2" t="str">
        <f t="shared" ref="LNO948" si="3853">IF(LNG948="Ionizador", "Plato de carga", IF(LNG948="Cautín", "PTG", "RTG"))</f>
        <v>RTG</v>
      </c>
      <c r="LNP948" s="7">
        <v>45992</v>
      </c>
      <c r="LNQ948" s="7">
        <f t="shared" ref="LNQ948" si="3854">IF(LNR948="Trimestral", LNP948+90, IF(LNR948="Semestral", LNP948+180, LNP948+365))</f>
        <v>46172</v>
      </c>
      <c r="LNR948" s="7" t="str">
        <f t="shared" ref="LNR948" si="3855">IF(LNG948="Ionizador", "Trimestral", IF(LNG948="Rack", "Semestral", IF(LNG948="Mesa", "Semestral", IF(LNG948="Tapete", "Semestral", IF(LNG948="Cautín", "Semestral", IF(LNG948="Silla", "Semestral", "Anual"))))))</f>
        <v>Semestral</v>
      </c>
      <c r="LNS948" s="2" t="str">
        <f t="shared" ref="LNS948" ca="1" si="3856">IF(LNQ948&lt;TODAY(),"VENCIDO",IF(LNQ948=TODAY(),"VENCE HOY",IF(LNQ948&gt;TODAY(),"VIGENTE")))</f>
        <v>VIGENTE</v>
      </c>
      <c r="LNT948" s="6" t="s">
        <v>25</v>
      </c>
      <c r="LNU948" s="23" t="s">
        <v>138</v>
      </c>
      <c r="LNV948" s="2" t="s">
        <v>433</v>
      </c>
      <c r="LNW948" s="3" t="s">
        <v>22</v>
      </c>
      <c r="LNX948" s="3" t="s">
        <v>23</v>
      </c>
      <c r="LNY948" s="2" t="s">
        <v>24</v>
      </c>
      <c r="LNZ948" s="4">
        <v>0</v>
      </c>
      <c r="LOA948" s="8">
        <f t="shared" ref="LOA948" si="3857">IF(LNW948="Ionizador", 10, IF(LNW948="Mesa", 1000000000, IF(LNW948="Rack", 1000000000, IF(LNW948="Piso", 1000000000, IF(LNW948="Tapete", 1000000000, IF(LNW948="Carrito", 1000000000, IF(LNW948="Cautín", 10, 1)))))))</f>
        <v>1000000000</v>
      </c>
      <c r="LOB948" s="4" t="str">
        <f t="shared" ref="LOB948" si="3858">IF(LNW948="Ionizador", "Segundos", "Ohms")</f>
        <v>Ohms</v>
      </c>
      <c r="LOC948" s="6">
        <v>148000000</v>
      </c>
      <c r="LOD948" s="6" t="str">
        <f t="shared" ref="LOD948" si="3859">LOB948</f>
        <v>Ohms</v>
      </c>
      <c r="LOE948" s="2" t="str">
        <f t="shared" ref="LOE948" si="3860">IF(LNW948="Ionizador", "Plato de carga", IF(LNW948="Cautín", "PTG", "RTG"))</f>
        <v>RTG</v>
      </c>
      <c r="LOF948" s="7">
        <v>45992</v>
      </c>
      <c r="LOG948" s="7">
        <f t="shared" ref="LOG948" si="3861">IF(LOH948="Trimestral", LOF948+90, IF(LOH948="Semestral", LOF948+180, LOF948+365))</f>
        <v>46172</v>
      </c>
      <c r="LOH948" s="7" t="str">
        <f t="shared" ref="LOH948" si="3862">IF(LNW948="Ionizador", "Trimestral", IF(LNW948="Rack", "Semestral", IF(LNW948="Mesa", "Semestral", IF(LNW948="Tapete", "Semestral", IF(LNW948="Cautín", "Semestral", IF(LNW948="Silla", "Semestral", "Anual"))))))</f>
        <v>Semestral</v>
      </c>
      <c r="LOI948" s="2" t="str">
        <f t="shared" ref="LOI948" ca="1" si="3863">IF(LOG948&lt;TODAY(),"VENCIDO",IF(LOG948=TODAY(),"VENCE HOY",IF(LOG948&gt;TODAY(),"VIGENTE")))</f>
        <v>VIGENTE</v>
      </c>
      <c r="LOJ948" s="6" t="s">
        <v>25</v>
      </c>
      <c r="LOK948" s="23" t="s">
        <v>138</v>
      </c>
      <c r="LOL948" s="2" t="s">
        <v>433</v>
      </c>
      <c r="LOM948" s="3" t="s">
        <v>22</v>
      </c>
      <c r="LON948" s="3" t="s">
        <v>23</v>
      </c>
      <c r="LOO948" s="2" t="s">
        <v>24</v>
      </c>
      <c r="LOP948" s="4">
        <v>0</v>
      </c>
      <c r="LOQ948" s="8">
        <f t="shared" ref="LOQ948" si="3864">IF(LOM948="Ionizador", 10, IF(LOM948="Mesa", 1000000000, IF(LOM948="Rack", 1000000000, IF(LOM948="Piso", 1000000000, IF(LOM948="Tapete", 1000000000, IF(LOM948="Carrito", 1000000000, IF(LOM948="Cautín", 10, 1)))))))</f>
        <v>1000000000</v>
      </c>
      <c r="LOR948" s="4" t="str">
        <f t="shared" ref="LOR948" si="3865">IF(LOM948="Ionizador", "Segundos", "Ohms")</f>
        <v>Ohms</v>
      </c>
      <c r="LOS948" s="6">
        <v>148000000</v>
      </c>
      <c r="LOT948" s="6" t="str">
        <f t="shared" ref="LOT948" si="3866">LOR948</f>
        <v>Ohms</v>
      </c>
      <c r="LOU948" s="2" t="str">
        <f t="shared" ref="LOU948" si="3867">IF(LOM948="Ionizador", "Plato de carga", IF(LOM948="Cautín", "PTG", "RTG"))</f>
        <v>RTG</v>
      </c>
      <c r="LOV948" s="7">
        <v>45992</v>
      </c>
      <c r="LOW948" s="7">
        <f t="shared" ref="LOW948" si="3868">IF(LOX948="Trimestral", LOV948+90, IF(LOX948="Semestral", LOV948+180, LOV948+365))</f>
        <v>46172</v>
      </c>
      <c r="LOX948" s="7" t="str">
        <f t="shared" ref="LOX948" si="3869">IF(LOM948="Ionizador", "Trimestral", IF(LOM948="Rack", "Semestral", IF(LOM948="Mesa", "Semestral", IF(LOM948="Tapete", "Semestral", IF(LOM948="Cautín", "Semestral", IF(LOM948="Silla", "Semestral", "Anual"))))))</f>
        <v>Semestral</v>
      </c>
      <c r="LOY948" s="2" t="str">
        <f t="shared" ref="LOY948" ca="1" si="3870">IF(LOW948&lt;TODAY(),"VENCIDO",IF(LOW948=TODAY(),"VENCE HOY",IF(LOW948&gt;TODAY(),"VIGENTE")))</f>
        <v>VIGENTE</v>
      </c>
      <c r="LOZ948" s="6" t="s">
        <v>25</v>
      </c>
      <c r="LPA948" s="23" t="s">
        <v>138</v>
      </c>
      <c r="LPB948" s="2" t="s">
        <v>433</v>
      </c>
      <c r="LPC948" s="3" t="s">
        <v>22</v>
      </c>
      <c r="LPD948" s="3" t="s">
        <v>23</v>
      </c>
      <c r="LPE948" s="2" t="s">
        <v>24</v>
      </c>
      <c r="LPF948" s="4">
        <v>0</v>
      </c>
      <c r="LPG948" s="8">
        <f t="shared" ref="LPG948" si="3871">IF(LPC948="Ionizador", 10, IF(LPC948="Mesa", 1000000000, IF(LPC948="Rack", 1000000000, IF(LPC948="Piso", 1000000000, IF(LPC948="Tapete", 1000000000, IF(LPC948="Carrito", 1000000000, IF(LPC948="Cautín", 10, 1)))))))</f>
        <v>1000000000</v>
      </c>
      <c r="LPH948" s="4" t="str">
        <f t="shared" ref="LPH948" si="3872">IF(LPC948="Ionizador", "Segundos", "Ohms")</f>
        <v>Ohms</v>
      </c>
      <c r="LPI948" s="6">
        <v>148000000</v>
      </c>
      <c r="LPJ948" s="6" t="str">
        <f t="shared" ref="LPJ948" si="3873">LPH948</f>
        <v>Ohms</v>
      </c>
      <c r="LPK948" s="2" t="str">
        <f t="shared" ref="LPK948" si="3874">IF(LPC948="Ionizador", "Plato de carga", IF(LPC948="Cautín", "PTG", "RTG"))</f>
        <v>RTG</v>
      </c>
      <c r="LPL948" s="7">
        <v>45992</v>
      </c>
      <c r="LPM948" s="7">
        <f t="shared" ref="LPM948" si="3875">IF(LPN948="Trimestral", LPL948+90, IF(LPN948="Semestral", LPL948+180, LPL948+365))</f>
        <v>46172</v>
      </c>
      <c r="LPN948" s="7" t="str">
        <f t="shared" ref="LPN948" si="3876">IF(LPC948="Ionizador", "Trimestral", IF(LPC948="Rack", "Semestral", IF(LPC948="Mesa", "Semestral", IF(LPC948="Tapete", "Semestral", IF(LPC948="Cautín", "Semestral", IF(LPC948="Silla", "Semestral", "Anual"))))))</f>
        <v>Semestral</v>
      </c>
      <c r="LPO948" s="2" t="str">
        <f t="shared" ref="LPO948" ca="1" si="3877">IF(LPM948&lt;TODAY(),"VENCIDO",IF(LPM948=TODAY(),"VENCE HOY",IF(LPM948&gt;TODAY(),"VIGENTE")))</f>
        <v>VIGENTE</v>
      </c>
      <c r="LPP948" s="6" t="s">
        <v>25</v>
      </c>
      <c r="LPQ948" s="23" t="s">
        <v>138</v>
      </c>
      <c r="LPR948" s="2" t="s">
        <v>433</v>
      </c>
      <c r="LPS948" s="3" t="s">
        <v>22</v>
      </c>
      <c r="LPT948" s="3" t="s">
        <v>23</v>
      </c>
      <c r="LPU948" s="2" t="s">
        <v>24</v>
      </c>
      <c r="LPV948" s="4">
        <v>0</v>
      </c>
      <c r="LPW948" s="8">
        <f t="shared" ref="LPW948" si="3878">IF(LPS948="Ionizador", 10, IF(LPS948="Mesa", 1000000000, IF(LPS948="Rack", 1000000000, IF(LPS948="Piso", 1000000000, IF(LPS948="Tapete", 1000000000, IF(LPS948="Carrito", 1000000000, IF(LPS948="Cautín", 10, 1)))))))</f>
        <v>1000000000</v>
      </c>
      <c r="LPX948" s="4" t="str">
        <f t="shared" ref="LPX948" si="3879">IF(LPS948="Ionizador", "Segundos", "Ohms")</f>
        <v>Ohms</v>
      </c>
      <c r="LPY948" s="6">
        <v>148000000</v>
      </c>
      <c r="LPZ948" s="6" t="str">
        <f t="shared" ref="LPZ948" si="3880">LPX948</f>
        <v>Ohms</v>
      </c>
      <c r="LQA948" s="2" t="str">
        <f t="shared" ref="LQA948" si="3881">IF(LPS948="Ionizador", "Plato de carga", IF(LPS948="Cautín", "PTG", "RTG"))</f>
        <v>RTG</v>
      </c>
      <c r="LQB948" s="7">
        <v>45992</v>
      </c>
      <c r="LQC948" s="7">
        <f t="shared" ref="LQC948" si="3882">IF(LQD948="Trimestral", LQB948+90, IF(LQD948="Semestral", LQB948+180, LQB948+365))</f>
        <v>46172</v>
      </c>
      <c r="LQD948" s="7" t="str">
        <f t="shared" ref="LQD948" si="3883">IF(LPS948="Ionizador", "Trimestral", IF(LPS948="Rack", "Semestral", IF(LPS948="Mesa", "Semestral", IF(LPS948="Tapete", "Semestral", IF(LPS948="Cautín", "Semestral", IF(LPS948="Silla", "Semestral", "Anual"))))))</f>
        <v>Semestral</v>
      </c>
      <c r="LQE948" s="2" t="str">
        <f t="shared" ref="LQE948" ca="1" si="3884">IF(LQC948&lt;TODAY(),"VENCIDO",IF(LQC948=TODAY(),"VENCE HOY",IF(LQC948&gt;TODAY(),"VIGENTE")))</f>
        <v>VIGENTE</v>
      </c>
      <c r="LQF948" s="6" t="s">
        <v>25</v>
      </c>
      <c r="LQG948" s="23" t="s">
        <v>138</v>
      </c>
      <c r="LQH948" s="2" t="s">
        <v>433</v>
      </c>
      <c r="LQI948" s="3" t="s">
        <v>22</v>
      </c>
      <c r="LQJ948" s="3" t="s">
        <v>23</v>
      </c>
      <c r="LQK948" s="2" t="s">
        <v>24</v>
      </c>
      <c r="LQL948" s="4">
        <v>0</v>
      </c>
      <c r="LQM948" s="8">
        <f t="shared" ref="LQM948" si="3885">IF(LQI948="Ionizador", 10, IF(LQI948="Mesa", 1000000000, IF(LQI948="Rack", 1000000000, IF(LQI948="Piso", 1000000000, IF(LQI948="Tapete", 1000000000, IF(LQI948="Carrito", 1000000000, IF(LQI948="Cautín", 10, 1)))))))</f>
        <v>1000000000</v>
      </c>
      <c r="LQN948" s="4" t="str">
        <f t="shared" ref="LQN948" si="3886">IF(LQI948="Ionizador", "Segundos", "Ohms")</f>
        <v>Ohms</v>
      </c>
      <c r="LQO948" s="6">
        <v>148000000</v>
      </c>
      <c r="LQP948" s="6" t="str">
        <f t="shared" ref="LQP948" si="3887">LQN948</f>
        <v>Ohms</v>
      </c>
      <c r="LQQ948" s="2" t="str">
        <f t="shared" ref="LQQ948" si="3888">IF(LQI948="Ionizador", "Plato de carga", IF(LQI948="Cautín", "PTG", "RTG"))</f>
        <v>RTG</v>
      </c>
      <c r="LQR948" s="7">
        <v>45992</v>
      </c>
      <c r="LQS948" s="7">
        <f t="shared" ref="LQS948" si="3889">IF(LQT948="Trimestral", LQR948+90, IF(LQT948="Semestral", LQR948+180, LQR948+365))</f>
        <v>46172</v>
      </c>
      <c r="LQT948" s="7" t="str">
        <f t="shared" ref="LQT948" si="3890">IF(LQI948="Ionizador", "Trimestral", IF(LQI948="Rack", "Semestral", IF(LQI948="Mesa", "Semestral", IF(LQI948="Tapete", "Semestral", IF(LQI948="Cautín", "Semestral", IF(LQI948="Silla", "Semestral", "Anual"))))))</f>
        <v>Semestral</v>
      </c>
      <c r="LQU948" s="2" t="str">
        <f t="shared" ref="LQU948" ca="1" si="3891">IF(LQS948&lt;TODAY(),"VENCIDO",IF(LQS948=TODAY(),"VENCE HOY",IF(LQS948&gt;TODAY(),"VIGENTE")))</f>
        <v>VIGENTE</v>
      </c>
      <c r="LQV948" s="6" t="s">
        <v>25</v>
      </c>
      <c r="LQW948" s="23" t="s">
        <v>138</v>
      </c>
      <c r="LQX948" s="2" t="s">
        <v>433</v>
      </c>
      <c r="LQY948" s="3" t="s">
        <v>22</v>
      </c>
      <c r="LQZ948" s="3" t="s">
        <v>23</v>
      </c>
      <c r="LRA948" s="2" t="s">
        <v>24</v>
      </c>
      <c r="LRB948" s="4">
        <v>0</v>
      </c>
      <c r="LRC948" s="8">
        <f t="shared" ref="LRC948" si="3892">IF(LQY948="Ionizador", 10, IF(LQY948="Mesa", 1000000000, IF(LQY948="Rack", 1000000000, IF(LQY948="Piso", 1000000000, IF(LQY948="Tapete", 1000000000, IF(LQY948="Carrito", 1000000000, IF(LQY948="Cautín", 10, 1)))))))</f>
        <v>1000000000</v>
      </c>
      <c r="LRD948" s="4" t="str">
        <f t="shared" ref="LRD948" si="3893">IF(LQY948="Ionizador", "Segundos", "Ohms")</f>
        <v>Ohms</v>
      </c>
      <c r="LRE948" s="6">
        <v>148000000</v>
      </c>
      <c r="LRF948" s="6" t="str">
        <f t="shared" ref="LRF948" si="3894">LRD948</f>
        <v>Ohms</v>
      </c>
      <c r="LRG948" s="2" t="str">
        <f t="shared" ref="LRG948" si="3895">IF(LQY948="Ionizador", "Plato de carga", IF(LQY948="Cautín", "PTG", "RTG"))</f>
        <v>RTG</v>
      </c>
      <c r="LRH948" s="7">
        <v>45992</v>
      </c>
      <c r="LRI948" s="7">
        <f t="shared" ref="LRI948" si="3896">IF(LRJ948="Trimestral", LRH948+90, IF(LRJ948="Semestral", LRH948+180, LRH948+365))</f>
        <v>46172</v>
      </c>
      <c r="LRJ948" s="7" t="str">
        <f t="shared" ref="LRJ948" si="3897">IF(LQY948="Ionizador", "Trimestral", IF(LQY948="Rack", "Semestral", IF(LQY948="Mesa", "Semestral", IF(LQY948="Tapete", "Semestral", IF(LQY948="Cautín", "Semestral", IF(LQY948="Silla", "Semestral", "Anual"))))))</f>
        <v>Semestral</v>
      </c>
      <c r="LRK948" s="2" t="str">
        <f t="shared" ref="LRK948" ca="1" si="3898">IF(LRI948&lt;TODAY(),"VENCIDO",IF(LRI948=TODAY(),"VENCE HOY",IF(LRI948&gt;TODAY(),"VIGENTE")))</f>
        <v>VIGENTE</v>
      </c>
      <c r="LRL948" s="6" t="s">
        <v>25</v>
      </c>
      <c r="LRM948" s="23" t="s">
        <v>138</v>
      </c>
      <c r="LRN948" s="2" t="s">
        <v>433</v>
      </c>
      <c r="LRO948" s="3" t="s">
        <v>22</v>
      </c>
      <c r="LRP948" s="3" t="s">
        <v>23</v>
      </c>
      <c r="LRQ948" s="2" t="s">
        <v>24</v>
      </c>
      <c r="LRR948" s="4">
        <v>0</v>
      </c>
      <c r="LRS948" s="8">
        <f t="shared" ref="LRS948" si="3899">IF(LRO948="Ionizador", 10, IF(LRO948="Mesa", 1000000000, IF(LRO948="Rack", 1000000000, IF(LRO948="Piso", 1000000000, IF(LRO948="Tapete", 1000000000, IF(LRO948="Carrito", 1000000000, IF(LRO948="Cautín", 10, 1)))))))</f>
        <v>1000000000</v>
      </c>
      <c r="LRT948" s="4" t="str">
        <f t="shared" ref="LRT948" si="3900">IF(LRO948="Ionizador", "Segundos", "Ohms")</f>
        <v>Ohms</v>
      </c>
      <c r="LRU948" s="6">
        <v>148000000</v>
      </c>
      <c r="LRV948" s="6" t="str">
        <f t="shared" ref="LRV948" si="3901">LRT948</f>
        <v>Ohms</v>
      </c>
      <c r="LRW948" s="2" t="str">
        <f t="shared" ref="LRW948" si="3902">IF(LRO948="Ionizador", "Plato de carga", IF(LRO948="Cautín", "PTG", "RTG"))</f>
        <v>RTG</v>
      </c>
      <c r="LRX948" s="7">
        <v>45992</v>
      </c>
      <c r="LRY948" s="7">
        <f t="shared" ref="LRY948" si="3903">IF(LRZ948="Trimestral", LRX948+90, IF(LRZ948="Semestral", LRX948+180, LRX948+365))</f>
        <v>46172</v>
      </c>
      <c r="LRZ948" s="7" t="str">
        <f t="shared" ref="LRZ948" si="3904">IF(LRO948="Ionizador", "Trimestral", IF(LRO948="Rack", "Semestral", IF(LRO948="Mesa", "Semestral", IF(LRO948="Tapete", "Semestral", IF(LRO948="Cautín", "Semestral", IF(LRO948="Silla", "Semestral", "Anual"))))))</f>
        <v>Semestral</v>
      </c>
      <c r="LSA948" s="2" t="str">
        <f t="shared" ref="LSA948" ca="1" si="3905">IF(LRY948&lt;TODAY(),"VENCIDO",IF(LRY948=TODAY(),"VENCE HOY",IF(LRY948&gt;TODAY(),"VIGENTE")))</f>
        <v>VIGENTE</v>
      </c>
      <c r="LSB948" s="6" t="s">
        <v>25</v>
      </c>
      <c r="LSC948" s="23" t="s">
        <v>138</v>
      </c>
      <c r="LSD948" s="2" t="s">
        <v>433</v>
      </c>
      <c r="LSE948" s="3" t="s">
        <v>22</v>
      </c>
      <c r="LSF948" s="3" t="s">
        <v>23</v>
      </c>
      <c r="LSG948" s="2" t="s">
        <v>24</v>
      </c>
      <c r="LSH948" s="4">
        <v>0</v>
      </c>
      <c r="LSI948" s="8">
        <f t="shared" ref="LSI948" si="3906">IF(LSE948="Ionizador", 10, IF(LSE948="Mesa", 1000000000, IF(LSE948="Rack", 1000000000, IF(LSE948="Piso", 1000000000, IF(LSE948="Tapete", 1000000000, IF(LSE948="Carrito", 1000000000, IF(LSE948="Cautín", 10, 1)))))))</f>
        <v>1000000000</v>
      </c>
      <c r="LSJ948" s="4" t="str">
        <f t="shared" ref="LSJ948" si="3907">IF(LSE948="Ionizador", "Segundos", "Ohms")</f>
        <v>Ohms</v>
      </c>
      <c r="LSK948" s="6">
        <v>148000000</v>
      </c>
      <c r="LSL948" s="6" t="str">
        <f t="shared" ref="LSL948" si="3908">LSJ948</f>
        <v>Ohms</v>
      </c>
      <c r="LSM948" s="2" t="str">
        <f t="shared" ref="LSM948" si="3909">IF(LSE948="Ionizador", "Plato de carga", IF(LSE948="Cautín", "PTG", "RTG"))</f>
        <v>RTG</v>
      </c>
      <c r="LSN948" s="7">
        <v>45992</v>
      </c>
      <c r="LSO948" s="7">
        <f t="shared" ref="LSO948" si="3910">IF(LSP948="Trimestral", LSN948+90, IF(LSP948="Semestral", LSN948+180, LSN948+365))</f>
        <v>46172</v>
      </c>
      <c r="LSP948" s="7" t="str">
        <f t="shared" ref="LSP948" si="3911">IF(LSE948="Ionizador", "Trimestral", IF(LSE948="Rack", "Semestral", IF(LSE948="Mesa", "Semestral", IF(LSE948="Tapete", "Semestral", IF(LSE948="Cautín", "Semestral", IF(LSE948="Silla", "Semestral", "Anual"))))))</f>
        <v>Semestral</v>
      </c>
      <c r="LSQ948" s="2" t="str">
        <f t="shared" ref="LSQ948" ca="1" si="3912">IF(LSO948&lt;TODAY(),"VENCIDO",IF(LSO948=TODAY(),"VENCE HOY",IF(LSO948&gt;TODAY(),"VIGENTE")))</f>
        <v>VIGENTE</v>
      </c>
      <c r="LSR948" s="6" t="s">
        <v>25</v>
      </c>
      <c r="LSS948" s="23" t="s">
        <v>138</v>
      </c>
      <c r="LST948" s="2" t="s">
        <v>433</v>
      </c>
      <c r="LSU948" s="3" t="s">
        <v>22</v>
      </c>
      <c r="LSV948" s="3" t="s">
        <v>23</v>
      </c>
      <c r="LSW948" s="2" t="s">
        <v>24</v>
      </c>
      <c r="LSX948" s="4">
        <v>0</v>
      </c>
      <c r="LSY948" s="8">
        <f t="shared" ref="LSY948" si="3913">IF(LSU948="Ionizador", 10, IF(LSU948="Mesa", 1000000000, IF(LSU948="Rack", 1000000000, IF(LSU948="Piso", 1000000000, IF(LSU948="Tapete", 1000000000, IF(LSU948="Carrito", 1000000000, IF(LSU948="Cautín", 10, 1)))))))</f>
        <v>1000000000</v>
      </c>
      <c r="LSZ948" s="4" t="str">
        <f t="shared" ref="LSZ948" si="3914">IF(LSU948="Ionizador", "Segundos", "Ohms")</f>
        <v>Ohms</v>
      </c>
      <c r="LTA948" s="6">
        <v>148000000</v>
      </c>
      <c r="LTB948" s="6" t="str">
        <f t="shared" ref="LTB948" si="3915">LSZ948</f>
        <v>Ohms</v>
      </c>
      <c r="LTC948" s="2" t="str">
        <f t="shared" ref="LTC948" si="3916">IF(LSU948="Ionizador", "Plato de carga", IF(LSU948="Cautín", "PTG", "RTG"))</f>
        <v>RTG</v>
      </c>
      <c r="LTD948" s="7">
        <v>45992</v>
      </c>
      <c r="LTE948" s="7">
        <f t="shared" ref="LTE948" si="3917">IF(LTF948="Trimestral", LTD948+90, IF(LTF948="Semestral", LTD948+180, LTD948+365))</f>
        <v>46172</v>
      </c>
      <c r="LTF948" s="7" t="str">
        <f t="shared" ref="LTF948" si="3918">IF(LSU948="Ionizador", "Trimestral", IF(LSU948="Rack", "Semestral", IF(LSU948="Mesa", "Semestral", IF(LSU948="Tapete", "Semestral", IF(LSU948="Cautín", "Semestral", IF(LSU948="Silla", "Semestral", "Anual"))))))</f>
        <v>Semestral</v>
      </c>
      <c r="LTG948" s="2" t="str">
        <f t="shared" ref="LTG948" ca="1" si="3919">IF(LTE948&lt;TODAY(),"VENCIDO",IF(LTE948=TODAY(),"VENCE HOY",IF(LTE948&gt;TODAY(),"VIGENTE")))</f>
        <v>VIGENTE</v>
      </c>
      <c r="LTH948" s="6" t="s">
        <v>25</v>
      </c>
      <c r="LTI948" s="23" t="s">
        <v>138</v>
      </c>
      <c r="LTJ948" s="2" t="s">
        <v>433</v>
      </c>
      <c r="LTK948" s="3" t="s">
        <v>22</v>
      </c>
      <c r="LTL948" s="3" t="s">
        <v>23</v>
      </c>
      <c r="LTM948" s="2" t="s">
        <v>24</v>
      </c>
      <c r="LTN948" s="4">
        <v>0</v>
      </c>
      <c r="LTO948" s="8">
        <f t="shared" ref="LTO948" si="3920">IF(LTK948="Ionizador", 10, IF(LTK948="Mesa", 1000000000, IF(LTK948="Rack", 1000000000, IF(LTK948="Piso", 1000000000, IF(LTK948="Tapete", 1000000000, IF(LTK948="Carrito", 1000000000, IF(LTK948="Cautín", 10, 1)))))))</f>
        <v>1000000000</v>
      </c>
      <c r="LTP948" s="4" t="str">
        <f t="shared" ref="LTP948" si="3921">IF(LTK948="Ionizador", "Segundos", "Ohms")</f>
        <v>Ohms</v>
      </c>
      <c r="LTQ948" s="6">
        <v>148000000</v>
      </c>
      <c r="LTR948" s="6" t="str">
        <f t="shared" ref="LTR948" si="3922">LTP948</f>
        <v>Ohms</v>
      </c>
      <c r="LTS948" s="2" t="str">
        <f t="shared" ref="LTS948" si="3923">IF(LTK948="Ionizador", "Plato de carga", IF(LTK948="Cautín", "PTG", "RTG"))</f>
        <v>RTG</v>
      </c>
      <c r="LTT948" s="7">
        <v>45992</v>
      </c>
      <c r="LTU948" s="7">
        <f t="shared" ref="LTU948" si="3924">IF(LTV948="Trimestral", LTT948+90, IF(LTV948="Semestral", LTT948+180, LTT948+365))</f>
        <v>46172</v>
      </c>
      <c r="LTV948" s="7" t="str">
        <f t="shared" ref="LTV948" si="3925">IF(LTK948="Ionizador", "Trimestral", IF(LTK948="Rack", "Semestral", IF(LTK948="Mesa", "Semestral", IF(LTK948="Tapete", "Semestral", IF(LTK948="Cautín", "Semestral", IF(LTK948="Silla", "Semestral", "Anual"))))))</f>
        <v>Semestral</v>
      </c>
      <c r="LTW948" s="2" t="str">
        <f t="shared" ref="LTW948" ca="1" si="3926">IF(LTU948&lt;TODAY(),"VENCIDO",IF(LTU948=TODAY(),"VENCE HOY",IF(LTU948&gt;TODAY(),"VIGENTE")))</f>
        <v>VIGENTE</v>
      </c>
      <c r="LTX948" s="6" t="s">
        <v>25</v>
      </c>
      <c r="LTY948" s="23" t="s">
        <v>138</v>
      </c>
      <c r="LTZ948" s="2" t="s">
        <v>433</v>
      </c>
      <c r="LUA948" s="3" t="s">
        <v>22</v>
      </c>
      <c r="LUB948" s="3" t="s">
        <v>23</v>
      </c>
      <c r="LUC948" s="2" t="s">
        <v>24</v>
      </c>
      <c r="LUD948" s="4">
        <v>0</v>
      </c>
      <c r="LUE948" s="8">
        <f t="shared" ref="LUE948" si="3927">IF(LUA948="Ionizador", 10, IF(LUA948="Mesa", 1000000000, IF(LUA948="Rack", 1000000000, IF(LUA948="Piso", 1000000000, IF(LUA948="Tapete", 1000000000, IF(LUA948="Carrito", 1000000000, IF(LUA948="Cautín", 10, 1)))))))</f>
        <v>1000000000</v>
      </c>
      <c r="LUF948" s="4" t="str">
        <f t="shared" ref="LUF948" si="3928">IF(LUA948="Ionizador", "Segundos", "Ohms")</f>
        <v>Ohms</v>
      </c>
      <c r="LUG948" s="6">
        <v>148000000</v>
      </c>
      <c r="LUH948" s="6" t="str">
        <f t="shared" ref="LUH948" si="3929">LUF948</f>
        <v>Ohms</v>
      </c>
      <c r="LUI948" s="2" t="str">
        <f t="shared" ref="LUI948" si="3930">IF(LUA948="Ionizador", "Plato de carga", IF(LUA948="Cautín", "PTG", "RTG"))</f>
        <v>RTG</v>
      </c>
      <c r="LUJ948" s="7">
        <v>45992</v>
      </c>
      <c r="LUK948" s="7">
        <f t="shared" ref="LUK948" si="3931">IF(LUL948="Trimestral", LUJ948+90, IF(LUL948="Semestral", LUJ948+180, LUJ948+365))</f>
        <v>46172</v>
      </c>
      <c r="LUL948" s="7" t="str">
        <f t="shared" ref="LUL948" si="3932">IF(LUA948="Ionizador", "Trimestral", IF(LUA948="Rack", "Semestral", IF(LUA948="Mesa", "Semestral", IF(LUA948="Tapete", "Semestral", IF(LUA948="Cautín", "Semestral", IF(LUA948="Silla", "Semestral", "Anual"))))))</f>
        <v>Semestral</v>
      </c>
      <c r="LUM948" s="2" t="str">
        <f t="shared" ref="LUM948" ca="1" si="3933">IF(LUK948&lt;TODAY(),"VENCIDO",IF(LUK948=TODAY(),"VENCE HOY",IF(LUK948&gt;TODAY(),"VIGENTE")))</f>
        <v>VIGENTE</v>
      </c>
      <c r="LUN948" s="6" t="s">
        <v>25</v>
      </c>
      <c r="LUO948" s="23" t="s">
        <v>138</v>
      </c>
      <c r="LUP948" s="2" t="s">
        <v>433</v>
      </c>
      <c r="LUQ948" s="3" t="s">
        <v>22</v>
      </c>
      <c r="LUR948" s="3" t="s">
        <v>23</v>
      </c>
      <c r="LUS948" s="2" t="s">
        <v>24</v>
      </c>
      <c r="LUT948" s="4">
        <v>0</v>
      </c>
      <c r="LUU948" s="8">
        <f t="shared" ref="LUU948" si="3934">IF(LUQ948="Ionizador", 10, IF(LUQ948="Mesa", 1000000000, IF(LUQ948="Rack", 1000000000, IF(LUQ948="Piso", 1000000000, IF(LUQ948="Tapete", 1000000000, IF(LUQ948="Carrito", 1000000000, IF(LUQ948="Cautín", 10, 1)))))))</f>
        <v>1000000000</v>
      </c>
      <c r="LUV948" s="4" t="str">
        <f t="shared" ref="LUV948" si="3935">IF(LUQ948="Ionizador", "Segundos", "Ohms")</f>
        <v>Ohms</v>
      </c>
      <c r="LUW948" s="6">
        <v>148000000</v>
      </c>
      <c r="LUX948" s="6" t="str">
        <f t="shared" ref="LUX948" si="3936">LUV948</f>
        <v>Ohms</v>
      </c>
      <c r="LUY948" s="2" t="str">
        <f t="shared" ref="LUY948" si="3937">IF(LUQ948="Ionizador", "Plato de carga", IF(LUQ948="Cautín", "PTG", "RTG"))</f>
        <v>RTG</v>
      </c>
      <c r="LUZ948" s="7">
        <v>45992</v>
      </c>
      <c r="LVA948" s="7">
        <f t="shared" ref="LVA948" si="3938">IF(LVB948="Trimestral", LUZ948+90, IF(LVB948="Semestral", LUZ948+180, LUZ948+365))</f>
        <v>46172</v>
      </c>
      <c r="LVB948" s="7" t="str">
        <f t="shared" ref="LVB948" si="3939">IF(LUQ948="Ionizador", "Trimestral", IF(LUQ948="Rack", "Semestral", IF(LUQ948="Mesa", "Semestral", IF(LUQ948="Tapete", "Semestral", IF(LUQ948="Cautín", "Semestral", IF(LUQ948="Silla", "Semestral", "Anual"))))))</f>
        <v>Semestral</v>
      </c>
      <c r="LVC948" s="2" t="str">
        <f t="shared" ref="LVC948" ca="1" si="3940">IF(LVA948&lt;TODAY(),"VENCIDO",IF(LVA948=TODAY(),"VENCE HOY",IF(LVA948&gt;TODAY(),"VIGENTE")))</f>
        <v>VIGENTE</v>
      </c>
      <c r="LVD948" s="6" t="s">
        <v>25</v>
      </c>
      <c r="LVE948" s="23" t="s">
        <v>138</v>
      </c>
      <c r="LVF948" s="2" t="s">
        <v>433</v>
      </c>
      <c r="LVG948" s="3" t="s">
        <v>22</v>
      </c>
      <c r="LVH948" s="3" t="s">
        <v>23</v>
      </c>
      <c r="LVI948" s="2" t="s">
        <v>24</v>
      </c>
      <c r="LVJ948" s="4">
        <v>0</v>
      </c>
      <c r="LVK948" s="8">
        <f t="shared" ref="LVK948" si="3941">IF(LVG948="Ionizador", 10, IF(LVG948="Mesa", 1000000000, IF(LVG948="Rack", 1000000000, IF(LVG948="Piso", 1000000000, IF(LVG948="Tapete", 1000000000, IF(LVG948="Carrito", 1000000000, IF(LVG948="Cautín", 10, 1)))))))</f>
        <v>1000000000</v>
      </c>
      <c r="LVL948" s="4" t="str">
        <f t="shared" ref="LVL948" si="3942">IF(LVG948="Ionizador", "Segundos", "Ohms")</f>
        <v>Ohms</v>
      </c>
      <c r="LVM948" s="6">
        <v>148000000</v>
      </c>
      <c r="LVN948" s="6" t="str">
        <f t="shared" ref="LVN948" si="3943">LVL948</f>
        <v>Ohms</v>
      </c>
      <c r="LVO948" s="2" t="str">
        <f t="shared" ref="LVO948" si="3944">IF(LVG948="Ionizador", "Plato de carga", IF(LVG948="Cautín", "PTG", "RTG"))</f>
        <v>RTG</v>
      </c>
      <c r="LVP948" s="7">
        <v>45992</v>
      </c>
      <c r="LVQ948" s="7">
        <f t="shared" ref="LVQ948" si="3945">IF(LVR948="Trimestral", LVP948+90, IF(LVR948="Semestral", LVP948+180, LVP948+365))</f>
        <v>46172</v>
      </c>
      <c r="LVR948" s="7" t="str">
        <f t="shared" ref="LVR948" si="3946">IF(LVG948="Ionizador", "Trimestral", IF(LVG948="Rack", "Semestral", IF(LVG948="Mesa", "Semestral", IF(LVG948="Tapete", "Semestral", IF(LVG948="Cautín", "Semestral", IF(LVG948="Silla", "Semestral", "Anual"))))))</f>
        <v>Semestral</v>
      </c>
      <c r="LVS948" s="2" t="str">
        <f t="shared" ref="LVS948" ca="1" si="3947">IF(LVQ948&lt;TODAY(),"VENCIDO",IF(LVQ948=TODAY(),"VENCE HOY",IF(LVQ948&gt;TODAY(),"VIGENTE")))</f>
        <v>VIGENTE</v>
      </c>
      <c r="LVT948" s="6" t="s">
        <v>25</v>
      </c>
      <c r="LVU948" s="23" t="s">
        <v>138</v>
      </c>
      <c r="LVV948" s="2" t="s">
        <v>433</v>
      </c>
      <c r="LVW948" s="3" t="s">
        <v>22</v>
      </c>
      <c r="LVX948" s="3" t="s">
        <v>23</v>
      </c>
      <c r="LVY948" s="2" t="s">
        <v>24</v>
      </c>
      <c r="LVZ948" s="4">
        <v>0</v>
      </c>
      <c r="LWA948" s="8">
        <f t="shared" ref="LWA948" si="3948">IF(LVW948="Ionizador", 10, IF(LVW948="Mesa", 1000000000, IF(LVW948="Rack", 1000000000, IF(LVW948="Piso", 1000000000, IF(LVW948="Tapete", 1000000000, IF(LVW948="Carrito", 1000000000, IF(LVW948="Cautín", 10, 1)))))))</f>
        <v>1000000000</v>
      </c>
      <c r="LWB948" s="4" t="str">
        <f t="shared" ref="LWB948" si="3949">IF(LVW948="Ionizador", "Segundos", "Ohms")</f>
        <v>Ohms</v>
      </c>
      <c r="LWC948" s="6">
        <v>148000000</v>
      </c>
      <c r="LWD948" s="6" t="str">
        <f t="shared" ref="LWD948" si="3950">LWB948</f>
        <v>Ohms</v>
      </c>
      <c r="LWE948" s="2" t="str">
        <f t="shared" ref="LWE948" si="3951">IF(LVW948="Ionizador", "Plato de carga", IF(LVW948="Cautín", "PTG", "RTG"))</f>
        <v>RTG</v>
      </c>
      <c r="LWF948" s="7">
        <v>45992</v>
      </c>
      <c r="LWG948" s="7">
        <f t="shared" ref="LWG948" si="3952">IF(LWH948="Trimestral", LWF948+90, IF(LWH948="Semestral", LWF948+180, LWF948+365))</f>
        <v>46172</v>
      </c>
      <c r="LWH948" s="7" t="str">
        <f t="shared" ref="LWH948" si="3953">IF(LVW948="Ionizador", "Trimestral", IF(LVW948="Rack", "Semestral", IF(LVW948="Mesa", "Semestral", IF(LVW948="Tapete", "Semestral", IF(LVW948="Cautín", "Semestral", IF(LVW948="Silla", "Semestral", "Anual"))))))</f>
        <v>Semestral</v>
      </c>
      <c r="LWI948" s="2" t="str">
        <f t="shared" ref="LWI948" ca="1" si="3954">IF(LWG948&lt;TODAY(),"VENCIDO",IF(LWG948=TODAY(),"VENCE HOY",IF(LWG948&gt;TODAY(),"VIGENTE")))</f>
        <v>VIGENTE</v>
      </c>
      <c r="LWJ948" s="6" t="s">
        <v>25</v>
      </c>
      <c r="LWK948" s="23" t="s">
        <v>138</v>
      </c>
      <c r="LWL948" s="2" t="s">
        <v>433</v>
      </c>
      <c r="LWM948" s="3" t="s">
        <v>22</v>
      </c>
      <c r="LWN948" s="3" t="s">
        <v>23</v>
      </c>
      <c r="LWO948" s="2" t="s">
        <v>24</v>
      </c>
      <c r="LWP948" s="4">
        <v>0</v>
      </c>
      <c r="LWQ948" s="8">
        <f t="shared" ref="LWQ948" si="3955">IF(LWM948="Ionizador", 10, IF(LWM948="Mesa", 1000000000, IF(LWM948="Rack", 1000000000, IF(LWM948="Piso", 1000000000, IF(LWM948="Tapete", 1000000000, IF(LWM948="Carrito", 1000000000, IF(LWM948="Cautín", 10, 1)))))))</f>
        <v>1000000000</v>
      </c>
      <c r="LWR948" s="4" t="str">
        <f t="shared" ref="LWR948" si="3956">IF(LWM948="Ionizador", "Segundos", "Ohms")</f>
        <v>Ohms</v>
      </c>
      <c r="LWS948" s="6">
        <v>148000000</v>
      </c>
      <c r="LWT948" s="6" t="str">
        <f t="shared" ref="LWT948" si="3957">LWR948</f>
        <v>Ohms</v>
      </c>
      <c r="LWU948" s="2" t="str">
        <f t="shared" ref="LWU948" si="3958">IF(LWM948="Ionizador", "Plato de carga", IF(LWM948="Cautín", "PTG", "RTG"))</f>
        <v>RTG</v>
      </c>
      <c r="LWV948" s="7">
        <v>45992</v>
      </c>
      <c r="LWW948" s="7">
        <f t="shared" ref="LWW948" si="3959">IF(LWX948="Trimestral", LWV948+90, IF(LWX948="Semestral", LWV948+180, LWV948+365))</f>
        <v>46172</v>
      </c>
      <c r="LWX948" s="7" t="str">
        <f t="shared" ref="LWX948" si="3960">IF(LWM948="Ionizador", "Trimestral", IF(LWM948="Rack", "Semestral", IF(LWM948="Mesa", "Semestral", IF(LWM948="Tapete", "Semestral", IF(LWM948="Cautín", "Semestral", IF(LWM948="Silla", "Semestral", "Anual"))))))</f>
        <v>Semestral</v>
      </c>
      <c r="LWY948" s="2" t="str">
        <f t="shared" ref="LWY948" ca="1" si="3961">IF(LWW948&lt;TODAY(),"VENCIDO",IF(LWW948=TODAY(),"VENCE HOY",IF(LWW948&gt;TODAY(),"VIGENTE")))</f>
        <v>VIGENTE</v>
      </c>
      <c r="LWZ948" s="6" t="s">
        <v>25</v>
      </c>
      <c r="LXA948" s="23" t="s">
        <v>138</v>
      </c>
      <c r="LXB948" s="2" t="s">
        <v>433</v>
      </c>
      <c r="LXC948" s="3" t="s">
        <v>22</v>
      </c>
      <c r="LXD948" s="3" t="s">
        <v>23</v>
      </c>
      <c r="LXE948" s="2" t="s">
        <v>24</v>
      </c>
      <c r="LXF948" s="4">
        <v>0</v>
      </c>
      <c r="LXG948" s="8">
        <f t="shared" ref="LXG948" si="3962">IF(LXC948="Ionizador", 10, IF(LXC948="Mesa", 1000000000, IF(LXC948="Rack", 1000000000, IF(LXC948="Piso", 1000000000, IF(LXC948="Tapete", 1000000000, IF(LXC948="Carrito", 1000000000, IF(LXC948="Cautín", 10, 1)))))))</f>
        <v>1000000000</v>
      </c>
      <c r="LXH948" s="4" t="str">
        <f t="shared" ref="LXH948" si="3963">IF(LXC948="Ionizador", "Segundos", "Ohms")</f>
        <v>Ohms</v>
      </c>
      <c r="LXI948" s="6">
        <v>148000000</v>
      </c>
      <c r="LXJ948" s="6" t="str">
        <f t="shared" ref="LXJ948" si="3964">LXH948</f>
        <v>Ohms</v>
      </c>
      <c r="LXK948" s="2" t="str">
        <f t="shared" ref="LXK948" si="3965">IF(LXC948="Ionizador", "Plato de carga", IF(LXC948="Cautín", "PTG", "RTG"))</f>
        <v>RTG</v>
      </c>
      <c r="LXL948" s="7">
        <v>45992</v>
      </c>
      <c r="LXM948" s="7">
        <f t="shared" ref="LXM948" si="3966">IF(LXN948="Trimestral", LXL948+90, IF(LXN948="Semestral", LXL948+180, LXL948+365))</f>
        <v>46172</v>
      </c>
      <c r="LXN948" s="7" t="str">
        <f t="shared" ref="LXN948" si="3967">IF(LXC948="Ionizador", "Trimestral", IF(LXC948="Rack", "Semestral", IF(LXC948="Mesa", "Semestral", IF(LXC948="Tapete", "Semestral", IF(LXC948="Cautín", "Semestral", IF(LXC948="Silla", "Semestral", "Anual"))))))</f>
        <v>Semestral</v>
      </c>
      <c r="LXO948" s="2" t="str">
        <f t="shared" ref="LXO948" ca="1" si="3968">IF(LXM948&lt;TODAY(),"VENCIDO",IF(LXM948=TODAY(),"VENCE HOY",IF(LXM948&gt;TODAY(),"VIGENTE")))</f>
        <v>VIGENTE</v>
      </c>
      <c r="LXP948" s="6" t="s">
        <v>25</v>
      </c>
      <c r="LXQ948" s="23" t="s">
        <v>138</v>
      </c>
      <c r="LXR948" s="2" t="s">
        <v>433</v>
      </c>
      <c r="LXS948" s="3" t="s">
        <v>22</v>
      </c>
      <c r="LXT948" s="3" t="s">
        <v>23</v>
      </c>
      <c r="LXU948" s="2" t="s">
        <v>24</v>
      </c>
      <c r="LXV948" s="4">
        <v>0</v>
      </c>
      <c r="LXW948" s="8">
        <f t="shared" ref="LXW948" si="3969">IF(LXS948="Ionizador", 10, IF(LXS948="Mesa", 1000000000, IF(LXS948="Rack", 1000000000, IF(LXS948="Piso", 1000000000, IF(LXS948="Tapete", 1000000000, IF(LXS948="Carrito", 1000000000, IF(LXS948="Cautín", 10, 1)))))))</f>
        <v>1000000000</v>
      </c>
      <c r="LXX948" s="4" t="str">
        <f t="shared" ref="LXX948" si="3970">IF(LXS948="Ionizador", "Segundos", "Ohms")</f>
        <v>Ohms</v>
      </c>
      <c r="LXY948" s="6">
        <v>148000000</v>
      </c>
      <c r="LXZ948" s="6" t="str">
        <f t="shared" ref="LXZ948" si="3971">LXX948</f>
        <v>Ohms</v>
      </c>
      <c r="LYA948" s="2" t="str">
        <f t="shared" ref="LYA948" si="3972">IF(LXS948="Ionizador", "Plato de carga", IF(LXS948="Cautín", "PTG", "RTG"))</f>
        <v>RTG</v>
      </c>
      <c r="LYB948" s="7">
        <v>45992</v>
      </c>
      <c r="LYC948" s="7">
        <f t="shared" ref="LYC948" si="3973">IF(LYD948="Trimestral", LYB948+90, IF(LYD948="Semestral", LYB948+180, LYB948+365))</f>
        <v>46172</v>
      </c>
      <c r="LYD948" s="7" t="str">
        <f t="shared" ref="LYD948" si="3974">IF(LXS948="Ionizador", "Trimestral", IF(LXS948="Rack", "Semestral", IF(LXS948="Mesa", "Semestral", IF(LXS948="Tapete", "Semestral", IF(LXS948="Cautín", "Semestral", IF(LXS948="Silla", "Semestral", "Anual"))))))</f>
        <v>Semestral</v>
      </c>
      <c r="LYE948" s="2" t="str">
        <f t="shared" ref="LYE948" ca="1" si="3975">IF(LYC948&lt;TODAY(),"VENCIDO",IF(LYC948=TODAY(),"VENCE HOY",IF(LYC948&gt;TODAY(),"VIGENTE")))</f>
        <v>VIGENTE</v>
      </c>
      <c r="LYF948" s="6" t="s">
        <v>25</v>
      </c>
      <c r="LYG948" s="23" t="s">
        <v>138</v>
      </c>
      <c r="LYH948" s="2" t="s">
        <v>433</v>
      </c>
      <c r="LYI948" s="3" t="s">
        <v>22</v>
      </c>
      <c r="LYJ948" s="3" t="s">
        <v>23</v>
      </c>
      <c r="LYK948" s="2" t="s">
        <v>24</v>
      </c>
      <c r="LYL948" s="4">
        <v>0</v>
      </c>
      <c r="LYM948" s="8">
        <f t="shared" ref="LYM948" si="3976">IF(LYI948="Ionizador", 10, IF(LYI948="Mesa", 1000000000, IF(LYI948="Rack", 1000000000, IF(LYI948="Piso", 1000000000, IF(LYI948="Tapete", 1000000000, IF(LYI948="Carrito", 1000000000, IF(LYI948="Cautín", 10, 1)))))))</f>
        <v>1000000000</v>
      </c>
      <c r="LYN948" s="4" t="str">
        <f t="shared" ref="LYN948" si="3977">IF(LYI948="Ionizador", "Segundos", "Ohms")</f>
        <v>Ohms</v>
      </c>
      <c r="LYO948" s="6">
        <v>148000000</v>
      </c>
      <c r="LYP948" s="6" t="str">
        <f t="shared" ref="LYP948" si="3978">LYN948</f>
        <v>Ohms</v>
      </c>
      <c r="LYQ948" s="2" t="str">
        <f t="shared" ref="LYQ948" si="3979">IF(LYI948="Ionizador", "Plato de carga", IF(LYI948="Cautín", "PTG", "RTG"))</f>
        <v>RTG</v>
      </c>
      <c r="LYR948" s="7">
        <v>45992</v>
      </c>
      <c r="LYS948" s="7">
        <f t="shared" ref="LYS948" si="3980">IF(LYT948="Trimestral", LYR948+90, IF(LYT948="Semestral", LYR948+180, LYR948+365))</f>
        <v>46172</v>
      </c>
      <c r="LYT948" s="7" t="str">
        <f t="shared" ref="LYT948" si="3981">IF(LYI948="Ionizador", "Trimestral", IF(LYI948="Rack", "Semestral", IF(LYI948="Mesa", "Semestral", IF(LYI948="Tapete", "Semestral", IF(LYI948="Cautín", "Semestral", IF(LYI948="Silla", "Semestral", "Anual"))))))</f>
        <v>Semestral</v>
      </c>
      <c r="LYU948" s="2" t="str">
        <f t="shared" ref="LYU948" ca="1" si="3982">IF(LYS948&lt;TODAY(),"VENCIDO",IF(LYS948=TODAY(),"VENCE HOY",IF(LYS948&gt;TODAY(),"VIGENTE")))</f>
        <v>VIGENTE</v>
      </c>
      <c r="LYV948" s="6" t="s">
        <v>25</v>
      </c>
      <c r="LYW948" s="23" t="s">
        <v>138</v>
      </c>
      <c r="LYX948" s="2" t="s">
        <v>433</v>
      </c>
      <c r="LYY948" s="3" t="s">
        <v>22</v>
      </c>
      <c r="LYZ948" s="3" t="s">
        <v>23</v>
      </c>
      <c r="LZA948" s="2" t="s">
        <v>24</v>
      </c>
      <c r="LZB948" s="4">
        <v>0</v>
      </c>
      <c r="LZC948" s="8">
        <f t="shared" ref="LZC948" si="3983">IF(LYY948="Ionizador", 10, IF(LYY948="Mesa", 1000000000, IF(LYY948="Rack", 1000000000, IF(LYY948="Piso", 1000000000, IF(LYY948="Tapete", 1000000000, IF(LYY948="Carrito", 1000000000, IF(LYY948="Cautín", 10, 1)))))))</f>
        <v>1000000000</v>
      </c>
      <c r="LZD948" s="4" t="str">
        <f t="shared" ref="LZD948" si="3984">IF(LYY948="Ionizador", "Segundos", "Ohms")</f>
        <v>Ohms</v>
      </c>
      <c r="LZE948" s="6">
        <v>148000000</v>
      </c>
      <c r="LZF948" s="6" t="str">
        <f t="shared" ref="LZF948" si="3985">LZD948</f>
        <v>Ohms</v>
      </c>
      <c r="LZG948" s="2" t="str">
        <f t="shared" ref="LZG948" si="3986">IF(LYY948="Ionizador", "Plato de carga", IF(LYY948="Cautín", "PTG", "RTG"))</f>
        <v>RTG</v>
      </c>
      <c r="LZH948" s="7">
        <v>45992</v>
      </c>
      <c r="LZI948" s="7">
        <f t="shared" ref="LZI948" si="3987">IF(LZJ948="Trimestral", LZH948+90, IF(LZJ948="Semestral", LZH948+180, LZH948+365))</f>
        <v>46172</v>
      </c>
      <c r="LZJ948" s="7" t="str">
        <f t="shared" ref="LZJ948" si="3988">IF(LYY948="Ionizador", "Trimestral", IF(LYY948="Rack", "Semestral", IF(LYY948="Mesa", "Semestral", IF(LYY948="Tapete", "Semestral", IF(LYY948="Cautín", "Semestral", IF(LYY948="Silla", "Semestral", "Anual"))))))</f>
        <v>Semestral</v>
      </c>
      <c r="LZK948" s="2" t="str">
        <f t="shared" ref="LZK948" ca="1" si="3989">IF(LZI948&lt;TODAY(),"VENCIDO",IF(LZI948=TODAY(),"VENCE HOY",IF(LZI948&gt;TODAY(),"VIGENTE")))</f>
        <v>VIGENTE</v>
      </c>
      <c r="LZL948" s="6" t="s">
        <v>25</v>
      </c>
      <c r="LZM948" s="23" t="s">
        <v>138</v>
      </c>
      <c r="LZN948" s="2" t="s">
        <v>433</v>
      </c>
      <c r="LZO948" s="3" t="s">
        <v>22</v>
      </c>
      <c r="LZP948" s="3" t="s">
        <v>23</v>
      </c>
      <c r="LZQ948" s="2" t="s">
        <v>24</v>
      </c>
      <c r="LZR948" s="4">
        <v>0</v>
      </c>
      <c r="LZS948" s="8">
        <f t="shared" ref="LZS948" si="3990">IF(LZO948="Ionizador", 10, IF(LZO948="Mesa", 1000000000, IF(LZO948="Rack", 1000000000, IF(LZO948="Piso", 1000000000, IF(LZO948="Tapete", 1000000000, IF(LZO948="Carrito", 1000000000, IF(LZO948="Cautín", 10, 1)))))))</f>
        <v>1000000000</v>
      </c>
      <c r="LZT948" s="4" t="str">
        <f t="shared" ref="LZT948" si="3991">IF(LZO948="Ionizador", "Segundos", "Ohms")</f>
        <v>Ohms</v>
      </c>
      <c r="LZU948" s="6">
        <v>148000000</v>
      </c>
      <c r="LZV948" s="6" t="str">
        <f t="shared" ref="LZV948" si="3992">LZT948</f>
        <v>Ohms</v>
      </c>
      <c r="LZW948" s="2" t="str">
        <f t="shared" ref="LZW948" si="3993">IF(LZO948="Ionizador", "Plato de carga", IF(LZO948="Cautín", "PTG", "RTG"))</f>
        <v>RTG</v>
      </c>
      <c r="LZX948" s="7">
        <v>45992</v>
      </c>
      <c r="LZY948" s="7">
        <f t="shared" ref="LZY948" si="3994">IF(LZZ948="Trimestral", LZX948+90, IF(LZZ948="Semestral", LZX948+180, LZX948+365))</f>
        <v>46172</v>
      </c>
      <c r="LZZ948" s="7" t="str">
        <f t="shared" ref="LZZ948" si="3995">IF(LZO948="Ionizador", "Trimestral", IF(LZO948="Rack", "Semestral", IF(LZO948="Mesa", "Semestral", IF(LZO948="Tapete", "Semestral", IF(LZO948="Cautín", "Semestral", IF(LZO948="Silla", "Semestral", "Anual"))))))</f>
        <v>Semestral</v>
      </c>
      <c r="MAA948" s="2" t="str">
        <f t="shared" ref="MAA948" ca="1" si="3996">IF(LZY948&lt;TODAY(),"VENCIDO",IF(LZY948=TODAY(),"VENCE HOY",IF(LZY948&gt;TODAY(),"VIGENTE")))</f>
        <v>VIGENTE</v>
      </c>
      <c r="MAB948" s="6" t="s">
        <v>25</v>
      </c>
      <c r="MAC948" s="23" t="s">
        <v>138</v>
      </c>
      <c r="MAD948" s="2" t="s">
        <v>433</v>
      </c>
      <c r="MAE948" s="3" t="s">
        <v>22</v>
      </c>
      <c r="MAF948" s="3" t="s">
        <v>23</v>
      </c>
      <c r="MAG948" s="2" t="s">
        <v>24</v>
      </c>
      <c r="MAH948" s="4">
        <v>0</v>
      </c>
      <c r="MAI948" s="8">
        <f t="shared" ref="MAI948" si="3997">IF(MAE948="Ionizador", 10, IF(MAE948="Mesa", 1000000000, IF(MAE948="Rack", 1000000000, IF(MAE948="Piso", 1000000000, IF(MAE948="Tapete", 1000000000, IF(MAE948="Carrito", 1000000000, IF(MAE948="Cautín", 10, 1)))))))</f>
        <v>1000000000</v>
      </c>
      <c r="MAJ948" s="4" t="str">
        <f t="shared" ref="MAJ948" si="3998">IF(MAE948="Ionizador", "Segundos", "Ohms")</f>
        <v>Ohms</v>
      </c>
      <c r="MAK948" s="6">
        <v>148000000</v>
      </c>
      <c r="MAL948" s="6" t="str">
        <f t="shared" ref="MAL948" si="3999">MAJ948</f>
        <v>Ohms</v>
      </c>
      <c r="MAM948" s="2" t="str">
        <f t="shared" ref="MAM948" si="4000">IF(MAE948="Ionizador", "Plato de carga", IF(MAE948="Cautín", "PTG", "RTG"))</f>
        <v>RTG</v>
      </c>
      <c r="MAN948" s="7">
        <v>45992</v>
      </c>
      <c r="MAO948" s="7">
        <f t="shared" ref="MAO948" si="4001">IF(MAP948="Trimestral", MAN948+90, IF(MAP948="Semestral", MAN948+180, MAN948+365))</f>
        <v>46172</v>
      </c>
      <c r="MAP948" s="7" t="str">
        <f t="shared" ref="MAP948" si="4002">IF(MAE948="Ionizador", "Trimestral", IF(MAE948="Rack", "Semestral", IF(MAE948="Mesa", "Semestral", IF(MAE948="Tapete", "Semestral", IF(MAE948="Cautín", "Semestral", IF(MAE948="Silla", "Semestral", "Anual"))))))</f>
        <v>Semestral</v>
      </c>
      <c r="MAQ948" s="2" t="str">
        <f t="shared" ref="MAQ948" ca="1" si="4003">IF(MAO948&lt;TODAY(),"VENCIDO",IF(MAO948=TODAY(),"VENCE HOY",IF(MAO948&gt;TODAY(),"VIGENTE")))</f>
        <v>VIGENTE</v>
      </c>
      <c r="MAR948" s="6" t="s">
        <v>25</v>
      </c>
      <c r="MAS948" s="23" t="s">
        <v>138</v>
      </c>
      <c r="MAT948" s="2" t="s">
        <v>433</v>
      </c>
      <c r="MAU948" s="3" t="s">
        <v>22</v>
      </c>
      <c r="MAV948" s="3" t="s">
        <v>23</v>
      </c>
      <c r="MAW948" s="2" t="s">
        <v>24</v>
      </c>
      <c r="MAX948" s="4">
        <v>0</v>
      </c>
      <c r="MAY948" s="8">
        <f t="shared" ref="MAY948" si="4004">IF(MAU948="Ionizador", 10, IF(MAU948="Mesa", 1000000000, IF(MAU948="Rack", 1000000000, IF(MAU948="Piso", 1000000000, IF(MAU948="Tapete", 1000000000, IF(MAU948="Carrito", 1000000000, IF(MAU948="Cautín", 10, 1)))))))</f>
        <v>1000000000</v>
      </c>
      <c r="MAZ948" s="4" t="str">
        <f t="shared" ref="MAZ948" si="4005">IF(MAU948="Ionizador", "Segundos", "Ohms")</f>
        <v>Ohms</v>
      </c>
      <c r="MBA948" s="6">
        <v>148000000</v>
      </c>
      <c r="MBB948" s="6" t="str">
        <f t="shared" ref="MBB948" si="4006">MAZ948</f>
        <v>Ohms</v>
      </c>
      <c r="MBC948" s="2" t="str">
        <f t="shared" ref="MBC948" si="4007">IF(MAU948="Ionizador", "Plato de carga", IF(MAU948="Cautín", "PTG", "RTG"))</f>
        <v>RTG</v>
      </c>
      <c r="MBD948" s="7">
        <v>45992</v>
      </c>
      <c r="MBE948" s="7">
        <f t="shared" ref="MBE948" si="4008">IF(MBF948="Trimestral", MBD948+90, IF(MBF948="Semestral", MBD948+180, MBD948+365))</f>
        <v>46172</v>
      </c>
      <c r="MBF948" s="7" t="str">
        <f t="shared" ref="MBF948" si="4009">IF(MAU948="Ionizador", "Trimestral", IF(MAU948="Rack", "Semestral", IF(MAU948="Mesa", "Semestral", IF(MAU948="Tapete", "Semestral", IF(MAU948="Cautín", "Semestral", IF(MAU948="Silla", "Semestral", "Anual"))))))</f>
        <v>Semestral</v>
      </c>
      <c r="MBG948" s="2" t="str">
        <f t="shared" ref="MBG948" ca="1" si="4010">IF(MBE948&lt;TODAY(),"VENCIDO",IF(MBE948=TODAY(),"VENCE HOY",IF(MBE948&gt;TODAY(),"VIGENTE")))</f>
        <v>VIGENTE</v>
      </c>
      <c r="MBH948" s="6" t="s">
        <v>25</v>
      </c>
      <c r="MBI948" s="23" t="s">
        <v>138</v>
      </c>
      <c r="MBJ948" s="2" t="s">
        <v>433</v>
      </c>
      <c r="MBK948" s="3" t="s">
        <v>22</v>
      </c>
      <c r="MBL948" s="3" t="s">
        <v>23</v>
      </c>
      <c r="MBM948" s="2" t="s">
        <v>24</v>
      </c>
      <c r="MBN948" s="4">
        <v>0</v>
      </c>
      <c r="MBO948" s="8">
        <f t="shared" ref="MBO948" si="4011">IF(MBK948="Ionizador", 10, IF(MBK948="Mesa", 1000000000, IF(MBK948="Rack", 1000000000, IF(MBK948="Piso", 1000000000, IF(MBK948="Tapete", 1000000000, IF(MBK948="Carrito", 1000000000, IF(MBK948="Cautín", 10, 1)))))))</f>
        <v>1000000000</v>
      </c>
      <c r="MBP948" s="4" t="str">
        <f t="shared" ref="MBP948" si="4012">IF(MBK948="Ionizador", "Segundos", "Ohms")</f>
        <v>Ohms</v>
      </c>
      <c r="MBQ948" s="6">
        <v>148000000</v>
      </c>
      <c r="MBR948" s="6" t="str">
        <f t="shared" ref="MBR948" si="4013">MBP948</f>
        <v>Ohms</v>
      </c>
      <c r="MBS948" s="2" t="str">
        <f t="shared" ref="MBS948" si="4014">IF(MBK948="Ionizador", "Plato de carga", IF(MBK948="Cautín", "PTG", "RTG"))</f>
        <v>RTG</v>
      </c>
      <c r="MBT948" s="7">
        <v>45992</v>
      </c>
      <c r="MBU948" s="7">
        <f t="shared" ref="MBU948" si="4015">IF(MBV948="Trimestral", MBT948+90, IF(MBV948="Semestral", MBT948+180, MBT948+365))</f>
        <v>46172</v>
      </c>
      <c r="MBV948" s="7" t="str">
        <f t="shared" ref="MBV948" si="4016">IF(MBK948="Ionizador", "Trimestral", IF(MBK948="Rack", "Semestral", IF(MBK948="Mesa", "Semestral", IF(MBK948="Tapete", "Semestral", IF(MBK948="Cautín", "Semestral", IF(MBK948="Silla", "Semestral", "Anual"))))))</f>
        <v>Semestral</v>
      </c>
      <c r="MBW948" s="2" t="str">
        <f t="shared" ref="MBW948" ca="1" si="4017">IF(MBU948&lt;TODAY(),"VENCIDO",IF(MBU948=TODAY(),"VENCE HOY",IF(MBU948&gt;TODAY(),"VIGENTE")))</f>
        <v>VIGENTE</v>
      </c>
      <c r="MBX948" s="6" t="s">
        <v>25</v>
      </c>
      <c r="MBY948" s="23" t="s">
        <v>138</v>
      </c>
      <c r="MBZ948" s="2" t="s">
        <v>433</v>
      </c>
      <c r="MCA948" s="3" t="s">
        <v>22</v>
      </c>
      <c r="MCB948" s="3" t="s">
        <v>23</v>
      </c>
      <c r="MCC948" s="2" t="s">
        <v>24</v>
      </c>
      <c r="MCD948" s="4">
        <v>0</v>
      </c>
      <c r="MCE948" s="8">
        <f t="shared" ref="MCE948" si="4018">IF(MCA948="Ionizador", 10, IF(MCA948="Mesa", 1000000000, IF(MCA948="Rack", 1000000000, IF(MCA948="Piso", 1000000000, IF(MCA948="Tapete", 1000000000, IF(MCA948="Carrito", 1000000000, IF(MCA948="Cautín", 10, 1)))))))</f>
        <v>1000000000</v>
      </c>
      <c r="MCF948" s="4" t="str">
        <f t="shared" ref="MCF948" si="4019">IF(MCA948="Ionizador", "Segundos", "Ohms")</f>
        <v>Ohms</v>
      </c>
      <c r="MCG948" s="6">
        <v>148000000</v>
      </c>
      <c r="MCH948" s="6" t="str">
        <f t="shared" ref="MCH948" si="4020">MCF948</f>
        <v>Ohms</v>
      </c>
      <c r="MCI948" s="2" t="str">
        <f t="shared" ref="MCI948" si="4021">IF(MCA948="Ionizador", "Plato de carga", IF(MCA948="Cautín", "PTG", "RTG"))</f>
        <v>RTG</v>
      </c>
      <c r="MCJ948" s="7">
        <v>45992</v>
      </c>
      <c r="MCK948" s="7">
        <f t="shared" ref="MCK948" si="4022">IF(MCL948="Trimestral", MCJ948+90, IF(MCL948="Semestral", MCJ948+180, MCJ948+365))</f>
        <v>46172</v>
      </c>
      <c r="MCL948" s="7" t="str">
        <f t="shared" ref="MCL948" si="4023">IF(MCA948="Ionizador", "Trimestral", IF(MCA948="Rack", "Semestral", IF(MCA948="Mesa", "Semestral", IF(MCA948="Tapete", "Semestral", IF(MCA948="Cautín", "Semestral", IF(MCA948="Silla", "Semestral", "Anual"))))))</f>
        <v>Semestral</v>
      </c>
      <c r="MCM948" s="2" t="str">
        <f t="shared" ref="MCM948" ca="1" si="4024">IF(MCK948&lt;TODAY(),"VENCIDO",IF(MCK948=TODAY(),"VENCE HOY",IF(MCK948&gt;TODAY(),"VIGENTE")))</f>
        <v>VIGENTE</v>
      </c>
      <c r="MCN948" s="6" t="s">
        <v>25</v>
      </c>
      <c r="MCO948" s="23" t="s">
        <v>138</v>
      </c>
      <c r="MCP948" s="2" t="s">
        <v>433</v>
      </c>
      <c r="MCQ948" s="3" t="s">
        <v>22</v>
      </c>
      <c r="MCR948" s="3" t="s">
        <v>23</v>
      </c>
      <c r="MCS948" s="2" t="s">
        <v>24</v>
      </c>
      <c r="MCT948" s="4">
        <v>0</v>
      </c>
      <c r="MCU948" s="8">
        <f t="shared" ref="MCU948" si="4025">IF(MCQ948="Ionizador", 10, IF(MCQ948="Mesa", 1000000000, IF(MCQ948="Rack", 1000000000, IF(MCQ948="Piso", 1000000000, IF(MCQ948="Tapete", 1000000000, IF(MCQ948="Carrito", 1000000000, IF(MCQ948="Cautín", 10, 1)))))))</f>
        <v>1000000000</v>
      </c>
      <c r="MCV948" s="4" t="str">
        <f t="shared" ref="MCV948" si="4026">IF(MCQ948="Ionizador", "Segundos", "Ohms")</f>
        <v>Ohms</v>
      </c>
      <c r="MCW948" s="6">
        <v>148000000</v>
      </c>
      <c r="MCX948" s="6" t="str">
        <f t="shared" ref="MCX948" si="4027">MCV948</f>
        <v>Ohms</v>
      </c>
      <c r="MCY948" s="2" t="str">
        <f t="shared" ref="MCY948" si="4028">IF(MCQ948="Ionizador", "Plato de carga", IF(MCQ948="Cautín", "PTG", "RTG"))</f>
        <v>RTG</v>
      </c>
      <c r="MCZ948" s="7">
        <v>45992</v>
      </c>
      <c r="MDA948" s="7">
        <f t="shared" ref="MDA948" si="4029">IF(MDB948="Trimestral", MCZ948+90, IF(MDB948="Semestral", MCZ948+180, MCZ948+365))</f>
        <v>46172</v>
      </c>
      <c r="MDB948" s="7" t="str">
        <f t="shared" ref="MDB948" si="4030">IF(MCQ948="Ionizador", "Trimestral", IF(MCQ948="Rack", "Semestral", IF(MCQ948="Mesa", "Semestral", IF(MCQ948="Tapete", "Semestral", IF(MCQ948="Cautín", "Semestral", IF(MCQ948="Silla", "Semestral", "Anual"))))))</f>
        <v>Semestral</v>
      </c>
      <c r="MDC948" s="2" t="str">
        <f t="shared" ref="MDC948" ca="1" si="4031">IF(MDA948&lt;TODAY(),"VENCIDO",IF(MDA948=TODAY(),"VENCE HOY",IF(MDA948&gt;TODAY(),"VIGENTE")))</f>
        <v>VIGENTE</v>
      </c>
      <c r="MDD948" s="6" t="s">
        <v>25</v>
      </c>
      <c r="MDE948" s="23" t="s">
        <v>138</v>
      </c>
      <c r="MDF948" s="2" t="s">
        <v>433</v>
      </c>
      <c r="MDG948" s="3" t="s">
        <v>22</v>
      </c>
      <c r="MDH948" s="3" t="s">
        <v>23</v>
      </c>
      <c r="MDI948" s="2" t="s">
        <v>24</v>
      </c>
      <c r="MDJ948" s="4">
        <v>0</v>
      </c>
      <c r="MDK948" s="8">
        <f t="shared" ref="MDK948" si="4032">IF(MDG948="Ionizador", 10, IF(MDG948="Mesa", 1000000000, IF(MDG948="Rack", 1000000000, IF(MDG948="Piso", 1000000000, IF(MDG948="Tapete", 1000000000, IF(MDG948="Carrito", 1000000000, IF(MDG948="Cautín", 10, 1)))))))</f>
        <v>1000000000</v>
      </c>
      <c r="MDL948" s="4" t="str">
        <f t="shared" ref="MDL948" si="4033">IF(MDG948="Ionizador", "Segundos", "Ohms")</f>
        <v>Ohms</v>
      </c>
      <c r="MDM948" s="6">
        <v>148000000</v>
      </c>
      <c r="MDN948" s="6" t="str">
        <f t="shared" ref="MDN948" si="4034">MDL948</f>
        <v>Ohms</v>
      </c>
      <c r="MDO948" s="2" t="str">
        <f t="shared" ref="MDO948" si="4035">IF(MDG948="Ionizador", "Plato de carga", IF(MDG948="Cautín", "PTG", "RTG"))</f>
        <v>RTG</v>
      </c>
      <c r="MDP948" s="7">
        <v>45992</v>
      </c>
      <c r="MDQ948" s="7">
        <f t="shared" ref="MDQ948" si="4036">IF(MDR948="Trimestral", MDP948+90, IF(MDR948="Semestral", MDP948+180, MDP948+365))</f>
        <v>46172</v>
      </c>
      <c r="MDR948" s="7" t="str">
        <f t="shared" ref="MDR948" si="4037">IF(MDG948="Ionizador", "Trimestral", IF(MDG948="Rack", "Semestral", IF(MDG948="Mesa", "Semestral", IF(MDG948="Tapete", "Semestral", IF(MDG948="Cautín", "Semestral", IF(MDG948="Silla", "Semestral", "Anual"))))))</f>
        <v>Semestral</v>
      </c>
      <c r="MDS948" s="2" t="str">
        <f t="shared" ref="MDS948" ca="1" si="4038">IF(MDQ948&lt;TODAY(),"VENCIDO",IF(MDQ948=TODAY(),"VENCE HOY",IF(MDQ948&gt;TODAY(),"VIGENTE")))</f>
        <v>VIGENTE</v>
      </c>
      <c r="MDT948" s="6" t="s">
        <v>25</v>
      </c>
      <c r="MDU948" s="23" t="s">
        <v>138</v>
      </c>
      <c r="MDV948" s="2" t="s">
        <v>433</v>
      </c>
      <c r="MDW948" s="3" t="s">
        <v>22</v>
      </c>
      <c r="MDX948" s="3" t="s">
        <v>23</v>
      </c>
      <c r="MDY948" s="2" t="s">
        <v>24</v>
      </c>
      <c r="MDZ948" s="4">
        <v>0</v>
      </c>
      <c r="MEA948" s="8">
        <f t="shared" ref="MEA948" si="4039">IF(MDW948="Ionizador", 10, IF(MDW948="Mesa", 1000000000, IF(MDW948="Rack", 1000000000, IF(MDW948="Piso", 1000000000, IF(MDW948="Tapete", 1000000000, IF(MDW948="Carrito", 1000000000, IF(MDW948="Cautín", 10, 1)))))))</f>
        <v>1000000000</v>
      </c>
      <c r="MEB948" s="4" t="str">
        <f t="shared" ref="MEB948" si="4040">IF(MDW948="Ionizador", "Segundos", "Ohms")</f>
        <v>Ohms</v>
      </c>
      <c r="MEC948" s="6">
        <v>148000000</v>
      </c>
      <c r="MED948" s="6" t="str">
        <f t="shared" ref="MED948" si="4041">MEB948</f>
        <v>Ohms</v>
      </c>
      <c r="MEE948" s="2" t="str">
        <f t="shared" ref="MEE948" si="4042">IF(MDW948="Ionizador", "Plato de carga", IF(MDW948="Cautín", "PTG", "RTG"))</f>
        <v>RTG</v>
      </c>
      <c r="MEF948" s="7">
        <v>45992</v>
      </c>
      <c r="MEG948" s="7">
        <f t="shared" ref="MEG948" si="4043">IF(MEH948="Trimestral", MEF948+90, IF(MEH948="Semestral", MEF948+180, MEF948+365))</f>
        <v>46172</v>
      </c>
      <c r="MEH948" s="7" t="str">
        <f t="shared" ref="MEH948" si="4044">IF(MDW948="Ionizador", "Trimestral", IF(MDW948="Rack", "Semestral", IF(MDW948="Mesa", "Semestral", IF(MDW948="Tapete", "Semestral", IF(MDW948="Cautín", "Semestral", IF(MDW948="Silla", "Semestral", "Anual"))))))</f>
        <v>Semestral</v>
      </c>
      <c r="MEI948" s="2" t="str">
        <f t="shared" ref="MEI948" ca="1" si="4045">IF(MEG948&lt;TODAY(),"VENCIDO",IF(MEG948=TODAY(),"VENCE HOY",IF(MEG948&gt;TODAY(),"VIGENTE")))</f>
        <v>VIGENTE</v>
      </c>
      <c r="MEJ948" s="6" t="s">
        <v>25</v>
      </c>
      <c r="MEK948" s="23" t="s">
        <v>138</v>
      </c>
      <c r="MEL948" s="2" t="s">
        <v>433</v>
      </c>
      <c r="MEM948" s="3" t="s">
        <v>22</v>
      </c>
      <c r="MEN948" s="3" t="s">
        <v>23</v>
      </c>
      <c r="MEO948" s="2" t="s">
        <v>24</v>
      </c>
      <c r="MEP948" s="4">
        <v>0</v>
      </c>
      <c r="MEQ948" s="8">
        <f t="shared" ref="MEQ948" si="4046">IF(MEM948="Ionizador", 10, IF(MEM948="Mesa", 1000000000, IF(MEM948="Rack", 1000000000, IF(MEM948="Piso", 1000000000, IF(MEM948="Tapete", 1000000000, IF(MEM948="Carrito", 1000000000, IF(MEM948="Cautín", 10, 1)))))))</f>
        <v>1000000000</v>
      </c>
      <c r="MER948" s="4" t="str">
        <f t="shared" ref="MER948" si="4047">IF(MEM948="Ionizador", "Segundos", "Ohms")</f>
        <v>Ohms</v>
      </c>
      <c r="MES948" s="6">
        <v>148000000</v>
      </c>
      <c r="MET948" s="6" t="str">
        <f t="shared" ref="MET948" si="4048">MER948</f>
        <v>Ohms</v>
      </c>
      <c r="MEU948" s="2" t="str">
        <f t="shared" ref="MEU948" si="4049">IF(MEM948="Ionizador", "Plato de carga", IF(MEM948="Cautín", "PTG", "RTG"))</f>
        <v>RTG</v>
      </c>
      <c r="MEV948" s="7">
        <v>45992</v>
      </c>
      <c r="MEW948" s="7">
        <f t="shared" ref="MEW948" si="4050">IF(MEX948="Trimestral", MEV948+90, IF(MEX948="Semestral", MEV948+180, MEV948+365))</f>
        <v>46172</v>
      </c>
      <c r="MEX948" s="7" t="str">
        <f t="shared" ref="MEX948" si="4051">IF(MEM948="Ionizador", "Trimestral", IF(MEM948="Rack", "Semestral", IF(MEM948="Mesa", "Semestral", IF(MEM948="Tapete", "Semestral", IF(MEM948="Cautín", "Semestral", IF(MEM948="Silla", "Semestral", "Anual"))))))</f>
        <v>Semestral</v>
      </c>
      <c r="MEY948" s="2" t="str">
        <f t="shared" ref="MEY948" ca="1" si="4052">IF(MEW948&lt;TODAY(),"VENCIDO",IF(MEW948=TODAY(),"VENCE HOY",IF(MEW948&gt;TODAY(),"VIGENTE")))</f>
        <v>VIGENTE</v>
      </c>
      <c r="MEZ948" s="6" t="s">
        <v>25</v>
      </c>
      <c r="MFA948" s="23" t="s">
        <v>138</v>
      </c>
      <c r="MFB948" s="2" t="s">
        <v>433</v>
      </c>
      <c r="MFC948" s="3" t="s">
        <v>22</v>
      </c>
      <c r="MFD948" s="3" t="s">
        <v>23</v>
      </c>
      <c r="MFE948" s="2" t="s">
        <v>24</v>
      </c>
      <c r="MFF948" s="4">
        <v>0</v>
      </c>
      <c r="MFG948" s="8">
        <f t="shared" ref="MFG948" si="4053">IF(MFC948="Ionizador", 10, IF(MFC948="Mesa", 1000000000, IF(MFC948="Rack", 1000000000, IF(MFC948="Piso", 1000000000, IF(MFC948="Tapete", 1000000000, IF(MFC948="Carrito", 1000000000, IF(MFC948="Cautín", 10, 1)))))))</f>
        <v>1000000000</v>
      </c>
      <c r="MFH948" s="4" t="str">
        <f t="shared" ref="MFH948" si="4054">IF(MFC948="Ionizador", "Segundos", "Ohms")</f>
        <v>Ohms</v>
      </c>
      <c r="MFI948" s="6">
        <v>148000000</v>
      </c>
      <c r="MFJ948" s="6" t="str">
        <f t="shared" ref="MFJ948" si="4055">MFH948</f>
        <v>Ohms</v>
      </c>
      <c r="MFK948" s="2" t="str">
        <f t="shared" ref="MFK948" si="4056">IF(MFC948="Ionizador", "Plato de carga", IF(MFC948="Cautín", "PTG", "RTG"))</f>
        <v>RTG</v>
      </c>
      <c r="MFL948" s="7">
        <v>45992</v>
      </c>
      <c r="MFM948" s="7">
        <f t="shared" ref="MFM948" si="4057">IF(MFN948="Trimestral", MFL948+90, IF(MFN948="Semestral", MFL948+180, MFL948+365))</f>
        <v>46172</v>
      </c>
      <c r="MFN948" s="7" t="str">
        <f t="shared" ref="MFN948" si="4058">IF(MFC948="Ionizador", "Trimestral", IF(MFC948="Rack", "Semestral", IF(MFC948="Mesa", "Semestral", IF(MFC948="Tapete", "Semestral", IF(MFC948="Cautín", "Semestral", IF(MFC948="Silla", "Semestral", "Anual"))))))</f>
        <v>Semestral</v>
      </c>
      <c r="MFO948" s="2" t="str">
        <f t="shared" ref="MFO948" ca="1" si="4059">IF(MFM948&lt;TODAY(),"VENCIDO",IF(MFM948=TODAY(),"VENCE HOY",IF(MFM948&gt;TODAY(),"VIGENTE")))</f>
        <v>VIGENTE</v>
      </c>
      <c r="MFP948" s="6" t="s">
        <v>25</v>
      </c>
      <c r="MFQ948" s="23" t="s">
        <v>138</v>
      </c>
      <c r="MFR948" s="2" t="s">
        <v>433</v>
      </c>
      <c r="MFS948" s="3" t="s">
        <v>22</v>
      </c>
      <c r="MFT948" s="3" t="s">
        <v>23</v>
      </c>
      <c r="MFU948" s="2" t="s">
        <v>24</v>
      </c>
      <c r="MFV948" s="4">
        <v>0</v>
      </c>
      <c r="MFW948" s="8">
        <f t="shared" ref="MFW948" si="4060">IF(MFS948="Ionizador", 10, IF(MFS948="Mesa", 1000000000, IF(MFS948="Rack", 1000000000, IF(MFS948="Piso", 1000000000, IF(MFS948="Tapete", 1000000000, IF(MFS948="Carrito", 1000000000, IF(MFS948="Cautín", 10, 1)))))))</f>
        <v>1000000000</v>
      </c>
      <c r="MFX948" s="4" t="str">
        <f t="shared" ref="MFX948" si="4061">IF(MFS948="Ionizador", "Segundos", "Ohms")</f>
        <v>Ohms</v>
      </c>
      <c r="MFY948" s="6">
        <v>148000000</v>
      </c>
      <c r="MFZ948" s="6" t="str">
        <f t="shared" ref="MFZ948" si="4062">MFX948</f>
        <v>Ohms</v>
      </c>
      <c r="MGA948" s="2" t="str">
        <f t="shared" ref="MGA948" si="4063">IF(MFS948="Ionizador", "Plato de carga", IF(MFS948="Cautín", "PTG", "RTG"))</f>
        <v>RTG</v>
      </c>
      <c r="MGB948" s="7">
        <v>45992</v>
      </c>
      <c r="MGC948" s="7">
        <f t="shared" ref="MGC948" si="4064">IF(MGD948="Trimestral", MGB948+90, IF(MGD948="Semestral", MGB948+180, MGB948+365))</f>
        <v>46172</v>
      </c>
      <c r="MGD948" s="7" t="str">
        <f t="shared" ref="MGD948" si="4065">IF(MFS948="Ionizador", "Trimestral", IF(MFS948="Rack", "Semestral", IF(MFS948="Mesa", "Semestral", IF(MFS948="Tapete", "Semestral", IF(MFS948="Cautín", "Semestral", IF(MFS948="Silla", "Semestral", "Anual"))))))</f>
        <v>Semestral</v>
      </c>
      <c r="MGE948" s="2" t="str">
        <f t="shared" ref="MGE948" ca="1" si="4066">IF(MGC948&lt;TODAY(),"VENCIDO",IF(MGC948=TODAY(),"VENCE HOY",IF(MGC948&gt;TODAY(),"VIGENTE")))</f>
        <v>VIGENTE</v>
      </c>
      <c r="MGF948" s="6" t="s">
        <v>25</v>
      </c>
      <c r="MGG948" s="23" t="s">
        <v>138</v>
      </c>
      <c r="MGH948" s="2" t="s">
        <v>433</v>
      </c>
      <c r="MGI948" s="3" t="s">
        <v>22</v>
      </c>
      <c r="MGJ948" s="3" t="s">
        <v>23</v>
      </c>
      <c r="MGK948" s="2" t="s">
        <v>24</v>
      </c>
      <c r="MGL948" s="4">
        <v>0</v>
      </c>
      <c r="MGM948" s="8">
        <f t="shared" ref="MGM948" si="4067">IF(MGI948="Ionizador", 10, IF(MGI948="Mesa", 1000000000, IF(MGI948="Rack", 1000000000, IF(MGI948="Piso", 1000000000, IF(MGI948="Tapete", 1000000000, IF(MGI948="Carrito", 1000000000, IF(MGI948="Cautín", 10, 1)))))))</f>
        <v>1000000000</v>
      </c>
      <c r="MGN948" s="4" t="str">
        <f t="shared" ref="MGN948" si="4068">IF(MGI948="Ionizador", "Segundos", "Ohms")</f>
        <v>Ohms</v>
      </c>
      <c r="MGO948" s="6">
        <v>148000000</v>
      </c>
      <c r="MGP948" s="6" t="str">
        <f t="shared" ref="MGP948" si="4069">MGN948</f>
        <v>Ohms</v>
      </c>
      <c r="MGQ948" s="2" t="str">
        <f t="shared" ref="MGQ948" si="4070">IF(MGI948="Ionizador", "Plato de carga", IF(MGI948="Cautín", "PTG", "RTG"))</f>
        <v>RTG</v>
      </c>
      <c r="MGR948" s="7">
        <v>45992</v>
      </c>
      <c r="MGS948" s="7">
        <f t="shared" ref="MGS948" si="4071">IF(MGT948="Trimestral", MGR948+90, IF(MGT948="Semestral", MGR948+180, MGR948+365))</f>
        <v>46172</v>
      </c>
      <c r="MGT948" s="7" t="str">
        <f t="shared" ref="MGT948" si="4072">IF(MGI948="Ionizador", "Trimestral", IF(MGI948="Rack", "Semestral", IF(MGI948="Mesa", "Semestral", IF(MGI948="Tapete", "Semestral", IF(MGI948="Cautín", "Semestral", IF(MGI948="Silla", "Semestral", "Anual"))))))</f>
        <v>Semestral</v>
      </c>
      <c r="MGU948" s="2" t="str">
        <f t="shared" ref="MGU948" ca="1" si="4073">IF(MGS948&lt;TODAY(),"VENCIDO",IF(MGS948=TODAY(),"VENCE HOY",IF(MGS948&gt;TODAY(),"VIGENTE")))</f>
        <v>VIGENTE</v>
      </c>
      <c r="MGV948" s="6" t="s">
        <v>25</v>
      </c>
      <c r="MGW948" s="23" t="s">
        <v>138</v>
      </c>
      <c r="MGX948" s="2" t="s">
        <v>433</v>
      </c>
      <c r="MGY948" s="3" t="s">
        <v>22</v>
      </c>
      <c r="MGZ948" s="3" t="s">
        <v>23</v>
      </c>
      <c r="MHA948" s="2" t="s">
        <v>24</v>
      </c>
      <c r="MHB948" s="4">
        <v>0</v>
      </c>
      <c r="MHC948" s="8">
        <f t="shared" ref="MHC948" si="4074">IF(MGY948="Ionizador", 10, IF(MGY948="Mesa", 1000000000, IF(MGY948="Rack", 1000000000, IF(MGY948="Piso", 1000000000, IF(MGY948="Tapete", 1000000000, IF(MGY948="Carrito", 1000000000, IF(MGY948="Cautín", 10, 1)))))))</f>
        <v>1000000000</v>
      </c>
      <c r="MHD948" s="4" t="str">
        <f t="shared" ref="MHD948" si="4075">IF(MGY948="Ionizador", "Segundos", "Ohms")</f>
        <v>Ohms</v>
      </c>
      <c r="MHE948" s="6">
        <v>148000000</v>
      </c>
      <c r="MHF948" s="6" t="str">
        <f t="shared" ref="MHF948" si="4076">MHD948</f>
        <v>Ohms</v>
      </c>
      <c r="MHG948" s="2" t="str">
        <f t="shared" ref="MHG948" si="4077">IF(MGY948="Ionizador", "Plato de carga", IF(MGY948="Cautín", "PTG", "RTG"))</f>
        <v>RTG</v>
      </c>
      <c r="MHH948" s="7">
        <v>45992</v>
      </c>
      <c r="MHI948" s="7">
        <f t="shared" ref="MHI948" si="4078">IF(MHJ948="Trimestral", MHH948+90, IF(MHJ948="Semestral", MHH948+180, MHH948+365))</f>
        <v>46172</v>
      </c>
      <c r="MHJ948" s="7" t="str">
        <f t="shared" ref="MHJ948" si="4079">IF(MGY948="Ionizador", "Trimestral", IF(MGY948="Rack", "Semestral", IF(MGY948="Mesa", "Semestral", IF(MGY948="Tapete", "Semestral", IF(MGY948="Cautín", "Semestral", IF(MGY948="Silla", "Semestral", "Anual"))))))</f>
        <v>Semestral</v>
      </c>
      <c r="MHK948" s="2" t="str">
        <f t="shared" ref="MHK948" ca="1" si="4080">IF(MHI948&lt;TODAY(),"VENCIDO",IF(MHI948=TODAY(),"VENCE HOY",IF(MHI948&gt;TODAY(),"VIGENTE")))</f>
        <v>VIGENTE</v>
      </c>
      <c r="MHL948" s="6" t="s">
        <v>25</v>
      </c>
      <c r="MHM948" s="23" t="s">
        <v>138</v>
      </c>
      <c r="MHN948" s="2" t="s">
        <v>433</v>
      </c>
      <c r="MHO948" s="3" t="s">
        <v>22</v>
      </c>
      <c r="MHP948" s="3" t="s">
        <v>23</v>
      </c>
      <c r="MHQ948" s="2" t="s">
        <v>24</v>
      </c>
      <c r="MHR948" s="4">
        <v>0</v>
      </c>
      <c r="MHS948" s="8">
        <f t="shared" ref="MHS948" si="4081">IF(MHO948="Ionizador", 10, IF(MHO948="Mesa", 1000000000, IF(MHO948="Rack", 1000000000, IF(MHO948="Piso", 1000000000, IF(MHO948="Tapete", 1000000000, IF(MHO948="Carrito", 1000000000, IF(MHO948="Cautín", 10, 1)))))))</f>
        <v>1000000000</v>
      </c>
      <c r="MHT948" s="4" t="str">
        <f t="shared" ref="MHT948" si="4082">IF(MHO948="Ionizador", "Segundos", "Ohms")</f>
        <v>Ohms</v>
      </c>
      <c r="MHU948" s="6">
        <v>148000000</v>
      </c>
      <c r="MHV948" s="6" t="str">
        <f t="shared" ref="MHV948" si="4083">MHT948</f>
        <v>Ohms</v>
      </c>
      <c r="MHW948" s="2" t="str">
        <f t="shared" ref="MHW948" si="4084">IF(MHO948="Ionizador", "Plato de carga", IF(MHO948="Cautín", "PTG", "RTG"))</f>
        <v>RTG</v>
      </c>
      <c r="MHX948" s="7">
        <v>45992</v>
      </c>
      <c r="MHY948" s="7">
        <f t="shared" ref="MHY948" si="4085">IF(MHZ948="Trimestral", MHX948+90, IF(MHZ948="Semestral", MHX948+180, MHX948+365))</f>
        <v>46172</v>
      </c>
      <c r="MHZ948" s="7" t="str">
        <f t="shared" ref="MHZ948" si="4086">IF(MHO948="Ionizador", "Trimestral", IF(MHO948="Rack", "Semestral", IF(MHO948="Mesa", "Semestral", IF(MHO948="Tapete", "Semestral", IF(MHO948="Cautín", "Semestral", IF(MHO948="Silla", "Semestral", "Anual"))))))</f>
        <v>Semestral</v>
      </c>
      <c r="MIA948" s="2" t="str">
        <f t="shared" ref="MIA948" ca="1" si="4087">IF(MHY948&lt;TODAY(),"VENCIDO",IF(MHY948=TODAY(),"VENCE HOY",IF(MHY948&gt;TODAY(),"VIGENTE")))</f>
        <v>VIGENTE</v>
      </c>
      <c r="MIB948" s="6" t="s">
        <v>25</v>
      </c>
      <c r="MIC948" s="23" t="s">
        <v>138</v>
      </c>
      <c r="MID948" s="2" t="s">
        <v>433</v>
      </c>
      <c r="MIE948" s="3" t="s">
        <v>22</v>
      </c>
      <c r="MIF948" s="3" t="s">
        <v>23</v>
      </c>
      <c r="MIG948" s="2" t="s">
        <v>24</v>
      </c>
      <c r="MIH948" s="4">
        <v>0</v>
      </c>
      <c r="MII948" s="8">
        <f t="shared" ref="MII948" si="4088">IF(MIE948="Ionizador", 10, IF(MIE948="Mesa", 1000000000, IF(MIE948="Rack", 1000000000, IF(MIE948="Piso", 1000000000, IF(MIE948="Tapete", 1000000000, IF(MIE948="Carrito", 1000000000, IF(MIE948="Cautín", 10, 1)))))))</f>
        <v>1000000000</v>
      </c>
      <c r="MIJ948" s="4" t="str">
        <f t="shared" ref="MIJ948" si="4089">IF(MIE948="Ionizador", "Segundos", "Ohms")</f>
        <v>Ohms</v>
      </c>
      <c r="MIK948" s="6">
        <v>148000000</v>
      </c>
      <c r="MIL948" s="6" t="str">
        <f t="shared" ref="MIL948" si="4090">MIJ948</f>
        <v>Ohms</v>
      </c>
      <c r="MIM948" s="2" t="str">
        <f t="shared" ref="MIM948" si="4091">IF(MIE948="Ionizador", "Plato de carga", IF(MIE948="Cautín", "PTG", "RTG"))</f>
        <v>RTG</v>
      </c>
      <c r="MIN948" s="7">
        <v>45992</v>
      </c>
      <c r="MIO948" s="7">
        <f t="shared" ref="MIO948" si="4092">IF(MIP948="Trimestral", MIN948+90, IF(MIP948="Semestral", MIN948+180, MIN948+365))</f>
        <v>46172</v>
      </c>
      <c r="MIP948" s="7" t="str">
        <f t="shared" ref="MIP948" si="4093">IF(MIE948="Ionizador", "Trimestral", IF(MIE948="Rack", "Semestral", IF(MIE948="Mesa", "Semestral", IF(MIE948="Tapete", "Semestral", IF(MIE948="Cautín", "Semestral", IF(MIE948="Silla", "Semestral", "Anual"))))))</f>
        <v>Semestral</v>
      </c>
      <c r="MIQ948" s="2" t="str">
        <f t="shared" ref="MIQ948" ca="1" si="4094">IF(MIO948&lt;TODAY(),"VENCIDO",IF(MIO948=TODAY(),"VENCE HOY",IF(MIO948&gt;TODAY(),"VIGENTE")))</f>
        <v>VIGENTE</v>
      </c>
      <c r="MIR948" s="6" t="s">
        <v>25</v>
      </c>
      <c r="MIS948" s="23" t="s">
        <v>138</v>
      </c>
      <c r="MIT948" s="2" t="s">
        <v>433</v>
      </c>
      <c r="MIU948" s="3" t="s">
        <v>22</v>
      </c>
      <c r="MIV948" s="3" t="s">
        <v>23</v>
      </c>
      <c r="MIW948" s="2" t="s">
        <v>24</v>
      </c>
      <c r="MIX948" s="4">
        <v>0</v>
      </c>
      <c r="MIY948" s="8">
        <f t="shared" ref="MIY948" si="4095">IF(MIU948="Ionizador", 10, IF(MIU948="Mesa", 1000000000, IF(MIU948="Rack", 1000000000, IF(MIU948="Piso", 1000000000, IF(MIU948="Tapete", 1000000000, IF(MIU948="Carrito", 1000000000, IF(MIU948="Cautín", 10, 1)))))))</f>
        <v>1000000000</v>
      </c>
      <c r="MIZ948" s="4" t="str">
        <f t="shared" ref="MIZ948" si="4096">IF(MIU948="Ionizador", "Segundos", "Ohms")</f>
        <v>Ohms</v>
      </c>
      <c r="MJA948" s="6">
        <v>148000000</v>
      </c>
      <c r="MJB948" s="6" t="str">
        <f t="shared" ref="MJB948" si="4097">MIZ948</f>
        <v>Ohms</v>
      </c>
      <c r="MJC948" s="2" t="str">
        <f t="shared" ref="MJC948" si="4098">IF(MIU948="Ionizador", "Plato de carga", IF(MIU948="Cautín", "PTG", "RTG"))</f>
        <v>RTG</v>
      </c>
      <c r="MJD948" s="7">
        <v>45992</v>
      </c>
      <c r="MJE948" s="7">
        <f t="shared" ref="MJE948" si="4099">IF(MJF948="Trimestral", MJD948+90, IF(MJF948="Semestral", MJD948+180, MJD948+365))</f>
        <v>46172</v>
      </c>
      <c r="MJF948" s="7" t="str">
        <f t="shared" ref="MJF948" si="4100">IF(MIU948="Ionizador", "Trimestral", IF(MIU948="Rack", "Semestral", IF(MIU948="Mesa", "Semestral", IF(MIU948="Tapete", "Semestral", IF(MIU948="Cautín", "Semestral", IF(MIU948="Silla", "Semestral", "Anual"))))))</f>
        <v>Semestral</v>
      </c>
      <c r="MJG948" s="2" t="str">
        <f t="shared" ref="MJG948" ca="1" si="4101">IF(MJE948&lt;TODAY(),"VENCIDO",IF(MJE948=TODAY(),"VENCE HOY",IF(MJE948&gt;TODAY(),"VIGENTE")))</f>
        <v>VIGENTE</v>
      </c>
      <c r="MJH948" s="6" t="s">
        <v>25</v>
      </c>
      <c r="MJI948" s="23" t="s">
        <v>138</v>
      </c>
      <c r="MJJ948" s="2" t="s">
        <v>433</v>
      </c>
      <c r="MJK948" s="3" t="s">
        <v>22</v>
      </c>
      <c r="MJL948" s="3" t="s">
        <v>23</v>
      </c>
      <c r="MJM948" s="2" t="s">
        <v>24</v>
      </c>
      <c r="MJN948" s="4">
        <v>0</v>
      </c>
      <c r="MJO948" s="8">
        <f t="shared" ref="MJO948" si="4102">IF(MJK948="Ionizador", 10, IF(MJK948="Mesa", 1000000000, IF(MJK948="Rack", 1000000000, IF(MJK948="Piso", 1000000000, IF(MJK948="Tapete", 1000000000, IF(MJK948="Carrito", 1000000000, IF(MJK948="Cautín", 10, 1)))))))</f>
        <v>1000000000</v>
      </c>
      <c r="MJP948" s="4" t="str">
        <f t="shared" ref="MJP948" si="4103">IF(MJK948="Ionizador", "Segundos", "Ohms")</f>
        <v>Ohms</v>
      </c>
      <c r="MJQ948" s="6">
        <v>148000000</v>
      </c>
      <c r="MJR948" s="6" t="str">
        <f t="shared" ref="MJR948" si="4104">MJP948</f>
        <v>Ohms</v>
      </c>
      <c r="MJS948" s="2" t="str">
        <f t="shared" ref="MJS948" si="4105">IF(MJK948="Ionizador", "Plato de carga", IF(MJK948="Cautín", "PTG", "RTG"))</f>
        <v>RTG</v>
      </c>
      <c r="MJT948" s="7">
        <v>45992</v>
      </c>
      <c r="MJU948" s="7">
        <f t="shared" ref="MJU948" si="4106">IF(MJV948="Trimestral", MJT948+90, IF(MJV948="Semestral", MJT948+180, MJT948+365))</f>
        <v>46172</v>
      </c>
      <c r="MJV948" s="7" t="str">
        <f t="shared" ref="MJV948" si="4107">IF(MJK948="Ionizador", "Trimestral", IF(MJK948="Rack", "Semestral", IF(MJK948="Mesa", "Semestral", IF(MJK948="Tapete", "Semestral", IF(MJK948="Cautín", "Semestral", IF(MJK948="Silla", "Semestral", "Anual"))))))</f>
        <v>Semestral</v>
      </c>
      <c r="MJW948" s="2" t="str">
        <f t="shared" ref="MJW948" ca="1" si="4108">IF(MJU948&lt;TODAY(),"VENCIDO",IF(MJU948=TODAY(),"VENCE HOY",IF(MJU948&gt;TODAY(),"VIGENTE")))</f>
        <v>VIGENTE</v>
      </c>
      <c r="MJX948" s="6" t="s">
        <v>25</v>
      </c>
      <c r="MJY948" s="23" t="s">
        <v>138</v>
      </c>
      <c r="MJZ948" s="2" t="s">
        <v>433</v>
      </c>
      <c r="MKA948" s="3" t="s">
        <v>22</v>
      </c>
      <c r="MKB948" s="3" t="s">
        <v>23</v>
      </c>
      <c r="MKC948" s="2" t="s">
        <v>24</v>
      </c>
      <c r="MKD948" s="4">
        <v>0</v>
      </c>
      <c r="MKE948" s="8">
        <f t="shared" ref="MKE948" si="4109">IF(MKA948="Ionizador", 10, IF(MKA948="Mesa", 1000000000, IF(MKA948="Rack", 1000000000, IF(MKA948="Piso", 1000000000, IF(MKA948="Tapete", 1000000000, IF(MKA948="Carrito", 1000000000, IF(MKA948="Cautín", 10, 1)))))))</f>
        <v>1000000000</v>
      </c>
      <c r="MKF948" s="4" t="str">
        <f t="shared" ref="MKF948" si="4110">IF(MKA948="Ionizador", "Segundos", "Ohms")</f>
        <v>Ohms</v>
      </c>
      <c r="MKG948" s="6">
        <v>148000000</v>
      </c>
      <c r="MKH948" s="6" t="str">
        <f t="shared" ref="MKH948" si="4111">MKF948</f>
        <v>Ohms</v>
      </c>
      <c r="MKI948" s="2" t="str">
        <f t="shared" ref="MKI948" si="4112">IF(MKA948="Ionizador", "Plato de carga", IF(MKA948="Cautín", "PTG", "RTG"))</f>
        <v>RTG</v>
      </c>
      <c r="MKJ948" s="7">
        <v>45992</v>
      </c>
      <c r="MKK948" s="7">
        <f t="shared" ref="MKK948" si="4113">IF(MKL948="Trimestral", MKJ948+90, IF(MKL948="Semestral", MKJ948+180, MKJ948+365))</f>
        <v>46172</v>
      </c>
      <c r="MKL948" s="7" t="str">
        <f t="shared" ref="MKL948" si="4114">IF(MKA948="Ionizador", "Trimestral", IF(MKA948="Rack", "Semestral", IF(MKA948="Mesa", "Semestral", IF(MKA948="Tapete", "Semestral", IF(MKA948="Cautín", "Semestral", IF(MKA948="Silla", "Semestral", "Anual"))))))</f>
        <v>Semestral</v>
      </c>
      <c r="MKM948" s="2" t="str">
        <f t="shared" ref="MKM948" ca="1" si="4115">IF(MKK948&lt;TODAY(),"VENCIDO",IF(MKK948=TODAY(),"VENCE HOY",IF(MKK948&gt;TODAY(),"VIGENTE")))</f>
        <v>VIGENTE</v>
      </c>
      <c r="MKN948" s="6" t="s">
        <v>25</v>
      </c>
      <c r="MKO948" s="23" t="s">
        <v>138</v>
      </c>
      <c r="MKP948" s="2" t="s">
        <v>433</v>
      </c>
      <c r="MKQ948" s="3" t="s">
        <v>22</v>
      </c>
      <c r="MKR948" s="3" t="s">
        <v>23</v>
      </c>
      <c r="MKS948" s="2" t="s">
        <v>24</v>
      </c>
      <c r="MKT948" s="4">
        <v>0</v>
      </c>
      <c r="MKU948" s="8">
        <f t="shared" ref="MKU948" si="4116">IF(MKQ948="Ionizador", 10, IF(MKQ948="Mesa", 1000000000, IF(MKQ948="Rack", 1000000000, IF(MKQ948="Piso", 1000000000, IF(MKQ948="Tapete", 1000000000, IF(MKQ948="Carrito", 1000000000, IF(MKQ948="Cautín", 10, 1)))))))</f>
        <v>1000000000</v>
      </c>
      <c r="MKV948" s="4" t="str">
        <f t="shared" ref="MKV948" si="4117">IF(MKQ948="Ionizador", "Segundos", "Ohms")</f>
        <v>Ohms</v>
      </c>
      <c r="MKW948" s="6">
        <v>148000000</v>
      </c>
      <c r="MKX948" s="6" t="str">
        <f t="shared" ref="MKX948" si="4118">MKV948</f>
        <v>Ohms</v>
      </c>
      <c r="MKY948" s="2" t="str">
        <f t="shared" ref="MKY948" si="4119">IF(MKQ948="Ionizador", "Plato de carga", IF(MKQ948="Cautín", "PTG", "RTG"))</f>
        <v>RTG</v>
      </c>
      <c r="MKZ948" s="7">
        <v>45992</v>
      </c>
      <c r="MLA948" s="7">
        <f t="shared" ref="MLA948" si="4120">IF(MLB948="Trimestral", MKZ948+90, IF(MLB948="Semestral", MKZ948+180, MKZ948+365))</f>
        <v>46172</v>
      </c>
      <c r="MLB948" s="7" t="str">
        <f t="shared" ref="MLB948" si="4121">IF(MKQ948="Ionizador", "Trimestral", IF(MKQ948="Rack", "Semestral", IF(MKQ948="Mesa", "Semestral", IF(MKQ948="Tapete", "Semestral", IF(MKQ948="Cautín", "Semestral", IF(MKQ948="Silla", "Semestral", "Anual"))))))</f>
        <v>Semestral</v>
      </c>
      <c r="MLC948" s="2" t="str">
        <f t="shared" ref="MLC948" ca="1" si="4122">IF(MLA948&lt;TODAY(),"VENCIDO",IF(MLA948=TODAY(),"VENCE HOY",IF(MLA948&gt;TODAY(),"VIGENTE")))</f>
        <v>VIGENTE</v>
      </c>
      <c r="MLD948" s="6" t="s">
        <v>25</v>
      </c>
      <c r="MLE948" s="23" t="s">
        <v>138</v>
      </c>
      <c r="MLF948" s="2" t="s">
        <v>433</v>
      </c>
      <c r="MLG948" s="3" t="s">
        <v>22</v>
      </c>
      <c r="MLH948" s="3" t="s">
        <v>23</v>
      </c>
      <c r="MLI948" s="2" t="s">
        <v>24</v>
      </c>
      <c r="MLJ948" s="4">
        <v>0</v>
      </c>
      <c r="MLK948" s="8">
        <f t="shared" ref="MLK948" si="4123">IF(MLG948="Ionizador", 10, IF(MLG948="Mesa", 1000000000, IF(MLG948="Rack", 1000000000, IF(MLG948="Piso", 1000000000, IF(MLG948="Tapete", 1000000000, IF(MLG948="Carrito", 1000000000, IF(MLG948="Cautín", 10, 1)))))))</f>
        <v>1000000000</v>
      </c>
      <c r="MLL948" s="4" t="str">
        <f t="shared" ref="MLL948" si="4124">IF(MLG948="Ionizador", "Segundos", "Ohms")</f>
        <v>Ohms</v>
      </c>
      <c r="MLM948" s="6">
        <v>148000000</v>
      </c>
      <c r="MLN948" s="6" t="str">
        <f t="shared" ref="MLN948" si="4125">MLL948</f>
        <v>Ohms</v>
      </c>
      <c r="MLO948" s="2" t="str">
        <f t="shared" ref="MLO948" si="4126">IF(MLG948="Ionizador", "Plato de carga", IF(MLG948="Cautín", "PTG", "RTG"))</f>
        <v>RTG</v>
      </c>
      <c r="MLP948" s="7">
        <v>45992</v>
      </c>
      <c r="MLQ948" s="7">
        <f t="shared" ref="MLQ948" si="4127">IF(MLR948="Trimestral", MLP948+90, IF(MLR948="Semestral", MLP948+180, MLP948+365))</f>
        <v>46172</v>
      </c>
      <c r="MLR948" s="7" t="str">
        <f t="shared" ref="MLR948" si="4128">IF(MLG948="Ionizador", "Trimestral", IF(MLG948="Rack", "Semestral", IF(MLG948="Mesa", "Semestral", IF(MLG948="Tapete", "Semestral", IF(MLG948="Cautín", "Semestral", IF(MLG948="Silla", "Semestral", "Anual"))))))</f>
        <v>Semestral</v>
      </c>
      <c r="MLS948" s="2" t="str">
        <f t="shared" ref="MLS948" ca="1" si="4129">IF(MLQ948&lt;TODAY(),"VENCIDO",IF(MLQ948=TODAY(),"VENCE HOY",IF(MLQ948&gt;TODAY(),"VIGENTE")))</f>
        <v>VIGENTE</v>
      </c>
      <c r="MLT948" s="6" t="s">
        <v>25</v>
      </c>
      <c r="MLU948" s="23" t="s">
        <v>138</v>
      </c>
      <c r="MLV948" s="2" t="s">
        <v>433</v>
      </c>
      <c r="MLW948" s="3" t="s">
        <v>22</v>
      </c>
      <c r="MLX948" s="3" t="s">
        <v>23</v>
      </c>
      <c r="MLY948" s="2" t="s">
        <v>24</v>
      </c>
      <c r="MLZ948" s="4">
        <v>0</v>
      </c>
      <c r="MMA948" s="8">
        <f t="shared" ref="MMA948" si="4130">IF(MLW948="Ionizador", 10, IF(MLW948="Mesa", 1000000000, IF(MLW948="Rack", 1000000000, IF(MLW948="Piso", 1000000000, IF(MLW948="Tapete", 1000000000, IF(MLW948="Carrito", 1000000000, IF(MLW948="Cautín", 10, 1)))))))</f>
        <v>1000000000</v>
      </c>
      <c r="MMB948" s="4" t="str">
        <f t="shared" ref="MMB948" si="4131">IF(MLW948="Ionizador", "Segundos", "Ohms")</f>
        <v>Ohms</v>
      </c>
      <c r="MMC948" s="6">
        <v>148000000</v>
      </c>
      <c r="MMD948" s="6" t="str">
        <f t="shared" ref="MMD948" si="4132">MMB948</f>
        <v>Ohms</v>
      </c>
      <c r="MME948" s="2" t="str">
        <f t="shared" ref="MME948" si="4133">IF(MLW948="Ionizador", "Plato de carga", IF(MLW948="Cautín", "PTG", "RTG"))</f>
        <v>RTG</v>
      </c>
      <c r="MMF948" s="7">
        <v>45992</v>
      </c>
      <c r="MMG948" s="7">
        <f t="shared" ref="MMG948" si="4134">IF(MMH948="Trimestral", MMF948+90, IF(MMH948="Semestral", MMF948+180, MMF948+365))</f>
        <v>46172</v>
      </c>
      <c r="MMH948" s="7" t="str">
        <f t="shared" ref="MMH948" si="4135">IF(MLW948="Ionizador", "Trimestral", IF(MLW948="Rack", "Semestral", IF(MLW948="Mesa", "Semestral", IF(MLW948="Tapete", "Semestral", IF(MLW948="Cautín", "Semestral", IF(MLW948="Silla", "Semestral", "Anual"))))))</f>
        <v>Semestral</v>
      </c>
      <c r="MMI948" s="2" t="str">
        <f t="shared" ref="MMI948" ca="1" si="4136">IF(MMG948&lt;TODAY(),"VENCIDO",IF(MMG948=TODAY(),"VENCE HOY",IF(MMG948&gt;TODAY(),"VIGENTE")))</f>
        <v>VIGENTE</v>
      </c>
      <c r="MMJ948" s="6" t="s">
        <v>25</v>
      </c>
      <c r="MMK948" s="23" t="s">
        <v>138</v>
      </c>
      <c r="MML948" s="2" t="s">
        <v>433</v>
      </c>
      <c r="MMM948" s="3" t="s">
        <v>22</v>
      </c>
      <c r="MMN948" s="3" t="s">
        <v>23</v>
      </c>
      <c r="MMO948" s="2" t="s">
        <v>24</v>
      </c>
      <c r="MMP948" s="4">
        <v>0</v>
      </c>
      <c r="MMQ948" s="8">
        <f t="shared" ref="MMQ948" si="4137">IF(MMM948="Ionizador", 10, IF(MMM948="Mesa", 1000000000, IF(MMM948="Rack", 1000000000, IF(MMM948="Piso", 1000000000, IF(MMM948="Tapete", 1000000000, IF(MMM948="Carrito", 1000000000, IF(MMM948="Cautín", 10, 1)))))))</f>
        <v>1000000000</v>
      </c>
      <c r="MMR948" s="4" t="str">
        <f t="shared" ref="MMR948" si="4138">IF(MMM948="Ionizador", "Segundos", "Ohms")</f>
        <v>Ohms</v>
      </c>
      <c r="MMS948" s="6">
        <v>148000000</v>
      </c>
      <c r="MMT948" s="6" t="str">
        <f t="shared" ref="MMT948" si="4139">MMR948</f>
        <v>Ohms</v>
      </c>
      <c r="MMU948" s="2" t="str">
        <f t="shared" ref="MMU948" si="4140">IF(MMM948="Ionizador", "Plato de carga", IF(MMM948="Cautín", "PTG", "RTG"))</f>
        <v>RTG</v>
      </c>
      <c r="MMV948" s="7">
        <v>45992</v>
      </c>
      <c r="MMW948" s="7">
        <f t="shared" ref="MMW948" si="4141">IF(MMX948="Trimestral", MMV948+90, IF(MMX948="Semestral", MMV948+180, MMV948+365))</f>
        <v>46172</v>
      </c>
      <c r="MMX948" s="7" t="str">
        <f t="shared" ref="MMX948" si="4142">IF(MMM948="Ionizador", "Trimestral", IF(MMM948="Rack", "Semestral", IF(MMM948="Mesa", "Semestral", IF(MMM948="Tapete", "Semestral", IF(MMM948="Cautín", "Semestral", IF(MMM948="Silla", "Semestral", "Anual"))))))</f>
        <v>Semestral</v>
      </c>
      <c r="MMY948" s="2" t="str">
        <f t="shared" ref="MMY948" ca="1" si="4143">IF(MMW948&lt;TODAY(),"VENCIDO",IF(MMW948=TODAY(),"VENCE HOY",IF(MMW948&gt;TODAY(),"VIGENTE")))</f>
        <v>VIGENTE</v>
      </c>
      <c r="MMZ948" s="6" t="s">
        <v>25</v>
      </c>
      <c r="MNA948" s="23" t="s">
        <v>138</v>
      </c>
      <c r="MNB948" s="2" t="s">
        <v>433</v>
      </c>
      <c r="MNC948" s="3" t="s">
        <v>22</v>
      </c>
      <c r="MND948" s="3" t="s">
        <v>23</v>
      </c>
      <c r="MNE948" s="2" t="s">
        <v>24</v>
      </c>
      <c r="MNF948" s="4">
        <v>0</v>
      </c>
      <c r="MNG948" s="8">
        <f t="shared" ref="MNG948" si="4144">IF(MNC948="Ionizador", 10, IF(MNC948="Mesa", 1000000000, IF(MNC948="Rack", 1000000000, IF(MNC948="Piso", 1000000000, IF(MNC948="Tapete", 1000000000, IF(MNC948="Carrito", 1000000000, IF(MNC948="Cautín", 10, 1)))))))</f>
        <v>1000000000</v>
      </c>
      <c r="MNH948" s="4" t="str">
        <f t="shared" ref="MNH948" si="4145">IF(MNC948="Ionizador", "Segundos", "Ohms")</f>
        <v>Ohms</v>
      </c>
      <c r="MNI948" s="6">
        <v>148000000</v>
      </c>
      <c r="MNJ948" s="6" t="str">
        <f t="shared" ref="MNJ948" si="4146">MNH948</f>
        <v>Ohms</v>
      </c>
      <c r="MNK948" s="2" t="str">
        <f t="shared" ref="MNK948" si="4147">IF(MNC948="Ionizador", "Plato de carga", IF(MNC948="Cautín", "PTG", "RTG"))</f>
        <v>RTG</v>
      </c>
      <c r="MNL948" s="7">
        <v>45992</v>
      </c>
      <c r="MNM948" s="7">
        <f t="shared" ref="MNM948" si="4148">IF(MNN948="Trimestral", MNL948+90, IF(MNN948="Semestral", MNL948+180, MNL948+365))</f>
        <v>46172</v>
      </c>
      <c r="MNN948" s="7" t="str">
        <f t="shared" ref="MNN948" si="4149">IF(MNC948="Ionizador", "Trimestral", IF(MNC948="Rack", "Semestral", IF(MNC948="Mesa", "Semestral", IF(MNC948="Tapete", "Semestral", IF(MNC948="Cautín", "Semestral", IF(MNC948="Silla", "Semestral", "Anual"))))))</f>
        <v>Semestral</v>
      </c>
      <c r="MNO948" s="2" t="str">
        <f t="shared" ref="MNO948" ca="1" si="4150">IF(MNM948&lt;TODAY(),"VENCIDO",IF(MNM948=TODAY(),"VENCE HOY",IF(MNM948&gt;TODAY(),"VIGENTE")))</f>
        <v>VIGENTE</v>
      </c>
      <c r="MNP948" s="6" t="s">
        <v>25</v>
      </c>
      <c r="MNQ948" s="23" t="s">
        <v>138</v>
      </c>
      <c r="MNR948" s="2" t="s">
        <v>433</v>
      </c>
      <c r="MNS948" s="3" t="s">
        <v>22</v>
      </c>
      <c r="MNT948" s="3" t="s">
        <v>23</v>
      </c>
      <c r="MNU948" s="2" t="s">
        <v>24</v>
      </c>
      <c r="MNV948" s="4">
        <v>0</v>
      </c>
      <c r="MNW948" s="8">
        <f t="shared" ref="MNW948" si="4151">IF(MNS948="Ionizador", 10, IF(MNS948="Mesa", 1000000000, IF(MNS948="Rack", 1000000000, IF(MNS948="Piso", 1000000000, IF(MNS948="Tapete", 1000000000, IF(MNS948="Carrito", 1000000000, IF(MNS948="Cautín", 10, 1)))))))</f>
        <v>1000000000</v>
      </c>
      <c r="MNX948" s="4" t="str">
        <f t="shared" ref="MNX948" si="4152">IF(MNS948="Ionizador", "Segundos", "Ohms")</f>
        <v>Ohms</v>
      </c>
      <c r="MNY948" s="6">
        <v>148000000</v>
      </c>
      <c r="MNZ948" s="6" t="str">
        <f t="shared" ref="MNZ948" si="4153">MNX948</f>
        <v>Ohms</v>
      </c>
      <c r="MOA948" s="2" t="str">
        <f t="shared" ref="MOA948" si="4154">IF(MNS948="Ionizador", "Plato de carga", IF(MNS948="Cautín", "PTG", "RTG"))</f>
        <v>RTG</v>
      </c>
      <c r="MOB948" s="7">
        <v>45992</v>
      </c>
      <c r="MOC948" s="7">
        <f t="shared" ref="MOC948" si="4155">IF(MOD948="Trimestral", MOB948+90, IF(MOD948="Semestral", MOB948+180, MOB948+365))</f>
        <v>46172</v>
      </c>
      <c r="MOD948" s="7" t="str">
        <f t="shared" ref="MOD948" si="4156">IF(MNS948="Ionizador", "Trimestral", IF(MNS948="Rack", "Semestral", IF(MNS948="Mesa", "Semestral", IF(MNS948="Tapete", "Semestral", IF(MNS948="Cautín", "Semestral", IF(MNS948="Silla", "Semestral", "Anual"))))))</f>
        <v>Semestral</v>
      </c>
      <c r="MOE948" s="2" t="str">
        <f t="shared" ref="MOE948" ca="1" si="4157">IF(MOC948&lt;TODAY(),"VENCIDO",IF(MOC948=TODAY(),"VENCE HOY",IF(MOC948&gt;TODAY(),"VIGENTE")))</f>
        <v>VIGENTE</v>
      </c>
      <c r="MOF948" s="6" t="s">
        <v>25</v>
      </c>
      <c r="MOG948" s="23" t="s">
        <v>138</v>
      </c>
      <c r="MOH948" s="2" t="s">
        <v>433</v>
      </c>
      <c r="MOI948" s="3" t="s">
        <v>22</v>
      </c>
      <c r="MOJ948" s="3" t="s">
        <v>23</v>
      </c>
      <c r="MOK948" s="2" t="s">
        <v>24</v>
      </c>
      <c r="MOL948" s="4">
        <v>0</v>
      </c>
      <c r="MOM948" s="8">
        <f t="shared" ref="MOM948" si="4158">IF(MOI948="Ionizador", 10, IF(MOI948="Mesa", 1000000000, IF(MOI948="Rack", 1000000000, IF(MOI948="Piso", 1000000000, IF(MOI948="Tapete", 1000000000, IF(MOI948="Carrito", 1000000000, IF(MOI948="Cautín", 10, 1)))))))</f>
        <v>1000000000</v>
      </c>
      <c r="MON948" s="4" t="str">
        <f t="shared" ref="MON948" si="4159">IF(MOI948="Ionizador", "Segundos", "Ohms")</f>
        <v>Ohms</v>
      </c>
      <c r="MOO948" s="6">
        <v>148000000</v>
      </c>
      <c r="MOP948" s="6" t="str">
        <f t="shared" ref="MOP948" si="4160">MON948</f>
        <v>Ohms</v>
      </c>
      <c r="MOQ948" s="2" t="str">
        <f t="shared" ref="MOQ948" si="4161">IF(MOI948="Ionizador", "Plato de carga", IF(MOI948="Cautín", "PTG", "RTG"))</f>
        <v>RTG</v>
      </c>
      <c r="MOR948" s="7">
        <v>45992</v>
      </c>
      <c r="MOS948" s="7">
        <f t="shared" ref="MOS948" si="4162">IF(MOT948="Trimestral", MOR948+90, IF(MOT948="Semestral", MOR948+180, MOR948+365))</f>
        <v>46172</v>
      </c>
      <c r="MOT948" s="7" t="str">
        <f t="shared" ref="MOT948" si="4163">IF(MOI948="Ionizador", "Trimestral", IF(MOI948="Rack", "Semestral", IF(MOI948="Mesa", "Semestral", IF(MOI948="Tapete", "Semestral", IF(MOI948="Cautín", "Semestral", IF(MOI948="Silla", "Semestral", "Anual"))))))</f>
        <v>Semestral</v>
      </c>
      <c r="MOU948" s="2" t="str">
        <f t="shared" ref="MOU948" ca="1" si="4164">IF(MOS948&lt;TODAY(),"VENCIDO",IF(MOS948=TODAY(),"VENCE HOY",IF(MOS948&gt;TODAY(),"VIGENTE")))</f>
        <v>VIGENTE</v>
      </c>
      <c r="MOV948" s="6" t="s">
        <v>25</v>
      </c>
      <c r="MOW948" s="23" t="s">
        <v>138</v>
      </c>
      <c r="MOX948" s="2" t="s">
        <v>433</v>
      </c>
      <c r="MOY948" s="3" t="s">
        <v>22</v>
      </c>
      <c r="MOZ948" s="3" t="s">
        <v>23</v>
      </c>
      <c r="MPA948" s="2" t="s">
        <v>24</v>
      </c>
      <c r="MPB948" s="4">
        <v>0</v>
      </c>
      <c r="MPC948" s="8">
        <f t="shared" ref="MPC948" si="4165">IF(MOY948="Ionizador", 10, IF(MOY948="Mesa", 1000000000, IF(MOY948="Rack", 1000000000, IF(MOY948="Piso", 1000000000, IF(MOY948="Tapete", 1000000000, IF(MOY948="Carrito", 1000000000, IF(MOY948="Cautín", 10, 1)))))))</f>
        <v>1000000000</v>
      </c>
      <c r="MPD948" s="4" t="str">
        <f t="shared" ref="MPD948" si="4166">IF(MOY948="Ionizador", "Segundos", "Ohms")</f>
        <v>Ohms</v>
      </c>
      <c r="MPE948" s="6">
        <v>148000000</v>
      </c>
      <c r="MPF948" s="6" t="str">
        <f t="shared" ref="MPF948" si="4167">MPD948</f>
        <v>Ohms</v>
      </c>
      <c r="MPG948" s="2" t="str">
        <f t="shared" ref="MPG948" si="4168">IF(MOY948="Ionizador", "Plato de carga", IF(MOY948="Cautín", "PTG", "RTG"))</f>
        <v>RTG</v>
      </c>
      <c r="MPH948" s="7">
        <v>45992</v>
      </c>
      <c r="MPI948" s="7">
        <f t="shared" ref="MPI948" si="4169">IF(MPJ948="Trimestral", MPH948+90, IF(MPJ948="Semestral", MPH948+180, MPH948+365))</f>
        <v>46172</v>
      </c>
      <c r="MPJ948" s="7" t="str">
        <f t="shared" ref="MPJ948" si="4170">IF(MOY948="Ionizador", "Trimestral", IF(MOY948="Rack", "Semestral", IF(MOY948="Mesa", "Semestral", IF(MOY948="Tapete", "Semestral", IF(MOY948="Cautín", "Semestral", IF(MOY948="Silla", "Semestral", "Anual"))))))</f>
        <v>Semestral</v>
      </c>
      <c r="MPK948" s="2" t="str">
        <f t="shared" ref="MPK948" ca="1" si="4171">IF(MPI948&lt;TODAY(),"VENCIDO",IF(MPI948=TODAY(),"VENCE HOY",IF(MPI948&gt;TODAY(),"VIGENTE")))</f>
        <v>VIGENTE</v>
      </c>
      <c r="MPL948" s="6" t="s">
        <v>25</v>
      </c>
      <c r="MPM948" s="23" t="s">
        <v>138</v>
      </c>
      <c r="MPN948" s="2" t="s">
        <v>433</v>
      </c>
      <c r="MPO948" s="3" t="s">
        <v>22</v>
      </c>
      <c r="MPP948" s="3" t="s">
        <v>23</v>
      </c>
      <c r="MPQ948" s="2" t="s">
        <v>24</v>
      </c>
      <c r="MPR948" s="4">
        <v>0</v>
      </c>
      <c r="MPS948" s="8">
        <f t="shared" ref="MPS948" si="4172">IF(MPO948="Ionizador", 10, IF(MPO948="Mesa", 1000000000, IF(MPO948="Rack", 1000000000, IF(MPO948="Piso", 1000000000, IF(MPO948="Tapete", 1000000000, IF(MPO948="Carrito", 1000000000, IF(MPO948="Cautín", 10, 1)))))))</f>
        <v>1000000000</v>
      </c>
      <c r="MPT948" s="4" t="str">
        <f t="shared" ref="MPT948" si="4173">IF(MPO948="Ionizador", "Segundos", "Ohms")</f>
        <v>Ohms</v>
      </c>
      <c r="MPU948" s="6">
        <v>148000000</v>
      </c>
      <c r="MPV948" s="6" t="str">
        <f t="shared" ref="MPV948" si="4174">MPT948</f>
        <v>Ohms</v>
      </c>
      <c r="MPW948" s="2" t="str">
        <f t="shared" ref="MPW948" si="4175">IF(MPO948="Ionizador", "Plato de carga", IF(MPO948="Cautín", "PTG", "RTG"))</f>
        <v>RTG</v>
      </c>
      <c r="MPX948" s="7">
        <v>45992</v>
      </c>
      <c r="MPY948" s="7">
        <f t="shared" ref="MPY948" si="4176">IF(MPZ948="Trimestral", MPX948+90, IF(MPZ948="Semestral", MPX948+180, MPX948+365))</f>
        <v>46172</v>
      </c>
      <c r="MPZ948" s="7" t="str">
        <f t="shared" ref="MPZ948" si="4177">IF(MPO948="Ionizador", "Trimestral", IF(MPO948="Rack", "Semestral", IF(MPO948="Mesa", "Semestral", IF(MPO948="Tapete", "Semestral", IF(MPO948="Cautín", "Semestral", IF(MPO948="Silla", "Semestral", "Anual"))))))</f>
        <v>Semestral</v>
      </c>
      <c r="MQA948" s="2" t="str">
        <f t="shared" ref="MQA948" ca="1" si="4178">IF(MPY948&lt;TODAY(),"VENCIDO",IF(MPY948=TODAY(),"VENCE HOY",IF(MPY948&gt;TODAY(),"VIGENTE")))</f>
        <v>VIGENTE</v>
      </c>
      <c r="MQB948" s="6" t="s">
        <v>25</v>
      </c>
      <c r="MQC948" s="23" t="s">
        <v>138</v>
      </c>
      <c r="MQD948" s="2" t="s">
        <v>433</v>
      </c>
      <c r="MQE948" s="3" t="s">
        <v>22</v>
      </c>
      <c r="MQF948" s="3" t="s">
        <v>23</v>
      </c>
      <c r="MQG948" s="2" t="s">
        <v>24</v>
      </c>
      <c r="MQH948" s="4">
        <v>0</v>
      </c>
      <c r="MQI948" s="8">
        <f t="shared" ref="MQI948" si="4179">IF(MQE948="Ionizador", 10, IF(MQE948="Mesa", 1000000000, IF(MQE948="Rack", 1000000000, IF(MQE948="Piso", 1000000000, IF(MQE948="Tapete", 1000000000, IF(MQE948="Carrito", 1000000000, IF(MQE948="Cautín", 10, 1)))))))</f>
        <v>1000000000</v>
      </c>
      <c r="MQJ948" s="4" t="str">
        <f t="shared" ref="MQJ948" si="4180">IF(MQE948="Ionizador", "Segundos", "Ohms")</f>
        <v>Ohms</v>
      </c>
      <c r="MQK948" s="6">
        <v>148000000</v>
      </c>
      <c r="MQL948" s="6" t="str">
        <f t="shared" ref="MQL948" si="4181">MQJ948</f>
        <v>Ohms</v>
      </c>
      <c r="MQM948" s="2" t="str">
        <f t="shared" ref="MQM948" si="4182">IF(MQE948="Ionizador", "Plato de carga", IF(MQE948="Cautín", "PTG", "RTG"))</f>
        <v>RTG</v>
      </c>
      <c r="MQN948" s="7">
        <v>45992</v>
      </c>
      <c r="MQO948" s="7">
        <f t="shared" ref="MQO948" si="4183">IF(MQP948="Trimestral", MQN948+90, IF(MQP948="Semestral", MQN948+180, MQN948+365))</f>
        <v>46172</v>
      </c>
      <c r="MQP948" s="7" t="str">
        <f t="shared" ref="MQP948" si="4184">IF(MQE948="Ionizador", "Trimestral", IF(MQE948="Rack", "Semestral", IF(MQE948="Mesa", "Semestral", IF(MQE948="Tapete", "Semestral", IF(MQE948="Cautín", "Semestral", IF(MQE948="Silla", "Semestral", "Anual"))))))</f>
        <v>Semestral</v>
      </c>
      <c r="MQQ948" s="2" t="str">
        <f t="shared" ref="MQQ948" ca="1" si="4185">IF(MQO948&lt;TODAY(),"VENCIDO",IF(MQO948=TODAY(),"VENCE HOY",IF(MQO948&gt;TODAY(),"VIGENTE")))</f>
        <v>VIGENTE</v>
      </c>
      <c r="MQR948" s="6" t="s">
        <v>25</v>
      </c>
      <c r="MQS948" s="23" t="s">
        <v>138</v>
      </c>
      <c r="MQT948" s="2" t="s">
        <v>433</v>
      </c>
      <c r="MQU948" s="3" t="s">
        <v>22</v>
      </c>
      <c r="MQV948" s="3" t="s">
        <v>23</v>
      </c>
      <c r="MQW948" s="2" t="s">
        <v>24</v>
      </c>
      <c r="MQX948" s="4">
        <v>0</v>
      </c>
      <c r="MQY948" s="8">
        <f t="shared" ref="MQY948" si="4186">IF(MQU948="Ionizador", 10, IF(MQU948="Mesa", 1000000000, IF(MQU948="Rack", 1000000000, IF(MQU948="Piso", 1000000000, IF(MQU948="Tapete", 1000000000, IF(MQU948="Carrito", 1000000000, IF(MQU948="Cautín", 10, 1)))))))</f>
        <v>1000000000</v>
      </c>
      <c r="MQZ948" s="4" t="str">
        <f t="shared" ref="MQZ948" si="4187">IF(MQU948="Ionizador", "Segundos", "Ohms")</f>
        <v>Ohms</v>
      </c>
      <c r="MRA948" s="6">
        <v>148000000</v>
      </c>
      <c r="MRB948" s="6" t="str">
        <f t="shared" ref="MRB948" si="4188">MQZ948</f>
        <v>Ohms</v>
      </c>
      <c r="MRC948" s="2" t="str">
        <f t="shared" ref="MRC948" si="4189">IF(MQU948="Ionizador", "Plato de carga", IF(MQU948="Cautín", "PTG", "RTG"))</f>
        <v>RTG</v>
      </c>
      <c r="MRD948" s="7">
        <v>45992</v>
      </c>
      <c r="MRE948" s="7">
        <f t="shared" ref="MRE948" si="4190">IF(MRF948="Trimestral", MRD948+90, IF(MRF948="Semestral", MRD948+180, MRD948+365))</f>
        <v>46172</v>
      </c>
      <c r="MRF948" s="7" t="str">
        <f t="shared" ref="MRF948" si="4191">IF(MQU948="Ionizador", "Trimestral", IF(MQU948="Rack", "Semestral", IF(MQU948="Mesa", "Semestral", IF(MQU948="Tapete", "Semestral", IF(MQU948="Cautín", "Semestral", IF(MQU948="Silla", "Semestral", "Anual"))))))</f>
        <v>Semestral</v>
      </c>
      <c r="MRG948" s="2" t="str">
        <f t="shared" ref="MRG948" ca="1" si="4192">IF(MRE948&lt;TODAY(),"VENCIDO",IF(MRE948=TODAY(),"VENCE HOY",IF(MRE948&gt;TODAY(),"VIGENTE")))</f>
        <v>VIGENTE</v>
      </c>
      <c r="MRH948" s="6" t="s">
        <v>25</v>
      </c>
      <c r="MRI948" s="23" t="s">
        <v>138</v>
      </c>
      <c r="MRJ948" s="2" t="s">
        <v>433</v>
      </c>
      <c r="MRK948" s="3" t="s">
        <v>22</v>
      </c>
      <c r="MRL948" s="3" t="s">
        <v>23</v>
      </c>
      <c r="MRM948" s="2" t="s">
        <v>24</v>
      </c>
      <c r="MRN948" s="4">
        <v>0</v>
      </c>
      <c r="MRO948" s="8">
        <f t="shared" ref="MRO948" si="4193">IF(MRK948="Ionizador", 10, IF(MRK948="Mesa", 1000000000, IF(MRK948="Rack", 1000000000, IF(MRK948="Piso", 1000000000, IF(MRK948="Tapete", 1000000000, IF(MRK948="Carrito", 1000000000, IF(MRK948="Cautín", 10, 1)))))))</f>
        <v>1000000000</v>
      </c>
      <c r="MRP948" s="4" t="str">
        <f t="shared" ref="MRP948" si="4194">IF(MRK948="Ionizador", "Segundos", "Ohms")</f>
        <v>Ohms</v>
      </c>
      <c r="MRQ948" s="6">
        <v>148000000</v>
      </c>
      <c r="MRR948" s="6" t="str">
        <f t="shared" ref="MRR948" si="4195">MRP948</f>
        <v>Ohms</v>
      </c>
      <c r="MRS948" s="2" t="str">
        <f t="shared" ref="MRS948" si="4196">IF(MRK948="Ionizador", "Plato de carga", IF(MRK948="Cautín", "PTG", "RTG"))</f>
        <v>RTG</v>
      </c>
      <c r="MRT948" s="7">
        <v>45992</v>
      </c>
      <c r="MRU948" s="7">
        <f t="shared" ref="MRU948" si="4197">IF(MRV948="Trimestral", MRT948+90, IF(MRV948="Semestral", MRT948+180, MRT948+365))</f>
        <v>46172</v>
      </c>
      <c r="MRV948" s="7" t="str">
        <f t="shared" ref="MRV948" si="4198">IF(MRK948="Ionizador", "Trimestral", IF(MRK948="Rack", "Semestral", IF(MRK948="Mesa", "Semestral", IF(MRK948="Tapete", "Semestral", IF(MRK948="Cautín", "Semestral", IF(MRK948="Silla", "Semestral", "Anual"))))))</f>
        <v>Semestral</v>
      </c>
      <c r="MRW948" s="2" t="str">
        <f t="shared" ref="MRW948" ca="1" si="4199">IF(MRU948&lt;TODAY(),"VENCIDO",IF(MRU948=TODAY(),"VENCE HOY",IF(MRU948&gt;TODAY(),"VIGENTE")))</f>
        <v>VIGENTE</v>
      </c>
      <c r="MRX948" s="6" t="s">
        <v>25</v>
      </c>
      <c r="MRY948" s="23" t="s">
        <v>138</v>
      </c>
      <c r="MRZ948" s="2" t="s">
        <v>433</v>
      </c>
      <c r="MSA948" s="3" t="s">
        <v>22</v>
      </c>
      <c r="MSB948" s="3" t="s">
        <v>23</v>
      </c>
      <c r="MSC948" s="2" t="s">
        <v>24</v>
      </c>
      <c r="MSD948" s="4">
        <v>0</v>
      </c>
      <c r="MSE948" s="8">
        <f t="shared" ref="MSE948" si="4200">IF(MSA948="Ionizador", 10, IF(MSA948="Mesa", 1000000000, IF(MSA948="Rack", 1000000000, IF(MSA948="Piso", 1000000000, IF(MSA948="Tapete", 1000000000, IF(MSA948="Carrito", 1000000000, IF(MSA948="Cautín", 10, 1)))))))</f>
        <v>1000000000</v>
      </c>
      <c r="MSF948" s="4" t="str">
        <f t="shared" ref="MSF948" si="4201">IF(MSA948="Ionizador", "Segundos", "Ohms")</f>
        <v>Ohms</v>
      </c>
      <c r="MSG948" s="6">
        <v>148000000</v>
      </c>
      <c r="MSH948" s="6" t="str">
        <f t="shared" ref="MSH948" si="4202">MSF948</f>
        <v>Ohms</v>
      </c>
      <c r="MSI948" s="2" t="str">
        <f t="shared" ref="MSI948" si="4203">IF(MSA948="Ionizador", "Plato de carga", IF(MSA948="Cautín", "PTG", "RTG"))</f>
        <v>RTG</v>
      </c>
      <c r="MSJ948" s="7">
        <v>45992</v>
      </c>
      <c r="MSK948" s="7">
        <f t="shared" ref="MSK948" si="4204">IF(MSL948="Trimestral", MSJ948+90, IF(MSL948="Semestral", MSJ948+180, MSJ948+365))</f>
        <v>46172</v>
      </c>
      <c r="MSL948" s="7" t="str">
        <f t="shared" ref="MSL948" si="4205">IF(MSA948="Ionizador", "Trimestral", IF(MSA948="Rack", "Semestral", IF(MSA948="Mesa", "Semestral", IF(MSA948="Tapete", "Semestral", IF(MSA948="Cautín", "Semestral", IF(MSA948="Silla", "Semestral", "Anual"))))))</f>
        <v>Semestral</v>
      </c>
      <c r="MSM948" s="2" t="str">
        <f t="shared" ref="MSM948" ca="1" si="4206">IF(MSK948&lt;TODAY(),"VENCIDO",IF(MSK948=TODAY(),"VENCE HOY",IF(MSK948&gt;TODAY(),"VIGENTE")))</f>
        <v>VIGENTE</v>
      </c>
      <c r="MSN948" s="6" t="s">
        <v>25</v>
      </c>
      <c r="MSO948" s="23" t="s">
        <v>138</v>
      </c>
      <c r="MSP948" s="2" t="s">
        <v>433</v>
      </c>
      <c r="MSQ948" s="3" t="s">
        <v>22</v>
      </c>
      <c r="MSR948" s="3" t="s">
        <v>23</v>
      </c>
      <c r="MSS948" s="2" t="s">
        <v>24</v>
      </c>
      <c r="MST948" s="4">
        <v>0</v>
      </c>
      <c r="MSU948" s="8">
        <f t="shared" ref="MSU948" si="4207">IF(MSQ948="Ionizador", 10, IF(MSQ948="Mesa", 1000000000, IF(MSQ948="Rack", 1000000000, IF(MSQ948="Piso", 1000000000, IF(MSQ948="Tapete", 1000000000, IF(MSQ948="Carrito", 1000000000, IF(MSQ948="Cautín", 10, 1)))))))</f>
        <v>1000000000</v>
      </c>
      <c r="MSV948" s="4" t="str">
        <f t="shared" ref="MSV948" si="4208">IF(MSQ948="Ionizador", "Segundos", "Ohms")</f>
        <v>Ohms</v>
      </c>
      <c r="MSW948" s="6">
        <v>148000000</v>
      </c>
      <c r="MSX948" s="6" t="str">
        <f t="shared" ref="MSX948" si="4209">MSV948</f>
        <v>Ohms</v>
      </c>
      <c r="MSY948" s="2" t="str">
        <f t="shared" ref="MSY948" si="4210">IF(MSQ948="Ionizador", "Plato de carga", IF(MSQ948="Cautín", "PTG", "RTG"))</f>
        <v>RTG</v>
      </c>
      <c r="MSZ948" s="7">
        <v>45992</v>
      </c>
      <c r="MTA948" s="7">
        <f t="shared" ref="MTA948" si="4211">IF(MTB948="Trimestral", MSZ948+90, IF(MTB948="Semestral", MSZ948+180, MSZ948+365))</f>
        <v>46172</v>
      </c>
      <c r="MTB948" s="7" t="str">
        <f t="shared" ref="MTB948" si="4212">IF(MSQ948="Ionizador", "Trimestral", IF(MSQ948="Rack", "Semestral", IF(MSQ948="Mesa", "Semestral", IF(MSQ948="Tapete", "Semestral", IF(MSQ948="Cautín", "Semestral", IF(MSQ948="Silla", "Semestral", "Anual"))))))</f>
        <v>Semestral</v>
      </c>
      <c r="MTC948" s="2" t="str">
        <f t="shared" ref="MTC948" ca="1" si="4213">IF(MTA948&lt;TODAY(),"VENCIDO",IF(MTA948=TODAY(),"VENCE HOY",IF(MTA948&gt;TODAY(),"VIGENTE")))</f>
        <v>VIGENTE</v>
      </c>
      <c r="MTD948" s="6" t="s">
        <v>25</v>
      </c>
      <c r="MTE948" s="23" t="s">
        <v>138</v>
      </c>
      <c r="MTF948" s="2" t="s">
        <v>433</v>
      </c>
      <c r="MTG948" s="3" t="s">
        <v>22</v>
      </c>
      <c r="MTH948" s="3" t="s">
        <v>23</v>
      </c>
      <c r="MTI948" s="2" t="s">
        <v>24</v>
      </c>
      <c r="MTJ948" s="4">
        <v>0</v>
      </c>
      <c r="MTK948" s="8">
        <f t="shared" ref="MTK948" si="4214">IF(MTG948="Ionizador", 10, IF(MTG948="Mesa", 1000000000, IF(MTG948="Rack", 1000000000, IF(MTG948="Piso", 1000000000, IF(MTG948="Tapete", 1000000000, IF(MTG948="Carrito", 1000000000, IF(MTG948="Cautín", 10, 1)))))))</f>
        <v>1000000000</v>
      </c>
      <c r="MTL948" s="4" t="str">
        <f t="shared" ref="MTL948" si="4215">IF(MTG948="Ionizador", "Segundos", "Ohms")</f>
        <v>Ohms</v>
      </c>
      <c r="MTM948" s="6">
        <v>148000000</v>
      </c>
      <c r="MTN948" s="6" t="str">
        <f t="shared" ref="MTN948" si="4216">MTL948</f>
        <v>Ohms</v>
      </c>
      <c r="MTO948" s="2" t="str">
        <f t="shared" ref="MTO948" si="4217">IF(MTG948="Ionizador", "Plato de carga", IF(MTG948="Cautín", "PTG", "RTG"))</f>
        <v>RTG</v>
      </c>
      <c r="MTP948" s="7">
        <v>45992</v>
      </c>
      <c r="MTQ948" s="7">
        <f t="shared" ref="MTQ948" si="4218">IF(MTR948="Trimestral", MTP948+90, IF(MTR948="Semestral", MTP948+180, MTP948+365))</f>
        <v>46172</v>
      </c>
      <c r="MTR948" s="7" t="str">
        <f t="shared" ref="MTR948" si="4219">IF(MTG948="Ionizador", "Trimestral", IF(MTG948="Rack", "Semestral", IF(MTG948="Mesa", "Semestral", IF(MTG948="Tapete", "Semestral", IF(MTG948="Cautín", "Semestral", IF(MTG948="Silla", "Semestral", "Anual"))))))</f>
        <v>Semestral</v>
      </c>
      <c r="MTS948" s="2" t="str">
        <f t="shared" ref="MTS948" ca="1" si="4220">IF(MTQ948&lt;TODAY(),"VENCIDO",IF(MTQ948=TODAY(),"VENCE HOY",IF(MTQ948&gt;TODAY(),"VIGENTE")))</f>
        <v>VIGENTE</v>
      </c>
      <c r="MTT948" s="6" t="s">
        <v>25</v>
      </c>
      <c r="MTU948" s="23" t="s">
        <v>138</v>
      </c>
      <c r="MTV948" s="2" t="s">
        <v>433</v>
      </c>
      <c r="MTW948" s="3" t="s">
        <v>22</v>
      </c>
      <c r="MTX948" s="3" t="s">
        <v>23</v>
      </c>
      <c r="MTY948" s="2" t="s">
        <v>24</v>
      </c>
      <c r="MTZ948" s="4">
        <v>0</v>
      </c>
      <c r="MUA948" s="8">
        <f t="shared" ref="MUA948" si="4221">IF(MTW948="Ionizador", 10, IF(MTW948="Mesa", 1000000000, IF(MTW948="Rack", 1000000000, IF(MTW948="Piso", 1000000000, IF(MTW948="Tapete", 1000000000, IF(MTW948="Carrito", 1000000000, IF(MTW948="Cautín", 10, 1)))))))</f>
        <v>1000000000</v>
      </c>
      <c r="MUB948" s="4" t="str">
        <f t="shared" ref="MUB948" si="4222">IF(MTW948="Ionizador", "Segundos", "Ohms")</f>
        <v>Ohms</v>
      </c>
      <c r="MUC948" s="6">
        <v>148000000</v>
      </c>
      <c r="MUD948" s="6" t="str">
        <f t="shared" ref="MUD948" si="4223">MUB948</f>
        <v>Ohms</v>
      </c>
      <c r="MUE948" s="2" t="str">
        <f t="shared" ref="MUE948" si="4224">IF(MTW948="Ionizador", "Plato de carga", IF(MTW948="Cautín", "PTG", "RTG"))</f>
        <v>RTG</v>
      </c>
      <c r="MUF948" s="7">
        <v>45992</v>
      </c>
      <c r="MUG948" s="7">
        <f t="shared" ref="MUG948" si="4225">IF(MUH948="Trimestral", MUF948+90, IF(MUH948="Semestral", MUF948+180, MUF948+365))</f>
        <v>46172</v>
      </c>
      <c r="MUH948" s="7" t="str">
        <f t="shared" ref="MUH948" si="4226">IF(MTW948="Ionizador", "Trimestral", IF(MTW948="Rack", "Semestral", IF(MTW948="Mesa", "Semestral", IF(MTW948="Tapete", "Semestral", IF(MTW948="Cautín", "Semestral", IF(MTW948="Silla", "Semestral", "Anual"))))))</f>
        <v>Semestral</v>
      </c>
      <c r="MUI948" s="2" t="str">
        <f t="shared" ref="MUI948" ca="1" si="4227">IF(MUG948&lt;TODAY(),"VENCIDO",IF(MUG948=TODAY(),"VENCE HOY",IF(MUG948&gt;TODAY(),"VIGENTE")))</f>
        <v>VIGENTE</v>
      </c>
      <c r="MUJ948" s="6" t="s">
        <v>25</v>
      </c>
      <c r="MUK948" s="23" t="s">
        <v>138</v>
      </c>
      <c r="MUL948" s="2" t="s">
        <v>433</v>
      </c>
      <c r="MUM948" s="3" t="s">
        <v>22</v>
      </c>
      <c r="MUN948" s="3" t="s">
        <v>23</v>
      </c>
      <c r="MUO948" s="2" t="s">
        <v>24</v>
      </c>
      <c r="MUP948" s="4">
        <v>0</v>
      </c>
      <c r="MUQ948" s="8">
        <f t="shared" ref="MUQ948" si="4228">IF(MUM948="Ionizador", 10, IF(MUM948="Mesa", 1000000000, IF(MUM948="Rack", 1000000000, IF(MUM948="Piso", 1000000000, IF(MUM948="Tapete", 1000000000, IF(MUM948="Carrito", 1000000000, IF(MUM948="Cautín", 10, 1)))))))</f>
        <v>1000000000</v>
      </c>
      <c r="MUR948" s="4" t="str">
        <f t="shared" ref="MUR948" si="4229">IF(MUM948="Ionizador", "Segundos", "Ohms")</f>
        <v>Ohms</v>
      </c>
      <c r="MUS948" s="6">
        <v>148000000</v>
      </c>
      <c r="MUT948" s="6" t="str">
        <f t="shared" ref="MUT948" si="4230">MUR948</f>
        <v>Ohms</v>
      </c>
      <c r="MUU948" s="2" t="str">
        <f t="shared" ref="MUU948" si="4231">IF(MUM948="Ionizador", "Plato de carga", IF(MUM948="Cautín", "PTG", "RTG"))</f>
        <v>RTG</v>
      </c>
      <c r="MUV948" s="7">
        <v>45992</v>
      </c>
      <c r="MUW948" s="7">
        <f t="shared" ref="MUW948" si="4232">IF(MUX948="Trimestral", MUV948+90, IF(MUX948="Semestral", MUV948+180, MUV948+365))</f>
        <v>46172</v>
      </c>
      <c r="MUX948" s="7" t="str">
        <f t="shared" ref="MUX948" si="4233">IF(MUM948="Ionizador", "Trimestral", IF(MUM948="Rack", "Semestral", IF(MUM948="Mesa", "Semestral", IF(MUM948="Tapete", "Semestral", IF(MUM948="Cautín", "Semestral", IF(MUM948="Silla", "Semestral", "Anual"))))))</f>
        <v>Semestral</v>
      </c>
      <c r="MUY948" s="2" t="str">
        <f t="shared" ref="MUY948" ca="1" si="4234">IF(MUW948&lt;TODAY(),"VENCIDO",IF(MUW948=TODAY(),"VENCE HOY",IF(MUW948&gt;TODAY(),"VIGENTE")))</f>
        <v>VIGENTE</v>
      </c>
      <c r="MUZ948" s="6" t="s">
        <v>25</v>
      </c>
      <c r="MVA948" s="23" t="s">
        <v>138</v>
      </c>
      <c r="MVB948" s="2" t="s">
        <v>433</v>
      </c>
      <c r="MVC948" s="3" t="s">
        <v>22</v>
      </c>
      <c r="MVD948" s="3" t="s">
        <v>23</v>
      </c>
      <c r="MVE948" s="2" t="s">
        <v>24</v>
      </c>
      <c r="MVF948" s="4">
        <v>0</v>
      </c>
      <c r="MVG948" s="8">
        <f t="shared" ref="MVG948" si="4235">IF(MVC948="Ionizador", 10, IF(MVC948="Mesa", 1000000000, IF(MVC948="Rack", 1000000000, IF(MVC948="Piso", 1000000000, IF(MVC948="Tapete", 1000000000, IF(MVC948="Carrito", 1000000000, IF(MVC948="Cautín", 10, 1)))))))</f>
        <v>1000000000</v>
      </c>
      <c r="MVH948" s="4" t="str">
        <f t="shared" ref="MVH948" si="4236">IF(MVC948="Ionizador", "Segundos", "Ohms")</f>
        <v>Ohms</v>
      </c>
      <c r="MVI948" s="6">
        <v>148000000</v>
      </c>
      <c r="MVJ948" s="6" t="str">
        <f t="shared" ref="MVJ948" si="4237">MVH948</f>
        <v>Ohms</v>
      </c>
      <c r="MVK948" s="2" t="str">
        <f t="shared" ref="MVK948" si="4238">IF(MVC948="Ionizador", "Plato de carga", IF(MVC948="Cautín", "PTG", "RTG"))</f>
        <v>RTG</v>
      </c>
      <c r="MVL948" s="7">
        <v>45992</v>
      </c>
      <c r="MVM948" s="7">
        <f t="shared" ref="MVM948" si="4239">IF(MVN948="Trimestral", MVL948+90, IF(MVN948="Semestral", MVL948+180, MVL948+365))</f>
        <v>46172</v>
      </c>
      <c r="MVN948" s="7" t="str">
        <f t="shared" ref="MVN948" si="4240">IF(MVC948="Ionizador", "Trimestral", IF(MVC948="Rack", "Semestral", IF(MVC948="Mesa", "Semestral", IF(MVC948="Tapete", "Semestral", IF(MVC948="Cautín", "Semestral", IF(MVC948="Silla", "Semestral", "Anual"))))))</f>
        <v>Semestral</v>
      </c>
      <c r="MVO948" s="2" t="str">
        <f t="shared" ref="MVO948" ca="1" si="4241">IF(MVM948&lt;TODAY(),"VENCIDO",IF(MVM948=TODAY(),"VENCE HOY",IF(MVM948&gt;TODAY(),"VIGENTE")))</f>
        <v>VIGENTE</v>
      </c>
      <c r="MVP948" s="6" t="s">
        <v>25</v>
      </c>
      <c r="MVQ948" s="23" t="s">
        <v>138</v>
      </c>
      <c r="MVR948" s="2" t="s">
        <v>433</v>
      </c>
      <c r="MVS948" s="3" t="s">
        <v>22</v>
      </c>
      <c r="MVT948" s="3" t="s">
        <v>23</v>
      </c>
      <c r="MVU948" s="2" t="s">
        <v>24</v>
      </c>
      <c r="MVV948" s="4">
        <v>0</v>
      </c>
      <c r="MVW948" s="8">
        <f t="shared" ref="MVW948" si="4242">IF(MVS948="Ionizador", 10, IF(MVS948="Mesa", 1000000000, IF(MVS948="Rack", 1000000000, IF(MVS948="Piso", 1000000000, IF(MVS948="Tapete", 1000000000, IF(MVS948="Carrito", 1000000000, IF(MVS948="Cautín", 10, 1)))))))</f>
        <v>1000000000</v>
      </c>
      <c r="MVX948" s="4" t="str">
        <f t="shared" ref="MVX948" si="4243">IF(MVS948="Ionizador", "Segundos", "Ohms")</f>
        <v>Ohms</v>
      </c>
      <c r="MVY948" s="6">
        <v>148000000</v>
      </c>
      <c r="MVZ948" s="6" t="str">
        <f t="shared" ref="MVZ948" si="4244">MVX948</f>
        <v>Ohms</v>
      </c>
      <c r="MWA948" s="2" t="str">
        <f t="shared" ref="MWA948" si="4245">IF(MVS948="Ionizador", "Plato de carga", IF(MVS948="Cautín", "PTG", "RTG"))</f>
        <v>RTG</v>
      </c>
      <c r="MWB948" s="7">
        <v>45992</v>
      </c>
      <c r="MWC948" s="7">
        <f t="shared" ref="MWC948" si="4246">IF(MWD948="Trimestral", MWB948+90, IF(MWD948="Semestral", MWB948+180, MWB948+365))</f>
        <v>46172</v>
      </c>
      <c r="MWD948" s="7" t="str">
        <f t="shared" ref="MWD948" si="4247">IF(MVS948="Ionizador", "Trimestral", IF(MVS948="Rack", "Semestral", IF(MVS948="Mesa", "Semestral", IF(MVS948="Tapete", "Semestral", IF(MVS948="Cautín", "Semestral", IF(MVS948="Silla", "Semestral", "Anual"))))))</f>
        <v>Semestral</v>
      </c>
      <c r="MWE948" s="2" t="str">
        <f t="shared" ref="MWE948" ca="1" si="4248">IF(MWC948&lt;TODAY(),"VENCIDO",IF(MWC948=TODAY(),"VENCE HOY",IF(MWC948&gt;TODAY(),"VIGENTE")))</f>
        <v>VIGENTE</v>
      </c>
      <c r="MWF948" s="6" t="s">
        <v>25</v>
      </c>
      <c r="MWG948" s="23" t="s">
        <v>138</v>
      </c>
      <c r="MWH948" s="2" t="s">
        <v>433</v>
      </c>
      <c r="MWI948" s="3" t="s">
        <v>22</v>
      </c>
      <c r="MWJ948" s="3" t="s">
        <v>23</v>
      </c>
      <c r="MWK948" s="2" t="s">
        <v>24</v>
      </c>
      <c r="MWL948" s="4">
        <v>0</v>
      </c>
      <c r="MWM948" s="8">
        <f t="shared" ref="MWM948" si="4249">IF(MWI948="Ionizador", 10, IF(MWI948="Mesa", 1000000000, IF(MWI948="Rack", 1000000000, IF(MWI948="Piso", 1000000000, IF(MWI948="Tapete", 1000000000, IF(MWI948="Carrito", 1000000000, IF(MWI948="Cautín", 10, 1)))))))</f>
        <v>1000000000</v>
      </c>
      <c r="MWN948" s="4" t="str">
        <f t="shared" ref="MWN948" si="4250">IF(MWI948="Ionizador", "Segundos", "Ohms")</f>
        <v>Ohms</v>
      </c>
      <c r="MWO948" s="6">
        <v>148000000</v>
      </c>
      <c r="MWP948" s="6" t="str">
        <f t="shared" ref="MWP948" si="4251">MWN948</f>
        <v>Ohms</v>
      </c>
      <c r="MWQ948" s="2" t="str">
        <f t="shared" ref="MWQ948" si="4252">IF(MWI948="Ionizador", "Plato de carga", IF(MWI948="Cautín", "PTG", "RTG"))</f>
        <v>RTG</v>
      </c>
      <c r="MWR948" s="7">
        <v>45992</v>
      </c>
      <c r="MWS948" s="7">
        <f t="shared" ref="MWS948" si="4253">IF(MWT948="Trimestral", MWR948+90, IF(MWT948="Semestral", MWR948+180, MWR948+365))</f>
        <v>46172</v>
      </c>
      <c r="MWT948" s="7" t="str">
        <f t="shared" ref="MWT948" si="4254">IF(MWI948="Ionizador", "Trimestral", IF(MWI948="Rack", "Semestral", IF(MWI948="Mesa", "Semestral", IF(MWI948="Tapete", "Semestral", IF(MWI948="Cautín", "Semestral", IF(MWI948="Silla", "Semestral", "Anual"))))))</f>
        <v>Semestral</v>
      </c>
      <c r="MWU948" s="2" t="str">
        <f t="shared" ref="MWU948" ca="1" si="4255">IF(MWS948&lt;TODAY(),"VENCIDO",IF(MWS948=TODAY(),"VENCE HOY",IF(MWS948&gt;TODAY(),"VIGENTE")))</f>
        <v>VIGENTE</v>
      </c>
      <c r="MWV948" s="6" t="s">
        <v>25</v>
      </c>
      <c r="MWW948" s="23" t="s">
        <v>138</v>
      </c>
      <c r="MWX948" s="2" t="s">
        <v>433</v>
      </c>
      <c r="MWY948" s="3" t="s">
        <v>22</v>
      </c>
      <c r="MWZ948" s="3" t="s">
        <v>23</v>
      </c>
      <c r="MXA948" s="2" t="s">
        <v>24</v>
      </c>
      <c r="MXB948" s="4">
        <v>0</v>
      </c>
      <c r="MXC948" s="8">
        <f t="shared" ref="MXC948" si="4256">IF(MWY948="Ionizador", 10, IF(MWY948="Mesa", 1000000000, IF(MWY948="Rack", 1000000000, IF(MWY948="Piso", 1000000000, IF(MWY948="Tapete", 1000000000, IF(MWY948="Carrito", 1000000000, IF(MWY948="Cautín", 10, 1)))))))</f>
        <v>1000000000</v>
      </c>
      <c r="MXD948" s="4" t="str">
        <f t="shared" ref="MXD948" si="4257">IF(MWY948="Ionizador", "Segundos", "Ohms")</f>
        <v>Ohms</v>
      </c>
      <c r="MXE948" s="6">
        <v>148000000</v>
      </c>
      <c r="MXF948" s="6" t="str">
        <f t="shared" ref="MXF948" si="4258">MXD948</f>
        <v>Ohms</v>
      </c>
      <c r="MXG948" s="2" t="str">
        <f t="shared" ref="MXG948" si="4259">IF(MWY948="Ionizador", "Plato de carga", IF(MWY948="Cautín", "PTG", "RTG"))</f>
        <v>RTG</v>
      </c>
      <c r="MXH948" s="7">
        <v>45992</v>
      </c>
      <c r="MXI948" s="7">
        <f t="shared" ref="MXI948" si="4260">IF(MXJ948="Trimestral", MXH948+90, IF(MXJ948="Semestral", MXH948+180, MXH948+365))</f>
        <v>46172</v>
      </c>
      <c r="MXJ948" s="7" t="str">
        <f t="shared" ref="MXJ948" si="4261">IF(MWY948="Ionizador", "Trimestral", IF(MWY948="Rack", "Semestral", IF(MWY948="Mesa", "Semestral", IF(MWY948="Tapete", "Semestral", IF(MWY948="Cautín", "Semestral", IF(MWY948="Silla", "Semestral", "Anual"))))))</f>
        <v>Semestral</v>
      </c>
      <c r="MXK948" s="2" t="str">
        <f t="shared" ref="MXK948" ca="1" si="4262">IF(MXI948&lt;TODAY(),"VENCIDO",IF(MXI948=TODAY(),"VENCE HOY",IF(MXI948&gt;TODAY(),"VIGENTE")))</f>
        <v>VIGENTE</v>
      </c>
      <c r="MXL948" s="6" t="s">
        <v>25</v>
      </c>
      <c r="MXM948" s="23" t="s">
        <v>138</v>
      </c>
      <c r="MXN948" s="2" t="s">
        <v>433</v>
      </c>
      <c r="MXO948" s="3" t="s">
        <v>22</v>
      </c>
      <c r="MXP948" s="3" t="s">
        <v>23</v>
      </c>
      <c r="MXQ948" s="2" t="s">
        <v>24</v>
      </c>
      <c r="MXR948" s="4">
        <v>0</v>
      </c>
      <c r="MXS948" s="8">
        <f t="shared" ref="MXS948" si="4263">IF(MXO948="Ionizador", 10, IF(MXO948="Mesa", 1000000000, IF(MXO948="Rack", 1000000000, IF(MXO948="Piso", 1000000000, IF(MXO948="Tapete", 1000000000, IF(MXO948="Carrito", 1000000000, IF(MXO948="Cautín", 10, 1)))))))</f>
        <v>1000000000</v>
      </c>
      <c r="MXT948" s="4" t="str">
        <f t="shared" ref="MXT948" si="4264">IF(MXO948="Ionizador", "Segundos", "Ohms")</f>
        <v>Ohms</v>
      </c>
      <c r="MXU948" s="6">
        <v>148000000</v>
      </c>
      <c r="MXV948" s="6" t="str">
        <f t="shared" ref="MXV948" si="4265">MXT948</f>
        <v>Ohms</v>
      </c>
      <c r="MXW948" s="2" t="str">
        <f t="shared" ref="MXW948" si="4266">IF(MXO948="Ionizador", "Plato de carga", IF(MXO948="Cautín", "PTG", "RTG"))</f>
        <v>RTG</v>
      </c>
      <c r="MXX948" s="7">
        <v>45992</v>
      </c>
      <c r="MXY948" s="7">
        <f t="shared" ref="MXY948" si="4267">IF(MXZ948="Trimestral", MXX948+90, IF(MXZ948="Semestral", MXX948+180, MXX948+365))</f>
        <v>46172</v>
      </c>
      <c r="MXZ948" s="7" t="str">
        <f t="shared" ref="MXZ948" si="4268">IF(MXO948="Ionizador", "Trimestral", IF(MXO948="Rack", "Semestral", IF(MXO948="Mesa", "Semestral", IF(MXO948="Tapete", "Semestral", IF(MXO948="Cautín", "Semestral", IF(MXO948="Silla", "Semestral", "Anual"))))))</f>
        <v>Semestral</v>
      </c>
      <c r="MYA948" s="2" t="str">
        <f t="shared" ref="MYA948" ca="1" si="4269">IF(MXY948&lt;TODAY(),"VENCIDO",IF(MXY948=TODAY(),"VENCE HOY",IF(MXY948&gt;TODAY(),"VIGENTE")))</f>
        <v>VIGENTE</v>
      </c>
      <c r="MYB948" s="6" t="s">
        <v>25</v>
      </c>
      <c r="MYC948" s="23" t="s">
        <v>138</v>
      </c>
      <c r="MYD948" s="2" t="s">
        <v>433</v>
      </c>
      <c r="MYE948" s="3" t="s">
        <v>22</v>
      </c>
      <c r="MYF948" s="3" t="s">
        <v>23</v>
      </c>
      <c r="MYG948" s="2" t="s">
        <v>24</v>
      </c>
      <c r="MYH948" s="4">
        <v>0</v>
      </c>
      <c r="MYI948" s="8">
        <f t="shared" ref="MYI948" si="4270">IF(MYE948="Ionizador", 10, IF(MYE948="Mesa", 1000000000, IF(MYE948="Rack", 1000000000, IF(MYE948="Piso", 1000000000, IF(MYE948="Tapete", 1000000000, IF(MYE948="Carrito", 1000000000, IF(MYE948="Cautín", 10, 1)))))))</f>
        <v>1000000000</v>
      </c>
      <c r="MYJ948" s="4" t="str">
        <f t="shared" ref="MYJ948" si="4271">IF(MYE948="Ionizador", "Segundos", "Ohms")</f>
        <v>Ohms</v>
      </c>
      <c r="MYK948" s="6">
        <v>148000000</v>
      </c>
      <c r="MYL948" s="6" t="str">
        <f t="shared" ref="MYL948" si="4272">MYJ948</f>
        <v>Ohms</v>
      </c>
      <c r="MYM948" s="2" t="str">
        <f t="shared" ref="MYM948" si="4273">IF(MYE948="Ionizador", "Plato de carga", IF(MYE948="Cautín", "PTG", "RTG"))</f>
        <v>RTG</v>
      </c>
      <c r="MYN948" s="7">
        <v>45992</v>
      </c>
      <c r="MYO948" s="7">
        <f t="shared" ref="MYO948" si="4274">IF(MYP948="Trimestral", MYN948+90, IF(MYP948="Semestral", MYN948+180, MYN948+365))</f>
        <v>46172</v>
      </c>
      <c r="MYP948" s="7" t="str">
        <f t="shared" ref="MYP948" si="4275">IF(MYE948="Ionizador", "Trimestral", IF(MYE948="Rack", "Semestral", IF(MYE948="Mesa", "Semestral", IF(MYE948="Tapete", "Semestral", IF(MYE948="Cautín", "Semestral", IF(MYE948="Silla", "Semestral", "Anual"))))))</f>
        <v>Semestral</v>
      </c>
      <c r="MYQ948" s="2" t="str">
        <f t="shared" ref="MYQ948" ca="1" si="4276">IF(MYO948&lt;TODAY(),"VENCIDO",IF(MYO948=TODAY(),"VENCE HOY",IF(MYO948&gt;TODAY(),"VIGENTE")))</f>
        <v>VIGENTE</v>
      </c>
      <c r="MYR948" s="6" t="s">
        <v>25</v>
      </c>
      <c r="MYS948" s="23" t="s">
        <v>138</v>
      </c>
      <c r="MYT948" s="2" t="s">
        <v>433</v>
      </c>
      <c r="MYU948" s="3" t="s">
        <v>22</v>
      </c>
      <c r="MYV948" s="3" t="s">
        <v>23</v>
      </c>
      <c r="MYW948" s="2" t="s">
        <v>24</v>
      </c>
      <c r="MYX948" s="4">
        <v>0</v>
      </c>
      <c r="MYY948" s="8">
        <f t="shared" ref="MYY948" si="4277">IF(MYU948="Ionizador", 10, IF(MYU948="Mesa", 1000000000, IF(MYU948="Rack", 1000000000, IF(MYU948="Piso", 1000000000, IF(MYU948="Tapete", 1000000000, IF(MYU948="Carrito", 1000000000, IF(MYU948="Cautín", 10, 1)))))))</f>
        <v>1000000000</v>
      </c>
      <c r="MYZ948" s="4" t="str">
        <f t="shared" ref="MYZ948" si="4278">IF(MYU948="Ionizador", "Segundos", "Ohms")</f>
        <v>Ohms</v>
      </c>
      <c r="MZA948" s="6">
        <v>148000000</v>
      </c>
      <c r="MZB948" s="6" t="str">
        <f t="shared" ref="MZB948" si="4279">MYZ948</f>
        <v>Ohms</v>
      </c>
      <c r="MZC948" s="2" t="str">
        <f t="shared" ref="MZC948" si="4280">IF(MYU948="Ionizador", "Plato de carga", IF(MYU948="Cautín", "PTG", "RTG"))</f>
        <v>RTG</v>
      </c>
      <c r="MZD948" s="7">
        <v>45992</v>
      </c>
      <c r="MZE948" s="7">
        <f t="shared" ref="MZE948" si="4281">IF(MZF948="Trimestral", MZD948+90, IF(MZF948="Semestral", MZD948+180, MZD948+365))</f>
        <v>46172</v>
      </c>
      <c r="MZF948" s="7" t="str">
        <f t="shared" ref="MZF948" si="4282">IF(MYU948="Ionizador", "Trimestral", IF(MYU948="Rack", "Semestral", IF(MYU948="Mesa", "Semestral", IF(MYU948="Tapete", "Semestral", IF(MYU948="Cautín", "Semestral", IF(MYU948="Silla", "Semestral", "Anual"))))))</f>
        <v>Semestral</v>
      </c>
      <c r="MZG948" s="2" t="str">
        <f t="shared" ref="MZG948" ca="1" si="4283">IF(MZE948&lt;TODAY(),"VENCIDO",IF(MZE948=TODAY(),"VENCE HOY",IF(MZE948&gt;TODAY(),"VIGENTE")))</f>
        <v>VIGENTE</v>
      </c>
      <c r="MZH948" s="6" t="s">
        <v>25</v>
      </c>
      <c r="MZI948" s="23" t="s">
        <v>138</v>
      </c>
      <c r="MZJ948" s="2" t="s">
        <v>433</v>
      </c>
      <c r="MZK948" s="3" t="s">
        <v>22</v>
      </c>
      <c r="MZL948" s="3" t="s">
        <v>23</v>
      </c>
      <c r="MZM948" s="2" t="s">
        <v>24</v>
      </c>
      <c r="MZN948" s="4">
        <v>0</v>
      </c>
      <c r="MZO948" s="8">
        <f t="shared" ref="MZO948" si="4284">IF(MZK948="Ionizador", 10, IF(MZK948="Mesa", 1000000000, IF(MZK948="Rack", 1000000000, IF(MZK948="Piso", 1000000000, IF(MZK948="Tapete", 1000000000, IF(MZK948="Carrito", 1000000000, IF(MZK948="Cautín", 10, 1)))))))</f>
        <v>1000000000</v>
      </c>
      <c r="MZP948" s="4" t="str">
        <f t="shared" ref="MZP948" si="4285">IF(MZK948="Ionizador", "Segundos", "Ohms")</f>
        <v>Ohms</v>
      </c>
      <c r="MZQ948" s="6">
        <v>148000000</v>
      </c>
      <c r="MZR948" s="6" t="str">
        <f t="shared" ref="MZR948" si="4286">MZP948</f>
        <v>Ohms</v>
      </c>
      <c r="MZS948" s="2" t="str">
        <f t="shared" ref="MZS948" si="4287">IF(MZK948="Ionizador", "Plato de carga", IF(MZK948="Cautín", "PTG", "RTG"))</f>
        <v>RTG</v>
      </c>
      <c r="MZT948" s="7">
        <v>45992</v>
      </c>
      <c r="MZU948" s="7">
        <f t="shared" ref="MZU948" si="4288">IF(MZV948="Trimestral", MZT948+90, IF(MZV948="Semestral", MZT948+180, MZT948+365))</f>
        <v>46172</v>
      </c>
      <c r="MZV948" s="7" t="str">
        <f t="shared" ref="MZV948" si="4289">IF(MZK948="Ionizador", "Trimestral", IF(MZK948="Rack", "Semestral", IF(MZK948="Mesa", "Semestral", IF(MZK948="Tapete", "Semestral", IF(MZK948="Cautín", "Semestral", IF(MZK948="Silla", "Semestral", "Anual"))))))</f>
        <v>Semestral</v>
      </c>
      <c r="MZW948" s="2" t="str">
        <f t="shared" ref="MZW948" ca="1" si="4290">IF(MZU948&lt;TODAY(),"VENCIDO",IF(MZU948=TODAY(),"VENCE HOY",IF(MZU948&gt;TODAY(),"VIGENTE")))</f>
        <v>VIGENTE</v>
      </c>
      <c r="MZX948" s="6" t="s">
        <v>25</v>
      </c>
      <c r="MZY948" s="23" t="s">
        <v>138</v>
      </c>
      <c r="MZZ948" s="2" t="s">
        <v>433</v>
      </c>
      <c r="NAA948" s="3" t="s">
        <v>22</v>
      </c>
      <c r="NAB948" s="3" t="s">
        <v>23</v>
      </c>
      <c r="NAC948" s="2" t="s">
        <v>24</v>
      </c>
      <c r="NAD948" s="4">
        <v>0</v>
      </c>
      <c r="NAE948" s="8">
        <f t="shared" ref="NAE948" si="4291">IF(NAA948="Ionizador", 10, IF(NAA948="Mesa", 1000000000, IF(NAA948="Rack", 1000000000, IF(NAA948="Piso", 1000000000, IF(NAA948="Tapete", 1000000000, IF(NAA948="Carrito", 1000000000, IF(NAA948="Cautín", 10, 1)))))))</f>
        <v>1000000000</v>
      </c>
      <c r="NAF948" s="4" t="str">
        <f t="shared" ref="NAF948" si="4292">IF(NAA948="Ionizador", "Segundos", "Ohms")</f>
        <v>Ohms</v>
      </c>
      <c r="NAG948" s="6">
        <v>148000000</v>
      </c>
      <c r="NAH948" s="6" t="str">
        <f t="shared" ref="NAH948" si="4293">NAF948</f>
        <v>Ohms</v>
      </c>
      <c r="NAI948" s="2" t="str">
        <f t="shared" ref="NAI948" si="4294">IF(NAA948="Ionizador", "Plato de carga", IF(NAA948="Cautín", "PTG", "RTG"))</f>
        <v>RTG</v>
      </c>
      <c r="NAJ948" s="7">
        <v>45992</v>
      </c>
      <c r="NAK948" s="7">
        <f t="shared" ref="NAK948" si="4295">IF(NAL948="Trimestral", NAJ948+90, IF(NAL948="Semestral", NAJ948+180, NAJ948+365))</f>
        <v>46172</v>
      </c>
      <c r="NAL948" s="7" t="str">
        <f t="shared" ref="NAL948" si="4296">IF(NAA948="Ionizador", "Trimestral", IF(NAA948="Rack", "Semestral", IF(NAA948="Mesa", "Semestral", IF(NAA948="Tapete", "Semestral", IF(NAA948="Cautín", "Semestral", IF(NAA948="Silla", "Semestral", "Anual"))))))</f>
        <v>Semestral</v>
      </c>
      <c r="NAM948" s="2" t="str">
        <f t="shared" ref="NAM948" ca="1" si="4297">IF(NAK948&lt;TODAY(),"VENCIDO",IF(NAK948=TODAY(),"VENCE HOY",IF(NAK948&gt;TODAY(),"VIGENTE")))</f>
        <v>VIGENTE</v>
      </c>
      <c r="NAN948" s="6" t="s">
        <v>25</v>
      </c>
      <c r="NAO948" s="23" t="s">
        <v>138</v>
      </c>
      <c r="NAP948" s="2" t="s">
        <v>433</v>
      </c>
      <c r="NAQ948" s="3" t="s">
        <v>22</v>
      </c>
      <c r="NAR948" s="3" t="s">
        <v>23</v>
      </c>
      <c r="NAS948" s="2" t="s">
        <v>24</v>
      </c>
      <c r="NAT948" s="4">
        <v>0</v>
      </c>
      <c r="NAU948" s="8">
        <f t="shared" ref="NAU948" si="4298">IF(NAQ948="Ionizador", 10, IF(NAQ948="Mesa", 1000000000, IF(NAQ948="Rack", 1000000000, IF(NAQ948="Piso", 1000000000, IF(NAQ948="Tapete", 1000000000, IF(NAQ948="Carrito", 1000000000, IF(NAQ948="Cautín", 10, 1)))))))</f>
        <v>1000000000</v>
      </c>
      <c r="NAV948" s="4" t="str">
        <f t="shared" ref="NAV948" si="4299">IF(NAQ948="Ionizador", "Segundos", "Ohms")</f>
        <v>Ohms</v>
      </c>
      <c r="NAW948" s="6">
        <v>148000000</v>
      </c>
      <c r="NAX948" s="6" t="str">
        <f t="shared" ref="NAX948" si="4300">NAV948</f>
        <v>Ohms</v>
      </c>
      <c r="NAY948" s="2" t="str">
        <f t="shared" ref="NAY948" si="4301">IF(NAQ948="Ionizador", "Plato de carga", IF(NAQ948="Cautín", "PTG", "RTG"))</f>
        <v>RTG</v>
      </c>
      <c r="NAZ948" s="7">
        <v>45992</v>
      </c>
      <c r="NBA948" s="7">
        <f t="shared" ref="NBA948" si="4302">IF(NBB948="Trimestral", NAZ948+90, IF(NBB948="Semestral", NAZ948+180, NAZ948+365))</f>
        <v>46172</v>
      </c>
      <c r="NBB948" s="7" t="str">
        <f t="shared" ref="NBB948" si="4303">IF(NAQ948="Ionizador", "Trimestral", IF(NAQ948="Rack", "Semestral", IF(NAQ948="Mesa", "Semestral", IF(NAQ948="Tapete", "Semestral", IF(NAQ948="Cautín", "Semestral", IF(NAQ948="Silla", "Semestral", "Anual"))))))</f>
        <v>Semestral</v>
      </c>
      <c r="NBC948" s="2" t="str">
        <f t="shared" ref="NBC948" ca="1" si="4304">IF(NBA948&lt;TODAY(),"VENCIDO",IF(NBA948=TODAY(),"VENCE HOY",IF(NBA948&gt;TODAY(),"VIGENTE")))</f>
        <v>VIGENTE</v>
      </c>
      <c r="NBD948" s="6" t="s">
        <v>25</v>
      </c>
      <c r="NBE948" s="23" t="s">
        <v>138</v>
      </c>
      <c r="NBF948" s="2" t="s">
        <v>433</v>
      </c>
      <c r="NBG948" s="3" t="s">
        <v>22</v>
      </c>
      <c r="NBH948" s="3" t="s">
        <v>23</v>
      </c>
      <c r="NBI948" s="2" t="s">
        <v>24</v>
      </c>
      <c r="NBJ948" s="4">
        <v>0</v>
      </c>
      <c r="NBK948" s="8">
        <f t="shared" ref="NBK948" si="4305">IF(NBG948="Ionizador", 10, IF(NBG948="Mesa", 1000000000, IF(NBG948="Rack", 1000000000, IF(NBG948="Piso", 1000000000, IF(NBG948="Tapete", 1000000000, IF(NBG948="Carrito", 1000000000, IF(NBG948="Cautín", 10, 1)))))))</f>
        <v>1000000000</v>
      </c>
      <c r="NBL948" s="4" t="str">
        <f t="shared" ref="NBL948" si="4306">IF(NBG948="Ionizador", "Segundos", "Ohms")</f>
        <v>Ohms</v>
      </c>
      <c r="NBM948" s="6">
        <v>148000000</v>
      </c>
      <c r="NBN948" s="6" t="str">
        <f t="shared" ref="NBN948" si="4307">NBL948</f>
        <v>Ohms</v>
      </c>
      <c r="NBO948" s="2" t="str">
        <f t="shared" ref="NBO948" si="4308">IF(NBG948="Ionizador", "Plato de carga", IF(NBG948="Cautín", "PTG", "RTG"))</f>
        <v>RTG</v>
      </c>
      <c r="NBP948" s="7">
        <v>45992</v>
      </c>
      <c r="NBQ948" s="7">
        <f t="shared" ref="NBQ948" si="4309">IF(NBR948="Trimestral", NBP948+90, IF(NBR948="Semestral", NBP948+180, NBP948+365))</f>
        <v>46172</v>
      </c>
      <c r="NBR948" s="7" t="str">
        <f t="shared" ref="NBR948" si="4310">IF(NBG948="Ionizador", "Trimestral", IF(NBG948="Rack", "Semestral", IF(NBG948="Mesa", "Semestral", IF(NBG948="Tapete", "Semestral", IF(NBG948="Cautín", "Semestral", IF(NBG948="Silla", "Semestral", "Anual"))))))</f>
        <v>Semestral</v>
      </c>
      <c r="NBS948" s="2" t="str">
        <f t="shared" ref="NBS948" ca="1" si="4311">IF(NBQ948&lt;TODAY(),"VENCIDO",IF(NBQ948=TODAY(),"VENCE HOY",IF(NBQ948&gt;TODAY(),"VIGENTE")))</f>
        <v>VIGENTE</v>
      </c>
      <c r="NBT948" s="6" t="s">
        <v>25</v>
      </c>
      <c r="NBU948" s="23" t="s">
        <v>138</v>
      </c>
      <c r="NBV948" s="2" t="s">
        <v>433</v>
      </c>
      <c r="NBW948" s="3" t="s">
        <v>22</v>
      </c>
      <c r="NBX948" s="3" t="s">
        <v>23</v>
      </c>
      <c r="NBY948" s="2" t="s">
        <v>24</v>
      </c>
      <c r="NBZ948" s="4">
        <v>0</v>
      </c>
      <c r="NCA948" s="8">
        <f t="shared" ref="NCA948" si="4312">IF(NBW948="Ionizador", 10, IF(NBW948="Mesa", 1000000000, IF(NBW948="Rack", 1000000000, IF(NBW948="Piso", 1000000000, IF(NBW948="Tapete", 1000000000, IF(NBW948="Carrito", 1000000000, IF(NBW948="Cautín", 10, 1)))))))</f>
        <v>1000000000</v>
      </c>
      <c r="NCB948" s="4" t="str">
        <f t="shared" ref="NCB948" si="4313">IF(NBW948="Ionizador", "Segundos", "Ohms")</f>
        <v>Ohms</v>
      </c>
      <c r="NCC948" s="6">
        <v>148000000</v>
      </c>
      <c r="NCD948" s="6" t="str">
        <f t="shared" ref="NCD948" si="4314">NCB948</f>
        <v>Ohms</v>
      </c>
      <c r="NCE948" s="2" t="str">
        <f t="shared" ref="NCE948" si="4315">IF(NBW948="Ionizador", "Plato de carga", IF(NBW948="Cautín", "PTG", "RTG"))</f>
        <v>RTG</v>
      </c>
      <c r="NCF948" s="7">
        <v>45992</v>
      </c>
      <c r="NCG948" s="7">
        <f t="shared" ref="NCG948" si="4316">IF(NCH948="Trimestral", NCF948+90, IF(NCH948="Semestral", NCF948+180, NCF948+365))</f>
        <v>46172</v>
      </c>
      <c r="NCH948" s="7" t="str">
        <f t="shared" ref="NCH948" si="4317">IF(NBW948="Ionizador", "Trimestral", IF(NBW948="Rack", "Semestral", IF(NBW948="Mesa", "Semestral", IF(NBW948="Tapete", "Semestral", IF(NBW948="Cautín", "Semestral", IF(NBW948="Silla", "Semestral", "Anual"))))))</f>
        <v>Semestral</v>
      </c>
      <c r="NCI948" s="2" t="str">
        <f t="shared" ref="NCI948" ca="1" si="4318">IF(NCG948&lt;TODAY(),"VENCIDO",IF(NCG948=TODAY(),"VENCE HOY",IF(NCG948&gt;TODAY(),"VIGENTE")))</f>
        <v>VIGENTE</v>
      </c>
      <c r="NCJ948" s="6" t="s">
        <v>25</v>
      </c>
      <c r="NCK948" s="23" t="s">
        <v>138</v>
      </c>
      <c r="NCL948" s="2" t="s">
        <v>433</v>
      </c>
      <c r="NCM948" s="3" t="s">
        <v>22</v>
      </c>
      <c r="NCN948" s="3" t="s">
        <v>23</v>
      </c>
      <c r="NCO948" s="2" t="s">
        <v>24</v>
      </c>
      <c r="NCP948" s="4">
        <v>0</v>
      </c>
      <c r="NCQ948" s="8">
        <f t="shared" ref="NCQ948" si="4319">IF(NCM948="Ionizador", 10, IF(NCM948="Mesa", 1000000000, IF(NCM948="Rack", 1000000000, IF(NCM948="Piso", 1000000000, IF(NCM948="Tapete", 1000000000, IF(NCM948="Carrito", 1000000000, IF(NCM948="Cautín", 10, 1)))))))</f>
        <v>1000000000</v>
      </c>
      <c r="NCR948" s="4" t="str">
        <f t="shared" ref="NCR948" si="4320">IF(NCM948="Ionizador", "Segundos", "Ohms")</f>
        <v>Ohms</v>
      </c>
      <c r="NCS948" s="6">
        <v>148000000</v>
      </c>
      <c r="NCT948" s="6" t="str">
        <f t="shared" ref="NCT948" si="4321">NCR948</f>
        <v>Ohms</v>
      </c>
      <c r="NCU948" s="2" t="str">
        <f t="shared" ref="NCU948" si="4322">IF(NCM948="Ionizador", "Plato de carga", IF(NCM948="Cautín", "PTG", "RTG"))</f>
        <v>RTG</v>
      </c>
      <c r="NCV948" s="7">
        <v>45992</v>
      </c>
      <c r="NCW948" s="7">
        <f t="shared" ref="NCW948" si="4323">IF(NCX948="Trimestral", NCV948+90, IF(NCX948="Semestral", NCV948+180, NCV948+365))</f>
        <v>46172</v>
      </c>
      <c r="NCX948" s="7" t="str">
        <f t="shared" ref="NCX948" si="4324">IF(NCM948="Ionizador", "Trimestral", IF(NCM948="Rack", "Semestral", IF(NCM948="Mesa", "Semestral", IF(NCM948="Tapete", "Semestral", IF(NCM948="Cautín", "Semestral", IF(NCM948="Silla", "Semestral", "Anual"))))))</f>
        <v>Semestral</v>
      </c>
      <c r="NCY948" s="2" t="str">
        <f t="shared" ref="NCY948" ca="1" si="4325">IF(NCW948&lt;TODAY(),"VENCIDO",IF(NCW948=TODAY(),"VENCE HOY",IF(NCW948&gt;TODAY(),"VIGENTE")))</f>
        <v>VIGENTE</v>
      </c>
      <c r="NCZ948" s="6" t="s">
        <v>25</v>
      </c>
      <c r="NDA948" s="23" t="s">
        <v>138</v>
      </c>
      <c r="NDB948" s="2" t="s">
        <v>433</v>
      </c>
      <c r="NDC948" s="3" t="s">
        <v>22</v>
      </c>
      <c r="NDD948" s="3" t="s">
        <v>23</v>
      </c>
      <c r="NDE948" s="2" t="s">
        <v>24</v>
      </c>
      <c r="NDF948" s="4">
        <v>0</v>
      </c>
      <c r="NDG948" s="8">
        <f t="shared" ref="NDG948" si="4326">IF(NDC948="Ionizador", 10, IF(NDC948="Mesa", 1000000000, IF(NDC948="Rack", 1000000000, IF(NDC948="Piso", 1000000000, IF(NDC948="Tapete", 1000000000, IF(NDC948="Carrito", 1000000000, IF(NDC948="Cautín", 10, 1)))))))</f>
        <v>1000000000</v>
      </c>
      <c r="NDH948" s="4" t="str">
        <f t="shared" ref="NDH948" si="4327">IF(NDC948="Ionizador", "Segundos", "Ohms")</f>
        <v>Ohms</v>
      </c>
      <c r="NDI948" s="6">
        <v>148000000</v>
      </c>
      <c r="NDJ948" s="6" t="str">
        <f t="shared" ref="NDJ948" si="4328">NDH948</f>
        <v>Ohms</v>
      </c>
      <c r="NDK948" s="2" t="str">
        <f t="shared" ref="NDK948" si="4329">IF(NDC948="Ionizador", "Plato de carga", IF(NDC948="Cautín", "PTG", "RTG"))</f>
        <v>RTG</v>
      </c>
      <c r="NDL948" s="7">
        <v>45992</v>
      </c>
      <c r="NDM948" s="7">
        <f t="shared" ref="NDM948" si="4330">IF(NDN948="Trimestral", NDL948+90, IF(NDN948="Semestral", NDL948+180, NDL948+365))</f>
        <v>46172</v>
      </c>
      <c r="NDN948" s="7" t="str">
        <f t="shared" ref="NDN948" si="4331">IF(NDC948="Ionizador", "Trimestral", IF(NDC948="Rack", "Semestral", IF(NDC948="Mesa", "Semestral", IF(NDC948="Tapete", "Semestral", IF(NDC948="Cautín", "Semestral", IF(NDC948="Silla", "Semestral", "Anual"))))))</f>
        <v>Semestral</v>
      </c>
      <c r="NDO948" s="2" t="str">
        <f t="shared" ref="NDO948" ca="1" si="4332">IF(NDM948&lt;TODAY(),"VENCIDO",IF(NDM948=TODAY(),"VENCE HOY",IF(NDM948&gt;TODAY(),"VIGENTE")))</f>
        <v>VIGENTE</v>
      </c>
      <c r="NDP948" s="6" t="s">
        <v>25</v>
      </c>
      <c r="NDQ948" s="23" t="s">
        <v>138</v>
      </c>
      <c r="NDR948" s="2" t="s">
        <v>433</v>
      </c>
      <c r="NDS948" s="3" t="s">
        <v>22</v>
      </c>
      <c r="NDT948" s="3" t="s">
        <v>23</v>
      </c>
      <c r="NDU948" s="2" t="s">
        <v>24</v>
      </c>
      <c r="NDV948" s="4">
        <v>0</v>
      </c>
      <c r="NDW948" s="8">
        <f t="shared" ref="NDW948" si="4333">IF(NDS948="Ionizador", 10, IF(NDS948="Mesa", 1000000000, IF(NDS948="Rack", 1000000000, IF(NDS948="Piso", 1000000000, IF(NDS948="Tapete", 1000000000, IF(NDS948="Carrito", 1000000000, IF(NDS948="Cautín", 10, 1)))))))</f>
        <v>1000000000</v>
      </c>
      <c r="NDX948" s="4" t="str">
        <f t="shared" ref="NDX948" si="4334">IF(NDS948="Ionizador", "Segundos", "Ohms")</f>
        <v>Ohms</v>
      </c>
      <c r="NDY948" s="6">
        <v>148000000</v>
      </c>
      <c r="NDZ948" s="6" t="str">
        <f t="shared" ref="NDZ948" si="4335">NDX948</f>
        <v>Ohms</v>
      </c>
      <c r="NEA948" s="2" t="str">
        <f t="shared" ref="NEA948" si="4336">IF(NDS948="Ionizador", "Plato de carga", IF(NDS948="Cautín", "PTG", "RTG"))</f>
        <v>RTG</v>
      </c>
      <c r="NEB948" s="7">
        <v>45992</v>
      </c>
      <c r="NEC948" s="7">
        <f t="shared" ref="NEC948" si="4337">IF(NED948="Trimestral", NEB948+90, IF(NED948="Semestral", NEB948+180, NEB948+365))</f>
        <v>46172</v>
      </c>
      <c r="NED948" s="7" t="str">
        <f t="shared" ref="NED948" si="4338">IF(NDS948="Ionizador", "Trimestral", IF(NDS948="Rack", "Semestral", IF(NDS948="Mesa", "Semestral", IF(NDS948="Tapete", "Semestral", IF(NDS948="Cautín", "Semestral", IF(NDS948="Silla", "Semestral", "Anual"))))))</f>
        <v>Semestral</v>
      </c>
      <c r="NEE948" s="2" t="str">
        <f t="shared" ref="NEE948" ca="1" si="4339">IF(NEC948&lt;TODAY(),"VENCIDO",IF(NEC948=TODAY(),"VENCE HOY",IF(NEC948&gt;TODAY(),"VIGENTE")))</f>
        <v>VIGENTE</v>
      </c>
      <c r="NEF948" s="6" t="s">
        <v>25</v>
      </c>
      <c r="NEG948" s="23" t="s">
        <v>138</v>
      </c>
      <c r="NEH948" s="2" t="s">
        <v>433</v>
      </c>
      <c r="NEI948" s="3" t="s">
        <v>22</v>
      </c>
      <c r="NEJ948" s="3" t="s">
        <v>23</v>
      </c>
      <c r="NEK948" s="2" t="s">
        <v>24</v>
      </c>
      <c r="NEL948" s="4">
        <v>0</v>
      </c>
      <c r="NEM948" s="8">
        <f t="shared" ref="NEM948" si="4340">IF(NEI948="Ionizador", 10, IF(NEI948="Mesa", 1000000000, IF(NEI948="Rack", 1000000000, IF(NEI948="Piso", 1000000000, IF(NEI948="Tapete", 1000000000, IF(NEI948="Carrito", 1000000000, IF(NEI948="Cautín", 10, 1)))))))</f>
        <v>1000000000</v>
      </c>
      <c r="NEN948" s="4" t="str">
        <f t="shared" ref="NEN948" si="4341">IF(NEI948="Ionizador", "Segundos", "Ohms")</f>
        <v>Ohms</v>
      </c>
      <c r="NEO948" s="6">
        <v>148000000</v>
      </c>
      <c r="NEP948" s="6" t="str">
        <f t="shared" ref="NEP948" si="4342">NEN948</f>
        <v>Ohms</v>
      </c>
      <c r="NEQ948" s="2" t="str">
        <f t="shared" ref="NEQ948" si="4343">IF(NEI948="Ionizador", "Plato de carga", IF(NEI948="Cautín", "PTG", "RTG"))</f>
        <v>RTG</v>
      </c>
      <c r="NER948" s="7">
        <v>45992</v>
      </c>
      <c r="NES948" s="7">
        <f t="shared" ref="NES948" si="4344">IF(NET948="Trimestral", NER948+90, IF(NET948="Semestral", NER948+180, NER948+365))</f>
        <v>46172</v>
      </c>
      <c r="NET948" s="7" t="str">
        <f t="shared" ref="NET948" si="4345">IF(NEI948="Ionizador", "Trimestral", IF(NEI948="Rack", "Semestral", IF(NEI948="Mesa", "Semestral", IF(NEI948="Tapete", "Semestral", IF(NEI948="Cautín", "Semestral", IF(NEI948="Silla", "Semestral", "Anual"))))))</f>
        <v>Semestral</v>
      </c>
      <c r="NEU948" s="2" t="str">
        <f t="shared" ref="NEU948" ca="1" si="4346">IF(NES948&lt;TODAY(),"VENCIDO",IF(NES948=TODAY(),"VENCE HOY",IF(NES948&gt;TODAY(),"VIGENTE")))</f>
        <v>VIGENTE</v>
      </c>
      <c r="NEV948" s="6" t="s">
        <v>25</v>
      </c>
      <c r="NEW948" s="23" t="s">
        <v>138</v>
      </c>
      <c r="NEX948" s="2" t="s">
        <v>433</v>
      </c>
      <c r="NEY948" s="3" t="s">
        <v>22</v>
      </c>
      <c r="NEZ948" s="3" t="s">
        <v>23</v>
      </c>
      <c r="NFA948" s="2" t="s">
        <v>24</v>
      </c>
      <c r="NFB948" s="4">
        <v>0</v>
      </c>
      <c r="NFC948" s="8">
        <f t="shared" ref="NFC948" si="4347">IF(NEY948="Ionizador", 10, IF(NEY948="Mesa", 1000000000, IF(NEY948="Rack", 1000000000, IF(NEY948="Piso", 1000000000, IF(NEY948="Tapete", 1000000000, IF(NEY948="Carrito", 1000000000, IF(NEY948="Cautín", 10, 1)))))))</f>
        <v>1000000000</v>
      </c>
      <c r="NFD948" s="4" t="str">
        <f t="shared" ref="NFD948" si="4348">IF(NEY948="Ionizador", "Segundos", "Ohms")</f>
        <v>Ohms</v>
      </c>
      <c r="NFE948" s="6">
        <v>148000000</v>
      </c>
      <c r="NFF948" s="6" t="str">
        <f t="shared" ref="NFF948" si="4349">NFD948</f>
        <v>Ohms</v>
      </c>
      <c r="NFG948" s="2" t="str">
        <f t="shared" ref="NFG948" si="4350">IF(NEY948="Ionizador", "Plato de carga", IF(NEY948="Cautín", "PTG", "RTG"))</f>
        <v>RTG</v>
      </c>
      <c r="NFH948" s="7">
        <v>45992</v>
      </c>
      <c r="NFI948" s="7">
        <f t="shared" ref="NFI948" si="4351">IF(NFJ948="Trimestral", NFH948+90, IF(NFJ948="Semestral", NFH948+180, NFH948+365))</f>
        <v>46172</v>
      </c>
      <c r="NFJ948" s="7" t="str">
        <f t="shared" ref="NFJ948" si="4352">IF(NEY948="Ionizador", "Trimestral", IF(NEY948="Rack", "Semestral", IF(NEY948="Mesa", "Semestral", IF(NEY948="Tapete", "Semestral", IF(NEY948="Cautín", "Semestral", IF(NEY948="Silla", "Semestral", "Anual"))))))</f>
        <v>Semestral</v>
      </c>
      <c r="NFK948" s="2" t="str">
        <f t="shared" ref="NFK948" ca="1" si="4353">IF(NFI948&lt;TODAY(),"VENCIDO",IF(NFI948=TODAY(),"VENCE HOY",IF(NFI948&gt;TODAY(),"VIGENTE")))</f>
        <v>VIGENTE</v>
      </c>
      <c r="NFL948" s="6" t="s">
        <v>25</v>
      </c>
      <c r="NFM948" s="23" t="s">
        <v>138</v>
      </c>
      <c r="NFN948" s="2" t="s">
        <v>433</v>
      </c>
      <c r="NFO948" s="3" t="s">
        <v>22</v>
      </c>
      <c r="NFP948" s="3" t="s">
        <v>23</v>
      </c>
      <c r="NFQ948" s="2" t="s">
        <v>24</v>
      </c>
      <c r="NFR948" s="4">
        <v>0</v>
      </c>
      <c r="NFS948" s="8">
        <f t="shared" ref="NFS948" si="4354">IF(NFO948="Ionizador", 10, IF(NFO948="Mesa", 1000000000, IF(NFO948="Rack", 1000000000, IF(NFO948="Piso", 1000000000, IF(NFO948="Tapete", 1000000000, IF(NFO948="Carrito", 1000000000, IF(NFO948="Cautín", 10, 1)))))))</f>
        <v>1000000000</v>
      </c>
      <c r="NFT948" s="4" t="str">
        <f t="shared" ref="NFT948" si="4355">IF(NFO948="Ionizador", "Segundos", "Ohms")</f>
        <v>Ohms</v>
      </c>
      <c r="NFU948" s="6">
        <v>148000000</v>
      </c>
      <c r="NFV948" s="6" t="str">
        <f t="shared" ref="NFV948" si="4356">NFT948</f>
        <v>Ohms</v>
      </c>
      <c r="NFW948" s="2" t="str">
        <f t="shared" ref="NFW948" si="4357">IF(NFO948="Ionizador", "Plato de carga", IF(NFO948="Cautín", "PTG", "RTG"))</f>
        <v>RTG</v>
      </c>
      <c r="NFX948" s="7">
        <v>45992</v>
      </c>
      <c r="NFY948" s="7">
        <f t="shared" ref="NFY948" si="4358">IF(NFZ948="Trimestral", NFX948+90, IF(NFZ948="Semestral", NFX948+180, NFX948+365))</f>
        <v>46172</v>
      </c>
      <c r="NFZ948" s="7" t="str">
        <f t="shared" ref="NFZ948" si="4359">IF(NFO948="Ionizador", "Trimestral", IF(NFO948="Rack", "Semestral", IF(NFO948="Mesa", "Semestral", IF(NFO948="Tapete", "Semestral", IF(NFO948="Cautín", "Semestral", IF(NFO948="Silla", "Semestral", "Anual"))))))</f>
        <v>Semestral</v>
      </c>
      <c r="NGA948" s="2" t="str">
        <f t="shared" ref="NGA948" ca="1" si="4360">IF(NFY948&lt;TODAY(),"VENCIDO",IF(NFY948=TODAY(),"VENCE HOY",IF(NFY948&gt;TODAY(),"VIGENTE")))</f>
        <v>VIGENTE</v>
      </c>
      <c r="NGB948" s="6" t="s">
        <v>25</v>
      </c>
      <c r="NGC948" s="23" t="s">
        <v>138</v>
      </c>
      <c r="NGD948" s="2" t="s">
        <v>433</v>
      </c>
      <c r="NGE948" s="3" t="s">
        <v>22</v>
      </c>
      <c r="NGF948" s="3" t="s">
        <v>23</v>
      </c>
      <c r="NGG948" s="2" t="s">
        <v>24</v>
      </c>
      <c r="NGH948" s="4">
        <v>0</v>
      </c>
      <c r="NGI948" s="8">
        <f t="shared" ref="NGI948" si="4361">IF(NGE948="Ionizador", 10, IF(NGE948="Mesa", 1000000000, IF(NGE948="Rack", 1000000000, IF(NGE948="Piso", 1000000000, IF(NGE948="Tapete", 1000000000, IF(NGE948="Carrito", 1000000000, IF(NGE948="Cautín", 10, 1)))))))</f>
        <v>1000000000</v>
      </c>
      <c r="NGJ948" s="4" t="str">
        <f t="shared" ref="NGJ948" si="4362">IF(NGE948="Ionizador", "Segundos", "Ohms")</f>
        <v>Ohms</v>
      </c>
      <c r="NGK948" s="6">
        <v>148000000</v>
      </c>
      <c r="NGL948" s="6" t="str">
        <f t="shared" ref="NGL948" si="4363">NGJ948</f>
        <v>Ohms</v>
      </c>
      <c r="NGM948" s="2" t="str">
        <f t="shared" ref="NGM948" si="4364">IF(NGE948="Ionizador", "Plato de carga", IF(NGE948="Cautín", "PTG", "RTG"))</f>
        <v>RTG</v>
      </c>
      <c r="NGN948" s="7">
        <v>45992</v>
      </c>
      <c r="NGO948" s="7">
        <f t="shared" ref="NGO948" si="4365">IF(NGP948="Trimestral", NGN948+90, IF(NGP948="Semestral", NGN948+180, NGN948+365))</f>
        <v>46172</v>
      </c>
      <c r="NGP948" s="7" t="str">
        <f t="shared" ref="NGP948" si="4366">IF(NGE948="Ionizador", "Trimestral", IF(NGE948="Rack", "Semestral", IF(NGE948="Mesa", "Semestral", IF(NGE948="Tapete", "Semestral", IF(NGE948="Cautín", "Semestral", IF(NGE948="Silla", "Semestral", "Anual"))))))</f>
        <v>Semestral</v>
      </c>
      <c r="NGQ948" s="2" t="str">
        <f t="shared" ref="NGQ948" ca="1" si="4367">IF(NGO948&lt;TODAY(),"VENCIDO",IF(NGO948=TODAY(),"VENCE HOY",IF(NGO948&gt;TODAY(),"VIGENTE")))</f>
        <v>VIGENTE</v>
      </c>
      <c r="NGR948" s="6" t="s">
        <v>25</v>
      </c>
      <c r="NGS948" s="23" t="s">
        <v>138</v>
      </c>
      <c r="NGT948" s="2" t="s">
        <v>433</v>
      </c>
      <c r="NGU948" s="3" t="s">
        <v>22</v>
      </c>
      <c r="NGV948" s="3" t="s">
        <v>23</v>
      </c>
      <c r="NGW948" s="2" t="s">
        <v>24</v>
      </c>
      <c r="NGX948" s="4">
        <v>0</v>
      </c>
      <c r="NGY948" s="8">
        <f t="shared" ref="NGY948" si="4368">IF(NGU948="Ionizador", 10, IF(NGU948="Mesa", 1000000000, IF(NGU948="Rack", 1000000000, IF(NGU948="Piso", 1000000000, IF(NGU948="Tapete", 1000000000, IF(NGU948="Carrito", 1000000000, IF(NGU948="Cautín", 10, 1)))))))</f>
        <v>1000000000</v>
      </c>
      <c r="NGZ948" s="4" t="str">
        <f t="shared" ref="NGZ948" si="4369">IF(NGU948="Ionizador", "Segundos", "Ohms")</f>
        <v>Ohms</v>
      </c>
      <c r="NHA948" s="6">
        <v>148000000</v>
      </c>
      <c r="NHB948" s="6" t="str">
        <f t="shared" ref="NHB948" si="4370">NGZ948</f>
        <v>Ohms</v>
      </c>
      <c r="NHC948" s="2" t="str">
        <f t="shared" ref="NHC948" si="4371">IF(NGU948="Ionizador", "Plato de carga", IF(NGU948="Cautín", "PTG", "RTG"))</f>
        <v>RTG</v>
      </c>
      <c r="NHD948" s="7">
        <v>45992</v>
      </c>
      <c r="NHE948" s="7">
        <f t="shared" ref="NHE948" si="4372">IF(NHF948="Trimestral", NHD948+90, IF(NHF948="Semestral", NHD948+180, NHD948+365))</f>
        <v>46172</v>
      </c>
      <c r="NHF948" s="7" t="str">
        <f t="shared" ref="NHF948" si="4373">IF(NGU948="Ionizador", "Trimestral", IF(NGU948="Rack", "Semestral", IF(NGU948="Mesa", "Semestral", IF(NGU948="Tapete", "Semestral", IF(NGU948="Cautín", "Semestral", IF(NGU948="Silla", "Semestral", "Anual"))))))</f>
        <v>Semestral</v>
      </c>
      <c r="NHG948" s="2" t="str">
        <f t="shared" ref="NHG948" ca="1" si="4374">IF(NHE948&lt;TODAY(),"VENCIDO",IF(NHE948=TODAY(),"VENCE HOY",IF(NHE948&gt;TODAY(),"VIGENTE")))</f>
        <v>VIGENTE</v>
      </c>
      <c r="NHH948" s="6" t="s">
        <v>25</v>
      </c>
      <c r="NHI948" s="23" t="s">
        <v>138</v>
      </c>
      <c r="NHJ948" s="2" t="s">
        <v>433</v>
      </c>
      <c r="NHK948" s="3" t="s">
        <v>22</v>
      </c>
      <c r="NHL948" s="3" t="s">
        <v>23</v>
      </c>
      <c r="NHM948" s="2" t="s">
        <v>24</v>
      </c>
      <c r="NHN948" s="4">
        <v>0</v>
      </c>
      <c r="NHO948" s="8">
        <f t="shared" ref="NHO948" si="4375">IF(NHK948="Ionizador", 10, IF(NHK948="Mesa", 1000000000, IF(NHK948="Rack", 1000000000, IF(NHK948="Piso", 1000000000, IF(NHK948="Tapete", 1000000000, IF(NHK948="Carrito", 1000000000, IF(NHK948="Cautín", 10, 1)))))))</f>
        <v>1000000000</v>
      </c>
      <c r="NHP948" s="4" t="str">
        <f t="shared" ref="NHP948" si="4376">IF(NHK948="Ionizador", "Segundos", "Ohms")</f>
        <v>Ohms</v>
      </c>
      <c r="NHQ948" s="6">
        <v>148000000</v>
      </c>
      <c r="NHR948" s="6" t="str">
        <f t="shared" ref="NHR948" si="4377">NHP948</f>
        <v>Ohms</v>
      </c>
      <c r="NHS948" s="2" t="str">
        <f t="shared" ref="NHS948" si="4378">IF(NHK948="Ionizador", "Plato de carga", IF(NHK948="Cautín", "PTG", "RTG"))</f>
        <v>RTG</v>
      </c>
      <c r="NHT948" s="7">
        <v>45992</v>
      </c>
      <c r="NHU948" s="7">
        <f t="shared" ref="NHU948" si="4379">IF(NHV948="Trimestral", NHT948+90, IF(NHV948="Semestral", NHT948+180, NHT948+365))</f>
        <v>46172</v>
      </c>
      <c r="NHV948" s="7" t="str">
        <f t="shared" ref="NHV948" si="4380">IF(NHK948="Ionizador", "Trimestral", IF(NHK948="Rack", "Semestral", IF(NHK948="Mesa", "Semestral", IF(NHK948="Tapete", "Semestral", IF(NHK948="Cautín", "Semestral", IF(NHK948="Silla", "Semestral", "Anual"))))))</f>
        <v>Semestral</v>
      </c>
      <c r="NHW948" s="2" t="str">
        <f t="shared" ref="NHW948" ca="1" si="4381">IF(NHU948&lt;TODAY(),"VENCIDO",IF(NHU948=TODAY(),"VENCE HOY",IF(NHU948&gt;TODAY(),"VIGENTE")))</f>
        <v>VIGENTE</v>
      </c>
      <c r="NHX948" s="6" t="s">
        <v>25</v>
      </c>
      <c r="NHY948" s="23" t="s">
        <v>138</v>
      </c>
      <c r="NHZ948" s="2" t="s">
        <v>433</v>
      </c>
      <c r="NIA948" s="3" t="s">
        <v>22</v>
      </c>
      <c r="NIB948" s="3" t="s">
        <v>23</v>
      </c>
      <c r="NIC948" s="2" t="s">
        <v>24</v>
      </c>
      <c r="NID948" s="4">
        <v>0</v>
      </c>
      <c r="NIE948" s="8">
        <f t="shared" ref="NIE948" si="4382">IF(NIA948="Ionizador", 10, IF(NIA948="Mesa", 1000000000, IF(NIA948="Rack", 1000000000, IF(NIA948="Piso", 1000000000, IF(NIA948="Tapete", 1000000000, IF(NIA948="Carrito", 1000000000, IF(NIA948="Cautín", 10, 1)))))))</f>
        <v>1000000000</v>
      </c>
      <c r="NIF948" s="4" t="str">
        <f t="shared" ref="NIF948" si="4383">IF(NIA948="Ionizador", "Segundos", "Ohms")</f>
        <v>Ohms</v>
      </c>
      <c r="NIG948" s="6">
        <v>148000000</v>
      </c>
      <c r="NIH948" s="6" t="str">
        <f t="shared" ref="NIH948" si="4384">NIF948</f>
        <v>Ohms</v>
      </c>
      <c r="NII948" s="2" t="str">
        <f t="shared" ref="NII948" si="4385">IF(NIA948="Ionizador", "Plato de carga", IF(NIA948="Cautín", "PTG", "RTG"))</f>
        <v>RTG</v>
      </c>
      <c r="NIJ948" s="7">
        <v>45992</v>
      </c>
      <c r="NIK948" s="7">
        <f t="shared" ref="NIK948" si="4386">IF(NIL948="Trimestral", NIJ948+90, IF(NIL948="Semestral", NIJ948+180, NIJ948+365))</f>
        <v>46172</v>
      </c>
      <c r="NIL948" s="7" t="str">
        <f t="shared" ref="NIL948" si="4387">IF(NIA948="Ionizador", "Trimestral", IF(NIA948="Rack", "Semestral", IF(NIA948="Mesa", "Semestral", IF(NIA948="Tapete", "Semestral", IF(NIA948="Cautín", "Semestral", IF(NIA948="Silla", "Semestral", "Anual"))))))</f>
        <v>Semestral</v>
      </c>
      <c r="NIM948" s="2" t="str">
        <f t="shared" ref="NIM948" ca="1" si="4388">IF(NIK948&lt;TODAY(),"VENCIDO",IF(NIK948=TODAY(),"VENCE HOY",IF(NIK948&gt;TODAY(),"VIGENTE")))</f>
        <v>VIGENTE</v>
      </c>
      <c r="NIN948" s="6" t="s">
        <v>25</v>
      </c>
      <c r="NIO948" s="23" t="s">
        <v>138</v>
      </c>
      <c r="NIP948" s="2" t="s">
        <v>433</v>
      </c>
      <c r="NIQ948" s="3" t="s">
        <v>22</v>
      </c>
      <c r="NIR948" s="3" t="s">
        <v>23</v>
      </c>
      <c r="NIS948" s="2" t="s">
        <v>24</v>
      </c>
      <c r="NIT948" s="4">
        <v>0</v>
      </c>
      <c r="NIU948" s="8">
        <f t="shared" ref="NIU948" si="4389">IF(NIQ948="Ionizador", 10, IF(NIQ948="Mesa", 1000000000, IF(NIQ948="Rack", 1000000000, IF(NIQ948="Piso", 1000000000, IF(NIQ948="Tapete", 1000000000, IF(NIQ948="Carrito", 1000000000, IF(NIQ948="Cautín", 10, 1)))))))</f>
        <v>1000000000</v>
      </c>
      <c r="NIV948" s="4" t="str">
        <f t="shared" ref="NIV948" si="4390">IF(NIQ948="Ionizador", "Segundos", "Ohms")</f>
        <v>Ohms</v>
      </c>
      <c r="NIW948" s="6">
        <v>148000000</v>
      </c>
      <c r="NIX948" s="6" t="str">
        <f t="shared" ref="NIX948" si="4391">NIV948</f>
        <v>Ohms</v>
      </c>
      <c r="NIY948" s="2" t="str">
        <f t="shared" ref="NIY948" si="4392">IF(NIQ948="Ionizador", "Plato de carga", IF(NIQ948="Cautín", "PTG", "RTG"))</f>
        <v>RTG</v>
      </c>
      <c r="NIZ948" s="7">
        <v>45992</v>
      </c>
      <c r="NJA948" s="7">
        <f t="shared" ref="NJA948" si="4393">IF(NJB948="Trimestral", NIZ948+90, IF(NJB948="Semestral", NIZ948+180, NIZ948+365))</f>
        <v>46172</v>
      </c>
      <c r="NJB948" s="7" t="str">
        <f t="shared" ref="NJB948" si="4394">IF(NIQ948="Ionizador", "Trimestral", IF(NIQ948="Rack", "Semestral", IF(NIQ948="Mesa", "Semestral", IF(NIQ948="Tapete", "Semestral", IF(NIQ948="Cautín", "Semestral", IF(NIQ948="Silla", "Semestral", "Anual"))))))</f>
        <v>Semestral</v>
      </c>
      <c r="NJC948" s="2" t="str">
        <f t="shared" ref="NJC948" ca="1" si="4395">IF(NJA948&lt;TODAY(),"VENCIDO",IF(NJA948=TODAY(),"VENCE HOY",IF(NJA948&gt;TODAY(),"VIGENTE")))</f>
        <v>VIGENTE</v>
      </c>
      <c r="NJD948" s="6" t="s">
        <v>25</v>
      </c>
      <c r="NJE948" s="23" t="s">
        <v>138</v>
      </c>
      <c r="NJF948" s="2" t="s">
        <v>433</v>
      </c>
      <c r="NJG948" s="3" t="s">
        <v>22</v>
      </c>
      <c r="NJH948" s="3" t="s">
        <v>23</v>
      </c>
      <c r="NJI948" s="2" t="s">
        <v>24</v>
      </c>
      <c r="NJJ948" s="4">
        <v>0</v>
      </c>
      <c r="NJK948" s="8">
        <f t="shared" ref="NJK948" si="4396">IF(NJG948="Ionizador", 10, IF(NJG948="Mesa", 1000000000, IF(NJG948="Rack", 1000000000, IF(NJG948="Piso", 1000000000, IF(NJG948="Tapete", 1000000000, IF(NJG948="Carrito", 1000000000, IF(NJG948="Cautín", 10, 1)))))))</f>
        <v>1000000000</v>
      </c>
      <c r="NJL948" s="4" t="str">
        <f t="shared" ref="NJL948" si="4397">IF(NJG948="Ionizador", "Segundos", "Ohms")</f>
        <v>Ohms</v>
      </c>
      <c r="NJM948" s="6">
        <v>148000000</v>
      </c>
      <c r="NJN948" s="6" t="str">
        <f t="shared" ref="NJN948" si="4398">NJL948</f>
        <v>Ohms</v>
      </c>
      <c r="NJO948" s="2" t="str">
        <f t="shared" ref="NJO948" si="4399">IF(NJG948="Ionizador", "Plato de carga", IF(NJG948="Cautín", "PTG", "RTG"))</f>
        <v>RTG</v>
      </c>
      <c r="NJP948" s="7">
        <v>45992</v>
      </c>
      <c r="NJQ948" s="7">
        <f t="shared" ref="NJQ948" si="4400">IF(NJR948="Trimestral", NJP948+90, IF(NJR948="Semestral", NJP948+180, NJP948+365))</f>
        <v>46172</v>
      </c>
      <c r="NJR948" s="7" t="str">
        <f t="shared" ref="NJR948" si="4401">IF(NJG948="Ionizador", "Trimestral", IF(NJG948="Rack", "Semestral", IF(NJG948="Mesa", "Semestral", IF(NJG948="Tapete", "Semestral", IF(NJG948="Cautín", "Semestral", IF(NJG948="Silla", "Semestral", "Anual"))))))</f>
        <v>Semestral</v>
      </c>
      <c r="NJS948" s="2" t="str">
        <f t="shared" ref="NJS948" ca="1" si="4402">IF(NJQ948&lt;TODAY(),"VENCIDO",IF(NJQ948=TODAY(),"VENCE HOY",IF(NJQ948&gt;TODAY(),"VIGENTE")))</f>
        <v>VIGENTE</v>
      </c>
      <c r="NJT948" s="6" t="s">
        <v>25</v>
      </c>
      <c r="NJU948" s="23" t="s">
        <v>138</v>
      </c>
      <c r="NJV948" s="2" t="s">
        <v>433</v>
      </c>
      <c r="NJW948" s="3" t="s">
        <v>22</v>
      </c>
      <c r="NJX948" s="3" t="s">
        <v>23</v>
      </c>
      <c r="NJY948" s="2" t="s">
        <v>24</v>
      </c>
      <c r="NJZ948" s="4">
        <v>0</v>
      </c>
      <c r="NKA948" s="8">
        <f t="shared" ref="NKA948" si="4403">IF(NJW948="Ionizador", 10, IF(NJW948="Mesa", 1000000000, IF(NJW948="Rack", 1000000000, IF(NJW948="Piso", 1000000000, IF(NJW948="Tapete", 1000000000, IF(NJW948="Carrito", 1000000000, IF(NJW948="Cautín", 10, 1)))))))</f>
        <v>1000000000</v>
      </c>
      <c r="NKB948" s="4" t="str">
        <f t="shared" ref="NKB948" si="4404">IF(NJW948="Ionizador", "Segundos", "Ohms")</f>
        <v>Ohms</v>
      </c>
      <c r="NKC948" s="6">
        <v>148000000</v>
      </c>
      <c r="NKD948" s="6" t="str">
        <f t="shared" ref="NKD948" si="4405">NKB948</f>
        <v>Ohms</v>
      </c>
      <c r="NKE948" s="2" t="str">
        <f t="shared" ref="NKE948" si="4406">IF(NJW948="Ionizador", "Plato de carga", IF(NJW948="Cautín", "PTG", "RTG"))</f>
        <v>RTG</v>
      </c>
      <c r="NKF948" s="7">
        <v>45992</v>
      </c>
      <c r="NKG948" s="7">
        <f t="shared" ref="NKG948" si="4407">IF(NKH948="Trimestral", NKF948+90, IF(NKH948="Semestral", NKF948+180, NKF948+365))</f>
        <v>46172</v>
      </c>
      <c r="NKH948" s="7" t="str">
        <f t="shared" ref="NKH948" si="4408">IF(NJW948="Ionizador", "Trimestral", IF(NJW948="Rack", "Semestral", IF(NJW948="Mesa", "Semestral", IF(NJW948="Tapete", "Semestral", IF(NJW948="Cautín", "Semestral", IF(NJW948="Silla", "Semestral", "Anual"))))))</f>
        <v>Semestral</v>
      </c>
      <c r="NKI948" s="2" t="str">
        <f t="shared" ref="NKI948" ca="1" si="4409">IF(NKG948&lt;TODAY(),"VENCIDO",IF(NKG948=TODAY(),"VENCE HOY",IF(NKG948&gt;TODAY(),"VIGENTE")))</f>
        <v>VIGENTE</v>
      </c>
      <c r="NKJ948" s="6" t="s">
        <v>25</v>
      </c>
      <c r="NKK948" s="23" t="s">
        <v>138</v>
      </c>
      <c r="NKL948" s="2" t="s">
        <v>433</v>
      </c>
      <c r="NKM948" s="3" t="s">
        <v>22</v>
      </c>
      <c r="NKN948" s="3" t="s">
        <v>23</v>
      </c>
      <c r="NKO948" s="2" t="s">
        <v>24</v>
      </c>
      <c r="NKP948" s="4">
        <v>0</v>
      </c>
      <c r="NKQ948" s="8">
        <f t="shared" ref="NKQ948" si="4410">IF(NKM948="Ionizador", 10, IF(NKM948="Mesa", 1000000000, IF(NKM948="Rack", 1000000000, IF(NKM948="Piso", 1000000000, IF(NKM948="Tapete", 1000000000, IF(NKM948="Carrito", 1000000000, IF(NKM948="Cautín", 10, 1)))))))</f>
        <v>1000000000</v>
      </c>
      <c r="NKR948" s="4" t="str">
        <f t="shared" ref="NKR948" si="4411">IF(NKM948="Ionizador", "Segundos", "Ohms")</f>
        <v>Ohms</v>
      </c>
      <c r="NKS948" s="6">
        <v>148000000</v>
      </c>
      <c r="NKT948" s="6" t="str">
        <f t="shared" ref="NKT948" si="4412">NKR948</f>
        <v>Ohms</v>
      </c>
      <c r="NKU948" s="2" t="str">
        <f t="shared" ref="NKU948" si="4413">IF(NKM948="Ionizador", "Plato de carga", IF(NKM948="Cautín", "PTG", "RTG"))</f>
        <v>RTG</v>
      </c>
      <c r="NKV948" s="7">
        <v>45992</v>
      </c>
      <c r="NKW948" s="7">
        <f t="shared" ref="NKW948" si="4414">IF(NKX948="Trimestral", NKV948+90, IF(NKX948="Semestral", NKV948+180, NKV948+365))</f>
        <v>46172</v>
      </c>
      <c r="NKX948" s="7" t="str">
        <f t="shared" ref="NKX948" si="4415">IF(NKM948="Ionizador", "Trimestral", IF(NKM948="Rack", "Semestral", IF(NKM948="Mesa", "Semestral", IF(NKM948="Tapete", "Semestral", IF(NKM948="Cautín", "Semestral", IF(NKM948="Silla", "Semestral", "Anual"))))))</f>
        <v>Semestral</v>
      </c>
      <c r="NKY948" s="2" t="str">
        <f t="shared" ref="NKY948" ca="1" si="4416">IF(NKW948&lt;TODAY(),"VENCIDO",IF(NKW948=TODAY(),"VENCE HOY",IF(NKW948&gt;TODAY(),"VIGENTE")))</f>
        <v>VIGENTE</v>
      </c>
      <c r="NKZ948" s="6" t="s">
        <v>25</v>
      </c>
      <c r="NLA948" s="23" t="s">
        <v>138</v>
      </c>
      <c r="NLB948" s="2" t="s">
        <v>433</v>
      </c>
      <c r="NLC948" s="3" t="s">
        <v>22</v>
      </c>
      <c r="NLD948" s="3" t="s">
        <v>23</v>
      </c>
      <c r="NLE948" s="2" t="s">
        <v>24</v>
      </c>
      <c r="NLF948" s="4">
        <v>0</v>
      </c>
      <c r="NLG948" s="8">
        <f t="shared" ref="NLG948" si="4417">IF(NLC948="Ionizador", 10, IF(NLC948="Mesa", 1000000000, IF(NLC948="Rack", 1000000000, IF(NLC948="Piso", 1000000000, IF(NLC948="Tapete", 1000000000, IF(NLC948="Carrito", 1000000000, IF(NLC948="Cautín", 10, 1)))))))</f>
        <v>1000000000</v>
      </c>
      <c r="NLH948" s="4" t="str">
        <f t="shared" ref="NLH948" si="4418">IF(NLC948="Ionizador", "Segundos", "Ohms")</f>
        <v>Ohms</v>
      </c>
      <c r="NLI948" s="6">
        <v>148000000</v>
      </c>
      <c r="NLJ948" s="6" t="str">
        <f t="shared" ref="NLJ948" si="4419">NLH948</f>
        <v>Ohms</v>
      </c>
      <c r="NLK948" s="2" t="str">
        <f t="shared" ref="NLK948" si="4420">IF(NLC948="Ionizador", "Plato de carga", IF(NLC948="Cautín", "PTG", "RTG"))</f>
        <v>RTG</v>
      </c>
      <c r="NLL948" s="7">
        <v>45992</v>
      </c>
      <c r="NLM948" s="7">
        <f t="shared" ref="NLM948" si="4421">IF(NLN948="Trimestral", NLL948+90, IF(NLN948="Semestral", NLL948+180, NLL948+365))</f>
        <v>46172</v>
      </c>
      <c r="NLN948" s="7" t="str">
        <f t="shared" ref="NLN948" si="4422">IF(NLC948="Ionizador", "Trimestral", IF(NLC948="Rack", "Semestral", IF(NLC948="Mesa", "Semestral", IF(NLC948="Tapete", "Semestral", IF(NLC948="Cautín", "Semestral", IF(NLC948="Silla", "Semestral", "Anual"))))))</f>
        <v>Semestral</v>
      </c>
      <c r="NLO948" s="2" t="str">
        <f t="shared" ref="NLO948" ca="1" si="4423">IF(NLM948&lt;TODAY(),"VENCIDO",IF(NLM948=TODAY(),"VENCE HOY",IF(NLM948&gt;TODAY(),"VIGENTE")))</f>
        <v>VIGENTE</v>
      </c>
      <c r="NLP948" s="6" t="s">
        <v>25</v>
      </c>
      <c r="NLQ948" s="23" t="s">
        <v>138</v>
      </c>
      <c r="NLR948" s="2" t="s">
        <v>433</v>
      </c>
      <c r="NLS948" s="3" t="s">
        <v>22</v>
      </c>
      <c r="NLT948" s="3" t="s">
        <v>23</v>
      </c>
      <c r="NLU948" s="2" t="s">
        <v>24</v>
      </c>
      <c r="NLV948" s="4">
        <v>0</v>
      </c>
      <c r="NLW948" s="8">
        <f t="shared" ref="NLW948" si="4424">IF(NLS948="Ionizador", 10, IF(NLS948="Mesa", 1000000000, IF(NLS948="Rack", 1000000000, IF(NLS948="Piso", 1000000000, IF(NLS948="Tapete", 1000000000, IF(NLS948="Carrito", 1000000000, IF(NLS948="Cautín", 10, 1)))))))</f>
        <v>1000000000</v>
      </c>
      <c r="NLX948" s="4" t="str">
        <f t="shared" ref="NLX948" si="4425">IF(NLS948="Ionizador", "Segundos", "Ohms")</f>
        <v>Ohms</v>
      </c>
      <c r="NLY948" s="6">
        <v>148000000</v>
      </c>
      <c r="NLZ948" s="6" t="str">
        <f t="shared" ref="NLZ948" si="4426">NLX948</f>
        <v>Ohms</v>
      </c>
      <c r="NMA948" s="2" t="str">
        <f t="shared" ref="NMA948" si="4427">IF(NLS948="Ionizador", "Plato de carga", IF(NLS948="Cautín", "PTG", "RTG"))</f>
        <v>RTG</v>
      </c>
      <c r="NMB948" s="7">
        <v>45992</v>
      </c>
      <c r="NMC948" s="7">
        <f t="shared" ref="NMC948" si="4428">IF(NMD948="Trimestral", NMB948+90, IF(NMD948="Semestral", NMB948+180, NMB948+365))</f>
        <v>46172</v>
      </c>
      <c r="NMD948" s="7" t="str">
        <f t="shared" ref="NMD948" si="4429">IF(NLS948="Ionizador", "Trimestral", IF(NLS948="Rack", "Semestral", IF(NLS948="Mesa", "Semestral", IF(NLS948="Tapete", "Semestral", IF(NLS948="Cautín", "Semestral", IF(NLS948="Silla", "Semestral", "Anual"))))))</f>
        <v>Semestral</v>
      </c>
      <c r="NME948" s="2" t="str">
        <f t="shared" ref="NME948" ca="1" si="4430">IF(NMC948&lt;TODAY(),"VENCIDO",IF(NMC948=TODAY(),"VENCE HOY",IF(NMC948&gt;TODAY(),"VIGENTE")))</f>
        <v>VIGENTE</v>
      </c>
      <c r="NMF948" s="6" t="s">
        <v>25</v>
      </c>
      <c r="NMG948" s="23" t="s">
        <v>138</v>
      </c>
      <c r="NMH948" s="2" t="s">
        <v>433</v>
      </c>
      <c r="NMI948" s="3" t="s">
        <v>22</v>
      </c>
      <c r="NMJ948" s="3" t="s">
        <v>23</v>
      </c>
      <c r="NMK948" s="2" t="s">
        <v>24</v>
      </c>
      <c r="NML948" s="4">
        <v>0</v>
      </c>
      <c r="NMM948" s="8">
        <f t="shared" ref="NMM948" si="4431">IF(NMI948="Ionizador", 10, IF(NMI948="Mesa", 1000000000, IF(NMI948="Rack", 1000000000, IF(NMI948="Piso", 1000000000, IF(NMI948="Tapete", 1000000000, IF(NMI948="Carrito", 1000000000, IF(NMI948="Cautín", 10, 1)))))))</f>
        <v>1000000000</v>
      </c>
      <c r="NMN948" s="4" t="str">
        <f t="shared" ref="NMN948" si="4432">IF(NMI948="Ionizador", "Segundos", "Ohms")</f>
        <v>Ohms</v>
      </c>
      <c r="NMO948" s="6">
        <v>148000000</v>
      </c>
      <c r="NMP948" s="6" t="str">
        <f t="shared" ref="NMP948" si="4433">NMN948</f>
        <v>Ohms</v>
      </c>
      <c r="NMQ948" s="2" t="str">
        <f t="shared" ref="NMQ948" si="4434">IF(NMI948="Ionizador", "Plato de carga", IF(NMI948="Cautín", "PTG", "RTG"))</f>
        <v>RTG</v>
      </c>
      <c r="NMR948" s="7">
        <v>45992</v>
      </c>
      <c r="NMS948" s="7">
        <f t="shared" ref="NMS948" si="4435">IF(NMT948="Trimestral", NMR948+90, IF(NMT948="Semestral", NMR948+180, NMR948+365))</f>
        <v>46172</v>
      </c>
      <c r="NMT948" s="7" t="str">
        <f t="shared" ref="NMT948" si="4436">IF(NMI948="Ionizador", "Trimestral", IF(NMI948="Rack", "Semestral", IF(NMI948="Mesa", "Semestral", IF(NMI948="Tapete", "Semestral", IF(NMI948="Cautín", "Semestral", IF(NMI948="Silla", "Semestral", "Anual"))))))</f>
        <v>Semestral</v>
      </c>
      <c r="NMU948" s="2" t="str">
        <f t="shared" ref="NMU948" ca="1" si="4437">IF(NMS948&lt;TODAY(),"VENCIDO",IF(NMS948=TODAY(),"VENCE HOY",IF(NMS948&gt;TODAY(),"VIGENTE")))</f>
        <v>VIGENTE</v>
      </c>
      <c r="NMV948" s="6" t="s">
        <v>25</v>
      </c>
      <c r="NMW948" s="23" t="s">
        <v>138</v>
      </c>
      <c r="NMX948" s="2" t="s">
        <v>433</v>
      </c>
      <c r="NMY948" s="3" t="s">
        <v>22</v>
      </c>
      <c r="NMZ948" s="3" t="s">
        <v>23</v>
      </c>
      <c r="NNA948" s="2" t="s">
        <v>24</v>
      </c>
      <c r="NNB948" s="4">
        <v>0</v>
      </c>
      <c r="NNC948" s="8">
        <f t="shared" ref="NNC948" si="4438">IF(NMY948="Ionizador", 10, IF(NMY948="Mesa", 1000000000, IF(NMY948="Rack", 1000000000, IF(NMY948="Piso", 1000000000, IF(NMY948="Tapete", 1000000000, IF(NMY948="Carrito", 1000000000, IF(NMY948="Cautín", 10, 1)))))))</f>
        <v>1000000000</v>
      </c>
      <c r="NND948" s="4" t="str">
        <f t="shared" ref="NND948" si="4439">IF(NMY948="Ionizador", "Segundos", "Ohms")</f>
        <v>Ohms</v>
      </c>
      <c r="NNE948" s="6">
        <v>148000000</v>
      </c>
      <c r="NNF948" s="6" t="str">
        <f t="shared" ref="NNF948" si="4440">NND948</f>
        <v>Ohms</v>
      </c>
      <c r="NNG948" s="2" t="str">
        <f t="shared" ref="NNG948" si="4441">IF(NMY948="Ionizador", "Plato de carga", IF(NMY948="Cautín", "PTG", "RTG"))</f>
        <v>RTG</v>
      </c>
      <c r="NNH948" s="7">
        <v>45992</v>
      </c>
      <c r="NNI948" s="7">
        <f t="shared" ref="NNI948" si="4442">IF(NNJ948="Trimestral", NNH948+90, IF(NNJ948="Semestral", NNH948+180, NNH948+365))</f>
        <v>46172</v>
      </c>
      <c r="NNJ948" s="7" t="str">
        <f t="shared" ref="NNJ948" si="4443">IF(NMY948="Ionizador", "Trimestral", IF(NMY948="Rack", "Semestral", IF(NMY948="Mesa", "Semestral", IF(NMY948="Tapete", "Semestral", IF(NMY948="Cautín", "Semestral", IF(NMY948="Silla", "Semestral", "Anual"))))))</f>
        <v>Semestral</v>
      </c>
      <c r="NNK948" s="2" t="str">
        <f t="shared" ref="NNK948" ca="1" si="4444">IF(NNI948&lt;TODAY(),"VENCIDO",IF(NNI948=TODAY(),"VENCE HOY",IF(NNI948&gt;TODAY(),"VIGENTE")))</f>
        <v>VIGENTE</v>
      </c>
      <c r="NNL948" s="6" t="s">
        <v>25</v>
      </c>
      <c r="NNM948" s="23" t="s">
        <v>138</v>
      </c>
      <c r="NNN948" s="2" t="s">
        <v>433</v>
      </c>
      <c r="NNO948" s="3" t="s">
        <v>22</v>
      </c>
      <c r="NNP948" s="3" t="s">
        <v>23</v>
      </c>
      <c r="NNQ948" s="2" t="s">
        <v>24</v>
      </c>
      <c r="NNR948" s="4">
        <v>0</v>
      </c>
      <c r="NNS948" s="8">
        <f t="shared" ref="NNS948" si="4445">IF(NNO948="Ionizador", 10, IF(NNO948="Mesa", 1000000000, IF(NNO948="Rack", 1000000000, IF(NNO948="Piso", 1000000000, IF(NNO948="Tapete", 1000000000, IF(NNO948="Carrito", 1000000000, IF(NNO948="Cautín", 10, 1)))))))</f>
        <v>1000000000</v>
      </c>
      <c r="NNT948" s="4" t="str">
        <f t="shared" ref="NNT948" si="4446">IF(NNO948="Ionizador", "Segundos", "Ohms")</f>
        <v>Ohms</v>
      </c>
      <c r="NNU948" s="6">
        <v>148000000</v>
      </c>
      <c r="NNV948" s="6" t="str">
        <f t="shared" ref="NNV948" si="4447">NNT948</f>
        <v>Ohms</v>
      </c>
      <c r="NNW948" s="2" t="str">
        <f t="shared" ref="NNW948" si="4448">IF(NNO948="Ionizador", "Plato de carga", IF(NNO948="Cautín", "PTG", "RTG"))</f>
        <v>RTG</v>
      </c>
      <c r="NNX948" s="7">
        <v>45992</v>
      </c>
      <c r="NNY948" s="7">
        <f t="shared" ref="NNY948" si="4449">IF(NNZ948="Trimestral", NNX948+90, IF(NNZ948="Semestral", NNX948+180, NNX948+365))</f>
        <v>46172</v>
      </c>
      <c r="NNZ948" s="7" t="str">
        <f t="shared" ref="NNZ948" si="4450">IF(NNO948="Ionizador", "Trimestral", IF(NNO948="Rack", "Semestral", IF(NNO948="Mesa", "Semestral", IF(NNO948="Tapete", "Semestral", IF(NNO948="Cautín", "Semestral", IF(NNO948="Silla", "Semestral", "Anual"))))))</f>
        <v>Semestral</v>
      </c>
      <c r="NOA948" s="2" t="str">
        <f t="shared" ref="NOA948" ca="1" si="4451">IF(NNY948&lt;TODAY(),"VENCIDO",IF(NNY948=TODAY(),"VENCE HOY",IF(NNY948&gt;TODAY(),"VIGENTE")))</f>
        <v>VIGENTE</v>
      </c>
      <c r="NOB948" s="6" t="s">
        <v>25</v>
      </c>
      <c r="NOC948" s="23" t="s">
        <v>138</v>
      </c>
      <c r="NOD948" s="2" t="s">
        <v>433</v>
      </c>
      <c r="NOE948" s="3" t="s">
        <v>22</v>
      </c>
      <c r="NOF948" s="3" t="s">
        <v>23</v>
      </c>
      <c r="NOG948" s="2" t="s">
        <v>24</v>
      </c>
      <c r="NOH948" s="4">
        <v>0</v>
      </c>
      <c r="NOI948" s="8">
        <f t="shared" ref="NOI948" si="4452">IF(NOE948="Ionizador", 10, IF(NOE948="Mesa", 1000000000, IF(NOE948="Rack", 1000000000, IF(NOE948="Piso", 1000000000, IF(NOE948="Tapete", 1000000000, IF(NOE948="Carrito", 1000000000, IF(NOE948="Cautín", 10, 1)))))))</f>
        <v>1000000000</v>
      </c>
      <c r="NOJ948" s="4" t="str">
        <f t="shared" ref="NOJ948" si="4453">IF(NOE948="Ionizador", "Segundos", "Ohms")</f>
        <v>Ohms</v>
      </c>
      <c r="NOK948" s="6">
        <v>148000000</v>
      </c>
      <c r="NOL948" s="6" t="str">
        <f t="shared" ref="NOL948" si="4454">NOJ948</f>
        <v>Ohms</v>
      </c>
      <c r="NOM948" s="2" t="str">
        <f t="shared" ref="NOM948" si="4455">IF(NOE948="Ionizador", "Plato de carga", IF(NOE948="Cautín", "PTG", "RTG"))</f>
        <v>RTG</v>
      </c>
      <c r="NON948" s="7">
        <v>45992</v>
      </c>
      <c r="NOO948" s="7">
        <f t="shared" ref="NOO948" si="4456">IF(NOP948="Trimestral", NON948+90, IF(NOP948="Semestral", NON948+180, NON948+365))</f>
        <v>46172</v>
      </c>
      <c r="NOP948" s="7" t="str">
        <f t="shared" ref="NOP948" si="4457">IF(NOE948="Ionizador", "Trimestral", IF(NOE948="Rack", "Semestral", IF(NOE948="Mesa", "Semestral", IF(NOE948="Tapete", "Semestral", IF(NOE948="Cautín", "Semestral", IF(NOE948="Silla", "Semestral", "Anual"))))))</f>
        <v>Semestral</v>
      </c>
      <c r="NOQ948" s="2" t="str">
        <f t="shared" ref="NOQ948" ca="1" si="4458">IF(NOO948&lt;TODAY(),"VENCIDO",IF(NOO948=TODAY(),"VENCE HOY",IF(NOO948&gt;TODAY(),"VIGENTE")))</f>
        <v>VIGENTE</v>
      </c>
      <c r="NOR948" s="6" t="s">
        <v>25</v>
      </c>
      <c r="NOS948" s="23" t="s">
        <v>138</v>
      </c>
      <c r="NOT948" s="2" t="s">
        <v>433</v>
      </c>
      <c r="NOU948" s="3" t="s">
        <v>22</v>
      </c>
      <c r="NOV948" s="3" t="s">
        <v>23</v>
      </c>
      <c r="NOW948" s="2" t="s">
        <v>24</v>
      </c>
      <c r="NOX948" s="4">
        <v>0</v>
      </c>
      <c r="NOY948" s="8">
        <f t="shared" ref="NOY948" si="4459">IF(NOU948="Ionizador", 10, IF(NOU948="Mesa", 1000000000, IF(NOU948="Rack", 1000000000, IF(NOU948="Piso", 1000000000, IF(NOU948="Tapete", 1000000000, IF(NOU948="Carrito", 1000000000, IF(NOU948="Cautín", 10, 1)))))))</f>
        <v>1000000000</v>
      </c>
      <c r="NOZ948" s="4" t="str">
        <f t="shared" ref="NOZ948" si="4460">IF(NOU948="Ionizador", "Segundos", "Ohms")</f>
        <v>Ohms</v>
      </c>
      <c r="NPA948" s="6">
        <v>148000000</v>
      </c>
      <c r="NPB948" s="6" t="str">
        <f t="shared" ref="NPB948" si="4461">NOZ948</f>
        <v>Ohms</v>
      </c>
      <c r="NPC948" s="2" t="str">
        <f t="shared" ref="NPC948" si="4462">IF(NOU948="Ionizador", "Plato de carga", IF(NOU948="Cautín", "PTG", "RTG"))</f>
        <v>RTG</v>
      </c>
      <c r="NPD948" s="7">
        <v>45992</v>
      </c>
      <c r="NPE948" s="7">
        <f t="shared" ref="NPE948" si="4463">IF(NPF948="Trimestral", NPD948+90, IF(NPF948="Semestral", NPD948+180, NPD948+365))</f>
        <v>46172</v>
      </c>
      <c r="NPF948" s="7" t="str">
        <f t="shared" ref="NPF948" si="4464">IF(NOU948="Ionizador", "Trimestral", IF(NOU948="Rack", "Semestral", IF(NOU948="Mesa", "Semestral", IF(NOU948="Tapete", "Semestral", IF(NOU948="Cautín", "Semestral", IF(NOU948="Silla", "Semestral", "Anual"))))))</f>
        <v>Semestral</v>
      </c>
      <c r="NPG948" s="2" t="str">
        <f t="shared" ref="NPG948" ca="1" si="4465">IF(NPE948&lt;TODAY(),"VENCIDO",IF(NPE948=TODAY(),"VENCE HOY",IF(NPE948&gt;TODAY(),"VIGENTE")))</f>
        <v>VIGENTE</v>
      </c>
      <c r="NPH948" s="6" t="s">
        <v>25</v>
      </c>
      <c r="NPI948" s="23" t="s">
        <v>138</v>
      </c>
      <c r="NPJ948" s="2" t="s">
        <v>433</v>
      </c>
      <c r="NPK948" s="3" t="s">
        <v>22</v>
      </c>
      <c r="NPL948" s="3" t="s">
        <v>23</v>
      </c>
      <c r="NPM948" s="2" t="s">
        <v>24</v>
      </c>
      <c r="NPN948" s="4">
        <v>0</v>
      </c>
      <c r="NPO948" s="8">
        <f t="shared" ref="NPO948" si="4466">IF(NPK948="Ionizador", 10, IF(NPK948="Mesa", 1000000000, IF(NPK948="Rack", 1000000000, IF(NPK948="Piso", 1000000000, IF(NPK948="Tapete", 1000000000, IF(NPK948="Carrito", 1000000000, IF(NPK948="Cautín", 10, 1)))))))</f>
        <v>1000000000</v>
      </c>
      <c r="NPP948" s="4" t="str">
        <f t="shared" ref="NPP948" si="4467">IF(NPK948="Ionizador", "Segundos", "Ohms")</f>
        <v>Ohms</v>
      </c>
      <c r="NPQ948" s="6">
        <v>148000000</v>
      </c>
      <c r="NPR948" s="6" t="str">
        <f t="shared" ref="NPR948" si="4468">NPP948</f>
        <v>Ohms</v>
      </c>
      <c r="NPS948" s="2" t="str">
        <f t="shared" ref="NPS948" si="4469">IF(NPK948="Ionizador", "Plato de carga", IF(NPK948="Cautín", "PTG", "RTG"))</f>
        <v>RTG</v>
      </c>
      <c r="NPT948" s="7">
        <v>45992</v>
      </c>
      <c r="NPU948" s="7">
        <f t="shared" ref="NPU948" si="4470">IF(NPV948="Trimestral", NPT948+90, IF(NPV948="Semestral", NPT948+180, NPT948+365))</f>
        <v>46172</v>
      </c>
      <c r="NPV948" s="7" t="str">
        <f t="shared" ref="NPV948" si="4471">IF(NPK948="Ionizador", "Trimestral", IF(NPK948="Rack", "Semestral", IF(NPK948="Mesa", "Semestral", IF(NPK948="Tapete", "Semestral", IF(NPK948="Cautín", "Semestral", IF(NPK948="Silla", "Semestral", "Anual"))))))</f>
        <v>Semestral</v>
      </c>
      <c r="NPW948" s="2" t="str">
        <f t="shared" ref="NPW948" ca="1" si="4472">IF(NPU948&lt;TODAY(),"VENCIDO",IF(NPU948=TODAY(),"VENCE HOY",IF(NPU948&gt;TODAY(),"VIGENTE")))</f>
        <v>VIGENTE</v>
      </c>
      <c r="NPX948" s="6" t="s">
        <v>25</v>
      </c>
      <c r="NPY948" s="23" t="s">
        <v>138</v>
      </c>
      <c r="NPZ948" s="2" t="s">
        <v>433</v>
      </c>
      <c r="NQA948" s="3" t="s">
        <v>22</v>
      </c>
      <c r="NQB948" s="3" t="s">
        <v>23</v>
      </c>
      <c r="NQC948" s="2" t="s">
        <v>24</v>
      </c>
      <c r="NQD948" s="4">
        <v>0</v>
      </c>
      <c r="NQE948" s="8">
        <f t="shared" ref="NQE948" si="4473">IF(NQA948="Ionizador", 10, IF(NQA948="Mesa", 1000000000, IF(NQA948="Rack", 1000000000, IF(NQA948="Piso", 1000000000, IF(NQA948="Tapete", 1000000000, IF(NQA948="Carrito", 1000000000, IF(NQA948="Cautín", 10, 1)))))))</f>
        <v>1000000000</v>
      </c>
      <c r="NQF948" s="4" t="str">
        <f t="shared" ref="NQF948" si="4474">IF(NQA948="Ionizador", "Segundos", "Ohms")</f>
        <v>Ohms</v>
      </c>
      <c r="NQG948" s="6">
        <v>148000000</v>
      </c>
      <c r="NQH948" s="6" t="str">
        <f t="shared" ref="NQH948" si="4475">NQF948</f>
        <v>Ohms</v>
      </c>
      <c r="NQI948" s="2" t="str">
        <f t="shared" ref="NQI948" si="4476">IF(NQA948="Ionizador", "Plato de carga", IF(NQA948="Cautín", "PTG", "RTG"))</f>
        <v>RTG</v>
      </c>
      <c r="NQJ948" s="7">
        <v>45992</v>
      </c>
      <c r="NQK948" s="7">
        <f t="shared" ref="NQK948" si="4477">IF(NQL948="Trimestral", NQJ948+90, IF(NQL948="Semestral", NQJ948+180, NQJ948+365))</f>
        <v>46172</v>
      </c>
      <c r="NQL948" s="7" t="str">
        <f t="shared" ref="NQL948" si="4478">IF(NQA948="Ionizador", "Trimestral", IF(NQA948="Rack", "Semestral", IF(NQA948="Mesa", "Semestral", IF(NQA948="Tapete", "Semestral", IF(NQA948="Cautín", "Semestral", IF(NQA948="Silla", "Semestral", "Anual"))))))</f>
        <v>Semestral</v>
      </c>
      <c r="NQM948" s="2" t="str">
        <f t="shared" ref="NQM948" ca="1" si="4479">IF(NQK948&lt;TODAY(),"VENCIDO",IF(NQK948=TODAY(),"VENCE HOY",IF(NQK948&gt;TODAY(),"VIGENTE")))</f>
        <v>VIGENTE</v>
      </c>
      <c r="NQN948" s="6" t="s">
        <v>25</v>
      </c>
      <c r="NQO948" s="23" t="s">
        <v>138</v>
      </c>
      <c r="NQP948" s="2" t="s">
        <v>433</v>
      </c>
      <c r="NQQ948" s="3" t="s">
        <v>22</v>
      </c>
      <c r="NQR948" s="3" t="s">
        <v>23</v>
      </c>
      <c r="NQS948" s="2" t="s">
        <v>24</v>
      </c>
      <c r="NQT948" s="4">
        <v>0</v>
      </c>
      <c r="NQU948" s="8">
        <f t="shared" ref="NQU948" si="4480">IF(NQQ948="Ionizador", 10, IF(NQQ948="Mesa", 1000000000, IF(NQQ948="Rack", 1000000000, IF(NQQ948="Piso", 1000000000, IF(NQQ948="Tapete", 1000000000, IF(NQQ948="Carrito", 1000000000, IF(NQQ948="Cautín", 10, 1)))))))</f>
        <v>1000000000</v>
      </c>
      <c r="NQV948" s="4" t="str">
        <f t="shared" ref="NQV948" si="4481">IF(NQQ948="Ionizador", "Segundos", "Ohms")</f>
        <v>Ohms</v>
      </c>
      <c r="NQW948" s="6">
        <v>148000000</v>
      </c>
      <c r="NQX948" s="6" t="str">
        <f t="shared" ref="NQX948" si="4482">NQV948</f>
        <v>Ohms</v>
      </c>
      <c r="NQY948" s="2" t="str">
        <f t="shared" ref="NQY948" si="4483">IF(NQQ948="Ionizador", "Plato de carga", IF(NQQ948="Cautín", "PTG", "RTG"))</f>
        <v>RTG</v>
      </c>
      <c r="NQZ948" s="7">
        <v>45992</v>
      </c>
      <c r="NRA948" s="7">
        <f t="shared" ref="NRA948" si="4484">IF(NRB948="Trimestral", NQZ948+90, IF(NRB948="Semestral", NQZ948+180, NQZ948+365))</f>
        <v>46172</v>
      </c>
      <c r="NRB948" s="7" t="str">
        <f t="shared" ref="NRB948" si="4485">IF(NQQ948="Ionizador", "Trimestral", IF(NQQ948="Rack", "Semestral", IF(NQQ948="Mesa", "Semestral", IF(NQQ948="Tapete", "Semestral", IF(NQQ948="Cautín", "Semestral", IF(NQQ948="Silla", "Semestral", "Anual"))))))</f>
        <v>Semestral</v>
      </c>
      <c r="NRC948" s="2" t="str">
        <f t="shared" ref="NRC948" ca="1" si="4486">IF(NRA948&lt;TODAY(),"VENCIDO",IF(NRA948=TODAY(),"VENCE HOY",IF(NRA948&gt;TODAY(),"VIGENTE")))</f>
        <v>VIGENTE</v>
      </c>
      <c r="NRD948" s="6" t="s">
        <v>25</v>
      </c>
      <c r="NRE948" s="23" t="s">
        <v>138</v>
      </c>
      <c r="NRF948" s="2" t="s">
        <v>433</v>
      </c>
      <c r="NRG948" s="3" t="s">
        <v>22</v>
      </c>
      <c r="NRH948" s="3" t="s">
        <v>23</v>
      </c>
      <c r="NRI948" s="2" t="s">
        <v>24</v>
      </c>
      <c r="NRJ948" s="4">
        <v>0</v>
      </c>
      <c r="NRK948" s="8">
        <f t="shared" ref="NRK948" si="4487">IF(NRG948="Ionizador", 10, IF(NRG948="Mesa", 1000000000, IF(NRG948="Rack", 1000000000, IF(NRG948="Piso", 1000000000, IF(NRG948="Tapete", 1000000000, IF(NRG948="Carrito", 1000000000, IF(NRG948="Cautín", 10, 1)))))))</f>
        <v>1000000000</v>
      </c>
      <c r="NRL948" s="4" t="str">
        <f t="shared" ref="NRL948" si="4488">IF(NRG948="Ionizador", "Segundos", "Ohms")</f>
        <v>Ohms</v>
      </c>
      <c r="NRM948" s="6">
        <v>148000000</v>
      </c>
      <c r="NRN948" s="6" t="str">
        <f t="shared" ref="NRN948" si="4489">NRL948</f>
        <v>Ohms</v>
      </c>
      <c r="NRO948" s="2" t="str">
        <f t="shared" ref="NRO948" si="4490">IF(NRG948="Ionizador", "Plato de carga", IF(NRG948="Cautín", "PTG", "RTG"))</f>
        <v>RTG</v>
      </c>
      <c r="NRP948" s="7">
        <v>45992</v>
      </c>
      <c r="NRQ948" s="7">
        <f t="shared" ref="NRQ948" si="4491">IF(NRR948="Trimestral", NRP948+90, IF(NRR948="Semestral", NRP948+180, NRP948+365))</f>
        <v>46172</v>
      </c>
      <c r="NRR948" s="7" t="str">
        <f t="shared" ref="NRR948" si="4492">IF(NRG948="Ionizador", "Trimestral", IF(NRG948="Rack", "Semestral", IF(NRG948="Mesa", "Semestral", IF(NRG948="Tapete", "Semestral", IF(NRG948="Cautín", "Semestral", IF(NRG948="Silla", "Semestral", "Anual"))))))</f>
        <v>Semestral</v>
      </c>
      <c r="NRS948" s="2" t="str">
        <f t="shared" ref="NRS948" ca="1" si="4493">IF(NRQ948&lt;TODAY(),"VENCIDO",IF(NRQ948=TODAY(),"VENCE HOY",IF(NRQ948&gt;TODAY(),"VIGENTE")))</f>
        <v>VIGENTE</v>
      </c>
      <c r="NRT948" s="6" t="s">
        <v>25</v>
      </c>
      <c r="NRU948" s="23" t="s">
        <v>138</v>
      </c>
      <c r="NRV948" s="2" t="s">
        <v>433</v>
      </c>
      <c r="NRW948" s="3" t="s">
        <v>22</v>
      </c>
      <c r="NRX948" s="3" t="s">
        <v>23</v>
      </c>
      <c r="NRY948" s="2" t="s">
        <v>24</v>
      </c>
      <c r="NRZ948" s="4">
        <v>0</v>
      </c>
      <c r="NSA948" s="8">
        <f t="shared" ref="NSA948" si="4494">IF(NRW948="Ionizador", 10, IF(NRW948="Mesa", 1000000000, IF(NRW948="Rack", 1000000000, IF(NRW948="Piso", 1000000000, IF(NRW948="Tapete", 1000000000, IF(NRW948="Carrito", 1000000000, IF(NRW948="Cautín", 10, 1)))))))</f>
        <v>1000000000</v>
      </c>
      <c r="NSB948" s="4" t="str">
        <f t="shared" ref="NSB948" si="4495">IF(NRW948="Ionizador", "Segundos", "Ohms")</f>
        <v>Ohms</v>
      </c>
      <c r="NSC948" s="6">
        <v>148000000</v>
      </c>
      <c r="NSD948" s="6" t="str">
        <f t="shared" ref="NSD948" si="4496">NSB948</f>
        <v>Ohms</v>
      </c>
      <c r="NSE948" s="2" t="str">
        <f t="shared" ref="NSE948" si="4497">IF(NRW948="Ionizador", "Plato de carga", IF(NRW948="Cautín", "PTG", "RTG"))</f>
        <v>RTG</v>
      </c>
      <c r="NSF948" s="7">
        <v>45992</v>
      </c>
      <c r="NSG948" s="7">
        <f t="shared" ref="NSG948" si="4498">IF(NSH948="Trimestral", NSF948+90, IF(NSH948="Semestral", NSF948+180, NSF948+365))</f>
        <v>46172</v>
      </c>
      <c r="NSH948" s="7" t="str">
        <f t="shared" ref="NSH948" si="4499">IF(NRW948="Ionizador", "Trimestral", IF(NRW948="Rack", "Semestral", IF(NRW948="Mesa", "Semestral", IF(NRW948="Tapete", "Semestral", IF(NRW948="Cautín", "Semestral", IF(NRW948="Silla", "Semestral", "Anual"))))))</f>
        <v>Semestral</v>
      </c>
      <c r="NSI948" s="2" t="str">
        <f t="shared" ref="NSI948" ca="1" si="4500">IF(NSG948&lt;TODAY(),"VENCIDO",IF(NSG948=TODAY(),"VENCE HOY",IF(NSG948&gt;TODAY(),"VIGENTE")))</f>
        <v>VIGENTE</v>
      </c>
      <c r="NSJ948" s="6" t="s">
        <v>25</v>
      </c>
      <c r="NSK948" s="23" t="s">
        <v>138</v>
      </c>
      <c r="NSL948" s="2" t="s">
        <v>433</v>
      </c>
      <c r="NSM948" s="3" t="s">
        <v>22</v>
      </c>
      <c r="NSN948" s="3" t="s">
        <v>23</v>
      </c>
      <c r="NSO948" s="2" t="s">
        <v>24</v>
      </c>
      <c r="NSP948" s="4">
        <v>0</v>
      </c>
      <c r="NSQ948" s="8">
        <f t="shared" ref="NSQ948" si="4501">IF(NSM948="Ionizador", 10, IF(NSM948="Mesa", 1000000000, IF(NSM948="Rack", 1000000000, IF(NSM948="Piso", 1000000000, IF(NSM948="Tapete", 1000000000, IF(NSM948="Carrito", 1000000000, IF(NSM948="Cautín", 10, 1)))))))</f>
        <v>1000000000</v>
      </c>
      <c r="NSR948" s="4" t="str">
        <f t="shared" ref="NSR948" si="4502">IF(NSM948="Ionizador", "Segundos", "Ohms")</f>
        <v>Ohms</v>
      </c>
      <c r="NSS948" s="6">
        <v>148000000</v>
      </c>
      <c r="NST948" s="6" t="str">
        <f t="shared" ref="NST948" si="4503">NSR948</f>
        <v>Ohms</v>
      </c>
      <c r="NSU948" s="2" t="str">
        <f t="shared" ref="NSU948" si="4504">IF(NSM948="Ionizador", "Plato de carga", IF(NSM948="Cautín", "PTG", "RTG"))</f>
        <v>RTG</v>
      </c>
      <c r="NSV948" s="7">
        <v>45992</v>
      </c>
      <c r="NSW948" s="7">
        <f t="shared" ref="NSW948" si="4505">IF(NSX948="Trimestral", NSV948+90, IF(NSX948="Semestral", NSV948+180, NSV948+365))</f>
        <v>46172</v>
      </c>
      <c r="NSX948" s="7" t="str">
        <f t="shared" ref="NSX948" si="4506">IF(NSM948="Ionizador", "Trimestral", IF(NSM948="Rack", "Semestral", IF(NSM948="Mesa", "Semestral", IF(NSM948="Tapete", "Semestral", IF(NSM948="Cautín", "Semestral", IF(NSM948="Silla", "Semestral", "Anual"))))))</f>
        <v>Semestral</v>
      </c>
      <c r="NSY948" s="2" t="str">
        <f t="shared" ref="NSY948" ca="1" si="4507">IF(NSW948&lt;TODAY(),"VENCIDO",IF(NSW948=TODAY(),"VENCE HOY",IF(NSW948&gt;TODAY(),"VIGENTE")))</f>
        <v>VIGENTE</v>
      </c>
      <c r="NSZ948" s="6" t="s">
        <v>25</v>
      </c>
      <c r="NTA948" s="23" t="s">
        <v>138</v>
      </c>
      <c r="NTB948" s="2" t="s">
        <v>433</v>
      </c>
      <c r="NTC948" s="3" t="s">
        <v>22</v>
      </c>
      <c r="NTD948" s="3" t="s">
        <v>23</v>
      </c>
      <c r="NTE948" s="2" t="s">
        <v>24</v>
      </c>
      <c r="NTF948" s="4">
        <v>0</v>
      </c>
      <c r="NTG948" s="8">
        <f t="shared" ref="NTG948" si="4508">IF(NTC948="Ionizador", 10, IF(NTC948="Mesa", 1000000000, IF(NTC948="Rack", 1000000000, IF(NTC948="Piso", 1000000000, IF(NTC948="Tapete", 1000000000, IF(NTC948="Carrito", 1000000000, IF(NTC948="Cautín", 10, 1)))))))</f>
        <v>1000000000</v>
      </c>
      <c r="NTH948" s="4" t="str">
        <f t="shared" ref="NTH948" si="4509">IF(NTC948="Ionizador", "Segundos", "Ohms")</f>
        <v>Ohms</v>
      </c>
      <c r="NTI948" s="6">
        <v>148000000</v>
      </c>
      <c r="NTJ948" s="6" t="str">
        <f t="shared" ref="NTJ948" si="4510">NTH948</f>
        <v>Ohms</v>
      </c>
      <c r="NTK948" s="2" t="str">
        <f t="shared" ref="NTK948" si="4511">IF(NTC948="Ionizador", "Plato de carga", IF(NTC948="Cautín", "PTG", "RTG"))</f>
        <v>RTG</v>
      </c>
      <c r="NTL948" s="7">
        <v>45992</v>
      </c>
      <c r="NTM948" s="7">
        <f t="shared" ref="NTM948" si="4512">IF(NTN948="Trimestral", NTL948+90, IF(NTN948="Semestral", NTL948+180, NTL948+365))</f>
        <v>46172</v>
      </c>
      <c r="NTN948" s="7" t="str">
        <f t="shared" ref="NTN948" si="4513">IF(NTC948="Ionizador", "Trimestral", IF(NTC948="Rack", "Semestral", IF(NTC948="Mesa", "Semestral", IF(NTC948="Tapete", "Semestral", IF(NTC948="Cautín", "Semestral", IF(NTC948="Silla", "Semestral", "Anual"))))))</f>
        <v>Semestral</v>
      </c>
      <c r="NTO948" s="2" t="str">
        <f t="shared" ref="NTO948" ca="1" si="4514">IF(NTM948&lt;TODAY(),"VENCIDO",IF(NTM948=TODAY(),"VENCE HOY",IF(NTM948&gt;TODAY(),"VIGENTE")))</f>
        <v>VIGENTE</v>
      </c>
      <c r="NTP948" s="6" t="s">
        <v>25</v>
      </c>
      <c r="NTQ948" s="23" t="s">
        <v>138</v>
      </c>
      <c r="NTR948" s="2" t="s">
        <v>433</v>
      </c>
      <c r="NTS948" s="3" t="s">
        <v>22</v>
      </c>
      <c r="NTT948" s="3" t="s">
        <v>23</v>
      </c>
      <c r="NTU948" s="2" t="s">
        <v>24</v>
      </c>
      <c r="NTV948" s="4">
        <v>0</v>
      </c>
      <c r="NTW948" s="8">
        <f t="shared" ref="NTW948" si="4515">IF(NTS948="Ionizador", 10, IF(NTS948="Mesa", 1000000000, IF(NTS948="Rack", 1000000000, IF(NTS948="Piso", 1000000000, IF(NTS948="Tapete", 1000000000, IF(NTS948="Carrito", 1000000000, IF(NTS948="Cautín", 10, 1)))))))</f>
        <v>1000000000</v>
      </c>
      <c r="NTX948" s="4" t="str">
        <f t="shared" ref="NTX948" si="4516">IF(NTS948="Ionizador", "Segundos", "Ohms")</f>
        <v>Ohms</v>
      </c>
      <c r="NTY948" s="6">
        <v>148000000</v>
      </c>
      <c r="NTZ948" s="6" t="str">
        <f t="shared" ref="NTZ948" si="4517">NTX948</f>
        <v>Ohms</v>
      </c>
      <c r="NUA948" s="2" t="str">
        <f t="shared" ref="NUA948" si="4518">IF(NTS948="Ionizador", "Plato de carga", IF(NTS948="Cautín", "PTG", "RTG"))</f>
        <v>RTG</v>
      </c>
      <c r="NUB948" s="7">
        <v>45992</v>
      </c>
      <c r="NUC948" s="7">
        <f t="shared" ref="NUC948" si="4519">IF(NUD948="Trimestral", NUB948+90, IF(NUD948="Semestral", NUB948+180, NUB948+365))</f>
        <v>46172</v>
      </c>
      <c r="NUD948" s="7" t="str">
        <f t="shared" ref="NUD948" si="4520">IF(NTS948="Ionizador", "Trimestral", IF(NTS948="Rack", "Semestral", IF(NTS948="Mesa", "Semestral", IF(NTS948="Tapete", "Semestral", IF(NTS948="Cautín", "Semestral", IF(NTS948="Silla", "Semestral", "Anual"))))))</f>
        <v>Semestral</v>
      </c>
      <c r="NUE948" s="2" t="str">
        <f t="shared" ref="NUE948" ca="1" si="4521">IF(NUC948&lt;TODAY(),"VENCIDO",IF(NUC948=TODAY(),"VENCE HOY",IF(NUC948&gt;TODAY(),"VIGENTE")))</f>
        <v>VIGENTE</v>
      </c>
      <c r="NUF948" s="6" t="s">
        <v>25</v>
      </c>
      <c r="NUG948" s="23" t="s">
        <v>138</v>
      </c>
      <c r="NUH948" s="2" t="s">
        <v>433</v>
      </c>
      <c r="NUI948" s="3" t="s">
        <v>22</v>
      </c>
      <c r="NUJ948" s="3" t="s">
        <v>23</v>
      </c>
      <c r="NUK948" s="2" t="s">
        <v>24</v>
      </c>
      <c r="NUL948" s="4">
        <v>0</v>
      </c>
      <c r="NUM948" s="8">
        <f t="shared" ref="NUM948" si="4522">IF(NUI948="Ionizador", 10, IF(NUI948="Mesa", 1000000000, IF(NUI948="Rack", 1000000000, IF(NUI948="Piso", 1000000000, IF(NUI948="Tapete", 1000000000, IF(NUI948="Carrito", 1000000000, IF(NUI948="Cautín", 10, 1)))))))</f>
        <v>1000000000</v>
      </c>
      <c r="NUN948" s="4" t="str">
        <f t="shared" ref="NUN948" si="4523">IF(NUI948="Ionizador", "Segundos", "Ohms")</f>
        <v>Ohms</v>
      </c>
      <c r="NUO948" s="6">
        <v>148000000</v>
      </c>
      <c r="NUP948" s="6" t="str">
        <f t="shared" ref="NUP948" si="4524">NUN948</f>
        <v>Ohms</v>
      </c>
      <c r="NUQ948" s="2" t="str">
        <f t="shared" ref="NUQ948" si="4525">IF(NUI948="Ionizador", "Plato de carga", IF(NUI948="Cautín", "PTG", "RTG"))</f>
        <v>RTG</v>
      </c>
      <c r="NUR948" s="7">
        <v>45992</v>
      </c>
      <c r="NUS948" s="7">
        <f t="shared" ref="NUS948" si="4526">IF(NUT948="Trimestral", NUR948+90, IF(NUT948="Semestral", NUR948+180, NUR948+365))</f>
        <v>46172</v>
      </c>
      <c r="NUT948" s="7" t="str">
        <f t="shared" ref="NUT948" si="4527">IF(NUI948="Ionizador", "Trimestral", IF(NUI948="Rack", "Semestral", IF(NUI948="Mesa", "Semestral", IF(NUI948="Tapete", "Semestral", IF(NUI948="Cautín", "Semestral", IF(NUI948="Silla", "Semestral", "Anual"))))))</f>
        <v>Semestral</v>
      </c>
      <c r="NUU948" s="2" t="str">
        <f t="shared" ref="NUU948" ca="1" si="4528">IF(NUS948&lt;TODAY(),"VENCIDO",IF(NUS948=TODAY(),"VENCE HOY",IF(NUS948&gt;TODAY(),"VIGENTE")))</f>
        <v>VIGENTE</v>
      </c>
      <c r="NUV948" s="6" t="s">
        <v>25</v>
      </c>
      <c r="NUW948" s="23" t="s">
        <v>138</v>
      </c>
      <c r="NUX948" s="2" t="s">
        <v>433</v>
      </c>
      <c r="NUY948" s="3" t="s">
        <v>22</v>
      </c>
      <c r="NUZ948" s="3" t="s">
        <v>23</v>
      </c>
      <c r="NVA948" s="2" t="s">
        <v>24</v>
      </c>
      <c r="NVB948" s="4">
        <v>0</v>
      </c>
      <c r="NVC948" s="8">
        <f t="shared" ref="NVC948" si="4529">IF(NUY948="Ionizador", 10, IF(NUY948="Mesa", 1000000000, IF(NUY948="Rack", 1000000000, IF(NUY948="Piso", 1000000000, IF(NUY948="Tapete", 1000000000, IF(NUY948="Carrito", 1000000000, IF(NUY948="Cautín", 10, 1)))))))</f>
        <v>1000000000</v>
      </c>
      <c r="NVD948" s="4" t="str">
        <f t="shared" ref="NVD948" si="4530">IF(NUY948="Ionizador", "Segundos", "Ohms")</f>
        <v>Ohms</v>
      </c>
      <c r="NVE948" s="6">
        <v>148000000</v>
      </c>
      <c r="NVF948" s="6" t="str">
        <f t="shared" ref="NVF948" si="4531">NVD948</f>
        <v>Ohms</v>
      </c>
      <c r="NVG948" s="2" t="str">
        <f t="shared" ref="NVG948" si="4532">IF(NUY948="Ionizador", "Plato de carga", IF(NUY948="Cautín", "PTG", "RTG"))</f>
        <v>RTG</v>
      </c>
      <c r="NVH948" s="7">
        <v>45992</v>
      </c>
      <c r="NVI948" s="7">
        <f t="shared" ref="NVI948" si="4533">IF(NVJ948="Trimestral", NVH948+90, IF(NVJ948="Semestral", NVH948+180, NVH948+365))</f>
        <v>46172</v>
      </c>
      <c r="NVJ948" s="7" t="str">
        <f t="shared" ref="NVJ948" si="4534">IF(NUY948="Ionizador", "Trimestral", IF(NUY948="Rack", "Semestral", IF(NUY948="Mesa", "Semestral", IF(NUY948="Tapete", "Semestral", IF(NUY948="Cautín", "Semestral", IF(NUY948="Silla", "Semestral", "Anual"))))))</f>
        <v>Semestral</v>
      </c>
      <c r="NVK948" s="2" t="str">
        <f t="shared" ref="NVK948" ca="1" si="4535">IF(NVI948&lt;TODAY(),"VENCIDO",IF(NVI948=TODAY(),"VENCE HOY",IF(NVI948&gt;TODAY(),"VIGENTE")))</f>
        <v>VIGENTE</v>
      </c>
      <c r="NVL948" s="6" t="s">
        <v>25</v>
      </c>
      <c r="NVM948" s="23" t="s">
        <v>138</v>
      </c>
      <c r="NVN948" s="2" t="s">
        <v>433</v>
      </c>
      <c r="NVO948" s="3" t="s">
        <v>22</v>
      </c>
      <c r="NVP948" s="3" t="s">
        <v>23</v>
      </c>
      <c r="NVQ948" s="2" t="s">
        <v>24</v>
      </c>
      <c r="NVR948" s="4">
        <v>0</v>
      </c>
      <c r="NVS948" s="8">
        <f t="shared" ref="NVS948" si="4536">IF(NVO948="Ionizador", 10, IF(NVO948="Mesa", 1000000000, IF(NVO948="Rack", 1000000000, IF(NVO948="Piso", 1000000000, IF(NVO948="Tapete", 1000000000, IF(NVO948="Carrito", 1000000000, IF(NVO948="Cautín", 10, 1)))))))</f>
        <v>1000000000</v>
      </c>
      <c r="NVT948" s="4" t="str">
        <f t="shared" ref="NVT948" si="4537">IF(NVO948="Ionizador", "Segundos", "Ohms")</f>
        <v>Ohms</v>
      </c>
      <c r="NVU948" s="6">
        <v>148000000</v>
      </c>
      <c r="NVV948" s="6" t="str">
        <f t="shared" ref="NVV948" si="4538">NVT948</f>
        <v>Ohms</v>
      </c>
      <c r="NVW948" s="2" t="str">
        <f t="shared" ref="NVW948" si="4539">IF(NVO948="Ionizador", "Plato de carga", IF(NVO948="Cautín", "PTG", "RTG"))</f>
        <v>RTG</v>
      </c>
      <c r="NVX948" s="7">
        <v>45992</v>
      </c>
      <c r="NVY948" s="7">
        <f t="shared" ref="NVY948" si="4540">IF(NVZ948="Trimestral", NVX948+90, IF(NVZ948="Semestral", NVX948+180, NVX948+365))</f>
        <v>46172</v>
      </c>
      <c r="NVZ948" s="7" t="str">
        <f t="shared" ref="NVZ948" si="4541">IF(NVO948="Ionizador", "Trimestral", IF(NVO948="Rack", "Semestral", IF(NVO948="Mesa", "Semestral", IF(NVO948="Tapete", "Semestral", IF(NVO948="Cautín", "Semestral", IF(NVO948="Silla", "Semestral", "Anual"))))))</f>
        <v>Semestral</v>
      </c>
      <c r="NWA948" s="2" t="str">
        <f t="shared" ref="NWA948" ca="1" si="4542">IF(NVY948&lt;TODAY(),"VENCIDO",IF(NVY948=TODAY(),"VENCE HOY",IF(NVY948&gt;TODAY(),"VIGENTE")))</f>
        <v>VIGENTE</v>
      </c>
      <c r="NWB948" s="6" t="s">
        <v>25</v>
      </c>
      <c r="NWC948" s="23" t="s">
        <v>138</v>
      </c>
      <c r="NWD948" s="2" t="s">
        <v>433</v>
      </c>
      <c r="NWE948" s="3" t="s">
        <v>22</v>
      </c>
      <c r="NWF948" s="3" t="s">
        <v>23</v>
      </c>
      <c r="NWG948" s="2" t="s">
        <v>24</v>
      </c>
      <c r="NWH948" s="4">
        <v>0</v>
      </c>
      <c r="NWI948" s="8">
        <f t="shared" ref="NWI948" si="4543">IF(NWE948="Ionizador", 10, IF(NWE948="Mesa", 1000000000, IF(NWE948="Rack", 1000000000, IF(NWE948="Piso", 1000000000, IF(NWE948="Tapete", 1000000000, IF(NWE948="Carrito", 1000000000, IF(NWE948="Cautín", 10, 1)))))))</f>
        <v>1000000000</v>
      </c>
      <c r="NWJ948" s="4" t="str">
        <f t="shared" ref="NWJ948" si="4544">IF(NWE948="Ionizador", "Segundos", "Ohms")</f>
        <v>Ohms</v>
      </c>
      <c r="NWK948" s="6">
        <v>148000000</v>
      </c>
      <c r="NWL948" s="6" t="str">
        <f t="shared" ref="NWL948" si="4545">NWJ948</f>
        <v>Ohms</v>
      </c>
      <c r="NWM948" s="2" t="str">
        <f t="shared" ref="NWM948" si="4546">IF(NWE948="Ionizador", "Plato de carga", IF(NWE948="Cautín", "PTG", "RTG"))</f>
        <v>RTG</v>
      </c>
      <c r="NWN948" s="7">
        <v>45992</v>
      </c>
      <c r="NWO948" s="7">
        <f t="shared" ref="NWO948" si="4547">IF(NWP948="Trimestral", NWN948+90, IF(NWP948="Semestral", NWN948+180, NWN948+365))</f>
        <v>46172</v>
      </c>
      <c r="NWP948" s="7" t="str">
        <f t="shared" ref="NWP948" si="4548">IF(NWE948="Ionizador", "Trimestral", IF(NWE948="Rack", "Semestral", IF(NWE948="Mesa", "Semestral", IF(NWE948="Tapete", "Semestral", IF(NWE948="Cautín", "Semestral", IF(NWE948="Silla", "Semestral", "Anual"))))))</f>
        <v>Semestral</v>
      </c>
      <c r="NWQ948" s="2" t="str">
        <f t="shared" ref="NWQ948" ca="1" si="4549">IF(NWO948&lt;TODAY(),"VENCIDO",IF(NWO948=TODAY(),"VENCE HOY",IF(NWO948&gt;TODAY(),"VIGENTE")))</f>
        <v>VIGENTE</v>
      </c>
      <c r="NWR948" s="6" t="s">
        <v>25</v>
      </c>
      <c r="NWS948" s="23" t="s">
        <v>138</v>
      </c>
      <c r="NWT948" s="2" t="s">
        <v>433</v>
      </c>
      <c r="NWU948" s="3" t="s">
        <v>22</v>
      </c>
      <c r="NWV948" s="3" t="s">
        <v>23</v>
      </c>
      <c r="NWW948" s="2" t="s">
        <v>24</v>
      </c>
      <c r="NWX948" s="4">
        <v>0</v>
      </c>
      <c r="NWY948" s="8">
        <f t="shared" ref="NWY948" si="4550">IF(NWU948="Ionizador", 10, IF(NWU948="Mesa", 1000000000, IF(NWU948="Rack", 1000000000, IF(NWU948="Piso", 1000000000, IF(NWU948="Tapete", 1000000000, IF(NWU948="Carrito", 1000000000, IF(NWU948="Cautín", 10, 1)))))))</f>
        <v>1000000000</v>
      </c>
      <c r="NWZ948" s="4" t="str">
        <f t="shared" ref="NWZ948" si="4551">IF(NWU948="Ionizador", "Segundos", "Ohms")</f>
        <v>Ohms</v>
      </c>
      <c r="NXA948" s="6">
        <v>148000000</v>
      </c>
      <c r="NXB948" s="6" t="str">
        <f t="shared" ref="NXB948" si="4552">NWZ948</f>
        <v>Ohms</v>
      </c>
      <c r="NXC948" s="2" t="str">
        <f t="shared" ref="NXC948" si="4553">IF(NWU948="Ionizador", "Plato de carga", IF(NWU948="Cautín", "PTG", "RTG"))</f>
        <v>RTG</v>
      </c>
      <c r="NXD948" s="7">
        <v>45992</v>
      </c>
      <c r="NXE948" s="7">
        <f t="shared" ref="NXE948" si="4554">IF(NXF948="Trimestral", NXD948+90, IF(NXF948="Semestral", NXD948+180, NXD948+365))</f>
        <v>46172</v>
      </c>
      <c r="NXF948" s="7" t="str">
        <f t="shared" ref="NXF948" si="4555">IF(NWU948="Ionizador", "Trimestral", IF(NWU948="Rack", "Semestral", IF(NWU948="Mesa", "Semestral", IF(NWU948="Tapete", "Semestral", IF(NWU948="Cautín", "Semestral", IF(NWU948="Silla", "Semestral", "Anual"))))))</f>
        <v>Semestral</v>
      </c>
      <c r="NXG948" s="2" t="str">
        <f t="shared" ref="NXG948" ca="1" si="4556">IF(NXE948&lt;TODAY(),"VENCIDO",IF(NXE948=TODAY(),"VENCE HOY",IF(NXE948&gt;TODAY(),"VIGENTE")))</f>
        <v>VIGENTE</v>
      </c>
      <c r="NXH948" s="6" t="s">
        <v>25</v>
      </c>
      <c r="NXI948" s="23" t="s">
        <v>138</v>
      </c>
      <c r="NXJ948" s="2" t="s">
        <v>433</v>
      </c>
      <c r="NXK948" s="3" t="s">
        <v>22</v>
      </c>
      <c r="NXL948" s="3" t="s">
        <v>23</v>
      </c>
      <c r="NXM948" s="2" t="s">
        <v>24</v>
      </c>
      <c r="NXN948" s="4">
        <v>0</v>
      </c>
      <c r="NXO948" s="8">
        <f t="shared" ref="NXO948" si="4557">IF(NXK948="Ionizador", 10, IF(NXK948="Mesa", 1000000000, IF(NXK948="Rack", 1000000000, IF(NXK948="Piso", 1000000000, IF(NXK948="Tapete", 1000000000, IF(NXK948="Carrito", 1000000000, IF(NXK948="Cautín", 10, 1)))))))</f>
        <v>1000000000</v>
      </c>
      <c r="NXP948" s="4" t="str">
        <f t="shared" ref="NXP948" si="4558">IF(NXK948="Ionizador", "Segundos", "Ohms")</f>
        <v>Ohms</v>
      </c>
      <c r="NXQ948" s="6">
        <v>148000000</v>
      </c>
      <c r="NXR948" s="6" t="str">
        <f t="shared" ref="NXR948" si="4559">NXP948</f>
        <v>Ohms</v>
      </c>
      <c r="NXS948" s="2" t="str">
        <f t="shared" ref="NXS948" si="4560">IF(NXK948="Ionizador", "Plato de carga", IF(NXK948="Cautín", "PTG", "RTG"))</f>
        <v>RTG</v>
      </c>
      <c r="NXT948" s="7">
        <v>45992</v>
      </c>
      <c r="NXU948" s="7">
        <f t="shared" ref="NXU948" si="4561">IF(NXV948="Trimestral", NXT948+90, IF(NXV948="Semestral", NXT948+180, NXT948+365))</f>
        <v>46172</v>
      </c>
      <c r="NXV948" s="7" t="str">
        <f t="shared" ref="NXV948" si="4562">IF(NXK948="Ionizador", "Trimestral", IF(NXK948="Rack", "Semestral", IF(NXK948="Mesa", "Semestral", IF(NXK948="Tapete", "Semestral", IF(NXK948="Cautín", "Semestral", IF(NXK948="Silla", "Semestral", "Anual"))))))</f>
        <v>Semestral</v>
      </c>
      <c r="NXW948" s="2" t="str">
        <f t="shared" ref="NXW948" ca="1" si="4563">IF(NXU948&lt;TODAY(),"VENCIDO",IF(NXU948=TODAY(),"VENCE HOY",IF(NXU948&gt;TODAY(),"VIGENTE")))</f>
        <v>VIGENTE</v>
      </c>
      <c r="NXX948" s="6" t="s">
        <v>25</v>
      </c>
      <c r="NXY948" s="23" t="s">
        <v>138</v>
      </c>
      <c r="NXZ948" s="2" t="s">
        <v>433</v>
      </c>
      <c r="NYA948" s="3" t="s">
        <v>22</v>
      </c>
      <c r="NYB948" s="3" t="s">
        <v>23</v>
      </c>
      <c r="NYC948" s="2" t="s">
        <v>24</v>
      </c>
      <c r="NYD948" s="4">
        <v>0</v>
      </c>
      <c r="NYE948" s="8">
        <f t="shared" ref="NYE948" si="4564">IF(NYA948="Ionizador", 10, IF(NYA948="Mesa", 1000000000, IF(NYA948="Rack", 1000000000, IF(NYA948="Piso", 1000000000, IF(NYA948="Tapete", 1000000000, IF(NYA948="Carrito", 1000000000, IF(NYA948="Cautín", 10, 1)))))))</f>
        <v>1000000000</v>
      </c>
      <c r="NYF948" s="4" t="str">
        <f t="shared" ref="NYF948" si="4565">IF(NYA948="Ionizador", "Segundos", "Ohms")</f>
        <v>Ohms</v>
      </c>
      <c r="NYG948" s="6">
        <v>148000000</v>
      </c>
      <c r="NYH948" s="6" t="str">
        <f t="shared" ref="NYH948" si="4566">NYF948</f>
        <v>Ohms</v>
      </c>
      <c r="NYI948" s="2" t="str">
        <f t="shared" ref="NYI948" si="4567">IF(NYA948="Ionizador", "Plato de carga", IF(NYA948="Cautín", "PTG", "RTG"))</f>
        <v>RTG</v>
      </c>
      <c r="NYJ948" s="7">
        <v>45992</v>
      </c>
      <c r="NYK948" s="7">
        <f t="shared" ref="NYK948" si="4568">IF(NYL948="Trimestral", NYJ948+90, IF(NYL948="Semestral", NYJ948+180, NYJ948+365))</f>
        <v>46172</v>
      </c>
      <c r="NYL948" s="7" t="str">
        <f t="shared" ref="NYL948" si="4569">IF(NYA948="Ionizador", "Trimestral", IF(NYA948="Rack", "Semestral", IF(NYA948="Mesa", "Semestral", IF(NYA948="Tapete", "Semestral", IF(NYA948="Cautín", "Semestral", IF(NYA948="Silla", "Semestral", "Anual"))))))</f>
        <v>Semestral</v>
      </c>
      <c r="NYM948" s="2" t="str">
        <f t="shared" ref="NYM948" ca="1" si="4570">IF(NYK948&lt;TODAY(),"VENCIDO",IF(NYK948=TODAY(),"VENCE HOY",IF(NYK948&gt;TODAY(),"VIGENTE")))</f>
        <v>VIGENTE</v>
      </c>
      <c r="NYN948" s="6" t="s">
        <v>25</v>
      </c>
      <c r="NYO948" s="23" t="s">
        <v>138</v>
      </c>
      <c r="NYP948" s="2" t="s">
        <v>433</v>
      </c>
      <c r="NYQ948" s="3" t="s">
        <v>22</v>
      </c>
      <c r="NYR948" s="3" t="s">
        <v>23</v>
      </c>
      <c r="NYS948" s="2" t="s">
        <v>24</v>
      </c>
      <c r="NYT948" s="4">
        <v>0</v>
      </c>
      <c r="NYU948" s="8">
        <f t="shared" ref="NYU948" si="4571">IF(NYQ948="Ionizador", 10, IF(NYQ948="Mesa", 1000000000, IF(NYQ948="Rack", 1000000000, IF(NYQ948="Piso", 1000000000, IF(NYQ948="Tapete", 1000000000, IF(NYQ948="Carrito", 1000000000, IF(NYQ948="Cautín", 10, 1)))))))</f>
        <v>1000000000</v>
      </c>
      <c r="NYV948" s="4" t="str">
        <f t="shared" ref="NYV948" si="4572">IF(NYQ948="Ionizador", "Segundos", "Ohms")</f>
        <v>Ohms</v>
      </c>
      <c r="NYW948" s="6">
        <v>148000000</v>
      </c>
      <c r="NYX948" s="6" t="str">
        <f t="shared" ref="NYX948" si="4573">NYV948</f>
        <v>Ohms</v>
      </c>
      <c r="NYY948" s="2" t="str">
        <f t="shared" ref="NYY948" si="4574">IF(NYQ948="Ionizador", "Plato de carga", IF(NYQ948="Cautín", "PTG", "RTG"))</f>
        <v>RTG</v>
      </c>
      <c r="NYZ948" s="7">
        <v>45992</v>
      </c>
      <c r="NZA948" s="7">
        <f t="shared" ref="NZA948" si="4575">IF(NZB948="Trimestral", NYZ948+90, IF(NZB948="Semestral", NYZ948+180, NYZ948+365))</f>
        <v>46172</v>
      </c>
      <c r="NZB948" s="7" t="str">
        <f t="shared" ref="NZB948" si="4576">IF(NYQ948="Ionizador", "Trimestral", IF(NYQ948="Rack", "Semestral", IF(NYQ948="Mesa", "Semestral", IF(NYQ948="Tapete", "Semestral", IF(NYQ948="Cautín", "Semestral", IF(NYQ948="Silla", "Semestral", "Anual"))))))</f>
        <v>Semestral</v>
      </c>
      <c r="NZC948" s="2" t="str">
        <f t="shared" ref="NZC948" ca="1" si="4577">IF(NZA948&lt;TODAY(),"VENCIDO",IF(NZA948=TODAY(),"VENCE HOY",IF(NZA948&gt;TODAY(),"VIGENTE")))</f>
        <v>VIGENTE</v>
      </c>
      <c r="NZD948" s="6" t="s">
        <v>25</v>
      </c>
      <c r="NZE948" s="23" t="s">
        <v>138</v>
      </c>
      <c r="NZF948" s="2" t="s">
        <v>433</v>
      </c>
      <c r="NZG948" s="3" t="s">
        <v>22</v>
      </c>
      <c r="NZH948" s="3" t="s">
        <v>23</v>
      </c>
      <c r="NZI948" s="2" t="s">
        <v>24</v>
      </c>
      <c r="NZJ948" s="4">
        <v>0</v>
      </c>
      <c r="NZK948" s="8">
        <f t="shared" ref="NZK948" si="4578">IF(NZG948="Ionizador", 10, IF(NZG948="Mesa", 1000000000, IF(NZG948="Rack", 1000000000, IF(NZG948="Piso", 1000000000, IF(NZG948="Tapete", 1000000000, IF(NZG948="Carrito", 1000000000, IF(NZG948="Cautín", 10, 1)))))))</f>
        <v>1000000000</v>
      </c>
      <c r="NZL948" s="4" t="str">
        <f t="shared" ref="NZL948" si="4579">IF(NZG948="Ionizador", "Segundos", "Ohms")</f>
        <v>Ohms</v>
      </c>
      <c r="NZM948" s="6">
        <v>148000000</v>
      </c>
      <c r="NZN948" s="6" t="str">
        <f t="shared" ref="NZN948" si="4580">NZL948</f>
        <v>Ohms</v>
      </c>
      <c r="NZO948" s="2" t="str">
        <f t="shared" ref="NZO948" si="4581">IF(NZG948="Ionizador", "Plato de carga", IF(NZG948="Cautín", "PTG", "RTG"))</f>
        <v>RTG</v>
      </c>
      <c r="NZP948" s="7">
        <v>45992</v>
      </c>
      <c r="NZQ948" s="7">
        <f t="shared" ref="NZQ948" si="4582">IF(NZR948="Trimestral", NZP948+90, IF(NZR948="Semestral", NZP948+180, NZP948+365))</f>
        <v>46172</v>
      </c>
      <c r="NZR948" s="7" t="str">
        <f t="shared" ref="NZR948" si="4583">IF(NZG948="Ionizador", "Trimestral", IF(NZG948="Rack", "Semestral", IF(NZG948="Mesa", "Semestral", IF(NZG948="Tapete", "Semestral", IF(NZG948="Cautín", "Semestral", IF(NZG948="Silla", "Semestral", "Anual"))))))</f>
        <v>Semestral</v>
      </c>
      <c r="NZS948" s="2" t="str">
        <f t="shared" ref="NZS948" ca="1" si="4584">IF(NZQ948&lt;TODAY(),"VENCIDO",IF(NZQ948=TODAY(),"VENCE HOY",IF(NZQ948&gt;TODAY(),"VIGENTE")))</f>
        <v>VIGENTE</v>
      </c>
      <c r="NZT948" s="6" t="s">
        <v>25</v>
      </c>
      <c r="NZU948" s="23" t="s">
        <v>138</v>
      </c>
      <c r="NZV948" s="2" t="s">
        <v>433</v>
      </c>
      <c r="NZW948" s="3" t="s">
        <v>22</v>
      </c>
      <c r="NZX948" s="3" t="s">
        <v>23</v>
      </c>
      <c r="NZY948" s="2" t="s">
        <v>24</v>
      </c>
      <c r="NZZ948" s="4">
        <v>0</v>
      </c>
      <c r="OAA948" s="8">
        <f t="shared" ref="OAA948" si="4585">IF(NZW948="Ionizador", 10, IF(NZW948="Mesa", 1000000000, IF(NZW948="Rack", 1000000000, IF(NZW948="Piso", 1000000000, IF(NZW948="Tapete", 1000000000, IF(NZW948="Carrito", 1000000000, IF(NZW948="Cautín", 10, 1)))))))</f>
        <v>1000000000</v>
      </c>
      <c r="OAB948" s="4" t="str">
        <f t="shared" ref="OAB948" si="4586">IF(NZW948="Ionizador", "Segundos", "Ohms")</f>
        <v>Ohms</v>
      </c>
      <c r="OAC948" s="6">
        <v>148000000</v>
      </c>
      <c r="OAD948" s="6" t="str">
        <f t="shared" ref="OAD948" si="4587">OAB948</f>
        <v>Ohms</v>
      </c>
      <c r="OAE948" s="2" t="str">
        <f t="shared" ref="OAE948" si="4588">IF(NZW948="Ionizador", "Plato de carga", IF(NZW948="Cautín", "PTG", "RTG"))</f>
        <v>RTG</v>
      </c>
      <c r="OAF948" s="7">
        <v>45992</v>
      </c>
      <c r="OAG948" s="7">
        <f t="shared" ref="OAG948" si="4589">IF(OAH948="Trimestral", OAF948+90, IF(OAH948="Semestral", OAF948+180, OAF948+365))</f>
        <v>46172</v>
      </c>
      <c r="OAH948" s="7" t="str">
        <f t="shared" ref="OAH948" si="4590">IF(NZW948="Ionizador", "Trimestral", IF(NZW948="Rack", "Semestral", IF(NZW948="Mesa", "Semestral", IF(NZW948="Tapete", "Semestral", IF(NZW948="Cautín", "Semestral", IF(NZW948="Silla", "Semestral", "Anual"))))))</f>
        <v>Semestral</v>
      </c>
      <c r="OAI948" s="2" t="str">
        <f t="shared" ref="OAI948" ca="1" si="4591">IF(OAG948&lt;TODAY(),"VENCIDO",IF(OAG948=TODAY(),"VENCE HOY",IF(OAG948&gt;TODAY(),"VIGENTE")))</f>
        <v>VIGENTE</v>
      </c>
      <c r="OAJ948" s="6" t="s">
        <v>25</v>
      </c>
      <c r="OAK948" s="23" t="s">
        <v>138</v>
      </c>
      <c r="OAL948" s="2" t="s">
        <v>433</v>
      </c>
      <c r="OAM948" s="3" t="s">
        <v>22</v>
      </c>
      <c r="OAN948" s="3" t="s">
        <v>23</v>
      </c>
      <c r="OAO948" s="2" t="s">
        <v>24</v>
      </c>
      <c r="OAP948" s="4">
        <v>0</v>
      </c>
      <c r="OAQ948" s="8">
        <f t="shared" ref="OAQ948" si="4592">IF(OAM948="Ionizador", 10, IF(OAM948="Mesa", 1000000000, IF(OAM948="Rack", 1000000000, IF(OAM948="Piso", 1000000000, IF(OAM948="Tapete", 1000000000, IF(OAM948="Carrito", 1000000000, IF(OAM948="Cautín", 10, 1)))))))</f>
        <v>1000000000</v>
      </c>
      <c r="OAR948" s="4" t="str">
        <f t="shared" ref="OAR948" si="4593">IF(OAM948="Ionizador", "Segundos", "Ohms")</f>
        <v>Ohms</v>
      </c>
      <c r="OAS948" s="6">
        <v>148000000</v>
      </c>
      <c r="OAT948" s="6" t="str">
        <f t="shared" ref="OAT948" si="4594">OAR948</f>
        <v>Ohms</v>
      </c>
      <c r="OAU948" s="2" t="str">
        <f t="shared" ref="OAU948" si="4595">IF(OAM948="Ionizador", "Plato de carga", IF(OAM948="Cautín", "PTG", "RTG"))</f>
        <v>RTG</v>
      </c>
      <c r="OAV948" s="7">
        <v>45992</v>
      </c>
      <c r="OAW948" s="7">
        <f t="shared" ref="OAW948" si="4596">IF(OAX948="Trimestral", OAV948+90, IF(OAX948="Semestral", OAV948+180, OAV948+365))</f>
        <v>46172</v>
      </c>
      <c r="OAX948" s="7" t="str">
        <f t="shared" ref="OAX948" si="4597">IF(OAM948="Ionizador", "Trimestral", IF(OAM948="Rack", "Semestral", IF(OAM948="Mesa", "Semestral", IF(OAM948="Tapete", "Semestral", IF(OAM948="Cautín", "Semestral", IF(OAM948="Silla", "Semestral", "Anual"))))))</f>
        <v>Semestral</v>
      </c>
      <c r="OAY948" s="2" t="str">
        <f t="shared" ref="OAY948" ca="1" si="4598">IF(OAW948&lt;TODAY(),"VENCIDO",IF(OAW948=TODAY(),"VENCE HOY",IF(OAW948&gt;TODAY(),"VIGENTE")))</f>
        <v>VIGENTE</v>
      </c>
      <c r="OAZ948" s="6" t="s">
        <v>25</v>
      </c>
      <c r="OBA948" s="23" t="s">
        <v>138</v>
      </c>
      <c r="OBB948" s="2" t="s">
        <v>433</v>
      </c>
      <c r="OBC948" s="3" t="s">
        <v>22</v>
      </c>
      <c r="OBD948" s="3" t="s">
        <v>23</v>
      </c>
      <c r="OBE948" s="2" t="s">
        <v>24</v>
      </c>
      <c r="OBF948" s="4">
        <v>0</v>
      </c>
      <c r="OBG948" s="8">
        <f t="shared" ref="OBG948" si="4599">IF(OBC948="Ionizador", 10, IF(OBC948="Mesa", 1000000000, IF(OBC948="Rack", 1000000000, IF(OBC948="Piso", 1000000000, IF(OBC948="Tapete", 1000000000, IF(OBC948="Carrito", 1000000000, IF(OBC948="Cautín", 10, 1)))))))</f>
        <v>1000000000</v>
      </c>
      <c r="OBH948" s="4" t="str">
        <f t="shared" ref="OBH948" si="4600">IF(OBC948="Ionizador", "Segundos", "Ohms")</f>
        <v>Ohms</v>
      </c>
      <c r="OBI948" s="6">
        <v>148000000</v>
      </c>
      <c r="OBJ948" s="6" t="str">
        <f t="shared" ref="OBJ948" si="4601">OBH948</f>
        <v>Ohms</v>
      </c>
      <c r="OBK948" s="2" t="str">
        <f t="shared" ref="OBK948" si="4602">IF(OBC948="Ionizador", "Plato de carga", IF(OBC948="Cautín", "PTG", "RTG"))</f>
        <v>RTG</v>
      </c>
      <c r="OBL948" s="7">
        <v>45992</v>
      </c>
      <c r="OBM948" s="7">
        <f t="shared" ref="OBM948" si="4603">IF(OBN948="Trimestral", OBL948+90, IF(OBN948="Semestral", OBL948+180, OBL948+365))</f>
        <v>46172</v>
      </c>
      <c r="OBN948" s="7" t="str">
        <f t="shared" ref="OBN948" si="4604">IF(OBC948="Ionizador", "Trimestral", IF(OBC948="Rack", "Semestral", IF(OBC948="Mesa", "Semestral", IF(OBC948="Tapete", "Semestral", IF(OBC948="Cautín", "Semestral", IF(OBC948="Silla", "Semestral", "Anual"))))))</f>
        <v>Semestral</v>
      </c>
      <c r="OBO948" s="2" t="str">
        <f t="shared" ref="OBO948" ca="1" si="4605">IF(OBM948&lt;TODAY(),"VENCIDO",IF(OBM948=TODAY(),"VENCE HOY",IF(OBM948&gt;TODAY(),"VIGENTE")))</f>
        <v>VIGENTE</v>
      </c>
      <c r="OBP948" s="6" t="s">
        <v>25</v>
      </c>
      <c r="OBQ948" s="23" t="s">
        <v>138</v>
      </c>
      <c r="OBR948" s="2" t="s">
        <v>433</v>
      </c>
      <c r="OBS948" s="3" t="s">
        <v>22</v>
      </c>
      <c r="OBT948" s="3" t="s">
        <v>23</v>
      </c>
      <c r="OBU948" s="2" t="s">
        <v>24</v>
      </c>
      <c r="OBV948" s="4">
        <v>0</v>
      </c>
      <c r="OBW948" s="8">
        <f t="shared" ref="OBW948" si="4606">IF(OBS948="Ionizador", 10, IF(OBS948="Mesa", 1000000000, IF(OBS948="Rack", 1000000000, IF(OBS948="Piso", 1000000000, IF(OBS948="Tapete", 1000000000, IF(OBS948="Carrito", 1000000000, IF(OBS948="Cautín", 10, 1)))))))</f>
        <v>1000000000</v>
      </c>
      <c r="OBX948" s="4" t="str">
        <f t="shared" ref="OBX948" si="4607">IF(OBS948="Ionizador", "Segundos", "Ohms")</f>
        <v>Ohms</v>
      </c>
      <c r="OBY948" s="6">
        <v>148000000</v>
      </c>
      <c r="OBZ948" s="6" t="str">
        <f t="shared" ref="OBZ948" si="4608">OBX948</f>
        <v>Ohms</v>
      </c>
      <c r="OCA948" s="2" t="str">
        <f t="shared" ref="OCA948" si="4609">IF(OBS948="Ionizador", "Plato de carga", IF(OBS948="Cautín", "PTG", "RTG"))</f>
        <v>RTG</v>
      </c>
      <c r="OCB948" s="7">
        <v>45992</v>
      </c>
      <c r="OCC948" s="7">
        <f t="shared" ref="OCC948" si="4610">IF(OCD948="Trimestral", OCB948+90, IF(OCD948="Semestral", OCB948+180, OCB948+365))</f>
        <v>46172</v>
      </c>
      <c r="OCD948" s="7" t="str">
        <f t="shared" ref="OCD948" si="4611">IF(OBS948="Ionizador", "Trimestral", IF(OBS948="Rack", "Semestral", IF(OBS948="Mesa", "Semestral", IF(OBS948="Tapete", "Semestral", IF(OBS948="Cautín", "Semestral", IF(OBS948="Silla", "Semestral", "Anual"))))))</f>
        <v>Semestral</v>
      </c>
      <c r="OCE948" s="2" t="str">
        <f t="shared" ref="OCE948" ca="1" si="4612">IF(OCC948&lt;TODAY(),"VENCIDO",IF(OCC948=TODAY(),"VENCE HOY",IF(OCC948&gt;TODAY(),"VIGENTE")))</f>
        <v>VIGENTE</v>
      </c>
      <c r="OCF948" s="6" t="s">
        <v>25</v>
      </c>
      <c r="OCG948" s="23" t="s">
        <v>138</v>
      </c>
      <c r="OCH948" s="2" t="s">
        <v>433</v>
      </c>
      <c r="OCI948" s="3" t="s">
        <v>22</v>
      </c>
      <c r="OCJ948" s="3" t="s">
        <v>23</v>
      </c>
      <c r="OCK948" s="2" t="s">
        <v>24</v>
      </c>
      <c r="OCL948" s="4">
        <v>0</v>
      </c>
      <c r="OCM948" s="8">
        <f t="shared" ref="OCM948" si="4613">IF(OCI948="Ionizador", 10, IF(OCI948="Mesa", 1000000000, IF(OCI948="Rack", 1000000000, IF(OCI948="Piso", 1000000000, IF(OCI948="Tapete", 1000000000, IF(OCI948="Carrito", 1000000000, IF(OCI948="Cautín", 10, 1)))))))</f>
        <v>1000000000</v>
      </c>
      <c r="OCN948" s="4" t="str">
        <f t="shared" ref="OCN948" si="4614">IF(OCI948="Ionizador", "Segundos", "Ohms")</f>
        <v>Ohms</v>
      </c>
      <c r="OCO948" s="6">
        <v>148000000</v>
      </c>
      <c r="OCP948" s="6" t="str">
        <f t="shared" ref="OCP948" si="4615">OCN948</f>
        <v>Ohms</v>
      </c>
      <c r="OCQ948" s="2" t="str">
        <f t="shared" ref="OCQ948" si="4616">IF(OCI948="Ionizador", "Plato de carga", IF(OCI948="Cautín", "PTG", "RTG"))</f>
        <v>RTG</v>
      </c>
      <c r="OCR948" s="7">
        <v>45992</v>
      </c>
      <c r="OCS948" s="7">
        <f t="shared" ref="OCS948" si="4617">IF(OCT948="Trimestral", OCR948+90, IF(OCT948="Semestral", OCR948+180, OCR948+365))</f>
        <v>46172</v>
      </c>
      <c r="OCT948" s="7" t="str">
        <f t="shared" ref="OCT948" si="4618">IF(OCI948="Ionizador", "Trimestral", IF(OCI948="Rack", "Semestral", IF(OCI948="Mesa", "Semestral", IF(OCI948="Tapete", "Semestral", IF(OCI948="Cautín", "Semestral", IF(OCI948="Silla", "Semestral", "Anual"))))))</f>
        <v>Semestral</v>
      </c>
      <c r="OCU948" s="2" t="str">
        <f t="shared" ref="OCU948" ca="1" si="4619">IF(OCS948&lt;TODAY(),"VENCIDO",IF(OCS948=TODAY(),"VENCE HOY",IF(OCS948&gt;TODAY(),"VIGENTE")))</f>
        <v>VIGENTE</v>
      </c>
      <c r="OCV948" s="6" t="s">
        <v>25</v>
      </c>
      <c r="OCW948" s="23" t="s">
        <v>138</v>
      </c>
      <c r="OCX948" s="2" t="s">
        <v>433</v>
      </c>
      <c r="OCY948" s="3" t="s">
        <v>22</v>
      </c>
      <c r="OCZ948" s="3" t="s">
        <v>23</v>
      </c>
      <c r="ODA948" s="2" t="s">
        <v>24</v>
      </c>
      <c r="ODB948" s="4">
        <v>0</v>
      </c>
      <c r="ODC948" s="8">
        <f t="shared" ref="ODC948" si="4620">IF(OCY948="Ionizador", 10, IF(OCY948="Mesa", 1000000000, IF(OCY948="Rack", 1000000000, IF(OCY948="Piso", 1000000000, IF(OCY948="Tapete", 1000000000, IF(OCY948="Carrito", 1000000000, IF(OCY948="Cautín", 10, 1)))))))</f>
        <v>1000000000</v>
      </c>
      <c r="ODD948" s="4" t="str">
        <f t="shared" ref="ODD948" si="4621">IF(OCY948="Ionizador", "Segundos", "Ohms")</f>
        <v>Ohms</v>
      </c>
      <c r="ODE948" s="6">
        <v>148000000</v>
      </c>
      <c r="ODF948" s="6" t="str">
        <f t="shared" ref="ODF948" si="4622">ODD948</f>
        <v>Ohms</v>
      </c>
      <c r="ODG948" s="2" t="str">
        <f t="shared" ref="ODG948" si="4623">IF(OCY948="Ionizador", "Plato de carga", IF(OCY948="Cautín", "PTG", "RTG"))</f>
        <v>RTG</v>
      </c>
      <c r="ODH948" s="7">
        <v>45992</v>
      </c>
      <c r="ODI948" s="7">
        <f t="shared" ref="ODI948" si="4624">IF(ODJ948="Trimestral", ODH948+90, IF(ODJ948="Semestral", ODH948+180, ODH948+365))</f>
        <v>46172</v>
      </c>
      <c r="ODJ948" s="7" t="str">
        <f t="shared" ref="ODJ948" si="4625">IF(OCY948="Ionizador", "Trimestral", IF(OCY948="Rack", "Semestral", IF(OCY948="Mesa", "Semestral", IF(OCY948="Tapete", "Semestral", IF(OCY948="Cautín", "Semestral", IF(OCY948="Silla", "Semestral", "Anual"))))))</f>
        <v>Semestral</v>
      </c>
      <c r="ODK948" s="2" t="str">
        <f t="shared" ref="ODK948" ca="1" si="4626">IF(ODI948&lt;TODAY(),"VENCIDO",IF(ODI948=TODAY(),"VENCE HOY",IF(ODI948&gt;TODAY(),"VIGENTE")))</f>
        <v>VIGENTE</v>
      </c>
      <c r="ODL948" s="6" t="s">
        <v>25</v>
      </c>
      <c r="ODM948" s="23" t="s">
        <v>138</v>
      </c>
      <c r="ODN948" s="2" t="s">
        <v>433</v>
      </c>
      <c r="ODO948" s="3" t="s">
        <v>22</v>
      </c>
      <c r="ODP948" s="3" t="s">
        <v>23</v>
      </c>
      <c r="ODQ948" s="2" t="s">
        <v>24</v>
      </c>
      <c r="ODR948" s="4">
        <v>0</v>
      </c>
      <c r="ODS948" s="8">
        <f t="shared" ref="ODS948" si="4627">IF(ODO948="Ionizador", 10, IF(ODO948="Mesa", 1000000000, IF(ODO948="Rack", 1000000000, IF(ODO948="Piso", 1000000000, IF(ODO948="Tapete", 1000000000, IF(ODO948="Carrito", 1000000000, IF(ODO948="Cautín", 10, 1)))))))</f>
        <v>1000000000</v>
      </c>
      <c r="ODT948" s="4" t="str">
        <f t="shared" ref="ODT948" si="4628">IF(ODO948="Ionizador", "Segundos", "Ohms")</f>
        <v>Ohms</v>
      </c>
      <c r="ODU948" s="6">
        <v>148000000</v>
      </c>
      <c r="ODV948" s="6" t="str">
        <f t="shared" ref="ODV948" si="4629">ODT948</f>
        <v>Ohms</v>
      </c>
      <c r="ODW948" s="2" t="str">
        <f t="shared" ref="ODW948" si="4630">IF(ODO948="Ionizador", "Plato de carga", IF(ODO948="Cautín", "PTG", "RTG"))</f>
        <v>RTG</v>
      </c>
      <c r="ODX948" s="7">
        <v>45992</v>
      </c>
      <c r="ODY948" s="7">
        <f t="shared" ref="ODY948" si="4631">IF(ODZ948="Trimestral", ODX948+90, IF(ODZ948="Semestral", ODX948+180, ODX948+365))</f>
        <v>46172</v>
      </c>
      <c r="ODZ948" s="7" t="str">
        <f t="shared" ref="ODZ948" si="4632">IF(ODO948="Ionizador", "Trimestral", IF(ODO948="Rack", "Semestral", IF(ODO948="Mesa", "Semestral", IF(ODO948="Tapete", "Semestral", IF(ODO948="Cautín", "Semestral", IF(ODO948="Silla", "Semestral", "Anual"))))))</f>
        <v>Semestral</v>
      </c>
      <c r="OEA948" s="2" t="str">
        <f t="shared" ref="OEA948" ca="1" si="4633">IF(ODY948&lt;TODAY(),"VENCIDO",IF(ODY948=TODAY(),"VENCE HOY",IF(ODY948&gt;TODAY(),"VIGENTE")))</f>
        <v>VIGENTE</v>
      </c>
      <c r="OEB948" s="6" t="s">
        <v>25</v>
      </c>
      <c r="OEC948" s="23" t="s">
        <v>138</v>
      </c>
      <c r="OED948" s="2" t="s">
        <v>433</v>
      </c>
      <c r="OEE948" s="3" t="s">
        <v>22</v>
      </c>
      <c r="OEF948" s="3" t="s">
        <v>23</v>
      </c>
      <c r="OEG948" s="2" t="s">
        <v>24</v>
      </c>
      <c r="OEH948" s="4">
        <v>0</v>
      </c>
      <c r="OEI948" s="8">
        <f t="shared" ref="OEI948" si="4634">IF(OEE948="Ionizador", 10, IF(OEE948="Mesa", 1000000000, IF(OEE948="Rack", 1000000000, IF(OEE948="Piso", 1000000000, IF(OEE948="Tapete", 1000000000, IF(OEE948="Carrito", 1000000000, IF(OEE948="Cautín", 10, 1)))))))</f>
        <v>1000000000</v>
      </c>
      <c r="OEJ948" s="4" t="str">
        <f t="shared" ref="OEJ948" si="4635">IF(OEE948="Ionizador", "Segundos", "Ohms")</f>
        <v>Ohms</v>
      </c>
      <c r="OEK948" s="6">
        <v>148000000</v>
      </c>
      <c r="OEL948" s="6" t="str">
        <f t="shared" ref="OEL948" si="4636">OEJ948</f>
        <v>Ohms</v>
      </c>
      <c r="OEM948" s="2" t="str">
        <f t="shared" ref="OEM948" si="4637">IF(OEE948="Ionizador", "Plato de carga", IF(OEE948="Cautín", "PTG", "RTG"))</f>
        <v>RTG</v>
      </c>
      <c r="OEN948" s="7">
        <v>45992</v>
      </c>
      <c r="OEO948" s="7">
        <f t="shared" ref="OEO948" si="4638">IF(OEP948="Trimestral", OEN948+90, IF(OEP948="Semestral", OEN948+180, OEN948+365))</f>
        <v>46172</v>
      </c>
      <c r="OEP948" s="7" t="str">
        <f t="shared" ref="OEP948" si="4639">IF(OEE948="Ionizador", "Trimestral", IF(OEE948="Rack", "Semestral", IF(OEE948="Mesa", "Semestral", IF(OEE948="Tapete", "Semestral", IF(OEE948="Cautín", "Semestral", IF(OEE948="Silla", "Semestral", "Anual"))))))</f>
        <v>Semestral</v>
      </c>
      <c r="OEQ948" s="2" t="str">
        <f t="shared" ref="OEQ948" ca="1" si="4640">IF(OEO948&lt;TODAY(),"VENCIDO",IF(OEO948=TODAY(),"VENCE HOY",IF(OEO948&gt;TODAY(),"VIGENTE")))</f>
        <v>VIGENTE</v>
      </c>
      <c r="OER948" s="6" t="s">
        <v>25</v>
      </c>
      <c r="OES948" s="23" t="s">
        <v>138</v>
      </c>
      <c r="OET948" s="2" t="s">
        <v>433</v>
      </c>
      <c r="OEU948" s="3" t="s">
        <v>22</v>
      </c>
      <c r="OEV948" s="3" t="s">
        <v>23</v>
      </c>
      <c r="OEW948" s="2" t="s">
        <v>24</v>
      </c>
      <c r="OEX948" s="4">
        <v>0</v>
      </c>
      <c r="OEY948" s="8">
        <f t="shared" ref="OEY948" si="4641">IF(OEU948="Ionizador", 10, IF(OEU948="Mesa", 1000000000, IF(OEU948="Rack", 1000000000, IF(OEU948="Piso", 1000000000, IF(OEU948="Tapete", 1000000000, IF(OEU948="Carrito", 1000000000, IF(OEU948="Cautín", 10, 1)))))))</f>
        <v>1000000000</v>
      </c>
      <c r="OEZ948" s="4" t="str">
        <f t="shared" ref="OEZ948" si="4642">IF(OEU948="Ionizador", "Segundos", "Ohms")</f>
        <v>Ohms</v>
      </c>
      <c r="OFA948" s="6">
        <v>148000000</v>
      </c>
      <c r="OFB948" s="6" t="str">
        <f t="shared" ref="OFB948" si="4643">OEZ948</f>
        <v>Ohms</v>
      </c>
      <c r="OFC948" s="2" t="str">
        <f t="shared" ref="OFC948" si="4644">IF(OEU948="Ionizador", "Plato de carga", IF(OEU948="Cautín", "PTG", "RTG"))</f>
        <v>RTG</v>
      </c>
      <c r="OFD948" s="7">
        <v>45992</v>
      </c>
      <c r="OFE948" s="7">
        <f t="shared" ref="OFE948" si="4645">IF(OFF948="Trimestral", OFD948+90, IF(OFF948="Semestral", OFD948+180, OFD948+365))</f>
        <v>46172</v>
      </c>
      <c r="OFF948" s="7" t="str">
        <f t="shared" ref="OFF948" si="4646">IF(OEU948="Ionizador", "Trimestral", IF(OEU948="Rack", "Semestral", IF(OEU948="Mesa", "Semestral", IF(OEU948="Tapete", "Semestral", IF(OEU948="Cautín", "Semestral", IF(OEU948="Silla", "Semestral", "Anual"))))))</f>
        <v>Semestral</v>
      </c>
      <c r="OFG948" s="2" t="str">
        <f t="shared" ref="OFG948" ca="1" si="4647">IF(OFE948&lt;TODAY(),"VENCIDO",IF(OFE948=TODAY(),"VENCE HOY",IF(OFE948&gt;TODAY(),"VIGENTE")))</f>
        <v>VIGENTE</v>
      </c>
      <c r="OFH948" s="6" t="s">
        <v>25</v>
      </c>
      <c r="OFI948" s="23" t="s">
        <v>138</v>
      </c>
      <c r="OFJ948" s="2" t="s">
        <v>433</v>
      </c>
      <c r="OFK948" s="3" t="s">
        <v>22</v>
      </c>
      <c r="OFL948" s="3" t="s">
        <v>23</v>
      </c>
      <c r="OFM948" s="2" t="s">
        <v>24</v>
      </c>
      <c r="OFN948" s="4">
        <v>0</v>
      </c>
      <c r="OFO948" s="8">
        <f t="shared" ref="OFO948" si="4648">IF(OFK948="Ionizador", 10, IF(OFK948="Mesa", 1000000000, IF(OFK948="Rack", 1000000000, IF(OFK948="Piso", 1000000000, IF(OFK948="Tapete", 1000000000, IF(OFK948="Carrito", 1000000000, IF(OFK948="Cautín", 10, 1)))))))</f>
        <v>1000000000</v>
      </c>
      <c r="OFP948" s="4" t="str">
        <f t="shared" ref="OFP948" si="4649">IF(OFK948="Ionizador", "Segundos", "Ohms")</f>
        <v>Ohms</v>
      </c>
      <c r="OFQ948" s="6">
        <v>148000000</v>
      </c>
      <c r="OFR948" s="6" t="str">
        <f t="shared" ref="OFR948" si="4650">OFP948</f>
        <v>Ohms</v>
      </c>
      <c r="OFS948" s="2" t="str">
        <f t="shared" ref="OFS948" si="4651">IF(OFK948="Ionizador", "Plato de carga", IF(OFK948="Cautín", "PTG", "RTG"))</f>
        <v>RTG</v>
      </c>
      <c r="OFT948" s="7">
        <v>45992</v>
      </c>
      <c r="OFU948" s="7">
        <f t="shared" ref="OFU948" si="4652">IF(OFV948="Trimestral", OFT948+90, IF(OFV948="Semestral", OFT948+180, OFT948+365))</f>
        <v>46172</v>
      </c>
      <c r="OFV948" s="7" t="str">
        <f t="shared" ref="OFV948" si="4653">IF(OFK948="Ionizador", "Trimestral", IF(OFK948="Rack", "Semestral", IF(OFK948="Mesa", "Semestral", IF(OFK948="Tapete", "Semestral", IF(OFK948="Cautín", "Semestral", IF(OFK948="Silla", "Semestral", "Anual"))))))</f>
        <v>Semestral</v>
      </c>
      <c r="OFW948" s="2" t="str">
        <f t="shared" ref="OFW948" ca="1" si="4654">IF(OFU948&lt;TODAY(),"VENCIDO",IF(OFU948=TODAY(),"VENCE HOY",IF(OFU948&gt;TODAY(),"VIGENTE")))</f>
        <v>VIGENTE</v>
      </c>
      <c r="OFX948" s="6" t="s">
        <v>25</v>
      </c>
      <c r="OFY948" s="23" t="s">
        <v>138</v>
      </c>
      <c r="OFZ948" s="2" t="s">
        <v>433</v>
      </c>
      <c r="OGA948" s="3" t="s">
        <v>22</v>
      </c>
      <c r="OGB948" s="3" t="s">
        <v>23</v>
      </c>
      <c r="OGC948" s="2" t="s">
        <v>24</v>
      </c>
      <c r="OGD948" s="4">
        <v>0</v>
      </c>
      <c r="OGE948" s="8">
        <f t="shared" ref="OGE948" si="4655">IF(OGA948="Ionizador", 10, IF(OGA948="Mesa", 1000000000, IF(OGA948="Rack", 1000000000, IF(OGA948="Piso", 1000000000, IF(OGA948="Tapete", 1000000000, IF(OGA948="Carrito", 1000000000, IF(OGA948="Cautín", 10, 1)))))))</f>
        <v>1000000000</v>
      </c>
      <c r="OGF948" s="4" t="str">
        <f t="shared" ref="OGF948" si="4656">IF(OGA948="Ionizador", "Segundos", "Ohms")</f>
        <v>Ohms</v>
      </c>
      <c r="OGG948" s="6">
        <v>148000000</v>
      </c>
      <c r="OGH948" s="6" t="str">
        <f t="shared" ref="OGH948" si="4657">OGF948</f>
        <v>Ohms</v>
      </c>
      <c r="OGI948" s="2" t="str">
        <f t="shared" ref="OGI948" si="4658">IF(OGA948="Ionizador", "Plato de carga", IF(OGA948="Cautín", "PTG", "RTG"))</f>
        <v>RTG</v>
      </c>
      <c r="OGJ948" s="7">
        <v>45992</v>
      </c>
      <c r="OGK948" s="7">
        <f t="shared" ref="OGK948" si="4659">IF(OGL948="Trimestral", OGJ948+90, IF(OGL948="Semestral", OGJ948+180, OGJ948+365))</f>
        <v>46172</v>
      </c>
      <c r="OGL948" s="7" t="str">
        <f t="shared" ref="OGL948" si="4660">IF(OGA948="Ionizador", "Trimestral", IF(OGA948="Rack", "Semestral", IF(OGA948="Mesa", "Semestral", IF(OGA948="Tapete", "Semestral", IF(OGA948="Cautín", "Semestral", IF(OGA948="Silla", "Semestral", "Anual"))))))</f>
        <v>Semestral</v>
      </c>
      <c r="OGM948" s="2" t="str">
        <f t="shared" ref="OGM948" ca="1" si="4661">IF(OGK948&lt;TODAY(),"VENCIDO",IF(OGK948=TODAY(),"VENCE HOY",IF(OGK948&gt;TODAY(),"VIGENTE")))</f>
        <v>VIGENTE</v>
      </c>
      <c r="OGN948" s="6" t="s">
        <v>25</v>
      </c>
      <c r="OGO948" s="23" t="s">
        <v>138</v>
      </c>
      <c r="OGP948" s="2" t="s">
        <v>433</v>
      </c>
      <c r="OGQ948" s="3" t="s">
        <v>22</v>
      </c>
      <c r="OGR948" s="3" t="s">
        <v>23</v>
      </c>
      <c r="OGS948" s="2" t="s">
        <v>24</v>
      </c>
      <c r="OGT948" s="4">
        <v>0</v>
      </c>
      <c r="OGU948" s="8">
        <f t="shared" ref="OGU948" si="4662">IF(OGQ948="Ionizador", 10, IF(OGQ948="Mesa", 1000000000, IF(OGQ948="Rack", 1000000000, IF(OGQ948="Piso", 1000000000, IF(OGQ948="Tapete", 1000000000, IF(OGQ948="Carrito", 1000000000, IF(OGQ948="Cautín", 10, 1)))))))</f>
        <v>1000000000</v>
      </c>
      <c r="OGV948" s="4" t="str">
        <f t="shared" ref="OGV948" si="4663">IF(OGQ948="Ionizador", "Segundos", "Ohms")</f>
        <v>Ohms</v>
      </c>
      <c r="OGW948" s="6">
        <v>148000000</v>
      </c>
      <c r="OGX948" s="6" t="str">
        <f t="shared" ref="OGX948" si="4664">OGV948</f>
        <v>Ohms</v>
      </c>
      <c r="OGY948" s="2" t="str">
        <f t="shared" ref="OGY948" si="4665">IF(OGQ948="Ionizador", "Plato de carga", IF(OGQ948="Cautín", "PTG", "RTG"))</f>
        <v>RTG</v>
      </c>
      <c r="OGZ948" s="7">
        <v>45992</v>
      </c>
      <c r="OHA948" s="7">
        <f t="shared" ref="OHA948" si="4666">IF(OHB948="Trimestral", OGZ948+90, IF(OHB948="Semestral", OGZ948+180, OGZ948+365))</f>
        <v>46172</v>
      </c>
      <c r="OHB948" s="7" t="str">
        <f t="shared" ref="OHB948" si="4667">IF(OGQ948="Ionizador", "Trimestral", IF(OGQ948="Rack", "Semestral", IF(OGQ948="Mesa", "Semestral", IF(OGQ948="Tapete", "Semestral", IF(OGQ948="Cautín", "Semestral", IF(OGQ948="Silla", "Semestral", "Anual"))))))</f>
        <v>Semestral</v>
      </c>
      <c r="OHC948" s="2" t="str">
        <f t="shared" ref="OHC948" ca="1" si="4668">IF(OHA948&lt;TODAY(),"VENCIDO",IF(OHA948=TODAY(),"VENCE HOY",IF(OHA948&gt;TODAY(),"VIGENTE")))</f>
        <v>VIGENTE</v>
      </c>
      <c r="OHD948" s="6" t="s">
        <v>25</v>
      </c>
      <c r="OHE948" s="23" t="s">
        <v>138</v>
      </c>
      <c r="OHF948" s="2" t="s">
        <v>433</v>
      </c>
      <c r="OHG948" s="3" t="s">
        <v>22</v>
      </c>
      <c r="OHH948" s="3" t="s">
        <v>23</v>
      </c>
      <c r="OHI948" s="2" t="s">
        <v>24</v>
      </c>
      <c r="OHJ948" s="4">
        <v>0</v>
      </c>
      <c r="OHK948" s="8">
        <f t="shared" ref="OHK948" si="4669">IF(OHG948="Ionizador", 10, IF(OHG948="Mesa", 1000000000, IF(OHG948="Rack", 1000000000, IF(OHG948="Piso", 1000000000, IF(OHG948="Tapete", 1000000000, IF(OHG948="Carrito", 1000000000, IF(OHG948="Cautín", 10, 1)))))))</f>
        <v>1000000000</v>
      </c>
      <c r="OHL948" s="4" t="str">
        <f t="shared" ref="OHL948" si="4670">IF(OHG948="Ionizador", "Segundos", "Ohms")</f>
        <v>Ohms</v>
      </c>
      <c r="OHM948" s="6">
        <v>148000000</v>
      </c>
      <c r="OHN948" s="6" t="str">
        <f t="shared" ref="OHN948" si="4671">OHL948</f>
        <v>Ohms</v>
      </c>
      <c r="OHO948" s="2" t="str">
        <f t="shared" ref="OHO948" si="4672">IF(OHG948="Ionizador", "Plato de carga", IF(OHG948="Cautín", "PTG", "RTG"))</f>
        <v>RTG</v>
      </c>
      <c r="OHP948" s="7">
        <v>45992</v>
      </c>
      <c r="OHQ948" s="7">
        <f t="shared" ref="OHQ948" si="4673">IF(OHR948="Trimestral", OHP948+90, IF(OHR948="Semestral", OHP948+180, OHP948+365))</f>
        <v>46172</v>
      </c>
      <c r="OHR948" s="7" t="str">
        <f t="shared" ref="OHR948" si="4674">IF(OHG948="Ionizador", "Trimestral", IF(OHG948="Rack", "Semestral", IF(OHG948="Mesa", "Semestral", IF(OHG948="Tapete", "Semestral", IF(OHG948="Cautín", "Semestral", IF(OHG948="Silla", "Semestral", "Anual"))))))</f>
        <v>Semestral</v>
      </c>
      <c r="OHS948" s="2" t="str">
        <f t="shared" ref="OHS948" ca="1" si="4675">IF(OHQ948&lt;TODAY(),"VENCIDO",IF(OHQ948=TODAY(),"VENCE HOY",IF(OHQ948&gt;TODAY(),"VIGENTE")))</f>
        <v>VIGENTE</v>
      </c>
      <c r="OHT948" s="6" t="s">
        <v>25</v>
      </c>
      <c r="OHU948" s="23" t="s">
        <v>138</v>
      </c>
      <c r="OHV948" s="2" t="s">
        <v>433</v>
      </c>
      <c r="OHW948" s="3" t="s">
        <v>22</v>
      </c>
      <c r="OHX948" s="3" t="s">
        <v>23</v>
      </c>
      <c r="OHY948" s="2" t="s">
        <v>24</v>
      </c>
      <c r="OHZ948" s="4">
        <v>0</v>
      </c>
      <c r="OIA948" s="8">
        <f t="shared" ref="OIA948" si="4676">IF(OHW948="Ionizador", 10, IF(OHW948="Mesa", 1000000000, IF(OHW948="Rack", 1000000000, IF(OHW948="Piso", 1000000000, IF(OHW948="Tapete", 1000000000, IF(OHW948="Carrito", 1000000000, IF(OHW948="Cautín", 10, 1)))))))</f>
        <v>1000000000</v>
      </c>
      <c r="OIB948" s="4" t="str">
        <f t="shared" ref="OIB948" si="4677">IF(OHW948="Ionizador", "Segundos", "Ohms")</f>
        <v>Ohms</v>
      </c>
      <c r="OIC948" s="6">
        <v>148000000</v>
      </c>
      <c r="OID948" s="6" t="str">
        <f t="shared" ref="OID948" si="4678">OIB948</f>
        <v>Ohms</v>
      </c>
      <c r="OIE948" s="2" t="str">
        <f t="shared" ref="OIE948" si="4679">IF(OHW948="Ionizador", "Plato de carga", IF(OHW948="Cautín", "PTG", "RTG"))</f>
        <v>RTG</v>
      </c>
      <c r="OIF948" s="7">
        <v>45992</v>
      </c>
      <c r="OIG948" s="7">
        <f t="shared" ref="OIG948" si="4680">IF(OIH948="Trimestral", OIF948+90, IF(OIH948="Semestral", OIF948+180, OIF948+365))</f>
        <v>46172</v>
      </c>
      <c r="OIH948" s="7" t="str">
        <f t="shared" ref="OIH948" si="4681">IF(OHW948="Ionizador", "Trimestral", IF(OHW948="Rack", "Semestral", IF(OHW948="Mesa", "Semestral", IF(OHW948="Tapete", "Semestral", IF(OHW948="Cautín", "Semestral", IF(OHW948="Silla", "Semestral", "Anual"))))))</f>
        <v>Semestral</v>
      </c>
      <c r="OII948" s="2" t="str">
        <f t="shared" ref="OII948" ca="1" si="4682">IF(OIG948&lt;TODAY(),"VENCIDO",IF(OIG948=TODAY(),"VENCE HOY",IF(OIG948&gt;TODAY(),"VIGENTE")))</f>
        <v>VIGENTE</v>
      </c>
      <c r="OIJ948" s="6" t="s">
        <v>25</v>
      </c>
      <c r="OIK948" s="23" t="s">
        <v>138</v>
      </c>
      <c r="OIL948" s="2" t="s">
        <v>433</v>
      </c>
      <c r="OIM948" s="3" t="s">
        <v>22</v>
      </c>
      <c r="OIN948" s="3" t="s">
        <v>23</v>
      </c>
      <c r="OIO948" s="2" t="s">
        <v>24</v>
      </c>
      <c r="OIP948" s="4">
        <v>0</v>
      </c>
      <c r="OIQ948" s="8">
        <f t="shared" ref="OIQ948" si="4683">IF(OIM948="Ionizador", 10, IF(OIM948="Mesa", 1000000000, IF(OIM948="Rack", 1000000000, IF(OIM948="Piso", 1000000000, IF(OIM948="Tapete", 1000000000, IF(OIM948="Carrito", 1000000000, IF(OIM948="Cautín", 10, 1)))))))</f>
        <v>1000000000</v>
      </c>
      <c r="OIR948" s="4" t="str">
        <f t="shared" ref="OIR948" si="4684">IF(OIM948="Ionizador", "Segundos", "Ohms")</f>
        <v>Ohms</v>
      </c>
      <c r="OIS948" s="6">
        <v>148000000</v>
      </c>
      <c r="OIT948" s="6" t="str">
        <f t="shared" ref="OIT948" si="4685">OIR948</f>
        <v>Ohms</v>
      </c>
      <c r="OIU948" s="2" t="str">
        <f t="shared" ref="OIU948" si="4686">IF(OIM948="Ionizador", "Plato de carga", IF(OIM948="Cautín", "PTG", "RTG"))</f>
        <v>RTG</v>
      </c>
      <c r="OIV948" s="7">
        <v>45992</v>
      </c>
      <c r="OIW948" s="7">
        <f t="shared" ref="OIW948" si="4687">IF(OIX948="Trimestral", OIV948+90, IF(OIX948="Semestral", OIV948+180, OIV948+365))</f>
        <v>46172</v>
      </c>
      <c r="OIX948" s="7" t="str">
        <f t="shared" ref="OIX948" si="4688">IF(OIM948="Ionizador", "Trimestral", IF(OIM948="Rack", "Semestral", IF(OIM948="Mesa", "Semestral", IF(OIM948="Tapete", "Semestral", IF(OIM948="Cautín", "Semestral", IF(OIM948="Silla", "Semestral", "Anual"))))))</f>
        <v>Semestral</v>
      </c>
      <c r="OIY948" s="2" t="str">
        <f t="shared" ref="OIY948" ca="1" si="4689">IF(OIW948&lt;TODAY(),"VENCIDO",IF(OIW948=TODAY(),"VENCE HOY",IF(OIW948&gt;TODAY(),"VIGENTE")))</f>
        <v>VIGENTE</v>
      </c>
      <c r="OIZ948" s="6" t="s">
        <v>25</v>
      </c>
      <c r="OJA948" s="23" t="s">
        <v>138</v>
      </c>
      <c r="OJB948" s="2" t="s">
        <v>433</v>
      </c>
      <c r="OJC948" s="3" t="s">
        <v>22</v>
      </c>
      <c r="OJD948" s="3" t="s">
        <v>23</v>
      </c>
      <c r="OJE948" s="2" t="s">
        <v>24</v>
      </c>
      <c r="OJF948" s="4">
        <v>0</v>
      </c>
      <c r="OJG948" s="8">
        <f t="shared" ref="OJG948" si="4690">IF(OJC948="Ionizador", 10, IF(OJC948="Mesa", 1000000000, IF(OJC948="Rack", 1000000000, IF(OJC948="Piso", 1000000000, IF(OJC948="Tapete", 1000000000, IF(OJC948="Carrito", 1000000000, IF(OJC948="Cautín", 10, 1)))))))</f>
        <v>1000000000</v>
      </c>
      <c r="OJH948" s="4" t="str">
        <f t="shared" ref="OJH948" si="4691">IF(OJC948="Ionizador", "Segundos", "Ohms")</f>
        <v>Ohms</v>
      </c>
      <c r="OJI948" s="6">
        <v>148000000</v>
      </c>
      <c r="OJJ948" s="6" t="str">
        <f t="shared" ref="OJJ948" si="4692">OJH948</f>
        <v>Ohms</v>
      </c>
      <c r="OJK948" s="2" t="str">
        <f t="shared" ref="OJK948" si="4693">IF(OJC948="Ionizador", "Plato de carga", IF(OJC948="Cautín", "PTG", "RTG"))</f>
        <v>RTG</v>
      </c>
      <c r="OJL948" s="7">
        <v>45992</v>
      </c>
      <c r="OJM948" s="7">
        <f t="shared" ref="OJM948" si="4694">IF(OJN948="Trimestral", OJL948+90, IF(OJN948="Semestral", OJL948+180, OJL948+365))</f>
        <v>46172</v>
      </c>
      <c r="OJN948" s="7" t="str">
        <f t="shared" ref="OJN948" si="4695">IF(OJC948="Ionizador", "Trimestral", IF(OJC948="Rack", "Semestral", IF(OJC948="Mesa", "Semestral", IF(OJC948="Tapete", "Semestral", IF(OJC948="Cautín", "Semestral", IF(OJC948="Silla", "Semestral", "Anual"))))))</f>
        <v>Semestral</v>
      </c>
      <c r="OJO948" s="2" t="str">
        <f t="shared" ref="OJO948" ca="1" si="4696">IF(OJM948&lt;TODAY(),"VENCIDO",IF(OJM948=TODAY(),"VENCE HOY",IF(OJM948&gt;TODAY(),"VIGENTE")))</f>
        <v>VIGENTE</v>
      </c>
      <c r="OJP948" s="6" t="s">
        <v>25</v>
      </c>
      <c r="OJQ948" s="23" t="s">
        <v>138</v>
      </c>
      <c r="OJR948" s="2" t="s">
        <v>433</v>
      </c>
      <c r="OJS948" s="3" t="s">
        <v>22</v>
      </c>
      <c r="OJT948" s="3" t="s">
        <v>23</v>
      </c>
      <c r="OJU948" s="2" t="s">
        <v>24</v>
      </c>
      <c r="OJV948" s="4">
        <v>0</v>
      </c>
      <c r="OJW948" s="8">
        <f t="shared" ref="OJW948" si="4697">IF(OJS948="Ionizador", 10, IF(OJS948="Mesa", 1000000000, IF(OJS948="Rack", 1000000000, IF(OJS948="Piso", 1000000000, IF(OJS948="Tapete", 1000000000, IF(OJS948="Carrito", 1000000000, IF(OJS948="Cautín", 10, 1)))))))</f>
        <v>1000000000</v>
      </c>
      <c r="OJX948" s="4" t="str">
        <f t="shared" ref="OJX948" si="4698">IF(OJS948="Ionizador", "Segundos", "Ohms")</f>
        <v>Ohms</v>
      </c>
      <c r="OJY948" s="6">
        <v>148000000</v>
      </c>
      <c r="OJZ948" s="6" t="str">
        <f t="shared" ref="OJZ948" si="4699">OJX948</f>
        <v>Ohms</v>
      </c>
      <c r="OKA948" s="2" t="str">
        <f t="shared" ref="OKA948" si="4700">IF(OJS948="Ionizador", "Plato de carga", IF(OJS948="Cautín", "PTG", "RTG"))</f>
        <v>RTG</v>
      </c>
      <c r="OKB948" s="7">
        <v>45992</v>
      </c>
      <c r="OKC948" s="7">
        <f t="shared" ref="OKC948" si="4701">IF(OKD948="Trimestral", OKB948+90, IF(OKD948="Semestral", OKB948+180, OKB948+365))</f>
        <v>46172</v>
      </c>
      <c r="OKD948" s="7" t="str">
        <f t="shared" ref="OKD948" si="4702">IF(OJS948="Ionizador", "Trimestral", IF(OJS948="Rack", "Semestral", IF(OJS948="Mesa", "Semestral", IF(OJS948="Tapete", "Semestral", IF(OJS948="Cautín", "Semestral", IF(OJS948="Silla", "Semestral", "Anual"))))))</f>
        <v>Semestral</v>
      </c>
      <c r="OKE948" s="2" t="str">
        <f t="shared" ref="OKE948" ca="1" si="4703">IF(OKC948&lt;TODAY(),"VENCIDO",IF(OKC948=TODAY(),"VENCE HOY",IF(OKC948&gt;TODAY(),"VIGENTE")))</f>
        <v>VIGENTE</v>
      </c>
      <c r="OKF948" s="6" t="s">
        <v>25</v>
      </c>
      <c r="OKG948" s="23" t="s">
        <v>138</v>
      </c>
      <c r="OKH948" s="2" t="s">
        <v>433</v>
      </c>
      <c r="OKI948" s="3" t="s">
        <v>22</v>
      </c>
      <c r="OKJ948" s="3" t="s">
        <v>23</v>
      </c>
      <c r="OKK948" s="2" t="s">
        <v>24</v>
      </c>
      <c r="OKL948" s="4">
        <v>0</v>
      </c>
      <c r="OKM948" s="8">
        <f t="shared" ref="OKM948" si="4704">IF(OKI948="Ionizador", 10, IF(OKI948="Mesa", 1000000000, IF(OKI948="Rack", 1000000000, IF(OKI948="Piso", 1000000000, IF(OKI948="Tapete", 1000000000, IF(OKI948="Carrito", 1000000000, IF(OKI948="Cautín", 10, 1)))))))</f>
        <v>1000000000</v>
      </c>
      <c r="OKN948" s="4" t="str">
        <f t="shared" ref="OKN948" si="4705">IF(OKI948="Ionizador", "Segundos", "Ohms")</f>
        <v>Ohms</v>
      </c>
      <c r="OKO948" s="6">
        <v>148000000</v>
      </c>
      <c r="OKP948" s="6" t="str">
        <f t="shared" ref="OKP948" si="4706">OKN948</f>
        <v>Ohms</v>
      </c>
      <c r="OKQ948" s="2" t="str">
        <f t="shared" ref="OKQ948" si="4707">IF(OKI948="Ionizador", "Plato de carga", IF(OKI948="Cautín", "PTG", "RTG"))</f>
        <v>RTG</v>
      </c>
      <c r="OKR948" s="7">
        <v>45992</v>
      </c>
      <c r="OKS948" s="7">
        <f t="shared" ref="OKS948" si="4708">IF(OKT948="Trimestral", OKR948+90, IF(OKT948="Semestral", OKR948+180, OKR948+365))</f>
        <v>46172</v>
      </c>
      <c r="OKT948" s="7" t="str">
        <f t="shared" ref="OKT948" si="4709">IF(OKI948="Ionizador", "Trimestral", IF(OKI948="Rack", "Semestral", IF(OKI948="Mesa", "Semestral", IF(OKI948="Tapete", "Semestral", IF(OKI948="Cautín", "Semestral", IF(OKI948="Silla", "Semestral", "Anual"))))))</f>
        <v>Semestral</v>
      </c>
      <c r="OKU948" s="2" t="str">
        <f t="shared" ref="OKU948" ca="1" si="4710">IF(OKS948&lt;TODAY(),"VENCIDO",IF(OKS948=TODAY(),"VENCE HOY",IF(OKS948&gt;TODAY(),"VIGENTE")))</f>
        <v>VIGENTE</v>
      </c>
      <c r="OKV948" s="6" t="s">
        <v>25</v>
      </c>
      <c r="OKW948" s="23" t="s">
        <v>138</v>
      </c>
      <c r="OKX948" s="2" t="s">
        <v>433</v>
      </c>
      <c r="OKY948" s="3" t="s">
        <v>22</v>
      </c>
      <c r="OKZ948" s="3" t="s">
        <v>23</v>
      </c>
      <c r="OLA948" s="2" t="s">
        <v>24</v>
      </c>
      <c r="OLB948" s="4">
        <v>0</v>
      </c>
      <c r="OLC948" s="8">
        <f t="shared" ref="OLC948" si="4711">IF(OKY948="Ionizador", 10, IF(OKY948="Mesa", 1000000000, IF(OKY948="Rack", 1000000000, IF(OKY948="Piso", 1000000000, IF(OKY948="Tapete", 1000000000, IF(OKY948="Carrito", 1000000000, IF(OKY948="Cautín", 10, 1)))))))</f>
        <v>1000000000</v>
      </c>
      <c r="OLD948" s="4" t="str">
        <f t="shared" ref="OLD948" si="4712">IF(OKY948="Ionizador", "Segundos", "Ohms")</f>
        <v>Ohms</v>
      </c>
      <c r="OLE948" s="6">
        <v>148000000</v>
      </c>
      <c r="OLF948" s="6" t="str">
        <f t="shared" ref="OLF948" si="4713">OLD948</f>
        <v>Ohms</v>
      </c>
      <c r="OLG948" s="2" t="str">
        <f t="shared" ref="OLG948" si="4714">IF(OKY948="Ionizador", "Plato de carga", IF(OKY948="Cautín", "PTG", "RTG"))</f>
        <v>RTG</v>
      </c>
      <c r="OLH948" s="7">
        <v>45992</v>
      </c>
      <c r="OLI948" s="7">
        <f t="shared" ref="OLI948" si="4715">IF(OLJ948="Trimestral", OLH948+90, IF(OLJ948="Semestral", OLH948+180, OLH948+365))</f>
        <v>46172</v>
      </c>
      <c r="OLJ948" s="7" t="str">
        <f t="shared" ref="OLJ948" si="4716">IF(OKY948="Ionizador", "Trimestral", IF(OKY948="Rack", "Semestral", IF(OKY948="Mesa", "Semestral", IF(OKY948="Tapete", "Semestral", IF(OKY948="Cautín", "Semestral", IF(OKY948="Silla", "Semestral", "Anual"))))))</f>
        <v>Semestral</v>
      </c>
      <c r="OLK948" s="2" t="str">
        <f t="shared" ref="OLK948" ca="1" si="4717">IF(OLI948&lt;TODAY(),"VENCIDO",IF(OLI948=TODAY(),"VENCE HOY",IF(OLI948&gt;TODAY(),"VIGENTE")))</f>
        <v>VIGENTE</v>
      </c>
      <c r="OLL948" s="6" t="s">
        <v>25</v>
      </c>
      <c r="OLM948" s="23" t="s">
        <v>138</v>
      </c>
      <c r="OLN948" s="2" t="s">
        <v>433</v>
      </c>
      <c r="OLO948" s="3" t="s">
        <v>22</v>
      </c>
      <c r="OLP948" s="3" t="s">
        <v>23</v>
      </c>
      <c r="OLQ948" s="2" t="s">
        <v>24</v>
      </c>
      <c r="OLR948" s="4">
        <v>0</v>
      </c>
      <c r="OLS948" s="8">
        <f t="shared" ref="OLS948" si="4718">IF(OLO948="Ionizador", 10, IF(OLO948="Mesa", 1000000000, IF(OLO948="Rack", 1000000000, IF(OLO948="Piso", 1000000000, IF(OLO948="Tapete", 1000000000, IF(OLO948="Carrito", 1000000000, IF(OLO948="Cautín", 10, 1)))))))</f>
        <v>1000000000</v>
      </c>
      <c r="OLT948" s="4" t="str">
        <f t="shared" ref="OLT948" si="4719">IF(OLO948="Ionizador", "Segundos", "Ohms")</f>
        <v>Ohms</v>
      </c>
      <c r="OLU948" s="6">
        <v>148000000</v>
      </c>
      <c r="OLV948" s="6" t="str">
        <f t="shared" ref="OLV948" si="4720">OLT948</f>
        <v>Ohms</v>
      </c>
      <c r="OLW948" s="2" t="str">
        <f t="shared" ref="OLW948" si="4721">IF(OLO948="Ionizador", "Plato de carga", IF(OLO948="Cautín", "PTG", "RTG"))</f>
        <v>RTG</v>
      </c>
      <c r="OLX948" s="7">
        <v>45992</v>
      </c>
      <c r="OLY948" s="7">
        <f t="shared" ref="OLY948" si="4722">IF(OLZ948="Trimestral", OLX948+90, IF(OLZ948="Semestral", OLX948+180, OLX948+365))</f>
        <v>46172</v>
      </c>
      <c r="OLZ948" s="7" t="str">
        <f t="shared" ref="OLZ948" si="4723">IF(OLO948="Ionizador", "Trimestral", IF(OLO948="Rack", "Semestral", IF(OLO948="Mesa", "Semestral", IF(OLO948="Tapete", "Semestral", IF(OLO948="Cautín", "Semestral", IF(OLO948="Silla", "Semestral", "Anual"))))))</f>
        <v>Semestral</v>
      </c>
      <c r="OMA948" s="2" t="str">
        <f t="shared" ref="OMA948" ca="1" si="4724">IF(OLY948&lt;TODAY(),"VENCIDO",IF(OLY948=TODAY(),"VENCE HOY",IF(OLY948&gt;TODAY(),"VIGENTE")))</f>
        <v>VIGENTE</v>
      </c>
      <c r="OMB948" s="6" t="s">
        <v>25</v>
      </c>
      <c r="OMC948" s="23" t="s">
        <v>138</v>
      </c>
      <c r="OMD948" s="2" t="s">
        <v>433</v>
      </c>
      <c r="OME948" s="3" t="s">
        <v>22</v>
      </c>
      <c r="OMF948" s="3" t="s">
        <v>23</v>
      </c>
      <c r="OMG948" s="2" t="s">
        <v>24</v>
      </c>
      <c r="OMH948" s="4">
        <v>0</v>
      </c>
      <c r="OMI948" s="8">
        <f t="shared" ref="OMI948" si="4725">IF(OME948="Ionizador", 10, IF(OME948="Mesa", 1000000000, IF(OME948="Rack", 1000000000, IF(OME948="Piso", 1000000000, IF(OME948="Tapete", 1000000000, IF(OME948="Carrito", 1000000000, IF(OME948="Cautín", 10, 1)))))))</f>
        <v>1000000000</v>
      </c>
      <c r="OMJ948" s="4" t="str">
        <f t="shared" ref="OMJ948" si="4726">IF(OME948="Ionizador", "Segundos", "Ohms")</f>
        <v>Ohms</v>
      </c>
      <c r="OMK948" s="6">
        <v>148000000</v>
      </c>
      <c r="OML948" s="6" t="str">
        <f t="shared" ref="OML948" si="4727">OMJ948</f>
        <v>Ohms</v>
      </c>
      <c r="OMM948" s="2" t="str">
        <f t="shared" ref="OMM948" si="4728">IF(OME948="Ionizador", "Plato de carga", IF(OME948="Cautín", "PTG", "RTG"))</f>
        <v>RTG</v>
      </c>
      <c r="OMN948" s="7">
        <v>45992</v>
      </c>
      <c r="OMO948" s="7">
        <f t="shared" ref="OMO948" si="4729">IF(OMP948="Trimestral", OMN948+90, IF(OMP948="Semestral", OMN948+180, OMN948+365))</f>
        <v>46172</v>
      </c>
      <c r="OMP948" s="7" t="str">
        <f t="shared" ref="OMP948" si="4730">IF(OME948="Ionizador", "Trimestral", IF(OME948="Rack", "Semestral", IF(OME948="Mesa", "Semestral", IF(OME948="Tapete", "Semestral", IF(OME948="Cautín", "Semestral", IF(OME948="Silla", "Semestral", "Anual"))))))</f>
        <v>Semestral</v>
      </c>
      <c r="OMQ948" s="2" t="str">
        <f t="shared" ref="OMQ948" ca="1" si="4731">IF(OMO948&lt;TODAY(),"VENCIDO",IF(OMO948=TODAY(),"VENCE HOY",IF(OMO948&gt;TODAY(),"VIGENTE")))</f>
        <v>VIGENTE</v>
      </c>
      <c r="OMR948" s="6" t="s">
        <v>25</v>
      </c>
      <c r="OMS948" s="23" t="s">
        <v>138</v>
      </c>
      <c r="OMT948" s="2" t="s">
        <v>433</v>
      </c>
      <c r="OMU948" s="3" t="s">
        <v>22</v>
      </c>
      <c r="OMV948" s="3" t="s">
        <v>23</v>
      </c>
      <c r="OMW948" s="2" t="s">
        <v>24</v>
      </c>
      <c r="OMX948" s="4">
        <v>0</v>
      </c>
      <c r="OMY948" s="8">
        <f t="shared" ref="OMY948" si="4732">IF(OMU948="Ionizador", 10, IF(OMU948="Mesa", 1000000000, IF(OMU948="Rack", 1000000000, IF(OMU948="Piso", 1000000000, IF(OMU948="Tapete", 1000000000, IF(OMU948="Carrito", 1000000000, IF(OMU948="Cautín", 10, 1)))))))</f>
        <v>1000000000</v>
      </c>
      <c r="OMZ948" s="4" t="str">
        <f t="shared" ref="OMZ948" si="4733">IF(OMU948="Ionizador", "Segundos", "Ohms")</f>
        <v>Ohms</v>
      </c>
      <c r="ONA948" s="6">
        <v>148000000</v>
      </c>
      <c r="ONB948" s="6" t="str">
        <f t="shared" ref="ONB948" si="4734">OMZ948</f>
        <v>Ohms</v>
      </c>
      <c r="ONC948" s="2" t="str">
        <f t="shared" ref="ONC948" si="4735">IF(OMU948="Ionizador", "Plato de carga", IF(OMU948="Cautín", "PTG", "RTG"))</f>
        <v>RTG</v>
      </c>
      <c r="OND948" s="7">
        <v>45992</v>
      </c>
      <c r="ONE948" s="7">
        <f t="shared" ref="ONE948" si="4736">IF(ONF948="Trimestral", OND948+90, IF(ONF948="Semestral", OND948+180, OND948+365))</f>
        <v>46172</v>
      </c>
      <c r="ONF948" s="7" t="str">
        <f t="shared" ref="ONF948" si="4737">IF(OMU948="Ionizador", "Trimestral", IF(OMU948="Rack", "Semestral", IF(OMU948="Mesa", "Semestral", IF(OMU948="Tapete", "Semestral", IF(OMU948="Cautín", "Semestral", IF(OMU948="Silla", "Semestral", "Anual"))))))</f>
        <v>Semestral</v>
      </c>
      <c r="ONG948" s="2" t="str">
        <f t="shared" ref="ONG948" ca="1" si="4738">IF(ONE948&lt;TODAY(),"VENCIDO",IF(ONE948=TODAY(),"VENCE HOY",IF(ONE948&gt;TODAY(),"VIGENTE")))</f>
        <v>VIGENTE</v>
      </c>
      <c r="ONH948" s="6" t="s">
        <v>25</v>
      </c>
      <c r="ONI948" s="23" t="s">
        <v>138</v>
      </c>
      <c r="ONJ948" s="2" t="s">
        <v>433</v>
      </c>
      <c r="ONK948" s="3" t="s">
        <v>22</v>
      </c>
      <c r="ONL948" s="3" t="s">
        <v>23</v>
      </c>
      <c r="ONM948" s="2" t="s">
        <v>24</v>
      </c>
      <c r="ONN948" s="4">
        <v>0</v>
      </c>
      <c r="ONO948" s="8">
        <f t="shared" ref="ONO948" si="4739">IF(ONK948="Ionizador", 10, IF(ONK948="Mesa", 1000000000, IF(ONK948="Rack", 1000000000, IF(ONK948="Piso", 1000000000, IF(ONK948="Tapete", 1000000000, IF(ONK948="Carrito", 1000000000, IF(ONK948="Cautín", 10, 1)))))))</f>
        <v>1000000000</v>
      </c>
      <c r="ONP948" s="4" t="str">
        <f t="shared" ref="ONP948" si="4740">IF(ONK948="Ionizador", "Segundos", "Ohms")</f>
        <v>Ohms</v>
      </c>
      <c r="ONQ948" s="6">
        <v>148000000</v>
      </c>
      <c r="ONR948" s="6" t="str">
        <f t="shared" ref="ONR948" si="4741">ONP948</f>
        <v>Ohms</v>
      </c>
      <c r="ONS948" s="2" t="str">
        <f t="shared" ref="ONS948" si="4742">IF(ONK948="Ionizador", "Plato de carga", IF(ONK948="Cautín", "PTG", "RTG"))</f>
        <v>RTG</v>
      </c>
      <c r="ONT948" s="7">
        <v>45992</v>
      </c>
      <c r="ONU948" s="7">
        <f t="shared" ref="ONU948" si="4743">IF(ONV948="Trimestral", ONT948+90, IF(ONV948="Semestral", ONT948+180, ONT948+365))</f>
        <v>46172</v>
      </c>
      <c r="ONV948" s="7" t="str">
        <f t="shared" ref="ONV948" si="4744">IF(ONK948="Ionizador", "Trimestral", IF(ONK948="Rack", "Semestral", IF(ONK948="Mesa", "Semestral", IF(ONK948="Tapete", "Semestral", IF(ONK948="Cautín", "Semestral", IF(ONK948="Silla", "Semestral", "Anual"))))))</f>
        <v>Semestral</v>
      </c>
      <c r="ONW948" s="2" t="str">
        <f t="shared" ref="ONW948" ca="1" si="4745">IF(ONU948&lt;TODAY(),"VENCIDO",IF(ONU948=TODAY(),"VENCE HOY",IF(ONU948&gt;TODAY(),"VIGENTE")))</f>
        <v>VIGENTE</v>
      </c>
      <c r="ONX948" s="6" t="s">
        <v>25</v>
      </c>
      <c r="ONY948" s="23" t="s">
        <v>138</v>
      </c>
      <c r="ONZ948" s="2" t="s">
        <v>433</v>
      </c>
      <c r="OOA948" s="3" t="s">
        <v>22</v>
      </c>
      <c r="OOB948" s="3" t="s">
        <v>23</v>
      </c>
      <c r="OOC948" s="2" t="s">
        <v>24</v>
      </c>
      <c r="OOD948" s="4">
        <v>0</v>
      </c>
      <c r="OOE948" s="8">
        <f t="shared" ref="OOE948" si="4746">IF(OOA948="Ionizador", 10, IF(OOA948="Mesa", 1000000000, IF(OOA948="Rack", 1000000000, IF(OOA948="Piso", 1000000000, IF(OOA948="Tapete", 1000000000, IF(OOA948="Carrito", 1000000000, IF(OOA948="Cautín", 10, 1)))))))</f>
        <v>1000000000</v>
      </c>
      <c r="OOF948" s="4" t="str">
        <f t="shared" ref="OOF948" si="4747">IF(OOA948="Ionizador", "Segundos", "Ohms")</f>
        <v>Ohms</v>
      </c>
      <c r="OOG948" s="6">
        <v>148000000</v>
      </c>
      <c r="OOH948" s="6" t="str">
        <f t="shared" ref="OOH948" si="4748">OOF948</f>
        <v>Ohms</v>
      </c>
      <c r="OOI948" s="2" t="str">
        <f t="shared" ref="OOI948" si="4749">IF(OOA948="Ionizador", "Plato de carga", IF(OOA948="Cautín", "PTG", "RTG"))</f>
        <v>RTG</v>
      </c>
      <c r="OOJ948" s="7">
        <v>45992</v>
      </c>
      <c r="OOK948" s="7">
        <f t="shared" ref="OOK948" si="4750">IF(OOL948="Trimestral", OOJ948+90, IF(OOL948="Semestral", OOJ948+180, OOJ948+365))</f>
        <v>46172</v>
      </c>
      <c r="OOL948" s="7" t="str">
        <f t="shared" ref="OOL948" si="4751">IF(OOA948="Ionizador", "Trimestral", IF(OOA948="Rack", "Semestral", IF(OOA948="Mesa", "Semestral", IF(OOA948="Tapete", "Semestral", IF(OOA948="Cautín", "Semestral", IF(OOA948="Silla", "Semestral", "Anual"))))))</f>
        <v>Semestral</v>
      </c>
      <c r="OOM948" s="2" t="str">
        <f t="shared" ref="OOM948" ca="1" si="4752">IF(OOK948&lt;TODAY(),"VENCIDO",IF(OOK948=TODAY(),"VENCE HOY",IF(OOK948&gt;TODAY(),"VIGENTE")))</f>
        <v>VIGENTE</v>
      </c>
      <c r="OON948" s="6" t="s">
        <v>25</v>
      </c>
      <c r="OOO948" s="23" t="s">
        <v>138</v>
      </c>
      <c r="OOP948" s="2" t="s">
        <v>433</v>
      </c>
      <c r="OOQ948" s="3" t="s">
        <v>22</v>
      </c>
      <c r="OOR948" s="3" t="s">
        <v>23</v>
      </c>
      <c r="OOS948" s="2" t="s">
        <v>24</v>
      </c>
      <c r="OOT948" s="4">
        <v>0</v>
      </c>
      <c r="OOU948" s="8">
        <f t="shared" ref="OOU948" si="4753">IF(OOQ948="Ionizador", 10, IF(OOQ948="Mesa", 1000000000, IF(OOQ948="Rack", 1000000000, IF(OOQ948="Piso", 1000000000, IF(OOQ948="Tapete", 1000000000, IF(OOQ948="Carrito", 1000000000, IF(OOQ948="Cautín", 10, 1)))))))</f>
        <v>1000000000</v>
      </c>
      <c r="OOV948" s="4" t="str">
        <f t="shared" ref="OOV948" si="4754">IF(OOQ948="Ionizador", "Segundos", "Ohms")</f>
        <v>Ohms</v>
      </c>
      <c r="OOW948" s="6">
        <v>148000000</v>
      </c>
      <c r="OOX948" s="6" t="str">
        <f t="shared" ref="OOX948" si="4755">OOV948</f>
        <v>Ohms</v>
      </c>
      <c r="OOY948" s="2" t="str">
        <f t="shared" ref="OOY948" si="4756">IF(OOQ948="Ionizador", "Plato de carga", IF(OOQ948="Cautín", "PTG", "RTG"))</f>
        <v>RTG</v>
      </c>
      <c r="OOZ948" s="7">
        <v>45992</v>
      </c>
      <c r="OPA948" s="7">
        <f t="shared" ref="OPA948" si="4757">IF(OPB948="Trimestral", OOZ948+90, IF(OPB948="Semestral", OOZ948+180, OOZ948+365))</f>
        <v>46172</v>
      </c>
      <c r="OPB948" s="7" t="str">
        <f t="shared" ref="OPB948" si="4758">IF(OOQ948="Ionizador", "Trimestral", IF(OOQ948="Rack", "Semestral", IF(OOQ948="Mesa", "Semestral", IF(OOQ948="Tapete", "Semestral", IF(OOQ948="Cautín", "Semestral", IF(OOQ948="Silla", "Semestral", "Anual"))))))</f>
        <v>Semestral</v>
      </c>
      <c r="OPC948" s="2" t="str">
        <f t="shared" ref="OPC948" ca="1" si="4759">IF(OPA948&lt;TODAY(),"VENCIDO",IF(OPA948=TODAY(),"VENCE HOY",IF(OPA948&gt;TODAY(),"VIGENTE")))</f>
        <v>VIGENTE</v>
      </c>
      <c r="OPD948" s="6" t="s">
        <v>25</v>
      </c>
      <c r="OPE948" s="23" t="s">
        <v>138</v>
      </c>
      <c r="OPF948" s="2" t="s">
        <v>433</v>
      </c>
      <c r="OPG948" s="3" t="s">
        <v>22</v>
      </c>
      <c r="OPH948" s="3" t="s">
        <v>23</v>
      </c>
      <c r="OPI948" s="2" t="s">
        <v>24</v>
      </c>
      <c r="OPJ948" s="4">
        <v>0</v>
      </c>
      <c r="OPK948" s="8">
        <f t="shared" ref="OPK948" si="4760">IF(OPG948="Ionizador", 10, IF(OPG948="Mesa", 1000000000, IF(OPG948="Rack", 1000000000, IF(OPG948="Piso", 1000000000, IF(OPG948="Tapete", 1000000000, IF(OPG948="Carrito", 1000000000, IF(OPG948="Cautín", 10, 1)))))))</f>
        <v>1000000000</v>
      </c>
      <c r="OPL948" s="4" t="str">
        <f t="shared" ref="OPL948" si="4761">IF(OPG948="Ionizador", "Segundos", "Ohms")</f>
        <v>Ohms</v>
      </c>
      <c r="OPM948" s="6">
        <v>148000000</v>
      </c>
      <c r="OPN948" s="6" t="str">
        <f t="shared" ref="OPN948" si="4762">OPL948</f>
        <v>Ohms</v>
      </c>
      <c r="OPO948" s="2" t="str">
        <f t="shared" ref="OPO948" si="4763">IF(OPG948="Ionizador", "Plato de carga", IF(OPG948="Cautín", "PTG", "RTG"))</f>
        <v>RTG</v>
      </c>
      <c r="OPP948" s="7">
        <v>45992</v>
      </c>
      <c r="OPQ948" s="7">
        <f t="shared" ref="OPQ948" si="4764">IF(OPR948="Trimestral", OPP948+90, IF(OPR948="Semestral", OPP948+180, OPP948+365))</f>
        <v>46172</v>
      </c>
      <c r="OPR948" s="7" t="str">
        <f t="shared" ref="OPR948" si="4765">IF(OPG948="Ionizador", "Trimestral", IF(OPG948="Rack", "Semestral", IF(OPG948="Mesa", "Semestral", IF(OPG948="Tapete", "Semestral", IF(OPG948="Cautín", "Semestral", IF(OPG948="Silla", "Semestral", "Anual"))))))</f>
        <v>Semestral</v>
      </c>
      <c r="OPS948" s="2" t="str">
        <f t="shared" ref="OPS948" ca="1" si="4766">IF(OPQ948&lt;TODAY(),"VENCIDO",IF(OPQ948=TODAY(),"VENCE HOY",IF(OPQ948&gt;TODAY(),"VIGENTE")))</f>
        <v>VIGENTE</v>
      </c>
      <c r="OPT948" s="6" t="s">
        <v>25</v>
      </c>
      <c r="OPU948" s="23" t="s">
        <v>138</v>
      </c>
      <c r="OPV948" s="2" t="s">
        <v>433</v>
      </c>
      <c r="OPW948" s="3" t="s">
        <v>22</v>
      </c>
      <c r="OPX948" s="3" t="s">
        <v>23</v>
      </c>
      <c r="OPY948" s="2" t="s">
        <v>24</v>
      </c>
      <c r="OPZ948" s="4">
        <v>0</v>
      </c>
      <c r="OQA948" s="8">
        <f t="shared" ref="OQA948" si="4767">IF(OPW948="Ionizador", 10, IF(OPW948="Mesa", 1000000000, IF(OPW948="Rack", 1000000000, IF(OPW948="Piso", 1000000000, IF(OPW948="Tapete", 1000000000, IF(OPW948="Carrito", 1000000000, IF(OPW948="Cautín", 10, 1)))))))</f>
        <v>1000000000</v>
      </c>
      <c r="OQB948" s="4" t="str">
        <f t="shared" ref="OQB948" si="4768">IF(OPW948="Ionizador", "Segundos", "Ohms")</f>
        <v>Ohms</v>
      </c>
      <c r="OQC948" s="6">
        <v>148000000</v>
      </c>
      <c r="OQD948" s="6" t="str">
        <f t="shared" ref="OQD948" si="4769">OQB948</f>
        <v>Ohms</v>
      </c>
      <c r="OQE948" s="2" t="str">
        <f t="shared" ref="OQE948" si="4770">IF(OPW948="Ionizador", "Plato de carga", IF(OPW948="Cautín", "PTG", "RTG"))</f>
        <v>RTG</v>
      </c>
      <c r="OQF948" s="7">
        <v>45992</v>
      </c>
      <c r="OQG948" s="7">
        <f t="shared" ref="OQG948" si="4771">IF(OQH948="Trimestral", OQF948+90, IF(OQH948="Semestral", OQF948+180, OQF948+365))</f>
        <v>46172</v>
      </c>
      <c r="OQH948" s="7" t="str">
        <f t="shared" ref="OQH948" si="4772">IF(OPW948="Ionizador", "Trimestral", IF(OPW948="Rack", "Semestral", IF(OPW948="Mesa", "Semestral", IF(OPW948="Tapete", "Semestral", IF(OPW948="Cautín", "Semestral", IF(OPW948="Silla", "Semestral", "Anual"))))))</f>
        <v>Semestral</v>
      </c>
      <c r="OQI948" s="2" t="str">
        <f t="shared" ref="OQI948" ca="1" si="4773">IF(OQG948&lt;TODAY(),"VENCIDO",IF(OQG948=TODAY(),"VENCE HOY",IF(OQG948&gt;TODAY(),"VIGENTE")))</f>
        <v>VIGENTE</v>
      </c>
      <c r="OQJ948" s="6" t="s">
        <v>25</v>
      </c>
      <c r="OQK948" s="23" t="s">
        <v>138</v>
      </c>
      <c r="OQL948" s="2" t="s">
        <v>433</v>
      </c>
      <c r="OQM948" s="3" t="s">
        <v>22</v>
      </c>
      <c r="OQN948" s="3" t="s">
        <v>23</v>
      </c>
      <c r="OQO948" s="2" t="s">
        <v>24</v>
      </c>
      <c r="OQP948" s="4">
        <v>0</v>
      </c>
      <c r="OQQ948" s="8">
        <f t="shared" ref="OQQ948" si="4774">IF(OQM948="Ionizador", 10, IF(OQM948="Mesa", 1000000000, IF(OQM948="Rack", 1000000000, IF(OQM948="Piso", 1000000000, IF(OQM948="Tapete", 1000000000, IF(OQM948="Carrito", 1000000000, IF(OQM948="Cautín", 10, 1)))))))</f>
        <v>1000000000</v>
      </c>
      <c r="OQR948" s="4" t="str">
        <f t="shared" ref="OQR948" si="4775">IF(OQM948="Ionizador", "Segundos", "Ohms")</f>
        <v>Ohms</v>
      </c>
      <c r="OQS948" s="6">
        <v>148000000</v>
      </c>
      <c r="OQT948" s="6" t="str">
        <f t="shared" ref="OQT948" si="4776">OQR948</f>
        <v>Ohms</v>
      </c>
      <c r="OQU948" s="2" t="str">
        <f t="shared" ref="OQU948" si="4777">IF(OQM948="Ionizador", "Plato de carga", IF(OQM948="Cautín", "PTG", "RTG"))</f>
        <v>RTG</v>
      </c>
      <c r="OQV948" s="7">
        <v>45992</v>
      </c>
      <c r="OQW948" s="7">
        <f t="shared" ref="OQW948" si="4778">IF(OQX948="Trimestral", OQV948+90, IF(OQX948="Semestral", OQV948+180, OQV948+365))</f>
        <v>46172</v>
      </c>
      <c r="OQX948" s="7" t="str">
        <f t="shared" ref="OQX948" si="4779">IF(OQM948="Ionizador", "Trimestral", IF(OQM948="Rack", "Semestral", IF(OQM948="Mesa", "Semestral", IF(OQM948="Tapete", "Semestral", IF(OQM948="Cautín", "Semestral", IF(OQM948="Silla", "Semestral", "Anual"))))))</f>
        <v>Semestral</v>
      </c>
      <c r="OQY948" s="2" t="str">
        <f t="shared" ref="OQY948" ca="1" si="4780">IF(OQW948&lt;TODAY(),"VENCIDO",IF(OQW948=TODAY(),"VENCE HOY",IF(OQW948&gt;TODAY(),"VIGENTE")))</f>
        <v>VIGENTE</v>
      </c>
      <c r="OQZ948" s="6" t="s">
        <v>25</v>
      </c>
      <c r="ORA948" s="23" t="s">
        <v>138</v>
      </c>
      <c r="ORB948" s="2" t="s">
        <v>433</v>
      </c>
      <c r="ORC948" s="3" t="s">
        <v>22</v>
      </c>
      <c r="ORD948" s="3" t="s">
        <v>23</v>
      </c>
      <c r="ORE948" s="2" t="s">
        <v>24</v>
      </c>
      <c r="ORF948" s="4">
        <v>0</v>
      </c>
      <c r="ORG948" s="8">
        <f t="shared" ref="ORG948" si="4781">IF(ORC948="Ionizador", 10, IF(ORC948="Mesa", 1000000000, IF(ORC948="Rack", 1000000000, IF(ORC948="Piso", 1000000000, IF(ORC948="Tapete", 1000000000, IF(ORC948="Carrito", 1000000000, IF(ORC948="Cautín", 10, 1)))))))</f>
        <v>1000000000</v>
      </c>
      <c r="ORH948" s="4" t="str">
        <f t="shared" ref="ORH948" si="4782">IF(ORC948="Ionizador", "Segundos", "Ohms")</f>
        <v>Ohms</v>
      </c>
      <c r="ORI948" s="6">
        <v>148000000</v>
      </c>
      <c r="ORJ948" s="6" t="str">
        <f t="shared" ref="ORJ948" si="4783">ORH948</f>
        <v>Ohms</v>
      </c>
      <c r="ORK948" s="2" t="str">
        <f t="shared" ref="ORK948" si="4784">IF(ORC948="Ionizador", "Plato de carga", IF(ORC948="Cautín", "PTG", "RTG"))</f>
        <v>RTG</v>
      </c>
      <c r="ORL948" s="7">
        <v>45992</v>
      </c>
      <c r="ORM948" s="7">
        <f t="shared" ref="ORM948" si="4785">IF(ORN948="Trimestral", ORL948+90, IF(ORN948="Semestral", ORL948+180, ORL948+365))</f>
        <v>46172</v>
      </c>
      <c r="ORN948" s="7" t="str">
        <f t="shared" ref="ORN948" si="4786">IF(ORC948="Ionizador", "Trimestral", IF(ORC948="Rack", "Semestral", IF(ORC948="Mesa", "Semestral", IF(ORC948="Tapete", "Semestral", IF(ORC948="Cautín", "Semestral", IF(ORC948="Silla", "Semestral", "Anual"))))))</f>
        <v>Semestral</v>
      </c>
      <c r="ORO948" s="2" t="str">
        <f t="shared" ref="ORO948" ca="1" si="4787">IF(ORM948&lt;TODAY(),"VENCIDO",IF(ORM948=TODAY(),"VENCE HOY",IF(ORM948&gt;TODAY(),"VIGENTE")))</f>
        <v>VIGENTE</v>
      </c>
      <c r="ORP948" s="6" t="s">
        <v>25</v>
      </c>
      <c r="ORQ948" s="23" t="s">
        <v>138</v>
      </c>
      <c r="ORR948" s="2" t="s">
        <v>433</v>
      </c>
      <c r="ORS948" s="3" t="s">
        <v>22</v>
      </c>
      <c r="ORT948" s="3" t="s">
        <v>23</v>
      </c>
      <c r="ORU948" s="2" t="s">
        <v>24</v>
      </c>
      <c r="ORV948" s="4">
        <v>0</v>
      </c>
      <c r="ORW948" s="8">
        <f t="shared" ref="ORW948" si="4788">IF(ORS948="Ionizador", 10, IF(ORS948="Mesa", 1000000000, IF(ORS948="Rack", 1000000000, IF(ORS948="Piso", 1000000000, IF(ORS948="Tapete", 1000000000, IF(ORS948="Carrito", 1000000000, IF(ORS948="Cautín", 10, 1)))))))</f>
        <v>1000000000</v>
      </c>
      <c r="ORX948" s="4" t="str">
        <f t="shared" ref="ORX948" si="4789">IF(ORS948="Ionizador", "Segundos", "Ohms")</f>
        <v>Ohms</v>
      </c>
      <c r="ORY948" s="6">
        <v>148000000</v>
      </c>
      <c r="ORZ948" s="6" t="str">
        <f t="shared" ref="ORZ948" si="4790">ORX948</f>
        <v>Ohms</v>
      </c>
      <c r="OSA948" s="2" t="str">
        <f t="shared" ref="OSA948" si="4791">IF(ORS948="Ionizador", "Plato de carga", IF(ORS948="Cautín", "PTG", "RTG"))</f>
        <v>RTG</v>
      </c>
      <c r="OSB948" s="7">
        <v>45992</v>
      </c>
      <c r="OSC948" s="7">
        <f t="shared" ref="OSC948" si="4792">IF(OSD948="Trimestral", OSB948+90, IF(OSD948="Semestral", OSB948+180, OSB948+365))</f>
        <v>46172</v>
      </c>
      <c r="OSD948" s="7" t="str">
        <f t="shared" ref="OSD948" si="4793">IF(ORS948="Ionizador", "Trimestral", IF(ORS948="Rack", "Semestral", IF(ORS948="Mesa", "Semestral", IF(ORS948="Tapete", "Semestral", IF(ORS948="Cautín", "Semestral", IF(ORS948="Silla", "Semestral", "Anual"))))))</f>
        <v>Semestral</v>
      </c>
      <c r="OSE948" s="2" t="str">
        <f t="shared" ref="OSE948" ca="1" si="4794">IF(OSC948&lt;TODAY(),"VENCIDO",IF(OSC948=TODAY(),"VENCE HOY",IF(OSC948&gt;TODAY(),"VIGENTE")))</f>
        <v>VIGENTE</v>
      </c>
      <c r="OSF948" s="6" t="s">
        <v>25</v>
      </c>
      <c r="OSG948" s="23" t="s">
        <v>138</v>
      </c>
      <c r="OSH948" s="2" t="s">
        <v>433</v>
      </c>
      <c r="OSI948" s="3" t="s">
        <v>22</v>
      </c>
      <c r="OSJ948" s="3" t="s">
        <v>23</v>
      </c>
      <c r="OSK948" s="2" t="s">
        <v>24</v>
      </c>
      <c r="OSL948" s="4">
        <v>0</v>
      </c>
      <c r="OSM948" s="8">
        <f t="shared" ref="OSM948" si="4795">IF(OSI948="Ionizador", 10, IF(OSI948="Mesa", 1000000000, IF(OSI948="Rack", 1000000000, IF(OSI948="Piso", 1000000000, IF(OSI948="Tapete", 1000000000, IF(OSI948="Carrito", 1000000000, IF(OSI948="Cautín", 10, 1)))))))</f>
        <v>1000000000</v>
      </c>
      <c r="OSN948" s="4" t="str">
        <f t="shared" ref="OSN948" si="4796">IF(OSI948="Ionizador", "Segundos", "Ohms")</f>
        <v>Ohms</v>
      </c>
      <c r="OSO948" s="6">
        <v>148000000</v>
      </c>
      <c r="OSP948" s="6" t="str">
        <f t="shared" ref="OSP948" si="4797">OSN948</f>
        <v>Ohms</v>
      </c>
      <c r="OSQ948" s="2" t="str">
        <f t="shared" ref="OSQ948" si="4798">IF(OSI948="Ionizador", "Plato de carga", IF(OSI948="Cautín", "PTG", "RTG"))</f>
        <v>RTG</v>
      </c>
      <c r="OSR948" s="7">
        <v>45992</v>
      </c>
      <c r="OSS948" s="7">
        <f t="shared" ref="OSS948" si="4799">IF(OST948="Trimestral", OSR948+90, IF(OST948="Semestral", OSR948+180, OSR948+365))</f>
        <v>46172</v>
      </c>
      <c r="OST948" s="7" t="str">
        <f t="shared" ref="OST948" si="4800">IF(OSI948="Ionizador", "Trimestral", IF(OSI948="Rack", "Semestral", IF(OSI948="Mesa", "Semestral", IF(OSI948="Tapete", "Semestral", IF(OSI948="Cautín", "Semestral", IF(OSI948="Silla", "Semestral", "Anual"))))))</f>
        <v>Semestral</v>
      </c>
      <c r="OSU948" s="2" t="str">
        <f t="shared" ref="OSU948" ca="1" si="4801">IF(OSS948&lt;TODAY(),"VENCIDO",IF(OSS948=TODAY(),"VENCE HOY",IF(OSS948&gt;TODAY(),"VIGENTE")))</f>
        <v>VIGENTE</v>
      </c>
      <c r="OSV948" s="6" t="s">
        <v>25</v>
      </c>
      <c r="OSW948" s="23" t="s">
        <v>138</v>
      </c>
      <c r="OSX948" s="2" t="s">
        <v>433</v>
      </c>
      <c r="OSY948" s="3" t="s">
        <v>22</v>
      </c>
      <c r="OSZ948" s="3" t="s">
        <v>23</v>
      </c>
      <c r="OTA948" s="2" t="s">
        <v>24</v>
      </c>
      <c r="OTB948" s="4">
        <v>0</v>
      </c>
      <c r="OTC948" s="8">
        <f t="shared" ref="OTC948" si="4802">IF(OSY948="Ionizador", 10, IF(OSY948="Mesa", 1000000000, IF(OSY948="Rack", 1000000000, IF(OSY948="Piso", 1000000000, IF(OSY948="Tapete", 1000000000, IF(OSY948="Carrito", 1000000000, IF(OSY948="Cautín", 10, 1)))))))</f>
        <v>1000000000</v>
      </c>
      <c r="OTD948" s="4" t="str">
        <f t="shared" ref="OTD948" si="4803">IF(OSY948="Ionizador", "Segundos", "Ohms")</f>
        <v>Ohms</v>
      </c>
      <c r="OTE948" s="6">
        <v>148000000</v>
      </c>
      <c r="OTF948" s="6" t="str">
        <f t="shared" ref="OTF948" si="4804">OTD948</f>
        <v>Ohms</v>
      </c>
      <c r="OTG948" s="2" t="str">
        <f t="shared" ref="OTG948" si="4805">IF(OSY948="Ionizador", "Plato de carga", IF(OSY948="Cautín", "PTG", "RTG"))</f>
        <v>RTG</v>
      </c>
      <c r="OTH948" s="7">
        <v>45992</v>
      </c>
      <c r="OTI948" s="7">
        <f t="shared" ref="OTI948" si="4806">IF(OTJ948="Trimestral", OTH948+90, IF(OTJ948="Semestral", OTH948+180, OTH948+365))</f>
        <v>46172</v>
      </c>
      <c r="OTJ948" s="7" t="str">
        <f t="shared" ref="OTJ948" si="4807">IF(OSY948="Ionizador", "Trimestral", IF(OSY948="Rack", "Semestral", IF(OSY948="Mesa", "Semestral", IF(OSY948="Tapete", "Semestral", IF(OSY948="Cautín", "Semestral", IF(OSY948="Silla", "Semestral", "Anual"))))))</f>
        <v>Semestral</v>
      </c>
      <c r="OTK948" s="2" t="str">
        <f t="shared" ref="OTK948" ca="1" si="4808">IF(OTI948&lt;TODAY(),"VENCIDO",IF(OTI948=TODAY(),"VENCE HOY",IF(OTI948&gt;TODAY(),"VIGENTE")))</f>
        <v>VIGENTE</v>
      </c>
      <c r="OTL948" s="6" t="s">
        <v>25</v>
      </c>
      <c r="OTM948" s="23" t="s">
        <v>138</v>
      </c>
      <c r="OTN948" s="2" t="s">
        <v>433</v>
      </c>
      <c r="OTO948" s="3" t="s">
        <v>22</v>
      </c>
      <c r="OTP948" s="3" t="s">
        <v>23</v>
      </c>
      <c r="OTQ948" s="2" t="s">
        <v>24</v>
      </c>
      <c r="OTR948" s="4">
        <v>0</v>
      </c>
      <c r="OTS948" s="8">
        <f t="shared" ref="OTS948" si="4809">IF(OTO948="Ionizador", 10, IF(OTO948="Mesa", 1000000000, IF(OTO948="Rack", 1000000000, IF(OTO948="Piso", 1000000000, IF(OTO948="Tapete", 1000000000, IF(OTO948="Carrito", 1000000000, IF(OTO948="Cautín", 10, 1)))))))</f>
        <v>1000000000</v>
      </c>
      <c r="OTT948" s="4" t="str">
        <f t="shared" ref="OTT948" si="4810">IF(OTO948="Ionizador", "Segundos", "Ohms")</f>
        <v>Ohms</v>
      </c>
      <c r="OTU948" s="6">
        <v>148000000</v>
      </c>
      <c r="OTV948" s="6" t="str">
        <f t="shared" ref="OTV948" si="4811">OTT948</f>
        <v>Ohms</v>
      </c>
      <c r="OTW948" s="2" t="str">
        <f t="shared" ref="OTW948" si="4812">IF(OTO948="Ionizador", "Plato de carga", IF(OTO948="Cautín", "PTG", "RTG"))</f>
        <v>RTG</v>
      </c>
      <c r="OTX948" s="7">
        <v>45992</v>
      </c>
      <c r="OTY948" s="7">
        <f t="shared" ref="OTY948" si="4813">IF(OTZ948="Trimestral", OTX948+90, IF(OTZ948="Semestral", OTX948+180, OTX948+365))</f>
        <v>46172</v>
      </c>
      <c r="OTZ948" s="7" t="str">
        <f t="shared" ref="OTZ948" si="4814">IF(OTO948="Ionizador", "Trimestral", IF(OTO948="Rack", "Semestral", IF(OTO948="Mesa", "Semestral", IF(OTO948="Tapete", "Semestral", IF(OTO948="Cautín", "Semestral", IF(OTO948="Silla", "Semestral", "Anual"))))))</f>
        <v>Semestral</v>
      </c>
      <c r="OUA948" s="2" t="str">
        <f t="shared" ref="OUA948" ca="1" si="4815">IF(OTY948&lt;TODAY(),"VENCIDO",IF(OTY948=TODAY(),"VENCE HOY",IF(OTY948&gt;TODAY(),"VIGENTE")))</f>
        <v>VIGENTE</v>
      </c>
      <c r="OUB948" s="6" t="s">
        <v>25</v>
      </c>
      <c r="OUC948" s="23" t="s">
        <v>138</v>
      </c>
      <c r="OUD948" s="2" t="s">
        <v>433</v>
      </c>
      <c r="OUE948" s="3" t="s">
        <v>22</v>
      </c>
      <c r="OUF948" s="3" t="s">
        <v>23</v>
      </c>
      <c r="OUG948" s="2" t="s">
        <v>24</v>
      </c>
      <c r="OUH948" s="4">
        <v>0</v>
      </c>
      <c r="OUI948" s="8">
        <f t="shared" ref="OUI948" si="4816">IF(OUE948="Ionizador", 10, IF(OUE948="Mesa", 1000000000, IF(OUE948="Rack", 1000000000, IF(OUE948="Piso", 1000000000, IF(OUE948="Tapete", 1000000000, IF(OUE948="Carrito", 1000000000, IF(OUE948="Cautín", 10, 1)))))))</f>
        <v>1000000000</v>
      </c>
      <c r="OUJ948" s="4" t="str">
        <f t="shared" ref="OUJ948" si="4817">IF(OUE948="Ionizador", "Segundos", "Ohms")</f>
        <v>Ohms</v>
      </c>
      <c r="OUK948" s="6">
        <v>148000000</v>
      </c>
      <c r="OUL948" s="6" t="str">
        <f t="shared" ref="OUL948" si="4818">OUJ948</f>
        <v>Ohms</v>
      </c>
      <c r="OUM948" s="2" t="str">
        <f t="shared" ref="OUM948" si="4819">IF(OUE948="Ionizador", "Plato de carga", IF(OUE948="Cautín", "PTG", "RTG"))</f>
        <v>RTG</v>
      </c>
      <c r="OUN948" s="7">
        <v>45992</v>
      </c>
      <c r="OUO948" s="7">
        <f t="shared" ref="OUO948" si="4820">IF(OUP948="Trimestral", OUN948+90, IF(OUP948="Semestral", OUN948+180, OUN948+365))</f>
        <v>46172</v>
      </c>
      <c r="OUP948" s="7" t="str">
        <f t="shared" ref="OUP948" si="4821">IF(OUE948="Ionizador", "Trimestral", IF(OUE948="Rack", "Semestral", IF(OUE948="Mesa", "Semestral", IF(OUE948="Tapete", "Semestral", IF(OUE948="Cautín", "Semestral", IF(OUE948="Silla", "Semestral", "Anual"))))))</f>
        <v>Semestral</v>
      </c>
      <c r="OUQ948" s="2" t="str">
        <f t="shared" ref="OUQ948" ca="1" si="4822">IF(OUO948&lt;TODAY(),"VENCIDO",IF(OUO948=TODAY(),"VENCE HOY",IF(OUO948&gt;TODAY(),"VIGENTE")))</f>
        <v>VIGENTE</v>
      </c>
      <c r="OUR948" s="6" t="s">
        <v>25</v>
      </c>
      <c r="OUS948" s="23" t="s">
        <v>138</v>
      </c>
      <c r="OUT948" s="2" t="s">
        <v>433</v>
      </c>
      <c r="OUU948" s="3" t="s">
        <v>22</v>
      </c>
      <c r="OUV948" s="3" t="s">
        <v>23</v>
      </c>
      <c r="OUW948" s="2" t="s">
        <v>24</v>
      </c>
      <c r="OUX948" s="4">
        <v>0</v>
      </c>
      <c r="OUY948" s="8">
        <f t="shared" ref="OUY948" si="4823">IF(OUU948="Ionizador", 10, IF(OUU948="Mesa", 1000000000, IF(OUU948="Rack", 1000000000, IF(OUU948="Piso", 1000000000, IF(OUU948="Tapete", 1000000000, IF(OUU948="Carrito", 1000000000, IF(OUU948="Cautín", 10, 1)))))))</f>
        <v>1000000000</v>
      </c>
      <c r="OUZ948" s="4" t="str">
        <f t="shared" ref="OUZ948" si="4824">IF(OUU948="Ionizador", "Segundos", "Ohms")</f>
        <v>Ohms</v>
      </c>
      <c r="OVA948" s="6">
        <v>148000000</v>
      </c>
      <c r="OVB948" s="6" t="str">
        <f t="shared" ref="OVB948" si="4825">OUZ948</f>
        <v>Ohms</v>
      </c>
      <c r="OVC948" s="2" t="str">
        <f t="shared" ref="OVC948" si="4826">IF(OUU948="Ionizador", "Plato de carga", IF(OUU948="Cautín", "PTG", "RTG"))</f>
        <v>RTG</v>
      </c>
      <c r="OVD948" s="7">
        <v>45992</v>
      </c>
      <c r="OVE948" s="7">
        <f t="shared" ref="OVE948" si="4827">IF(OVF948="Trimestral", OVD948+90, IF(OVF948="Semestral", OVD948+180, OVD948+365))</f>
        <v>46172</v>
      </c>
      <c r="OVF948" s="7" t="str">
        <f t="shared" ref="OVF948" si="4828">IF(OUU948="Ionizador", "Trimestral", IF(OUU948="Rack", "Semestral", IF(OUU948="Mesa", "Semestral", IF(OUU948="Tapete", "Semestral", IF(OUU948="Cautín", "Semestral", IF(OUU948="Silla", "Semestral", "Anual"))))))</f>
        <v>Semestral</v>
      </c>
      <c r="OVG948" s="2" t="str">
        <f t="shared" ref="OVG948" ca="1" si="4829">IF(OVE948&lt;TODAY(),"VENCIDO",IF(OVE948=TODAY(),"VENCE HOY",IF(OVE948&gt;TODAY(),"VIGENTE")))</f>
        <v>VIGENTE</v>
      </c>
      <c r="OVH948" s="6" t="s">
        <v>25</v>
      </c>
      <c r="OVI948" s="23" t="s">
        <v>138</v>
      </c>
      <c r="OVJ948" s="2" t="s">
        <v>433</v>
      </c>
      <c r="OVK948" s="3" t="s">
        <v>22</v>
      </c>
      <c r="OVL948" s="3" t="s">
        <v>23</v>
      </c>
      <c r="OVM948" s="2" t="s">
        <v>24</v>
      </c>
      <c r="OVN948" s="4">
        <v>0</v>
      </c>
      <c r="OVO948" s="8">
        <f t="shared" ref="OVO948" si="4830">IF(OVK948="Ionizador", 10, IF(OVK948="Mesa", 1000000000, IF(OVK948="Rack", 1000000000, IF(OVK948="Piso", 1000000000, IF(OVK948="Tapete", 1000000000, IF(OVK948="Carrito", 1000000000, IF(OVK948="Cautín", 10, 1)))))))</f>
        <v>1000000000</v>
      </c>
      <c r="OVP948" s="4" t="str">
        <f t="shared" ref="OVP948" si="4831">IF(OVK948="Ionizador", "Segundos", "Ohms")</f>
        <v>Ohms</v>
      </c>
      <c r="OVQ948" s="6">
        <v>148000000</v>
      </c>
      <c r="OVR948" s="6" t="str">
        <f t="shared" ref="OVR948" si="4832">OVP948</f>
        <v>Ohms</v>
      </c>
      <c r="OVS948" s="2" t="str">
        <f t="shared" ref="OVS948" si="4833">IF(OVK948="Ionizador", "Plato de carga", IF(OVK948="Cautín", "PTG", "RTG"))</f>
        <v>RTG</v>
      </c>
      <c r="OVT948" s="7">
        <v>45992</v>
      </c>
      <c r="OVU948" s="7">
        <f t="shared" ref="OVU948" si="4834">IF(OVV948="Trimestral", OVT948+90, IF(OVV948="Semestral", OVT948+180, OVT948+365))</f>
        <v>46172</v>
      </c>
      <c r="OVV948" s="7" t="str">
        <f t="shared" ref="OVV948" si="4835">IF(OVK948="Ionizador", "Trimestral", IF(OVK948="Rack", "Semestral", IF(OVK948="Mesa", "Semestral", IF(OVK948="Tapete", "Semestral", IF(OVK948="Cautín", "Semestral", IF(OVK948="Silla", "Semestral", "Anual"))))))</f>
        <v>Semestral</v>
      </c>
      <c r="OVW948" s="2" t="str">
        <f t="shared" ref="OVW948" ca="1" si="4836">IF(OVU948&lt;TODAY(),"VENCIDO",IF(OVU948=TODAY(),"VENCE HOY",IF(OVU948&gt;TODAY(),"VIGENTE")))</f>
        <v>VIGENTE</v>
      </c>
      <c r="OVX948" s="6" t="s">
        <v>25</v>
      </c>
      <c r="OVY948" s="23" t="s">
        <v>138</v>
      </c>
      <c r="OVZ948" s="2" t="s">
        <v>433</v>
      </c>
      <c r="OWA948" s="3" t="s">
        <v>22</v>
      </c>
      <c r="OWB948" s="3" t="s">
        <v>23</v>
      </c>
      <c r="OWC948" s="2" t="s">
        <v>24</v>
      </c>
      <c r="OWD948" s="4">
        <v>0</v>
      </c>
      <c r="OWE948" s="8">
        <f t="shared" ref="OWE948" si="4837">IF(OWA948="Ionizador", 10, IF(OWA948="Mesa", 1000000000, IF(OWA948="Rack", 1000000000, IF(OWA948="Piso", 1000000000, IF(OWA948="Tapete", 1000000000, IF(OWA948="Carrito", 1000000000, IF(OWA948="Cautín", 10, 1)))))))</f>
        <v>1000000000</v>
      </c>
      <c r="OWF948" s="4" t="str">
        <f t="shared" ref="OWF948" si="4838">IF(OWA948="Ionizador", "Segundos", "Ohms")</f>
        <v>Ohms</v>
      </c>
      <c r="OWG948" s="6">
        <v>148000000</v>
      </c>
      <c r="OWH948" s="6" t="str">
        <f t="shared" ref="OWH948" si="4839">OWF948</f>
        <v>Ohms</v>
      </c>
      <c r="OWI948" s="2" t="str">
        <f t="shared" ref="OWI948" si="4840">IF(OWA948="Ionizador", "Plato de carga", IF(OWA948="Cautín", "PTG", "RTG"))</f>
        <v>RTG</v>
      </c>
      <c r="OWJ948" s="7">
        <v>45992</v>
      </c>
      <c r="OWK948" s="7">
        <f t="shared" ref="OWK948" si="4841">IF(OWL948="Trimestral", OWJ948+90, IF(OWL948="Semestral", OWJ948+180, OWJ948+365))</f>
        <v>46172</v>
      </c>
      <c r="OWL948" s="7" t="str">
        <f t="shared" ref="OWL948" si="4842">IF(OWA948="Ionizador", "Trimestral", IF(OWA948="Rack", "Semestral", IF(OWA948="Mesa", "Semestral", IF(OWA948="Tapete", "Semestral", IF(OWA948="Cautín", "Semestral", IF(OWA948="Silla", "Semestral", "Anual"))))))</f>
        <v>Semestral</v>
      </c>
      <c r="OWM948" s="2" t="str">
        <f t="shared" ref="OWM948" ca="1" si="4843">IF(OWK948&lt;TODAY(),"VENCIDO",IF(OWK948=TODAY(),"VENCE HOY",IF(OWK948&gt;TODAY(),"VIGENTE")))</f>
        <v>VIGENTE</v>
      </c>
      <c r="OWN948" s="6" t="s">
        <v>25</v>
      </c>
      <c r="OWO948" s="23" t="s">
        <v>138</v>
      </c>
      <c r="OWP948" s="2" t="s">
        <v>433</v>
      </c>
      <c r="OWQ948" s="3" t="s">
        <v>22</v>
      </c>
      <c r="OWR948" s="3" t="s">
        <v>23</v>
      </c>
      <c r="OWS948" s="2" t="s">
        <v>24</v>
      </c>
      <c r="OWT948" s="4">
        <v>0</v>
      </c>
      <c r="OWU948" s="8">
        <f t="shared" ref="OWU948" si="4844">IF(OWQ948="Ionizador", 10, IF(OWQ948="Mesa", 1000000000, IF(OWQ948="Rack", 1000000000, IF(OWQ948="Piso", 1000000000, IF(OWQ948="Tapete", 1000000000, IF(OWQ948="Carrito", 1000000000, IF(OWQ948="Cautín", 10, 1)))))))</f>
        <v>1000000000</v>
      </c>
      <c r="OWV948" s="4" t="str">
        <f t="shared" ref="OWV948" si="4845">IF(OWQ948="Ionizador", "Segundos", "Ohms")</f>
        <v>Ohms</v>
      </c>
      <c r="OWW948" s="6">
        <v>148000000</v>
      </c>
      <c r="OWX948" s="6" t="str">
        <f t="shared" ref="OWX948" si="4846">OWV948</f>
        <v>Ohms</v>
      </c>
      <c r="OWY948" s="2" t="str">
        <f t="shared" ref="OWY948" si="4847">IF(OWQ948="Ionizador", "Plato de carga", IF(OWQ948="Cautín", "PTG", "RTG"))</f>
        <v>RTG</v>
      </c>
      <c r="OWZ948" s="7">
        <v>45992</v>
      </c>
      <c r="OXA948" s="7">
        <f t="shared" ref="OXA948" si="4848">IF(OXB948="Trimestral", OWZ948+90, IF(OXB948="Semestral", OWZ948+180, OWZ948+365))</f>
        <v>46172</v>
      </c>
      <c r="OXB948" s="7" t="str">
        <f t="shared" ref="OXB948" si="4849">IF(OWQ948="Ionizador", "Trimestral", IF(OWQ948="Rack", "Semestral", IF(OWQ948="Mesa", "Semestral", IF(OWQ948="Tapete", "Semestral", IF(OWQ948="Cautín", "Semestral", IF(OWQ948="Silla", "Semestral", "Anual"))))))</f>
        <v>Semestral</v>
      </c>
      <c r="OXC948" s="2" t="str">
        <f t="shared" ref="OXC948" ca="1" si="4850">IF(OXA948&lt;TODAY(),"VENCIDO",IF(OXA948=TODAY(),"VENCE HOY",IF(OXA948&gt;TODAY(),"VIGENTE")))</f>
        <v>VIGENTE</v>
      </c>
      <c r="OXD948" s="6" t="s">
        <v>25</v>
      </c>
      <c r="OXE948" s="23" t="s">
        <v>138</v>
      </c>
      <c r="OXF948" s="2" t="s">
        <v>433</v>
      </c>
      <c r="OXG948" s="3" t="s">
        <v>22</v>
      </c>
      <c r="OXH948" s="3" t="s">
        <v>23</v>
      </c>
      <c r="OXI948" s="2" t="s">
        <v>24</v>
      </c>
      <c r="OXJ948" s="4">
        <v>0</v>
      </c>
      <c r="OXK948" s="8">
        <f t="shared" ref="OXK948" si="4851">IF(OXG948="Ionizador", 10, IF(OXG948="Mesa", 1000000000, IF(OXG948="Rack", 1000000000, IF(OXG948="Piso", 1000000000, IF(OXG948="Tapete", 1000000000, IF(OXG948="Carrito", 1000000000, IF(OXG948="Cautín", 10, 1)))))))</f>
        <v>1000000000</v>
      </c>
      <c r="OXL948" s="4" t="str">
        <f t="shared" ref="OXL948" si="4852">IF(OXG948="Ionizador", "Segundos", "Ohms")</f>
        <v>Ohms</v>
      </c>
      <c r="OXM948" s="6">
        <v>148000000</v>
      </c>
      <c r="OXN948" s="6" t="str">
        <f t="shared" ref="OXN948" si="4853">OXL948</f>
        <v>Ohms</v>
      </c>
      <c r="OXO948" s="2" t="str">
        <f t="shared" ref="OXO948" si="4854">IF(OXG948="Ionizador", "Plato de carga", IF(OXG948="Cautín", "PTG", "RTG"))</f>
        <v>RTG</v>
      </c>
      <c r="OXP948" s="7">
        <v>45992</v>
      </c>
      <c r="OXQ948" s="7">
        <f t="shared" ref="OXQ948" si="4855">IF(OXR948="Trimestral", OXP948+90, IF(OXR948="Semestral", OXP948+180, OXP948+365))</f>
        <v>46172</v>
      </c>
      <c r="OXR948" s="7" t="str">
        <f t="shared" ref="OXR948" si="4856">IF(OXG948="Ionizador", "Trimestral", IF(OXG948="Rack", "Semestral", IF(OXG948="Mesa", "Semestral", IF(OXG948="Tapete", "Semestral", IF(OXG948="Cautín", "Semestral", IF(OXG948="Silla", "Semestral", "Anual"))))))</f>
        <v>Semestral</v>
      </c>
      <c r="OXS948" s="2" t="str">
        <f t="shared" ref="OXS948" ca="1" si="4857">IF(OXQ948&lt;TODAY(),"VENCIDO",IF(OXQ948=TODAY(),"VENCE HOY",IF(OXQ948&gt;TODAY(),"VIGENTE")))</f>
        <v>VIGENTE</v>
      </c>
      <c r="OXT948" s="6" t="s">
        <v>25</v>
      </c>
      <c r="OXU948" s="23" t="s">
        <v>138</v>
      </c>
      <c r="OXV948" s="2" t="s">
        <v>433</v>
      </c>
      <c r="OXW948" s="3" t="s">
        <v>22</v>
      </c>
      <c r="OXX948" s="3" t="s">
        <v>23</v>
      </c>
      <c r="OXY948" s="2" t="s">
        <v>24</v>
      </c>
      <c r="OXZ948" s="4">
        <v>0</v>
      </c>
      <c r="OYA948" s="8">
        <f t="shared" ref="OYA948" si="4858">IF(OXW948="Ionizador", 10, IF(OXW948="Mesa", 1000000000, IF(OXW948="Rack", 1000000000, IF(OXW948="Piso", 1000000000, IF(OXW948="Tapete", 1000000000, IF(OXW948="Carrito", 1000000000, IF(OXW948="Cautín", 10, 1)))))))</f>
        <v>1000000000</v>
      </c>
      <c r="OYB948" s="4" t="str">
        <f t="shared" ref="OYB948" si="4859">IF(OXW948="Ionizador", "Segundos", "Ohms")</f>
        <v>Ohms</v>
      </c>
      <c r="OYC948" s="6">
        <v>148000000</v>
      </c>
      <c r="OYD948" s="6" t="str">
        <f t="shared" ref="OYD948" si="4860">OYB948</f>
        <v>Ohms</v>
      </c>
      <c r="OYE948" s="2" t="str">
        <f t="shared" ref="OYE948" si="4861">IF(OXW948="Ionizador", "Plato de carga", IF(OXW948="Cautín", "PTG", "RTG"))</f>
        <v>RTG</v>
      </c>
      <c r="OYF948" s="7">
        <v>45992</v>
      </c>
      <c r="OYG948" s="7">
        <f t="shared" ref="OYG948" si="4862">IF(OYH948="Trimestral", OYF948+90, IF(OYH948="Semestral", OYF948+180, OYF948+365))</f>
        <v>46172</v>
      </c>
      <c r="OYH948" s="7" t="str">
        <f t="shared" ref="OYH948" si="4863">IF(OXW948="Ionizador", "Trimestral", IF(OXW948="Rack", "Semestral", IF(OXW948="Mesa", "Semestral", IF(OXW948="Tapete", "Semestral", IF(OXW948="Cautín", "Semestral", IF(OXW948="Silla", "Semestral", "Anual"))))))</f>
        <v>Semestral</v>
      </c>
      <c r="OYI948" s="2" t="str">
        <f t="shared" ref="OYI948" ca="1" si="4864">IF(OYG948&lt;TODAY(),"VENCIDO",IF(OYG948=TODAY(),"VENCE HOY",IF(OYG948&gt;TODAY(),"VIGENTE")))</f>
        <v>VIGENTE</v>
      </c>
      <c r="OYJ948" s="6" t="s">
        <v>25</v>
      </c>
      <c r="OYK948" s="23" t="s">
        <v>138</v>
      </c>
      <c r="OYL948" s="2" t="s">
        <v>433</v>
      </c>
      <c r="OYM948" s="3" t="s">
        <v>22</v>
      </c>
      <c r="OYN948" s="3" t="s">
        <v>23</v>
      </c>
      <c r="OYO948" s="2" t="s">
        <v>24</v>
      </c>
      <c r="OYP948" s="4">
        <v>0</v>
      </c>
      <c r="OYQ948" s="8">
        <f t="shared" ref="OYQ948" si="4865">IF(OYM948="Ionizador", 10, IF(OYM948="Mesa", 1000000000, IF(OYM948="Rack", 1000000000, IF(OYM948="Piso", 1000000000, IF(OYM948="Tapete", 1000000000, IF(OYM948="Carrito", 1000000000, IF(OYM948="Cautín", 10, 1)))))))</f>
        <v>1000000000</v>
      </c>
      <c r="OYR948" s="4" t="str">
        <f t="shared" ref="OYR948" si="4866">IF(OYM948="Ionizador", "Segundos", "Ohms")</f>
        <v>Ohms</v>
      </c>
      <c r="OYS948" s="6">
        <v>148000000</v>
      </c>
      <c r="OYT948" s="6" t="str">
        <f t="shared" ref="OYT948" si="4867">OYR948</f>
        <v>Ohms</v>
      </c>
      <c r="OYU948" s="2" t="str">
        <f t="shared" ref="OYU948" si="4868">IF(OYM948="Ionizador", "Plato de carga", IF(OYM948="Cautín", "PTG", "RTG"))</f>
        <v>RTG</v>
      </c>
      <c r="OYV948" s="7">
        <v>45992</v>
      </c>
      <c r="OYW948" s="7">
        <f t="shared" ref="OYW948" si="4869">IF(OYX948="Trimestral", OYV948+90, IF(OYX948="Semestral", OYV948+180, OYV948+365))</f>
        <v>46172</v>
      </c>
      <c r="OYX948" s="7" t="str">
        <f t="shared" ref="OYX948" si="4870">IF(OYM948="Ionizador", "Trimestral", IF(OYM948="Rack", "Semestral", IF(OYM948="Mesa", "Semestral", IF(OYM948="Tapete", "Semestral", IF(OYM948="Cautín", "Semestral", IF(OYM948="Silla", "Semestral", "Anual"))))))</f>
        <v>Semestral</v>
      </c>
      <c r="OYY948" s="2" t="str">
        <f t="shared" ref="OYY948" ca="1" si="4871">IF(OYW948&lt;TODAY(),"VENCIDO",IF(OYW948=TODAY(),"VENCE HOY",IF(OYW948&gt;TODAY(),"VIGENTE")))</f>
        <v>VIGENTE</v>
      </c>
      <c r="OYZ948" s="6" t="s">
        <v>25</v>
      </c>
      <c r="OZA948" s="23" t="s">
        <v>138</v>
      </c>
      <c r="OZB948" s="2" t="s">
        <v>433</v>
      </c>
      <c r="OZC948" s="3" t="s">
        <v>22</v>
      </c>
      <c r="OZD948" s="3" t="s">
        <v>23</v>
      </c>
      <c r="OZE948" s="2" t="s">
        <v>24</v>
      </c>
      <c r="OZF948" s="4">
        <v>0</v>
      </c>
      <c r="OZG948" s="8">
        <f t="shared" ref="OZG948" si="4872">IF(OZC948="Ionizador", 10, IF(OZC948="Mesa", 1000000000, IF(OZC948="Rack", 1000000000, IF(OZC948="Piso", 1000000000, IF(OZC948="Tapete", 1000000000, IF(OZC948="Carrito", 1000000000, IF(OZC948="Cautín", 10, 1)))))))</f>
        <v>1000000000</v>
      </c>
      <c r="OZH948" s="4" t="str">
        <f t="shared" ref="OZH948" si="4873">IF(OZC948="Ionizador", "Segundos", "Ohms")</f>
        <v>Ohms</v>
      </c>
      <c r="OZI948" s="6">
        <v>148000000</v>
      </c>
      <c r="OZJ948" s="6" t="str">
        <f t="shared" ref="OZJ948" si="4874">OZH948</f>
        <v>Ohms</v>
      </c>
      <c r="OZK948" s="2" t="str">
        <f t="shared" ref="OZK948" si="4875">IF(OZC948="Ionizador", "Plato de carga", IF(OZC948="Cautín", "PTG", "RTG"))</f>
        <v>RTG</v>
      </c>
      <c r="OZL948" s="7">
        <v>45992</v>
      </c>
      <c r="OZM948" s="7">
        <f t="shared" ref="OZM948" si="4876">IF(OZN948="Trimestral", OZL948+90, IF(OZN948="Semestral", OZL948+180, OZL948+365))</f>
        <v>46172</v>
      </c>
      <c r="OZN948" s="7" t="str">
        <f t="shared" ref="OZN948" si="4877">IF(OZC948="Ionizador", "Trimestral", IF(OZC948="Rack", "Semestral", IF(OZC948="Mesa", "Semestral", IF(OZC948="Tapete", "Semestral", IF(OZC948="Cautín", "Semestral", IF(OZC948="Silla", "Semestral", "Anual"))))))</f>
        <v>Semestral</v>
      </c>
      <c r="OZO948" s="2" t="str">
        <f t="shared" ref="OZO948" ca="1" si="4878">IF(OZM948&lt;TODAY(),"VENCIDO",IF(OZM948=TODAY(),"VENCE HOY",IF(OZM948&gt;TODAY(),"VIGENTE")))</f>
        <v>VIGENTE</v>
      </c>
      <c r="OZP948" s="6" t="s">
        <v>25</v>
      </c>
      <c r="OZQ948" s="23" t="s">
        <v>138</v>
      </c>
      <c r="OZR948" s="2" t="s">
        <v>433</v>
      </c>
      <c r="OZS948" s="3" t="s">
        <v>22</v>
      </c>
      <c r="OZT948" s="3" t="s">
        <v>23</v>
      </c>
      <c r="OZU948" s="2" t="s">
        <v>24</v>
      </c>
      <c r="OZV948" s="4">
        <v>0</v>
      </c>
      <c r="OZW948" s="8">
        <f t="shared" ref="OZW948" si="4879">IF(OZS948="Ionizador", 10, IF(OZS948="Mesa", 1000000000, IF(OZS948="Rack", 1000000000, IF(OZS948="Piso", 1000000000, IF(OZS948="Tapete", 1000000000, IF(OZS948="Carrito", 1000000000, IF(OZS948="Cautín", 10, 1)))))))</f>
        <v>1000000000</v>
      </c>
      <c r="OZX948" s="4" t="str">
        <f t="shared" ref="OZX948" si="4880">IF(OZS948="Ionizador", "Segundos", "Ohms")</f>
        <v>Ohms</v>
      </c>
      <c r="OZY948" s="6">
        <v>148000000</v>
      </c>
      <c r="OZZ948" s="6" t="str">
        <f t="shared" ref="OZZ948" si="4881">OZX948</f>
        <v>Ohms</v>
      </c>
      <c r="PAA948" s="2" t="str">
        <f t="shared" ref="PAA948" si="4882">IF(OZS948="Ionizador", "Plato de carga", IF(OZS948="Cautín", "PTG", "RTG"))</f>
        <v>RTG</v>
      </c>
      <c r="PAB948" s="7">
        <v>45992</v>
      </c>
      <c r="PAC948" s="7">
        <f t="shared" ref="PAC948" si="4883">IF(PAD948="Trimestral", PAB948+90, IF(PAD948="Semestral", PAB948+180, PAB948+365))</f>
        <v>46172</v>
      </c>
      <c r="PAD948" s="7" t="str">
        <f t="shared" ref="PAD948" si="4884">IF(OZS948="Ionizador", "Trimestral", IF(OZS948="Rack", "Semestral", IF(OZS948="Mesa", "Semestral", IF(OZS948="Tapete", "Semestral", IF(OZS948="Cautín", "Semestral", IF(OZS948="Silla", "Semestral", "Anual"))))))</f>
        <v>Semestral</v>
      </c>
      <c r="PAE948" s="2" t="str">
        <f t="shared" ref="PAE948" ca="1" si="4885">IF(PAC948&lt;TODAY(),"VENCIDO",IF(PAC948=TODAY(),"VENCE HOY",IF(PAC948&gt;TODAY(),"VIGENTE")))</f>
        <v>VIGENTE</v>
      </c>
      <c r="PAF948" s="6" t="s">
        <v>25</v>
      </c>
      <c r="PAG948" s="23" t="s">
        <v>138</v>
      </c>
      <c r="PAH948" s="2" t="s">
        <v>433</v>
      </c>
      <c r="PAI948" s="3" t="s">
        <v>22</v>
      </c>
      <c r="PAJ948" s="3" t="s">
        <v>23</v>
      </c>
      <c r="PAK948" s="2" t="s">
        <v>24</v>
      </c>
      <c r="PAL948" s="4">
        <v>0</v>
      </c>
      <c r="PAM948" s="8">
        <f t="shared" ref="PAM948" si="4886">IF(PAI948="Ionizador", 10, IF(PAI948="Mesa", 1000000000, IF(PAI948="Rack", 1000000000, IF(PAI948="Piso", 1000000000, IF(PAI948="Tapete", 1000000000, IF(PAI948="Carrito", 1000000000, IF(PAI948="Cautín", 10, 1)))))))</f>
        <v>1000000000</v>
      </c>
      <c r="PAN948" s="4" t="str">
        <f t="shared" ref="PAN948" si="4887">IF(PAI948="Ionizador", "Segundos", "Ohms")</f>
        <v>Ohms</v>
      </c>
      <c r="PAO948" s="6">
        <v>148000000</v>
      </c>
      <c r="PAP948" s="6" t="str">
        <f t="shared" ref="PAP948" si="4888">PAN948</f>
        <v>Ohms</v>
      </c>
      <c r="PAQ948" s="2" t="str">
        <f t="shared" ref="PAQ948" si="4889">IF(PAI948="Ionizador", "Plato de carga", IF(PAI948="Cautín", "PTG", "RTG"))</f>
        <v>RTG</v>
      </c>
      <c r="PAR948" s="7">
        <v>45992</v>
      </c>
      <c r="PAS948" s="7">
        <f t="shared" ref="PAS948" si="4890">IF(PAT948="Trimestral", PAR948+90, IF(PAT948="Semestral", PAR948+180, PAR948+365))</f>
        <v>46172</v>
      </c>
      <c r="PAT948" s="7" t="str">
        <f t="shared" ref="PAT948" si="4891">IF(PAI948="Ionizador", "Trimestral", IF(PAI948="Rack", "Semestral", IF(PAI948="Mesa", "Semestral", IF(PAI948="Tapete", "Semestral", IF(PAI948="Cautín", "Semestral", IF(PAI948="Silla", "Semestral", "Anual"))))))</f>
        <v>Semestral</v>
      </c>
      <c r="PAU948" s="2" t="str">
        <f t="shared" ref="PAU948" ca="1" si="4892">IF(PAS948&lt;TODAY(),"VENCIDO",IF(PAS948=TODAY(),"VENCE HOY",IF(PAS948&gt;TODAY(),"VIGENTE")))</f>
        <v>VIGENTE</v>
      </c>
      <c r="PAV948" s="6" t="s">
        <v>25</v>
      </c>
      <c r="PAW948" s="23" t="s">
        <v>138</v>
      </c>
      <c r="PAX948" s="2" t="s">
        <v>433</v>
      </c>
      <c r="PAY948" s="3" t="s">
        <v>22</v>
      </c>
      <c r="PAZ948" s="3" t="s">
        <v>23</v>
      </c>
      <c r="PBA948" s="2" t="s">
        <v>24</v>
      </c>
      <c r="PBB948" s="4">
        <v>0</v>
      </c>
      <c r="PBC948" s="8">
        <f t="shared" ref="PBC948" si="4893">IF(PAY948="Ionizador", 10, IF(PAY948="Mesa", 1000000000, IF(PAY948="Rack", 1000000000, IF(PAY948="Piso", 1000000000, IF(PAY948="Tapete", 1000000000, IF(PAY948="Carrito", 1000000000, IF(PAY948="Cautín", 10, 1)))))))</f>
        <v>1000000000</v>
      </c>
      <c r="PBD948" s="4" t="str">
        <f t="shared" ref="PBD948" si="4894">IF(PAY948="Ionizador", "Segundos", "Ohms")</f>
        <v>Ohms</v>
      </c>
      <c r="PBE948" s="6">
        <v>148000000</v>
      </c>
      <c r="PBF948" s="6" t="str">
        <f t="shared" ref="PBF948" si="4895">PBD948</f>
        <v>Ohms</v>
      </c>
      <c r="PBG948" s="2" t="str">
        <f t="shared" ref="PBG948" si="4896">IF(PAY948="Ionizador", "Plato de carga", IF(PAY948="Cautín", "PTG", "RTG"))</f>
        <v>RTG</v>
      </c>
      <c r="PBH948" s="7">
        <v>45992</v>
      </c>
      <c r="PBI948" s="7">
        <f t="shared" ref="PBI948" si="4897">IF(PBJ948="Trimestral", PBH948+90, IF(PBJ948="Semestral", PBH948+180, PBH948+365))</f>
        <v>46172</v>
      </c>
      <c r="PBJ948" s="7" t="str">
        <f t="shared" ref="PBJ948" si="4898">IF(PAY948="Ionizador", "Trimestral", IF(PAY948="Rack", "Semestral", IF(PAY948="Mesa", "Semestral", IF(PAY948="Tapete", "Semestral", IF(PAY948="Cautín", "Semestral", IF(PAY948="Silla", "Semestral", "Anual"))))))</f>
        <v>Semestral</v>
      </c>
      <c r="PBK948" s="2" t="str">
        <f t="shared" ref="PBK948" ca="1" si="4899">IF(PBI948&lt;TODAY(),"VENCIDO",IF(PBI948=TODAY(),"VENCE HOY",IF(PBI948&gt;TODAY(),"VIGENTE")))</f>
        <v>VIGENTE</v>
      </c>
      <c r="PBL948" s="6" t="s">
        <v>25</v>
      </c>
      <c r="PBM948" s="23" t="s">
        <v>138</v>
      </c>
      <c r="PBN948" s="2" t="s">
        <v>433</v>
      </c>
      <c r="PBO948" s="3" t="s">
        <v>22</v>
      </c>
      <c r="PBP948" s="3" t="s">
        <v>23</v>
      </c>
      <c r="PBQ948" s="2" t="s">
        <v>24</v>
      </c>
      <c r="PBR948" s="4">
        <v>0</v>
      </c>
      <c r="PBS948" s="8">
        <f t="shared" ref="PBS948" si="4900">IF(PBO948="Ionizador", 10, IF(PBO948="Mesa", 1000000000, IF(PBO948="Rack", 1000000000, IF(PBO948="Piso", 1000000000, IF(PBO948="Tapete", 1000000000, IF(PBO948="Carrito", 1000000000, IF(PBO948="Cautín", 10, 1)))))))</f>
        <v>1000000000</v>
      </c>
      <c r="PBT948" s="4" t="str">
        <f t="shared" ref="PBT948" si="4901">IF(PBO948="Ionizador", "Segundos", "Ohms")</f>
        <v>Ohms</v>
      </c>
      <c r="PBU948" s="6">
        <v>148000000</v>
      </c>
      <c r="PBV948" s="6" t="str">
        <f t="shared" ref="PBV948" si="4902">PBT948</f>
        <v>Ohms</v>
      </c>
      <c r="PBW948" s="2" t="str">
        <f t="shared" ref="PBW948" si="4903">IF(PBO948="Ionizador", "Plato de carga", IF(PBO948="Cautín", "PTG", "RTG"))</f>
        <v>RTG</v>
      </c>
      <c r="PBX948" s="7">
        <v>45992</v>
      </c>
      <c r="PBY948" s="7">
        <f t="shared" ref="PBY948" si="4904">IF(PBZ948="Trimestral", PBX948+90, IF(PBZ948="Semestral", PBX948+180, PBX948+365))</f>
        <v>46172</v>
      </c>
      <c r="PBZ948" s="7" t="str">
        <f t="shared" ref="PBZ948" si="4905">IF(PBO948="Ionizador", "Trimestral", IF(PBO948="Rack", "Semestral", IF(PBO948="Mesa", "Semestral", IF(PBO948="Tapete", "Semestral", IF(PBO948="Cautín", "Semestral", IF(PBO948="Silla", "Semestral", "Anual"))))))</f>
        <v>Semestral</v>
      </c>
      <c r="PCA948" s="2" t="str">
        <f t="shared" ref="PCA948" ca="1" si="4906">IF(PBY948&lt;TODAY(),"VENCIDO",IF(PBY948=TODAY(),"VENCE HOY",IF(PBY948&gt;TODAY(),"VIGENTE")))</f>
        <v>VIGENTE</v>
      </c>
      <c r="PCB948" s="6" t="s">
        <v>25</v>
      </c>
      <c r="PCC948" s="23" t="s">
        <v>138</v>
      </c>
      <c r="PCD948" s="2" t="s">
        <v>433</v>
      </c>
      <c r="PCE948" s="3" t="s">
        <v>22</v>
      </c>
      <c r="PCF948" s="3" t="s">
        <v>23</v>
      </c>
      <c r="PCG948" s="2" t="s">
        <v>24</v>
      </c>
      <c r="PCH948" s="4">
        <v>0</v>
      </c>
      <c r="PCI948" s="8">
        <f t="shared" ref="PCI948" si="4907">IF(PCE948="Ionizador", 10, IF(PCE948="Mesa", 1000000000, IF(PCE948="Rack", 1000000000, IF(PCE948="Piso", 1000000000, IF(PCE948="Tapete", 1000000000, IF(PCE948="Carrito", 1000000000, IF(PCE948="Cautín", 10, 1)))))))</f>
        <v>1000000000</v>
      </c>
      <c r="PCJ948" s="4" t="str">
        <f t="shared" ref="PCJ948" si="4908">IF(PCE948="Ionizador", "Segundos", "Ohms")</f>
        <v>Ohms</v>
      </c>
      <c r="PCK948" s="6">
        <v>148000000</v>
      </c>
      <c r="PCL948" s="6" t="str">
        <f t="shared" ref="PCL948" si="4909">PCJ948</f>
        <v>Ohms</v>
      </c>
      <c r="PCM948" s="2" t="str">
        <f t="shared" ref="PCM948" si="4910">IF(PCE948="Ionizador", "Plato de carga", IF(PCE948="Cautín", "PTG", "RTG"))</f>
        <v>RTG</v>
      </c>
      <c r="PCN948" s="7">
        <v>45992</v>
      </c>
      <c r="PCO948" s="7">
        <f t="shared" ref="PCO948" si="4911">IF(PCP948="Trimestral", PCN948+90, IF(PCP948="Semestral", PCN948+180, PCN948+365))</f>
        <v>46172</v>
      </c>
      <c r="PCP948" s="7" t="str">
        <f t="shared" ref="PCP948" si="4912">IF(PCE948="Ionizador", "Trimestral", IF(PCE948="Rack", "Semestral", IF(PCE948="Mesa", "Semestral", IF(PCE948="Tapete", "Semestral", IF(PCE948="Cautín", "Semestral", IF(PCE948="Silla", "Semestral", "Anual"))))))</f>
        <v>Semestral</v>
      </c>
      <c r="PCQ948" s="2" t="str">
        <f t="shared" ref="PCQ948" ca="1" si="4913">IF(PCO948&lt;TODAY(),"VENCIDO",IF(PCO948=TODAY(),"VENCE HOY",IF(PCO948&gt;TODAY(),"VIGENTE")))</f>
        <v>VIGENTE</v>
      </c>
      <c r="PCR948" s="6" t="s">
        <v>25</v>
      </c>
      <c r="PCS948" s="23" t="s">
        <v>138</v>
      </c>
      <c r="PCT948" s="2" t="s">
        <v>433</v>
      </c>
      <c r="PCU948" s="3" t="s">
        <v>22</v>
      </c>
      <c r="PCV948" s="3" t="s">
        <v>23</v>
      </c>
      <c r="PCW948" s="2" t="s">
        <v>24</v>
      </c>
      <c r="PCX948" s="4">
        <v>0</v>
      </c>
      <c r="PCY948" s="8">
        <f t="shared" ref="PCY948" si="4914">IF(PCU948="Ionizador", 10, IF(PCU948="Mesa", 1000000000, IF(PCU948="Rack", 1000000000, IF(PCU948="Piso", 1000000000, IF(PCU948="Tapete", 1000000000, IF(PCU948="Carrito", 1000000000, IF(PCU948="Cautín", 10, 1)))))))</f>
        <v>1000000000</v>
      </c>
      <c r="PCZ948" s="4" t="str">
        <f t="shared" ref="PCZ948" si="4915">IF(PCU948="Ionizador", "Segundos", "Ohms")</f>
        <v>Ohms</v>
      </c>
      <c r="PDA948" s="6">
        <v>148000000</v>
      </c>
      <c r="PDB948" s="6" t="str">
        <f t="shared" ref="PDB948" si="4916">PCZ948</f>
        <v>Ohms</v>
      </c>
      <c r="PDC948" s="2" t="str">
        <f t="shared" ref="PDC948" si="4917">IF(PCU948="Ionizador", "Plato de carga", IF(PCU948="Cautín", "PTG", "RTG"))</f>
        <v>RTG</v>
      </c>
      <c r="PDD948" s="7">
        <v>45992</v>
      </c>
      <c r="PDE948" s="7">
        <f t="shared" ref="PDE948" si="4918">IF(PDF948="Trimestral", PDD948+90, IF(PDF948="Semestral", PDD948+180, PDD948+365))</f>
        <v>46172</v>
      </c>
      <c r="PDF948" s="7" t="str">
        <f t="shared" ref="PDF948" si="4919">IF(PCU948="Ionizador", "Trimestral", IF(PCU948="Rack", "Semestral", IF(PCU948="Mesa", "Semestral", IF(PCU948="Tapete", "Semestral", IF(PCU948="Cautín", "Semestral", IF(PCU948="Silla", "Semestral", "Anual"))))))</f>
        <v>Semestral</v>
      </c>
      <c r="PDG948" s="2" t="str">
        <f t="shared" ref="PDG948" ca="1" si="4920">IF(PDE948&lt;TODAY(),"VENCIDO",IF(PDE948=TODAY(),"VENCE HOY",IF(PDE948&gt;TODAY(),"VIGENTE")))</f>
        <v>VIGENTE</v>
      </c>
      <c r="PDH948" s="6" t="s">
        <v>25</v>
      </c>
      <c r="PDI948" s="23" t="s">
        <v>138</v>
      </c>
      <c r="PDJ948" s="2" t="s">
        <v>433</v>
      </c>
      <c r="PDK948" s="3" t="s">
        <v>22</v>
      </c>
      <c r="PDL948" s="3" t="s">
        <v>23</v>
      </c>
      <c r="PDM948" s="2" t="s">
        <v>24</v>
      </c>
      <c r="PDN948" s="4">
        <v>0</v>
      </c>
      <c r="PDO948" s="8">
        <f t="shared" ref="PDO948" si="4921">IF(PDK948="Ionizador", 10, IF(PDK948="Mesa", 1000000000, IF(PDK948="Rack", 1000000000, IF(PDK948="Piso", 1000000000, IF(PDK948="Tapete", 1000000000, IF(PDK948="Carrito", 1000000000, IF(PDK948="Cautín", 10, 1)))))))</f>
        <v>1000000000</v>
      </c>
      <c r="PDP948" s="4" t="str">
        <f t="shared" ref="PDP948" si="4922">IF(PDK948="Ionizador", "Segundos", "Ohms")</f>
        <v>Ohms</v>
      </c>
      <c r="PDQ948" s="6">
        <v>148000000</v>
      </c>
      <c r="PDR948" s="6" t="str">
        <f t="shared" ref="PDR948" si="4923">PDP948</f>
        <v>Ohms</v>
      </c>
      <c r="PDS948" s="2" t="str">
        <f t="shared" ref="PDS948" si="4924">IF(PDK948="Ionizador", "Plato de carga", IF(PDK948="Cautín", "PTG", "RTG"))</f>
        <v>RTG</v>
      </c>
      <c r="PDT948" s="7">
        <v>45992</v>
      </c>
      <c r="PDU948" s="7">
        <f t="shared" ref="PDU948" si="4925">IF(PDV948="Trimestral", PDT948+90, IF(PDV948="Semestral", PDT948+180, PDT948+365))</f>
        <v>46172</v>
      </c>
      <c r="PDV948" s="7" t="str">
        <f t="shared" ref="PDV948" si="4926">IF(PDK948="Ionizador", "Trimestral", IF(PDK948="Rack", "Semestral", IF(PDK948="Mesa", "Semestral", IF(PDK948="Tapete", "Semestral", IF(PDK948="Cautín", "Semestral", IF(PDK948="Silla", "Semestral", "Anual"))))))</f>
        <v>Semestral</v>
      </c>
      <c r="PDW948" s="2" t="str">
        <f t="shared" ref="PDW948" ca="1" si="4927">IF(PDU948&lt;TODAY(),"VENCIDO",IF(PDU948=TODAY(),"VENCE HOY",IF(PDU948&gt;TODAY(),"VIGENTE")))</f>
        <v>VIGENTE</v>
      </c>
      <c r="PDX948" s="6" t="s">
        <v>25</v>
      </c>
      <c r="PDY948" s="23" t="s">
        <v>138</v>
      </c>
      <c r="PDZ948" s="2" t="s">
        <v>433</v>
      </c>
      <c r="PEA948" s="3" t="s">
        <v>22</v>
      </c>
      <c r="PEB948" s="3" t="s">
        <v>23</v>
      </c>
      <c r="PEC948" s="2" t="s">
        <v>24</v>
      </c>
      <c r="PED948" s="4">
        <v>0</v>
      </c>
      <c r="PEE948" s="8">
        <f t="shared" ref="PEE948" si="4928">IF(PEA948="Ionizador", 10, IF(PEA948="Mesa", 1000000000, IF(PEA948="Rack", 1000000000, IF(PEA948="Piso", 1000000000, IF(PEA948="Tapete", 1000000000, IF(PEA948="Carrito", 1000000000, IF(PEA948="Cautín", 10, 1)))))))</f>
        <v>1000000000</v>
      </c>
      <c r="PEF948" s="4" t="str">
        <f t="shared" ref="PEF948" si="4929">IF(PEA948="Ionizador", "Segundos", "Ohms")</f>
        <v>Ohms</v>
      </c>
      <c r="PEG948" s="6">
        <v>148000000</v>
      </c>
      <c r="PEH948" s="6" t="str">
        <f t="shared" ref="PEH948" si="4930">PEF948</f>
        <v>Ohms</v>
      </c>
      <c r="PEI948" s="2" t="str">
        <f t="shared" ref="PEI948" si="4931">IF(PEA948="Ionizador", "Plato de carga", IF(PEA948="Cautín", "PTG", "RTG"))</f>
        <v>RTG</v>
      </c>
      <c r="PEJ948" s="7">
        <v>45992</v>
      </c>
      <c r="PEK948" s="7">
        <f t="shared" ref="PEK948" si="4932">IF(PEL948="Trimestral", PEJ948+90, IF(PEL948="Semestral", PEJ948+180, PEJ948+365))</f>
        <v>46172</v>
      </c>
      <c r="PEL948" s="7" t="str">
        <f t="shared" ref="PEL948" si="4933">IF(PEA948="Ionizador", "Trimestral", IF(PEA948="Rack", "Semestral", IF(PEA948="Mesa", "Semestral", IF(PEA948="Tapete", "Semestral", IF(PEA948="Cautín", "Semestral", IF(PEA948="Silla", "Semestral", "Anual"))))))</f>
        <v>Semestral</v>
      </c>
      <c r="PEM948" s="2" t="str">
        <f t="shared" ref="PEM948" ca="1" si="4934">IF(PEK948&lt;TODAY(),"VENCIDO",IF(PEK948=TODAY(),"VENCE HOY",IF(PEK948&gt;TODAY(),"VIGENTE")))</f>
        <v>VIGENTE</v>
      </c>
      <c r="PEN948" s="6" t="s">
        <v>25</v>
      </c>
      <c r="PEO948" s="23" t="s">
        <v>138</v>
      </c>
      <c r="PEP948" s="2" t="s">
        <v>433</v>
      </c>
      <c r="PEQ948" s="3" t="s">
        <v>22</v>
      </c>
      <c r="PER948" s="3" t="s">
        <v>23</v>
      </c>
      <c r="PES948" s="2" t="s">
        <v>24</v>
      </c>
      <c r="PET948" s="4">
        <v>0</v>
      </c>
      <c r="PEU948" s="8">
        <f t="shared" ref="PEU948" si="4935">IF(PEQ948="Ionizador", 10, IF(PEQ948="Mesa", 1000000000, IF(PEQ948="Rack", 1000000000, IF(PEQ948="Piso", 1000000000, IF(PEQ948="Tapete", 1000000000, IF(PEQ948="Carrito", 1000000000, IF(PEQ948="Cautín", 10, 1)))))))</f>
        <v>1000000000</v>
      </c>
      <c r="PEV948" s="4" t="str">
        <f t="shared" ref="PEV948" si="4936">IF(PEQ948="Ionizador", "Segundos", "Ohms")</f>
        <v>Ohms</v>
      </c>
      <c r="PEW948" s="6">
        <v>148000000</v>
      </c>
      <c r="PEX948" s="6" t="str">
        <f t="shared" ref="PEX948" si="4937">PEV948</f>
        <v>Ohms</v>
      </c>
      <c r="PEY948" s="2" t="str">
        <f t="shared" ref="PEY948" si="4938">IF(PEQ948="Ionizador", "Plato de carga", IF(PEQ948="Cautín", "PTG", "RTG"))</f>
        <v>RTG</v>
      </c>
      <c r="PEZ948" s="7">
        <v>45992</v>
      </c>
      <c r="PFA948" s="7">
        <f t="shared" ref="PFA948" si="4939">IF(PFB948="Trimestral", PEZ948+90, IF(PFB948="Semestral", PEZ948+180, PEZ948+365))</f>
        <v>46172</v>
      </c>
      <c r="PFB948" s="7" t="str">
        <f t="shared" ref="PFB948" si="4940">IF(PEQ948="Ionizador", "Trimestral", IF(PEQ948="Rack", "Semestral", IF(PEQ948="Mesa", "Semestral", IF(PEQ948="Tapete", "Semestral", IF(PEQ948="Cautín", "Semestral", IF(PEQ948="Silla", "Semestral", "Anual"))))))</f>
        <v>Semestral</v>
      </c>
      <c r="PFC948" s="2" t="str">
        <f t="shared" ref="PFC948" ca="1" si="4941">IF(PFA948&lt;TODAY(),"VENCIDO",IF(PFA948=TODAY(),"VENCE HOY",IF(PFA948&gt;TODAY(),"VIGENTE")))</f>
        <v>VIGENTE</v>
      </c>
      <c r="PFD948" s="6" t="s">
        <v>25</v>
      </c>
      <c r="PFE948" s="23" t="s">
        <v>138</v>
      </c>
      <c r="PFF948" s="2" t="s">
        <v>433</v>
      </c>
      <c r="PFG948" s="3" t="s">
        <v>22</v>
      </c>
      <c r="PFH948" s="3" t="s">
        <v>23</v>
      </c>
      <c r="PFI948" s="2" t="s">
        <v>24</v>
      </c>
      <c r="PFJ948" s="4">
        <v>0</v>
      </c>
      <c r="PFK948" s="8">
        <f t="shared" ref="PFK948" si="4942">IF(PFG948="Ionizador", 10, IF(PFG948="Mesa", 1000000000, IF(PFG948="Rack", 1000000000, IF(PFG948="Piso", 1000000000, IF(PFG948="Tapete", 1000000000, IF(PFG948="Carrito", 1000000000, IF(PFG948="Cautín", 10, 1)))))))</f>
        <v>1000000000</v>
      </c>
      <c r="PFL948" s="4" t="str">
        <f t="shared" ref="PFL948" si="4943">IF(PFG948="Ionizador", "Segundos", "Ohms")</f>
        <v>Ohms</v>
      </c>
      <c r="PFM948" s="6">
        <v>148000000</v>
      </c>
      <c r="PFN948" s="6" t="str">
        <f t="shared" ref="PFN948" si="4944">PFL948</f>
        <v>Ohms</v>
      </c>
      <c r="PFO948" s="2" t="str">
        <f t="shared" ref="PFO948" si="4945">IF(PFG948="Ionizador", "Plato de carga", IF(PFG948="Cautín", "PTG", "RTG"))</f>
        <v>RTG</v>
      </c>
      <c r="PFP948" s="7">
        <v>45992</v>
      </c>
      <c r="PFQ948" s="7">
        <f t="shared" ref="PFQ948" si="4946">IF(PFR948="Trimestral", PFP948+90, IF(PFR948="Semestral", PFP948+180, PFP948+365))</f>
        <v>46172</v>
      </c>
      <c r="PFR948" s="7" t="str">
        <f t="shared" ref="PFR948" si="4947">IF(PFG948="Ionizador", "Trimestral", IF(PFG948="Rack", "Semestral", IF(PFG948="Mesa", "Semestral", IF(PFG948="Tapete", "Semestral", IF(PFG948="Cautín", "Semestral", IF(PFG948="Silla", "Semestral", "Anual"))))))</f>
        <v>Semestral</v>
      </c>
      <c r="PFS948" s="2" t="str">
        <f t="shared" ref="PFS948" ca="1" si="4948">IF(PFQ948&lt;TODAY(),"VENCIDO",IF(PFQ948=TODAY(),"VENCE HOY",IF(PFQ948&gt;TODAY(),"VIGENTE")))</f>
        <v>VIGENTE</v>
      </c>
      <c r="PFT948" s="6" t="s">
        <v>25</v>
      </c>
      <c r="PFU948" s="23" t="s">
        <v>138</v>
      </c>
      <c r="PFV948" s="2" t="s">
        <v>433</v>
      </c>
      <c r="PFW948" s="3" t="s">
        <v>22</v>
      </c>
      <c r="PFX948" s="3" t="s">
        <v>23</v>
      </c>
      <c r="PFY948" s="2" t="s">
        <v>24</v>
      </c>
      <c r="PFZ948" s="4">
        <v>0</v>
      </c>
      <c r="PGA948" s="8">
        <f t="shared" ref="PGA948" si="4949">IF(PFW948="Ionizador", 10, IF(PFW948="Mesa", 1000000000, IF(PFW948="Rack", 1000000000, IF(PFW948="Piso", 1000000000, IF(PFW948="Tapete", 1000000000, IF(PFW948="Carrito", 1000000000, IF(PFW948="Cautín", 10, 1)))))))</f>
        <v>1000000000</v>
      </c>
      <c r="PGB948" s="4" t="str">
        <f t="shared" ref="PGB948" si="4950">IF(PFW948="Ionizador", "Segundos", "Ohms")</f>
        <v>Ohms</v>
      </c>
      <c r="PGC948" s="6">
        <v>148000000</v>
      </c>
      <c r="PGD948" s="6" t="str">
        <f t="shared" ref="PGD948" si="4951">PGB948</f>
        <v>Ohms</v>
      </c>
      <c r="PGE948" s="2" t="str">
        <f t="shared" ref="PGE948" si="4952">IF(PFW948="Ionizador", "Plato de carga", IF(PFW948="Cautín", "PTG", "RTG"))</f>
        <v>RTG</v>
      </c>
      <c r="PGF948" s="7">
        <v>45992</v>
      </c>
      <c r="PGG948" s="7">
        <f t="shared" ref="PGG948" si="4953">IF(PGH948="Trimestral", PGF948+90, IF(PGH948="Semestral", PGF948+180, PGF948+365))</f>
        <v>46172</v>
      </c>
      <c r="PGH948" s="7" t="str">
        <f t="shared" ref="PGH948" si="4954">IF(PFW948="Ionizador", "Trimestral", IF(PFW948="Rack", "Semestral", IF(PFW948="Mesa", "Semestral", IF(PFW948="Tapete", "Semestral", IF(PFW948="Cautín", "Semestral", IF(PFW948="Silla", "Semestral", "Anual"))))))</f>
        <v>Semestral</v>
      </c>
      <c r="PGI948" s="2" t="str">
        <f t="shared" ref="PGI948" ca="1" si="4955">IF(PGG948&lt;TODAY(),"VENCIDO",IF(PGG948=TODAY(),"VENCE HOY",IF(PGG948&gt;TODAY(),"VIGENTE")))</f>
        <v>VIGENTE</v>
      </c>
      <c r="PGJ948" s="6" t="s">
        <v>25</v>
      </c>
      <c r="PGK948" s="23" t="s">
        <v>138</v>
      </c>
      <c r="PGL948" s="2" t="s">
        <v>433</v>
      </c>
      <c r="PGM948" s="3" t="s">
        <v>22</v>
      </c>
      <c r="PGN948" s="3" t="s">
        <v>23</v>
      </c>
      <c r="PGO948" s="2" t="s">
        <v>24</v>
      </c>
      <c r="PGP948" s="4">
        <v>0</v>
      </c>
      <c r="PGQ948" s="8">
        <f t="shared" ref="PGQ948" si="4956">IF(PGM948="Ionizador", 10, IF(PGM948="Mesa", 1000000000, IF(PGM948="Rack", 1000000000, IF(PGM948="Piso", 1000000000, IF(PGM948="Tapete", 1000000000, IF(PGM948="Carrito", 1000000000, IF(PGM948="Cautín", 10, 1)))))))</f>
        <v>1000000000</v>
      </c>
      <c r="PGR948" s="4" t="str">
        <f t="shared" ref="PGR948" si="4957">IF(PGM948="Ionizador", "Segundos", "Ohms")</f>
        <v>Ohms</v>
      </c>
      <c r="PGS948" s="6">
        <v>148000000</v>
      </c>
      <c r="PGT948" s="6" t="str">
        <f t="shared" ref="PGT948" si="4958">PGR948</f>
        <v>Ohms</v>
      </c>
      <c r="PGU948" s="2" t="str">
        <f t="shared" ref="PGU948" si="4959">IF(PGM948="Ionizador", "Plato de carga", IF(PGM948="Cautín", "PTG", "RTG"))</f>
        <v>RTG</v>
      </c>
      <c r="PGV948" s="7">
        <v>45992</v>
      </c>
      <c r="PGW948" s="7">
        <f t="shared" ref="PGW948" si="4960">IF(PGX948="Trimestral", PGV948+90, IF(PGX948="Semestral", PGV948+180, PGV948+365))</f>
        <v>46172</v>
      </c>
      <c r="PGX948" s="7" t="str">
        <f t="shared" ref="PGX948" si="4961">IF(PGM948="Ionizador", "Trimestral", IF(PGM948="Rack", "Semestral", IF(PGM948="Mesa", "Semestral", IF(PGM948="Tapete", "Semestral", IF(PGM948="Cautín", "Semestral", IF(PGM948="Silla", "Semestral", "Anual"))))))</f>
        <v>Semestral</v>
      </c>
      <c r="PGY948" s="2" t="str">
        <f t="shared" ref="PGY948" ca="1" si="4962">IF(PGW948&lt;TODAY(),"VENCIDO",IF(PGW948=TODAY(),"VENCE HOY",IF(PGW948&gt;TODAY(),"VIGENTE")))</f>
        <v>VIGENTE</v>
      </c>
      <c r="PGZ948" s="6" t="s">
        <v>25</v>
      </c>
      <c r="PHA948" s="23" t="s">
        <v>138</v>
      </c>
      <c r="PHB948" s="2" t="s">
        <v>433</v>
      </c>
      <c r="PHC948" s="3" t="s">
        <v>22</v>
      </c>
      <c r="PHD948" s="3" t="s">
        <v>23</v>
      </c>
      <c r="PHE948" s="2" t="s">
        <v>24</v>
      </c>
      <c r="PHF948" s="4">
        <v>0</v>
      </c>
      <c r="PHG948" s="8">
        <f t="shared" ref="PHG948" si="4963">IF(PHC948="Ionizador", 10, IF(PHC948="Mesa", 1000000000, IF(PHC948="Rack", 1000000000, IF(PHC948="Piso", 1000000000, IF(PHC948="Tapete", 1000000000, IF(PHC948="Carrito", 1000000000, IF(PHC948="Cautín", 10, 1)))))))</f>
        <v>1000000000</v>
      </c>
      <c r="PHH948" s="4" t="str">
        <f t="shared" ref="PHH948" si="4964">IF(PHC948="Ionizador", "Segundos", "Ohms")</f>
        <v>Ohms</v>
      </c>
      <c r="PHI948" s="6">
        <v>148000000</v>
      </c>
      <c r="PHJ948" s="6" t="str">
        <f t="shared" ref="PHJ948" si="4965">PHH948</f>
        <v>Ohms</v>
      </c>
      <c r="PHK948" s="2" t="str">
        <f t="shared" ref="PHK948" si="4966">IF(PHC948="Ionizador", "Plato de carga", IF(PHC948="Cautín", "PTG", "RTG"))</f>
        <v>RTG</v>
      </c>
      <c r="PHL948" s="7">
        <v>45992</v>
      </c>
      <c r="PHM948" s="7">
        <f t="shared" ref="PHM948" si="4967">IF(PHN948="Trimestral", PHL948+90, IF(PHN948="Semestral", PHL948+180, PHL948+365))</f>
        <v>46172</v>
      </c>
      <c r="PHN948" s="7" t="str">
        <f t="shared" ref="PHN948" si="4968">IF(PHC948="Ionizador", "Trimestral", IF(PHC948="Rack", "Semestral", IF(PHC948="Mesa", "Semestral", IF(PHC948="Tapete", "Semestral", IF(PHC948="Cautín", "Semestral", IF(PHC948="Silla", "Semestral", "Anual"))))))</f>
        <v>Semestral</v>
      </c>
      <c r="PHO948" s="2" t="str">
        <f t="shared" ref="PHO948" ca="1" si="4969">IF(PHM948&lt;TODAY(),"VENCIDO",IF(PHM948=TODAY(),"VENCE HOY",IF(PHM948&gt;TODAY(),"VIGENTE")))</f>
        <v>VIGENTE</v>
      </c>
      <c r="PHP948" s="6" t="s">
        <v>25</v>
      </c>
      <c r="PHQ948" s="23" t="s">
        <v>138</v>
      </c>
      <c r="PHR948" s="2" t="s">
        <v>433</v>
      </c>
      <c r="PHS948" s="3" t="s">
        <v>22</v>
      </c>
      <c r="PHT948" s="3" t="s">
        <v>23</v>
      </c>
      <c r="PHU948" s="2" t="s">
        <v>24</v>
      </c>
      <c r="PHV948" s="4">
        <v>0</v>
      </c>
      <c r="PHW948" s="8">
        <f t="shared" ref="PHW948" si="4970">IF(PHS948="Ionizador", 10, IF(PHS948="Mesa", 1000000000, IF(PHS948="Rack", 1000000000, IF(PHS948="Piso", 1000000000, IF(PHS948="Tapete", 1000000000, IF(PHS948="Carrito", 1000000000, IF(PHS948="Cautín", 10, 1)))))))</f>
        <v>1000000000</v>
      </c>
      <c r="PHX948" s="4" t="str">
        <f t="shared" ref="PHX948" si="4971">IF(PHS948="Ionizador", "Segundos", "Ohms")</f>
        <v>Ohms</v>
      </c>
      <c r="PHY948" s="6">
        <v>148000000</v>
      </c>
      <c r="PHZ948" s="6" t="str">
        <f t="shared" ref="PHZ948" si="4972">PHX948</f>
        <v>Ohms</v>
      </c>
      <c r="PIA948" s="2" t="str">
        <f t="shared" ref="PIA948" si="4973">IF(PHS948="Ionizador", "Plato de carga", IF(PHS948="Cautín", "PTG", "RTG"))</f>
        <v>RTG</v>
      </c>
      <c r="PIB948" s="7">
        <v>45992</v>
      </c>
      <c r="PIC948" s="7">
        <f t="shared" ref="PIC948" si="4974">IF(PID948="Trimestral", PIB948+90, IF(PID948="Semestral", PIB948+180, PIB948+365))</f>
        <v>46172</v>
      </c>
      <c r="PID948" s="7" t="str">
        <f t="shared" ref="PID948" si="4975">IF(PHS948="Ionizador", "Trimestral", IF(PHS948="Rack", "Semestral", IF(PHS948="Mesa", "Semestral", IF(PHS948="Tapete", "Semestral", IF(PHS948="Cautín", "Semestral", IF(PHS948="Silla", "Semestral", "Anual"))))))</f>
        <v>Semestral</v>
      </c>
      <c r="PIE948" s="2" t="str">
        <f t="shared" ref="PIE948" ca="1" si="4976">IF(PIC948&lt;TODAY(),"VENCIDO",IF(PIC948=TODAY(),"VENCE HOY",IF(PIC948&gt;TODAY(),"VIGENTE")))</f>
        <v>VIGENTE</v>
      </c>
      <c r="PIF948" s="6" t="s">
        <v>25</v>
      </c>
      <c r="PIG948" s="23" t="s">
        <v>138</v>
      </c>
      <c r="PIH948" s="2" t="s">
        <v>433</v>
      </c>
      <c r="PII948" s="3" t="s">
        <v>22</v>
      </c>
      <c r="PIJ948" s="3" t="s">
        <v>23</v>
      </c>
      <c r="PIK948" s="2" t="s">
        <v>24</v>
      </c>
      <c r="PIL948" s="4">
        <v>0</v>
      </c>
      <c r="PIM948" s="8">
        <f t="shared" ref="PIM948" si="4977">IF(PII948="Ionizador", 10, IF(PII948="Mesa", 1000000000, IF(PII948="Rack", 1000000000, IF(PII948="Piso", 1000000000, IF(PII948="Tapete", 1000000000, IF(PII948="Carrito", 1000000000, IF(PII948="Cautín", 10, 1)))))))</f>
        <v>1000000000</v>
      </c>
      <c r="PIN948" s="4" t="str">
        <f t="shared" ref="PIN948" si="4978">IF(PII948="Ionizador", "Segundos", "Ohms")</f>
        <v>Ohms</v>
      </c>
      <c r="PIO948" s="6">
        <v>148000000</v>
      </c>
      <c r="PIP948" s="6" t="str">
        <f t="shared" ref="PIP948" si="4979">PIN948</f>
        <v>Ohms</v>
      </c>
      <c r="PIQ948" s="2" t="str">
        <f t="shared" ref="PIQ948" si="4980">IF(PII948="Ionizador", "Plato de carga", IF(PII948="Cautín", "PTG", "RTG"))</f>
        <v>RTG</v>
      </c>
      <c r="PIR948" s="7">
        <v>45992</v>
      </c>
      <c r="PIS948" s="7">
        <f t="shared" ref="PIS948" si="4981">IF(PIT948="Trimestral", PIR948+90, IF(PIT948="Semestral", PIR948+180, PIR948+365))</f>
        <v>46172</v>
      </c>
      <c r="PIT948" s="7" t="str">
        <f t="shared" ref="PIT948" si="4982">IF(PII948="Ionizador", "Trimestral", IF(PII948="Rack", "Semestral", IF(PII948="Mesa", "Semestral", IF(PII948="Tapete", "Semestral", IF(PII948="Cautín", "Semestral", IF(PII948="Silla", "Semestral", "Anual"))))))</f>
        <v>Semestral</v>
      </c>
      <c r="PIU948" s="2" t="str">
        <f t="shared" ref="PIU948" ca="1" si="4983">IF(PIS948&lt;TODAY(),"VENCIDO",IF(PIS948=TODAY(),"VENCE HOY",IF(PIS948&gt;TODAY(),"VIGENTE")))</f>
        <v>VIGENTE</v>
      </c>
      <c r="PIV948" s="6" t="s">
        <v>25</v>
      </c>
      <c r="PIW948" s="23" t="s">
        <v>138</v>
      </c>
      <c r="PIX948" s="2" t="s">
        <v>433</v>
      </c>
      <c r="PIY948" s="3" t="s">
        <v>22</v>
      </c>
      <c r="PIZ948" s="3" t="s">
        <v>23</v>
      </c>
      <c r="PJA948" s="2" t="s">
        <v>24</v>
      </c>
      <c r="PJB948" s="4">
        <v>0</v>
      </c>
      <c r="PJC948" s="8">
        <f t="shared" ref="PJC948" si="4984">IF(PIY948="Ionizador", 10, IF(PIY948="Mesa", 1000000000, IF(PIY948="Rack", 1000000000, IF(PIY948="Piso", 1000000000, IF(PIY948="Tapete", 1000000000, IF(PIY948="Carrito", 1000000000, IF(PIY948="Cautín", 10, 1)))))))</f>
        <v>1000000000</v>
      </c>
      <c r="PJD948" s="4" t="str">
        <f t="shared" ref="PJD948" si="4985">IF(PIY948="Ionizador", "Segundos", "Ohms")</f>
        <v>Ohms</v>
      </c>
      <c r="PJE948" s="6">
        <v>148000000</v>
      </c>
      <c r="PJF948" s="6" t="str">
        <f t="shared" ref="PJF948" si="4986">PJD948</f>
        <v>Ohms</v>
      </c>
      <c r="PJG948" s="2" t="str">
        <f t="shared" ref="PJG948" si="4987">IF(PIY948="Ionizador", "Plato de carga", IF(PIY948="Cautín", "PTG", "RTG"))</f>
        <v>RTG</v>
      </c>
      <c r="PJH948" s="7">
        <v>45992</v>
      </c>
      <c r="PJI948" s="7">
        <f t="shared" ref="PJI948" si="4988">IF(PJJ948="Trimestral", PJH948+90, IF(PJJ948="Semestral", PJH948+180, PJH948+365))</f>
        <v>46172</v>
      </c>
      <c r="PJJ948" s="7" t="str">
        <f t="shared" ref="PJJ948" si="4989">IF(PIY948="Ionizador", "Trimestral", IF(PIY948="Rack", "Semestral", IF(PIY948="Mesa", "Semestral", IF(PIY948="Tapete", "Semestral", IF(PIY948="Cautín", "Semestral", IF(PIY948="Silla", "Semestral", "Anual"))))))</f>
        <v>Semestral</v>
      </c>
      <c r="PJK948" s="2" t="str">
        <f t="shared" ref="PJK948" ca="1" si="4990">IF(PJI948&lt;TODAY(),"VENCIDO",IF(PJI948=TODAY(),"VENCE HOY",IF(PJI948&gt;TODAY(),"VIGENTE")))</f>
        <v>VIGENTE</v>
      </c>
      <c r="PJL948" s="6" t="s">
        <v>25</v>
      </c>
      <c r="PJM948" s="23" t="s">
        <v>138</v>
      </c>
      <c r="PJN948" s="2" t="s">
        <v>433</v>
      </c>
      <c r="PJO948" s="3" t="s">
        <v>22</v>
      </c>
      <c r="PJP948" s="3" t="s">
        <v>23</v>
      </c>
      <c r="PJQ948" s="2" t="s">
        <v>24</v>
      </c>
      <c r="PJR948" s="4">
        <v>0</v>
      </c>
      <c r="PJS948" s="8">
        <f t="shared" ref="PJS948" si="4991">IF(PJO948="Ionizador", 10, IF(PJO948="Mesa", 1000000000, IF(PJO948="Rack", 1000000000, IF(PJO948="Piso", 1000000000, IF(PJO948="Tapete", 1000000000, IF(PJO948="Carrito", 1000000000, IF(PJO948="Cautín", 10, 1)))))))</f>
        <v>1000000000</v>
      </c>
      <c r="PJT948" s="4" t="str">
        <f t="shared" ref="PJT948" si="4992">IF(PJO948="Ionizador", "Segundos", "Ohms")</f>
        <v>Ohms</v>
      </c>
      <c r="PJU948" s="6">
        <v>148000000</v>
      </c>
      <c r="PJV948" s="6" t="str">
        <f t="shared" ref="PJV948" si="4993">PJT948</f>
        <v>Ohms</v>
      </c>
      <c r="PJW948" s="2" t="str">
        <f t="shared" ref="PJW948" si="4994">IF(PJO948="Ionizador", "Plato de carga", IF(PJO948="Cautín", "PTG", "RTG"))</f>
        <v>RTG</v>
      </c>
      <c r="PJX948" s="7">
        <v>45992</v>
      </c>
      <c r="PJY948" s="7">
        <f t="shared" ref="PJY948" si="4995">IF(PJZ948="Trimestral", PJX948+90, IF(PJZ948="Semestral", PJX948+180, PJX948+365))</f>
        <v>46172</v>
      </c>
      <c r="PJZ948" s="7" t="str">
        <f t="shared" ref="PJZ948" si="4996">IF(PJO948="Ionizador", "Trimestral", IF(PJO948="Rack", "Semestral", IF(PJO948="Mesa", "Semestral", IF(PJO948="Tapete", "Semestral", IF(PJO948="Cautín", "Semestral", IF(PJO948="Silla", "Semestral", "Anual"))))))</f>
        <v>Semestral</v>
      </c>
      <c r="PKA948" s="2" t="str">
        <f t="shared" ref="PKA948" ca="1" si="4997">IF(PJY948&lt;TODAY(),"VENCIDO",IF(PJY948=TODAY(),"VENCE HOY",IF(PJY948&gt;TODAY(),"VIGENTE")))</f>
        <v>VIGENTE</v>
      </c>
      <c r="PKB948" s="6" t="s">
        <v>25</v>
      </c>
      <c r="PKC948" s="23" t="s">
        <v>138</v>
      </c>
      <c r="PKD948" s="2" t="s">
        <v>433</v>
      </c>
      <c r="PKE948" s="3" t="s">
        <v>22</v>
      </c>
      <c r="PKF948" s="3" t="s">
        <v>23</v>
      </c>
      <c r="PKG948" s="2" t="s">
        <v>24</v>
      </c>
      <c r="PKH948" s="4">
        <v>0</v>
      </c>
      <c r="PKI948" s="8">
        <f t="shared" ref="PKI948" si="4998">IF(PKE948="Ionizador", 10, IF(PKE948="Mesa", 1000000000, IF(PKE948="Rack", 1000000000, IF(PKE948="Piso", 1000000000, IF(PKE948="Tapete", 1000000000, IF(PKE948="Carrito", 1000000000, IF(PKE948="Cautín", 10, 1)))))))</f>
        <v>1000000000</v>
      </c>
      <c r="PKJ948" s="4" t="str">
        <f t="shared" ref="PKJ948" si="4999">IF(PKE948="Ionizador", "Segundos", "Ohms")</f>
        <v>Ohms</v>
      </c>
      <c r="PKK948" s="6">
        <v>148000000</v>
      </c>
      <c r="PKL948" s="6" t="str">
        <f t="shared" ref="PKL948" si="5000">PKJ948</f>
        <v>Ohms</v>
      </c>
      <c r="PKM948" s="2" t="str">
        <f t="shared" ref="PKM948" si="5001">IF(PKE948="Ionizador", "Plato de carga", IF(PKE948="Cautín", "PTG", "RTG"))</f>
        <v>RTG</v>
      </c>
      <c r="PKN948" s="7">
        <v>45992</v>
      </c>
      <c r="PKO948" s="7">
        <f t="shared" ref="PKO948" si="5002">IF(PKP948="Trimestral", PKN948+90, IF(PKP948="Semestral", PKN948+180, PKN948+365))</f>
        <v>46172</v>
      </c>
      <c r="PKP948" s="7" t="str">
        <f t="shared" ref="PKP948" si="5003">IF(PKE948="Ionizador", "Trimestral", IF(PKE948="Rack", "Semestral", IF(PKE948="Mesa", "Semestral", IF(PKE948="Tapete", "Semestral", IF(PKE948="Cautín", "Semestral", IF(PKE948="Silla", "Semestral", "Anual"))))))</f>
        <v>Semestral</v>
      </c>
      <c r="PKQ948" s="2" t="str">
        <f t="shared" ref="PKQ948" ca="1" si="5004">IF(PKO948&lt;TODAY(),"VENCIDO",IF(PKO948=TODAY(),"VENCE HOY",IF(PKO948&gt;TODAY(),"VIGENTE")))</f>
        <v>VIGENTE</v>
      </c>
      <c r="PKR948" s="6" t="s">
        <v>25</v>
      </c>
      <c r="PKS948" s="23" t="s">
        <v>138</v>
      </c>
      <c r="PKT948" s="2" t="s">
        <v>433</v>
      </c>
      <c r="PKU948" s="3" t="s">
        <v>22</v>
      </c>
      <c r="PKV948" s="3" t="s">
        <v>23</v>
      </c>
      <c r="PKW948" s="2" t="s">
        <v>24</v>
      </c>
      <c r="PKX948" s="4">
        <v>0</v>
      </c>
      <c r="PKY948" s="8">
        <f t="shared" ref="PKY948" si="5005">IF(PKU948="Ionizador", 10, IF(PKU948="Mesa", 1000000000, IF(PKU948="Rack", 1000000000, IF(PKU948="Piso", 1000000000, IF(PKU948="Tapete", 1000000000, IF(PKU948="Carrito", 1000000000, IF(PKU948="Cautín", 10, 1)))))))</f>
        <v>1000000000</v>
      </c>
      <c r="PKZ948" s="4" t="str">
        <f t="shared" ref="PKZ948" si="5006">IF(PKU948="Ionizador", "Segundos", "Ohms")</f>
        <v>Ohms</v>
      </c>
      <c r="PLA948" s="6">
        <v>148000000</v>
      </c>
      <c r="PLB948" s="6" t="str">
        <f t="shared" ref="PLB948" si="5007">PKZ948</f>
        <v>Ohms</v>
      </c>
      <c r="PLC948" s="2" t="str">
        <f t="shared" ref="PLC948" si="5008">IF(PKU948="Ionizador", "Plato de carga", IF(PKU948="Cautín", "PTG", "RTG"))</f>
        <v>RTG</v>
      </c>
      <c r="PLD948" s="7">
        <v>45992</v>
      </c>
      <c r="PLE948" s="7">
        <f t="shared" ref="PLE948" si="5009">IF(PLF948="Trimestral", PLD948+90, IF(PLF948="Semestral", PLD948+180, PLD948+365))</f>
        <v>46172</v>
      </c>
      <c r="PLF948" s="7" t="str">
        <f t="shared" ref="PLF948" si="5010">IF(PKU948="Ionizador", "Trimestral", IF(PKU948="Rack", "Semestral", IF(PKU948="Mesa", "Semestral", IF(PKU948="Tapete", "Semestral", IF(PKU948="Cautín", "Semestral", IF(PKU948="Silla", "Semestral", "Anual"))))))</f>
        <v>Semestral</v>
      </c>
      <c r="PLG948" s="2" t="str">
        <f t="shared" ref="PLG948" ca="1" si="5011">IF(PLE948&lt;TODAY(),"VENCIDO",IF(PLE948=TODAY(),"VENCE HOY",IF(PLE948&gt;TODAY(),"VIGENTE")))</f>
        <v>VIGENTE</v>
      </c>
      <c r="PLH948" s="6" t="s">
        <v>25</v>
      </c>
      <c r="PLI948" s="23" t="s">
        <v>138</v>
      </c>
      <c r="PLJ948" s="2" t="s">
        <v>433</v>
      </c>
      <c r="PLK948" s="3" t="s">
        <v>22</v>
      </c>
      <c r="PLL948" s="3" t="s">
        <v>23</v>
      </c>
      <c r="PLM948" s="2" t="s">
        <v>24</v>
      </c>
      <c r="PLN948" s="4">
        <v>0</v>
      </c>
      <c r="PLO948" s="8">
        <f t="shared" ref="PLO948" si="5012">IF(PLK948="Ionizador", 10, IF(PLK948="Mesa", 1000000000, IF(PLK948="Rack", 1000000000, IF(PLK948="Piso", 1000000000, IF(PLK948="Tapete", 1000000000, IF(PLK948="Carrito", 1000000000, IF(PLK948="Cautín", 10, 1)))))))</f>
        <v>1000000000</v>
      </c>
      <c r="PLP948" s="4" t="str">
        <f t="shared" ref="PLP948" si="5013">IF(PLK948="Ionizador", "Segundos", "Ohms")</f>
        <v>Ohms</v>
      </c>
      <c r="PLQ948" s="6">
        <v>148000000</v>
      </c>
      <c r="PLR948" s="6" t="str">
        <f t="shared" ref="PLR948" si="5014">PLP948</f>
        <v>Ohms</v>
      </c>
      <c r="PLS948" s="2" t="str">
        <f t="shared" ref="PLS948" si="5015">IF(PLK948="Ionizador", "Plato de carga", IF(PLK948="Cautín", "PTG", "RTG"))</f>
        <v>RTG</v>
      </c>
      <c r="PLT948" s="7">
        <v>45992</v>
      </c>
      <c r="PLU948" s="7">
        <f t="shared" ref="PLU948" si="5016">IF(PLV948="Trimestral", PLT948+90, IF(PLV948="Semestral", PLT948+180, PLT948+365))</f>
        <v>46172</v>
      </c>
      <c r="PLV948" s="7" t="str">
        <f t="shared" ref="PLV948" si="5017">IF(PLK948="Ionizador", "Trimestral", IF(PLK948="Rack", "Semestral", IF(PLK948="Mesa", "Semestral", IF(PLK948="Tapete", "Semestral", IF(PLK948="Cautín", "Semestral", IF(PLK948="Silla", "Semestral", "Anual"))))))</f>
        <v>Semestral</v>
      </c>
      <c r="PLW948" s="2" t="str">
        <f t="shared" ref="PLW948" ca="1" si="5018">IF(PLU948&lt;TODAY(),"VENCIDO",IF(PLU948=TODAY(),"VENCE HOY",IF(PLU948&gt;TODAY(),"VIGENTE")))</f>
        <v>VIGENTE</v>
      </c>
      <c r="PLX948" s="6" t="s">
        <v>25</v>
      </c>
      <c r="PLY948" s="23" t="s">
        <v>138</v>
      </c>
      <c r="PLZ948" s="2" t="s">
        <v>433</v>
      </c>
      <c r="PMA948" s="3" t="s">
        <v>22</v>
      </c>
      <c r="PMB948" s="3" t="s">
        <v>23</v>
      </c>
      <c r="PMC948" s="2" t="s">
        <v>24</v>
      </c>
      <c r="PMD948" s="4">
        <v>0</v>
      </c>
      <c r="PME948" s="8">
        <f t="shared" ref="PME948" si="5019">IF(PMA948="Ionizador", 10, IF(PMA948="Mesa", 1000000000, IF(PMA948="Rack", 1000000000, IF(PMA948="Piso", 1000000000, IF(PMA948="Tapete", 1000000000, IF(PMA948="Carrito", 1000000000, IF(PMA948="Cautín", 10, 1)))))))</f>
        <v>1000000000</v>
      </c>
      <c r="PMF948" s="4" t="str">
        <f t="shared" ref="PMF948" si="5020">IF(PMA948="Ionizador", "Segundos", "Ohms")</f>
        <v>Ohms</v>
      </c>
      <c r="PMG948" s="6">
        <v>148000000</v>
      </c>
      <c r="PMH948" s="6" t="str">
        <f t="shared" ref="PMH948" si="5021">PMF948</f>
        <v>Ohms</v>
      </c>
      <c r="PMI948" s="2" t="str">
        <f t="shared" ref="PMI948" si="5022">IF(PMA948="Ionizador", "Plato de carga", IF(PMA948="Cautín", "PTG", "RTG"))</f>
        <v>RTG</v>
      </c>
      <c r="PMJ948" s="7">
        <v>45992</v>
      </c>
      <c r="PMK948" s="7">
        <f t="shared" ref="PMK948" si="5023">IF(PML948="Trimestral", PMJ948+90, IF(PML948="Semestral", PMJ948+180, PMJ948+365))</f>
        <v>46172</v>
      </c>
      <c r="PML948" s="7" t="str">
        <f t="shared" ref="PML948" si="5024">IF(PMA948="Ionizador", "Trimestral", IF(PMA948="Rack", "Semestral", IF(PMA948="Mesa", "Semestral", IF(PMA948="Tapete", "Semestral", IF(PMA948="Cautín", "Semestral", IF(PMA948="Silla", "Semestral", "Anual"))))))</f>
        <v>Semestral</v>
      </c>
      <c r="PMM948" s="2" t="str">
        <f t="shared" ref="PMM948" ca="1" si="5025">IF(PMK948&lt;TODAY(),"VENCIDO",IF(PMK948=TODAY(),"VENCE HOY",IF(PMK948&gt;TODAY(),"VIGENTE")))</f>
        <v>VIGENTE</v>
      </c>
      <c r="PMN948" s="6" t="s">
        <v>25</v>
      </c>
      <c r="PMO948" s="23" t="s">
        <v>138</v>
      </c>
      <c r="PMP948" s="2" t="s">
        <v>433</v>
      </c>
      <c r="PMQ948" s="3" t="s">
        <v>22</v>
      </c>
      <c r="PMR948" s="3" t="s">
        <v>23</v>
      </c>
      <c r="PMS948" s="2" t="s">
        <v>24</v>
      </c>
      <c r="PMT948" s="4">
        <v>0</v>
      </c>
      <c r="PMU948" s="8">
        <f t="shared" ref="PMU948" si="5026">IF(PMQ948="Ionizador", 10, IF(PMQ948="Mesa", 1000000000, IF(PMQ948="Rack", 1000000000, IF(PMQ948="Piso", 1000000000, IF(PMQ948="Tapete", 1000000000, IF(PMQ948="Carrito", 1000000000, IF(PMQ948="Cautín", 10, 1)))))))</f>
        <v>1000000000</v>
      </c>
      <c r="PMV948" s="4" t="str">
        <f t="shared" ref="PMV948" si="5027">IF(PMQ948="Ionizador", "Segundos", "Ohms")</f>
        <v>Ohms</v>
      </c>
      <c r="PMW948" s="6">
        <v>148000000</v>
      </c>
      <c r="PMX948" s="6" t="str">
        <f t="shared" ref="PMX948" si="5028">PMV948</f>
        <v>Ohms</v>
      </c>
      <c r="PMY948" s="2" t="str">
        <f t="shared" ref="PMY948" si="5029">IF(PMQ948="Ionizador", "Plato de carga", IF(PMQ948="Cautín", "PTG", "RTG"))</f>
        <v>RTG</v>
      </c>
      <c r="PMZ948" s="7">
        <v>45992</v>
      </c>
      <c r="PNA948" s="7">
        <f t="shared" ref="PNA948" si="5030">IF(PNB948="Trimestral", PMZ948+90, IF(PNB948="Semestral", PMZ948+180, PMZ948+365))</f>
        <v>46172</v>
      </c>
      <c r="PNB948" s="7" t="str">
        <f t="shared" ref="PNB948" si="5031">IF(PMQ948="Ionizador", "Trimestral", IF(PMQ948="Rack", "Semestral", IF(PMQ948="Mesa", "Semestral", IF(PMQ948="Tapete", "Semestral", IF(PMQ948="Cautín", "Semestral", IF(PMQ948="Silla", "Semestral", "Anual"))))))</f>
        <v>Semestral</v>
      </c>
      <c r="PNC948" s="2" t="str">
        <f t="shared" ref="PNC948" ca="1" si="5032">IF(PNA948&lt;TODAY(),"VENCIDO",IF(PNA948=TODAY(),"VENCE HOY",IF(PNA948&gt;TODAY(),"VIGENTE")))</f>
        <v>VIGENTE</v>
      </c>
      <c r="PND948" s="6" t="s">
        <v>25</v>
      </c>
      <c r="PNE948" s="23" t="s">
        <v>138</v>
      </c>
      <c r="PNF948" s="2" t="s">
        <v>433</v>
      </c>
      <c r="PNG948" s="3" t="s">
        <v>22</v>
      </c>
      <c r="PNH948" s="3" t="s">
        <v>23</v>
      </c>
      <c r="PNI948" s="2" t="s">
        <v>24</v>
      </c>
      <c r="PNJ948" s="4">
        <v>0</v>
      </c>
      <c r="PNK948" s="8">
        <f t="shared" ref="PNK948" si="5033">IF(PNG948="Ionizador", 10, IF(PNG948="Mesa", 1000000000, IF(PNG948="Rack", 1000000000, IF(PNG948="Piso", 1000000000, IF(PNG948="Tapete", 1000000000, IF(PNG948="Carrito", 1000000000, IF(PNG948="Cautín", 10, 1)))))))</f>
        <v>1000000000</v>
      </c>
      <c r="PNL948" s="4" t="str">
        <f t="shared" ref="PNL948" si="5034">IF(PNG948="Ionizador", "Segundos", "Ohms")</f>
        <v>Ohms</v>
      </c>
      <c r="PNM948" s="6">
        <v>148000000</v>
      </c>
      <c r="PNN948" s="6" t="str">
        <f t="shared" ref="PNN948" si="5035">PNL948</f>
        <v>Ohms</v>
      </c>
      <c r="PNO948" s="2" t="str">
        <f t="shared" ref="PNO948" si="5036">IF(PNG948="Ionizador", "Plato de carga", IF(PNG948="Cautín", "PTG", "RTG"))</f>
        <v>RTG</v>
      </c>
      <c r="PNP948" s="7">
        <v>45992</v>
      </c>
      <c r="PNQ948" s="7">
        <f t="shared" ref="PNQ948" si="5037">IF(PNR948="Trimestral", PNP948+90, IF(PNR948="Semestral", PNP948+180, PNP948+365))</f>
        <v>46172</v>
      </c>
      <c r="PNR948" s="7" t="str">
        <f t="shared" ref="PNR948" si="5038">IF(PNG948="Ionizador", "Trimestral", IF(PNG948="Rack", "Semestral", IF(PNG948="Mesa", "Semestral", IF(PNG948="Tapete", "Semestral", IF(PNG948="Cautín", "Semestral", IF(PNG948="Silla", "Semestral", "Anual"))))))</f>
        <v>Semestral</v>
      </c>
      <c r="PNS948" s="2" t="str">
        <f t="shared" ref="PNS948" ca="1" si="5039">IF(PNQ948&lt;TODAY(),"VENCIDO",IF(PNQ948=TODAY(),"VENCE HOY",IF(PNQ948&gt;TODAY(),"VIGENTE")))</f>
        <v>VIGENTE</v>
      </c>
      <c r="PNT948" s="6" t="s">
        <v>25</v>
      </c>
      <c r="PNU948" s="23" t="s">
        <v>138</v>
      </c>
      <c r="PNV948" s="2" t="s">
        <v>433</v>
      </c>
      <c r="PNW948" s="3" t="s">
        <v>22</v>
      </c>
      <c r="PNX948" s="3" t="s">
        <v>23</v>
      </c>
      <c r="PNY948" s="2" t="s">
        <v>24</v>
      </c>
      <c r="PNZ948" s="4">
        <v>0</v>
      </c>
      <c r="POA948" s="8">
        <f t="shared" ref="POA948" si="5040">IF(PNW948="Ionizador", 10, IF(PNW948="Mesa", 1000000000, IF(PNW948="Rack", 1000000000, IF(PNW948="Piso", 1000000000, IF(PNW948="Tapete", 1000000000, IF(PNW948="Carrito", 1000000000, IF(PNW948="Cautín", 10, 1)))))))</f>
        <v>1000000000</v>
      </c>
      <c r="POB948" s="4" t="str">
        <f t="shared" ref="POB948" si="5041">IF(PNW948="Ionizador", "Segundos", "Ohms")</f>
        <v>Ohms</v>
      </c>
      <c r="POC948" s="6">
        <v>148000000</v>
      </c>
      <c r="POD948" s="6" t="str">
        <f t="shared" ref="POD948" si="5042">POB948</f>
        <v>Ohms</v>
      </c>
      <c r="POE948" s="2" t="str">
        <f t="shared" ref="POE948" si="5043">IF(PNW948="Ionizador", "Plato de carga", IF(PNW948="Cautín", "PTG", "RTG"))</f>
        <v>RTG</v>
      </c>
      <c r="POF948" s="7">
        <v>45992</v>
      </c>
      <c r="POG948" s="7">
        <f t="shared" ref="POG948" si="5044">IF(POH948="Trimestral", POF948+90, IF(POH948="Semestral", POF948+180, POF948+365))</f>
        <v>46172</v>
      </c>
      <c r="POH948" s="7" t="str">
        <f t="shared" ref="POH948" si="5045">IF(PNW948="Ionizador", "Trimestral", IF(PNW948="Rack", "Semestral", IF(PNW948="Mesa", "Semestral", IF(PNW948="Tapete", "Semestral", IF(PNW948="Cautín", "Semestral", IF(PNW948="Silla", "Semestral", "Anual"))))))</f>
        <v>Semestral</v>
      </c>
      <c r="POI948" s="2" t="str">
        <f t="shared" ref="POI948" ca="1" si="5046">IF(POG948&lt;TODAY(),"VENCIDO",IF(POG948=TODAY(),"VENCE HOY",IF(POG948&gt;TODAY(),"VIGENTE")))</f>
        <v>VIGENTE</v>
      </c>
      <c r="POJ948" s="6" t="s">
        <v>25</v>
      </c>
      <c r="POK948" s="23" t="s">
        <v>138</v>
      </c>
      <c r="POL948" s="2" t="s">
        <v>433</v>
      </c>
      <c r="POM948" s="3" t="s">
        <v>22</v>
      </c>
      <c r="PON948" s="3" t="s">
        <v>23</v>
      </c>
      <c r="POO948" s="2" t="s">
        <v>24</v>
      </c>
      <c r="POP948" s="4">
        <v>0</v>
      </c>
      <c r="POQ948" s="8">
        <f t="shared" ref="POQ948" si="5047">IF(POM948="Ionizador", 10, IF(POM948="Mesa", 1000000000, IF(POM948="Rack", 1000000000, IF(POM948="Piso", 1000000000, IF(POM948="Tapete", 1000000000, IF(POM948="Carrito", 1000000000, IF(POM948="Cautín", 10, 1)))))))</f>
        <v>1000000000</v>
      </c>
      <c r="POR948" s="4" t="str">
        <f t="shared" ref="POR948" si="5048">IF(POM948="Ionizador", "Segundos", "Ohms")</f>
        <v>Ohms</v>
      </c>
      <c r="POS948" s="6">
        <v>148000000</v>
      </c>
      <c r="POT948" s="6" t="str">
        <f t="shared" ref="POT948" si="5049">POR948</f>
        <v>Ohms</v>
      </c>
      <c r="POU948" s="2" t="str">
        <f t="shared" ref="POU948" si="5050">IF(POM948="Ionizador", "Plato de carga", IF(POM948="Cautín", "PTG", "RTG"))</f>
        <v>RTG</v>
      </c>
      <c r="POV948" s="7">
        <v>45992</v>
      </c>
      <c r="POW948" s="7">
        <f t="shared" ref="POW948" si="5051">IF(POX948="Trimestral", POV948+90, IF(POX948="Semestral", POV948+180, POV948+365))</f>
        <v>46172</v>
      </c>
      <c r="POX948" s="7" t="str">
        <f t="shared" ref="POX948" si="5052">IF(POM948="Ionizador", "Trimestral", IF(POM948="Rack", "Semestral", IF(POM948="Mesa", "Semestral", IF(POM948="Tapete", "Semestral", IF(POM948="Cautín", "Semestral", IF(POM948="Silla", "Semestral", "Anual"))))))</f>
        <v>Semestral</v>
      </c>
      <c r="POY948" s="2" t="str">
        <f t="shared" ref="POY948" ca="1" si="5053">IF(POW948&lt;TODAY(),"VENCIDO",IF(POW948=TODAY(),"VENCE HOY",IF(POW948&gt;TODAY(),"VIGENTE")))</f>
        <v>VIGENTE</v>
      </c>
      <c r="POZ948" s="6" t="s">
        <v>25</v>
      </c>
      <c r="PPA948" s="23" t="s">
        <v>138</v>
      </c>
      <c r="PPB948" s="2" t="s">
        <v>433</v>
      </c>
      <c r="PPC948" s="3" t="s">
        <v>22</v>
      </c>
      <c r="PPD948" s="3" t="s">
        <v>23</v>
      </c>
      <c r="PPE948" s="2" t="s">
        <v>24</v>
      </c>
      <c r="PPF948" s="4">
        <v>0</v>
      </c>
      <c r="PPG948" s="8">
        <f t="shared" ref="PPG948" si="5054">IF(PPC948="Ionizador", 10, IF(PPC948="Mesa", 1000000000, IF(PPC948="Rack", 1000000000, IF(PPC948="Piso", 1000000000, IF(PPC948="Tapete", 1000000000, IF(PPC948="Carrito", 1000000000, IF(PPC948="Cautín", 10, 1)))))))</f>
        <v>1000000000</v>
      </c>
      <c r="PPH948" s="4" t="str">
        <f t="shared" ref="PPH948" si="5055">IF(PPC948="Ionizador", "Segundos", "Ohms")</f>
        <v>Ohms</v>
      </c>
      <c r="PPI948" s="6">
        <v>148000000</v>
      </c>
      <c r="PPJ948" s="6" t="str">
        <f t="shared" ref="PPJ948" si="5056">PPH948</f>
        <v>Ohms</v>
      </c>
      <c r="PPK948" s="2" t="str">
        <f t="shared" ref="PPK948" si="5057">IF(PPC948="Ionizador", "Plato de carga", IF(PPC948="Cautín", "PTG", "RTG"))</f>
        <v>RTG</v>
      </c>
      <c r="PPL948" s="7">
        <v>45992</v>
      </c>
      <c r="PPM948" s="7">
        <f t="shared" ref="PPM948" si="5058">IF(PPN948="Trimestral", PPL948+90, IF(PPN948="Semestral", PPL948+180, PPL948+365))</f>
        <v>46172</v>
      </c>
      <c r="PPN948" s="7" t="str">
        <f t="shared" ref="PPN948" si="5059">IF(PPC948="Ionizador", "Trimestral", IF(PPC948="Rack", "Semestral", IF(PPC948="Mesa", "Semestral", IF(PPC948="Tapete", "Semestral", IF(PPC948="Cautín", "Semestral", IF(PPC948="Silla", "Semestral", "Anual"))))))</f>
        <v>Semestral</v>
      </c>
      <c r="PPO948" s="2" t="str">
        <f t="shared" ref="PPO948" ca="1" si="5060">IF(PPM948&lt;TODAY(),"VENCIDO",IF(PPM948=TODAY(),"VENCE HOY",IF(PPM948&gt;TODAY(),"VIGENTE")))</f>
        <v>VIGENTE</v>
      </c>
      <c r="PPP948" s="6" t="s">
        <v>25</v>
      </c>
      <c r="PPQ948" s="23" t="s">
        <v>138</v>
      </c>
      <c r="PPR948" s="2" t="s">
        <v>433</v>
      </c>
      <c r="PPS948" s="3" t="s">
        <v>22</v>
      </c>
      <c r="PPT948" s="3" t="s">
        <v>23</v>
      </c>
      <c r="PPU948" s="2" t="s">
        <v>24</v>
      </c>
      <c r="PPV948" s="4">
        <v>0</v>
      </c>
      <c r="PPW948" s="8">
        <f t="shared" ref="PPW948" si="5061">IF(PPS948="Ionizador", 10, IF(PPS948="Mesa", 1000000000, IF(PPS948="Rack", 1000000000, IF(PPS948="Piso", 1000000000, IF(PPS948="Tapete", 1000000000, IF(PPS948="Carrito", 1000000000, IF(PPS948="Cautín", 10, 1)))))))</f>
        <v>1000000000</v>
      </c>
      <c r="PPX948" s="4" t="str">
        <f t="shared" ref="PPX948" si="5062">IF(PPS948="Ionizador", "Segundos", "Ohms")</f>
        <v>Ohms</v>
      </c>
      <c r="PPY948" s="6">
        <v>148000000</v>
      </c>
      <c r="PPZ948" s="6" t="str">
        <f t="shared" ref="PPZ948" si="5063">PPX948</f>
        <v>Ohms</v>
      </c>
      <c r="PQA948" s="2" t="str">
        <f t="shared" ref="PQA948" si="5064">IF(PPS948="Ionizador", "Plato de carga", IF(PPS948="Cautín", "PTG", "RTG"))</f>
        <v>RTG</v>
      </c>
      <c r="PQB948" s="7">
        <v>45992</v>
      </c>
      <c r="PQC948" s="7">
        <f t="shared" ref="PQC948" si="5065">IF(PQD948="Trimestral", PQB948+90, IF(PQD948="Semestral", PQB948+180, PQB948+365))</f>
        <v>46172</v>
      </c>
      <c r="PQD948" s="7" t="str">
        <f t="shared" ref="PQD948" si="5066">IF(PPS948="Ionizador", "Trimestral", IF(PPS948="Rack", "Semestral", IF(PPS948="Mesa", "Semestral", IF(PPS948="Tapete", "Semestral", IF(PPS948="Cautín", "Semestral", IF(PPS948="Silla", "Semestral", "Anual"))))))</f>
        <v>Semestral</v>
      </c>
      <c r="PQE948" s="2" t="str">
        <f t="shared" ref="PQE948" ca="1" si="5067">IF(PQC948&lt;TODAY(),"VENCIDO",IF(PQC948=TODAY(),"VENCE HOY",IF(PQC948&gt;TODAY(),"VIGENTE")))</f>
        <v>VIGENTE</v>
      </c>
      <c r="PQF948" s="6" t="s">
        <v>25</v>
      </c>
      <c r="PQG948" s="23" t="s">
        <v>138</v>
      </c>
      <c r="PQH948" s="2" t="s">
        <v>433</v>
      </c>
      <c r="PQI948" s="3" t="s">
        <v>22</v>
      </c>
      <c r="PQJ948" s="3" t="s">
        <v>23</v>
      </c>
      <c r="PQK948" s="2" t="s">
        <v>24</v>
      </c>
      <c r="PQL948" s="4">
        <v>0</v>
      </c>
      <c r="PQM948" s="8">
        <f t="shared" ref="PQM948" si="5068">IF(PQI948="Ionizador", 10, IF(PQI948="Mesa", 1000000000, IF(PQI948="Rack", 1000000000, IF(PQI948="Piso", 1000000000, IF(PQI948="Tapete", 1000000000, IF(PQI948="Carrito", 1000000000, IF(PQI948="Cautín", 10, 1)))))))</f>
        <v>1000000000</v>
      </c>
      <c r="PQN948" s="4" t="str">
        <f t="shared" ref="PQN948" si="5069">IF(PQI948="Ionizador", "Segundos", "Ohms")</f>
        <v>Ohms</v>
      </c>
      <c r="PQO948" s="6">
        <v>148000000</v>
      </c>
      <c r="PQP948" s="6" t="str">
        <f t="shared" ref="PQP948" si="5070">PQN948</f>
        <v>Ohms</v>
      </c>
      <c r="PQQ948" s="2" t="str">
        <f t="shared" ref="PQQ948" si="5071">IF(PQI948="Ionizador", "Plato de carga", IF(PQI948="Cautín", "PTG", "RTG"))</f>
        <v>RTG</v>
      </c>
      <c r="PQR948" s="7">
        <v>45992</v>
      </c>
      <c r="PQS948" s="7">
        <f t="shared" ref="PQS948" si="5072">IF(PQT948="Trimestral", PQR948+90, IF(PQT948="Semestral", PQR948+180, PQR948+365))</f>
        <v>46172</v>
      </c>
      <c r="PQT948" s="7" t="str">
        <f t="shared" ref="PQT948" si="5073">IF(PQI948="Ionizador", "Trimestral", IF(PQI948="Rack", "Semestral", IF(PQI948="Mesa", "Semestral", IF(PQI948="Tapete", "Semestral", IF(PQI948="Cautín", "Semestral", IF(PQI948="Silla", "Semestral", "Anual"))))))</f>
        <v>Semestral</v>
      </c>
      <c r="PQU948" s="2" t="str">
        <f t="shared" ref="PQU948" ca="1" si="5074">IF(PQS948&lt;TODAY(),"VENCIDO",IF(PQS948=TODAY(),"VENCE HOY",IF(PQS948&gt;TODAY(),"VIGENTE")))</f>
        <v>VIGENTE</v>
      </c>
      <c r="PQV948" s="6" t="s">
        <v>25</v>
      </c>
      <c r="PQW948" s="23" t="s">
        <v>138</v>
      </c>
      <c r="PQX948" s="2" t="s">
        <v>433</v>
      </c>
      <c r="PQY948" s="3" t="s">
        <v>22</v>
      </c>
      <c r="PQZ948" s="3" t="s">
        <v>23</v>
      </c>
      <c r="PRA948" s="2" t="s">
        <v>24</v>
      </c>
      <c r="PRB948" s="4">
        <v>0</v>
      </c>
      <c r="PRC948" s="8">
        <f t="shared" ref="PRC948" si="5075">IF(PQY948="Ionizador", 10, IF(PQY948="Mesa", 1000000000, IF(PQY948="Rack", 1000000000, IF(PQY948="Piso", 1000000000, IF(PQY948="Tapete", 1000000000, IF(PQY948="Carrito", 1000000000, IF(PQY948="Cautín", 10, 1)))))))</f>
        <v>1000000000</v>
      </c>
      <c r="PRD948" s="4" t="str">
        <f t="shared" ref="PRD948" si="5076">IF(PQY948="Ionizador", "Segundos", "Ohms")</f>
        <v>Ohms</v>
      </c>
      <c r="PRE948" s="6">
        <v>148000000</v>
      </c>
      <c r="PRF948" s="6" t="str">
        <f t="shared" ref="PRF948" si="5077">PRD948</f>
        <v>Ohms</v>
      </c>
      <c r="PRG948" s="2" t="str">
        <f t="shared" ref="PRG948" si="5078">IF(PQY948="Ionizador", "Plato de carga", IF(PQY948="Cautín", "PTG", "RTG"))</f>
        <v>RTG</v>
      </c>
      <c r="PRH948" s="7">
        <v>45992</v>
      </c>
      <c r="PRI948" s="7">
        <f t="shared" ref="PRI948" si="5079">IF(PRJ948="Trimestral", PRH948+90, IF(PRJ948="Semestral", PRH948+180, PRH948+365))</f>
        <v>46172</v>
      </c>
      <c r="PRJ948" s="7" t="str">
        <f t="shared" ref="PRJ948" si="5080">IF(PQY948="Ionizador", "Trimestral", IF(PQY948="Rack", "Semestral", IF(PQY948="Mesa", "Semestral", IF(PQY948="Tapete", "Semestral", IF(PQY948="Cautín", "Semestral", IF(PQY948="Silla", "Semestral", "Anual"))))))</f>
        <v>Semestral</v>
      </c>
      <c r="PRK948" s="2" t="str">
        <f t="shared" ref="PRK948" ca="1" si="5081">IF(PRI948&lt;TODAY(),"VENCIDO",IF(PRI948=TODAY(),"VENCE HOY",IF(PRI948&gt;TODAY(),"VIGENTE")))</f>
        <v>VIGENTE</v>
      </c>
      <c r="PRL948" s="6" t="s">
        <v>25</v>
      </c>
      <c r="PRM948" s="23" t="s">
        <v>138</v>
      </c>
      <c r="PRN948" s="2" t="s">
        <v>433</v>
      </c>
      <c r="PRO948" s="3" t="s">
        <v>22</v>
      </c>
      <c r="PRP948" s="3" t="s">
        <v>23</v>
      </c>
      <c r="PRQ948" s="2" t="s">
        <v>24</v>
      </c>
      <c r="PRR948" s="4">
        <v>0</v>
      </c>
      <c r="PRS948" s="8">
        <f t="shared" ref="PRS948" si="5082">IF(PRO948="Ionizador", 10, IF(PRO948="Mesa", 1000000000, IF(PRO948="Rack", 1000000000, IF(PRO948="Piso", 1000000000, IF(PRO948="Tapete", 1000000000, IF(PRO948="Carrito", 1000000000, IF(PRO948="Cautín", 10, 1)))))))</f>
        <v>1000000000</v>
      </c>
      <c r="PRT948" s="4" t="str">
        <f t="shared" ref="PRT948" si="5083">IF(PRO948="Ionizador", "Segundos", "Ohms")</f>
        <v>Ohms</v>
      </c>
      <c r="PRU948" s="6">
        <v>148000000</v>
      </c>
      <c r="PRV948" s="6" t="str">
        <f t="shared" ref="PRV948" si="5084">PRT948</f>
        <v>Ohms</v>
      </c>
      <c r="PRW948" s="2" t="str">
        <f t="shared" ref="PRW948" si="5085">IF(PRO948="Ionizador", "Plato de carga", IF(PRO948="Cautín", "PTG", "RTG"))</f>
        <v>RTG</v>
      </c>
      <c r="PRX948" s="7">
        <v>45992</v>
      </c>
      <c r="PRY948" s="7">
        <f t="shared" ref="PRY948" si="5086">IF(PRZ948="Trimestral", PRX948+90, IF(PRZ948="Semestral", PRX948+180, PRX948+365))</f>
        <v>46172</v>
      </c>
      <c r="PRZ948" s="7" t="str">
        <f t="shared" ref="PRZ948" si="5087">IF(PRO948="Ionizador", "Trimestral", IF(PRO948="Rack", "Semestral", IF(PRO948="Mesa", "Semestral", IF(PRO948="Tapete", "Semestral", IF(PRO948="Cautín", "Semestral", IF(PRO948="Silla", "Semestral", "Anual"))))))</f>
        <v>Semestral</v>
      </c>
      <c r="PSA948" s="2" t="str">
        <f t="shared" ref="PSA948" ca="1" si="5088">IF(PRY948&lt;TODAY(),"VENCIDO",IF(PRY948=TODAY(),"VENCE HOY",IF(PRY948&gt;TODAY(),"VIGENTE")))</f>
        <v>VIGENTE</v>
      </c>
      <c r="PSB948" s="6" t="s">
        <v>25</v>
      </c>
      <c r="PSC948" s="23" t="s">
        <v>138</v>
      </c>
      <c r="PSD948" s="2" t="s">
        <v>433</v>
      </c>
      <c r="PSE948" s="3" t="s">
        <v>22</v>
      </c>
      <c r="PSF948" s="3" t="s">
        <v>23</v>
      </c>
      <c r="PSG948" s="2" t="s">
        <v>24</v>
      </c>
      <c r="PSH948" s="4">
        <v>0</v>
      </c>
      <c r="PSI948" s="8">
        <f t="shared" ref="PSI948" si="5089">IF(PSE948="Ionizador", 10, IF(PSE948="Mesa", 1000000000, IF(PSE948="Rack", 1000000000, IF(PSE948="Piso", 1000000000, IF(PSE948="Tapete", 1000000000, IF(PSE948="Carrito", 1000000000, IF(PSE948="Cautín", 10, 1)))))))</f>
        <v>1000000000</v>
      </c>
      <c r="PSJ948" s="4" t="str">
        <f t="shared" ref="PSJ948" si="5090">IF(PSE948="Ionizador", "Segundos", "Ohms")</f>
        <v>Ohms</v>
      </c>
      <c r="PSK948" s="6">
        <v>148000000</v>
      </c>
      <c r="PSL948" s="6" t="str">
        <f t="shared" ref="PSL948" si="5091">PSJ948</f>
        <v>Ohms</v>
      </c>
      <c r="PSM948" s="2" t="str">
        <f t="shared" ref="PSM948" si="5092">IF(PSE948="Ionizador", "Plato de carga", IF(PSE948="Cautín", "PTG", "RTG"))</f>
        <v>RTG</v>
      </c>
      <c r="PSN948" s="7">
        <v>45992</v>
      </c>
      <c r="PSO948" s="7">
        <f t="shared" ref="PSO948" si="5093">IF(PSP948="Trimestral", PSN948+90, IF(PSP948="Semestral", PSN948+180, PSN948+365))</f>
        <v>46172</v>
      </c>
      <c r="PSP948" s="7" t="str">
        <f t="shared" ref="PSP948" si="5094">IF(PSE948="Ionizador", "Trimestral", IF(PSE948="Rack", "Semestral", IF(PSE948="Mesa", "Semestral", IF(PSE948="Tapete", "Semestral", IF(PSE948="Cautín", "Semestral", IF(PSE948="Silla", "Semestral", "Anual"))))))</f>
        <v>Semestral</v>
      </c>
      <c r="PSQ948" s="2" t="str">
        <f t="shared" ref="PSQ948" ca="1" si="5095">IF(PSO948&lt;TODAY(),"VENCIDO",IF(PSO948=TODAY(),"VENCE HOY",IF(PSO948&gt;TODAY(),"VIGENTE")))</f>
        <v>VIGENTE</v>
      </c>
      <c r="PSR948" s="6" t="s">
        <v>25</v>
      </c>
      <c r="PSS948" s="23" t="s">
        <v>138</v>
      </c>
      <c r="PST948" s="2" t="s">
        <v>433</v>
      </c>
      <c r="PSU948" s="3" t="s">
        <v>22</v>
      </c>
      <c r="PSV948" s="3" t="s">
        <v>23</v>
      </c>
      <c r="PSW948" s="2" t="s">
        <v>24</v>
      </c>
      <c r="PSX948" s="4">
        <v>0</v>
      </c>
      <c r="PSY948" s="8">
        <f t="shared" ref="PSY948" si="5096">IF(PSU948="Ionizador", 10, IF(PSU948="Mesa", 1000000000, IF(PSU948="Rack", 1000000000, IF(PSU948="Piso", 1000000000, IF(PSU948="Tapete", 1000000000, IF(PSU948="Carrito", 1000000000, IF(PSU948="Cautín", 10, 1)))))))</f>
        <v>1000000000</v>
      </c>
      <c r="PSZ948" s="4" t="str">
        <f t="shared" ref="PSZ948" si="5097">IF(PSU948="Ionizador", "Segundos", "Ohms")</f>
        <v>Ohms</v>
      </c>
      <c r="PTA948" s="6">
        <v>148000000</v>
      </c>
      <c r="PTB948" s="6" t="str">
        <f t="shared" ref="PTB948" si="5098">PSZ948</f>
        <v>Ohms</v>
      </c>
      <c r="PTC948" s="2" t="str">
        <f t="shared" ref="PTC948" si="5099">IF(PSU948="Ionizador", "Plato de carga", IF(PSU948="Cautín", "PTG", "RTG"))</f>
        <v>RTG</v>
      </c>
      <c r="PTD948" s="7">
        <v>45992</v>
      </c>
      <c r="PTE948" s="7">
        <f t="shared" ref="PTE948" si="5100">IF(PTF948="Trimestral", PTD948+90, IF(PTF948="Semestral", PTD948+180, PTD948+365))</f>
        <v>46172</v>
      </c>
      <c r="PTF948" s="7" t="str">
        <f t="shared" ref="PTF948" si="5101">IF(PSU948="Ionizador", "Trimestral", IF(PSU948="Rack", "Semestral", IF(PSU948="Mesa", "Semestral", IF(PSU948="Tapete", "Semestral", IF(PSU948="Cautín", "Semestral", IF(PSU948="Silla", "Semestral", "Anual"))))))</f>
        <v>Semestral</v>
      </c>
      <c r="PTG948" s="2" t="str">
        <f t="shared" ref="PTG948" ca="1" si="5102">IF(PTE948&lt;TODAY(),"VENCIDO",IF(PTE948=TODAY(),"VENCE HOY",IF(PTE948&gt;TODAY(),"VIGENTE")))</f>
        <v>VIGENTE</v>
      </c>
      <c r="PTH948" s="6" t="s">
        <v>25</v>
      </c>
      <c r="PTI948" s="23" t="s">
        <v>138</v>
      </c>
      <c r="PTJ948" s="2" t="s">
        <v>433</v>
      </c>
      <c r="PTK948" s="3" t="s">
        <v>22</v>
      </c>
      <c r="PTL948" s="3" t="s">
        <v>23</v>
      </c>
      <c r="PTM948" s="2" t="s">
        <v>24</v>
      </c>
      <c r="PTN948" s="4">
        <v>0</v>
      </c>
      <c r="PTO948" s="8">
        <f t="shared" ref="PTO948" si="5103">IF(PTK948="Ionizador", 10, IF(PTK948="Mesa", 1000000000, IF(PTK948="Rack", 1000000000, IF(PTK948="Piso", 1000000000, IF(PTK948="Tapete", 1000000000, IF(PTK948="Carrito", 1000000000, IF(PTK948="Cautín", 10, 1)))))))</f>
        <v>1000000000</v>
      </c>
      <c r="PTP948" s="4" t="str">
        <f t="shared" ref="PTP948" si="5104">IF(PTK948="Ionizador", "Segundos", "Ohms")</f>
        <v>Ohms</v>
      </c>
      <c r="PTQ948" s="6">
        <v>148000000</v>
      </c>
      <c r="PTR948" s="6" t="str">
        <f t="shared" ref="PTR948" si="5105">PTP948</f>
        <v>Ohms</v>
      </c>
      <c r="PTS948" s="2" t="str">
        <f t="shared" ref="PTS948" si="5106">IF(PTK948="Ionizador", "Plato de carga", IF(PTK948="Cautín", "PTG", "RTG"))</f>
        <v>RTG</v>
      </c>
      <c r="PTT948" s="7">
        <v>45992</v>
      </c>
      <c r="PTU948" s="7">
        <f t="shared" ref="PTU948" si="5107">IF(PTV948="Trimestral", PTT948+90, IF(PTV948="Semestral", PTT948+180, PTT948+365))</f>
        <v>46172</v>
      </c>
      <c r="PTV948" s="7" t="str">
        <f t="shared" ref="PTV948" si="5108">IF(PTK948="Ionizador", "Trimestral", IF(PTK948="Rack", "Semestral", IF(PTK948="Mesa", "Semestral", IF(PTK948="Tapete", "Semestral", IF(PTK948="Cautín", "Semestral", IF(PTK948="Silla", "Semestral", "Anual"))))))</f>
        <v>Semestral</v>
      </c>
      <c r="PTW948" s="2" t="str">
        <f t="shared" ref="PTW948" ca="1" si="5109">IF(PTU948&lt;TODAY(),"VENCIDO",IF(PTU948=TODAY(),"VENCE HOY",IF(PTU948&gt;TODAY(),"VIGENTE")))</f>
        <v>VIGENTE</v>
      </c>
      <c r="PTX948" s="6" t="s">
        <v>25</v>
      </c>
      <c r="PTY948" s="23" t="s">
        <v>138</v>
      </c>
      <c r="PTZ948" s="2" t="s">
        <v>433</v>
      </c>
      <c r="PUA948" s="3" t="s">
        <v>22</v>
      </c>
      <c r="PUB948" s="3" t="s">
        <v>23</v>
      </c>
      <c r="PUC948" s="2" t="s">
        <v>24</v>
      </c>
      <c r="PUD948" s="4">
        <v>0</v>
      </c>
      <c r="PUE948" s="8">
        <f t="shared" ref="PUE948" si="5110">IF(PUA948="Ionizador", 10, IF(PUA948="Mesa", 1000000000, IF(PUA948="Rack", 1000000000, IF(PUA948="Piso", 1000000000, IF(PUA948="Tapete", 1000000000, IF(PUA948="Carrito", 1000000000, IF(PUA948="Cautín", 10, 1)))))))</f>
        <v>1000000000</v>
      </c>
      <c r="PUF948" s="4" t="str">
        <f t="shared" ref="PUF948" si="5111">IF(PUA948="Ionizador", "Segundos", "Ohms")</f>
        <v>Ohms</v>
      </c>
      <c r="PUG948" s="6">
        <v>148000000</v>
      </c>
      <c r="PUH948" s="6" t="str">
        <f t="shared" ref="PUH948" si="5112">PUF948</f>
        <v>Ohms</v>
      </c>
      <c r="PUI948" s="2" t="str">
        <f t="shared" ref="PUI948" si="5113">IF(PUA948="Ionizador", "Plato de carga", IF(PUA948="Cautín", "PTG", "RTG"))</f>
        <v>RTG</v>
      </c>
      <c r="PUJ948" s="7">
        <v>45992</v>
      </c>
      <c r="PUK948" s="7">
        <f t="shared" ref="PUK948" si="5114">IF(PUL948="Trimestral", PUJ948+90, IF(PUL948="Semestral", PUJ948+180, PUJ948+365))</f>
        <v>46172</v>
      </c>
      <c r="PUL948" s="7" t="str">
        <f t="shared" ref="PUL948" si="5115">IF(PUA948="Ionizador", "Trimestral", IF(PUA948="Rack", "Semestral", IF(PUA948="Mesa", "Semestral", IF(PUA948="Tapete", "Semestral", IF(PUA948="Cautín", "Semestral", IF(PUA948="Silla", "Semestral", "Anual"))))))</f>
        <v>Semestral</v>
      </c>
      <c r="PUM948" s="2" t="str">
        <f t="shared" ref="PUM948" ca="1" si="5116">IF(PUK948&lt;TODAY(),"VENCIDO",IF(PUK948=TODAY(),"VENCE HOY",IF(PUK948&gt;TODAY(),"VIGENTE")))</f>
        <v>VIGENTE</v>
      </c>
      <c r="PUN948" s="6" t="s">
        <v>25</v>
      </c>
      <c r="PUO948" s="23" t="s">
        <v>138</v>
      </c>
      <c r="PUP948" s="2" t="s">
        <v>433</v>
      </c>
      <c r="PUQ948" s="3" t="s">
        <v>22</v>
      </c>
      <c r="PUR948" s="3" t="s">
        <v>23</v>
      </c>
      <c r="PUS948" s="2" t="s">
        <v>24</v>
      </c>
      <c r="PUT948" s="4">
        <v>0</v>
      </c>
      <c r="PUU948" s="8">
        <f t="shared" ref="PUU948" si="5117">IF(PUQ948="Ionizador", 10, IF(PUQ948="Mesa", 1000000000, IF(PUQ948="Rack", 1000000000, IF(PUQ948="Piso", 1000000000, IF(PUQ948="Tapete", 1000000000, IF(PUQ948="Carrito", 1000000000, IF(PUQ948="Cautín", 10, 1)))))))</f>
        <v>1000000000</v>
      </c>
      <c r="PUV948" s="4" t="str">
        <f t="shared" ref="PUV948" si="5118">IF(PUQ948="Ionizador", "Segundos", "Ohms")</f>
        <v>Ohms</v>
      </c>
      <c r="PUW948" s="6">
        <v>148000000</v>
      </c>
      <c r="PUX948" s="6" t="str">
        <f t="shared" ref="PUX948" si="5119">PUV948</f>
        <v>Ohms</v>
      </c>
      <c r="PUY948" s="2" t="str">
        <f t="shared" ref="PUY948" si="5120">IF(PUQ948="Ionizador", "Plato de carga", IF(PUQ948="Cautín", "PTG", "RTG"))</f>
        <v>RTG</v>
      </c>
      <c r="PUZ948" s="7">
        <v>45992</v>
      </c>
      <c r="PVA948" s="7">
        <f t="shared" ref="PVA948" si="5121">IF(PVB948="Trimestral", PUZ948+90, IF(PVB948="Semestral", PUZ948+180, PUZ948+365))</f>
        <v>46172</v>
      </c>
      <c r="PVB948" s="7" t="str">
        <f t="shared" ref="PVB948" si="5122">IF(PUQ948="Ionizador", "Trimestral", IF(PUQ948="Rack", "Semestral", IF(PUQ948="Mesa", "Semestral", IF(PUQ948="Tapete", "Semestral", IF(PUQ948="Cautín", "Semestral", IF(PUQ948="Silla", "Semestral", "Anual"))))))</f>
        <v>Semestral</v>
      </c>
      <c r="PVC948" s="2" t="str">
        <f t="shared" ref="PVC948" ca="1" si="5123">IF(PVA948&lt;TODAY(),"VENCIDO",IF(PVA948=TODAY(),"VENCE HOY",IF(PVA948&gt;TODAY(),"VIGENTE")))</f>
        <v>VIGENTE</v>
      </c>
      <c r="PVD948" s="6" t="s">
        <v>25</v>
      </c>
      <c r="PVE948" s="23" t="s">
        <v>138</v>
      </c>
      <c r="PVF948" s="2" t="s">
        <v>433</v>
      </c>
      <c r="PVG948" s="3" t="s">
        <v>22</v>
      </c>
      <c r="PVH948" s="3" t="s">
        <v>23</v>
      </c>
      <c r="PVI948" s="2" t="s">
        <v>24</v>
      </c>
      <c r="PVJ948" s="4">
        <v>0</v>
      </c>
      <c r="PVK948" s="8">
        <f t="shared" ref="PVK948" si="5124">IF(PVG948="Ionizador", 10, IF(PVG948="Mesa", 1000000000, IF(PVG948="Rack", 1000000000, IF(PVG948="Piso", 1000000000, IF(PVG948="Tapete", 1000000000, IF(PVG948="Carrito", 1000000000, IF(PVG948="Cautín", 10, 1)))))))</f>
        <v>1000000000</v>
      </c>
      <c r="PVL948" s="4" t="str">
        <f t="shared" ref="PVL948" si="5125">IF(PVG948="Ionizador", "Segundos", "Ohms")</f>
        <v>Ohms</v>
      </c>
      <c r="PVM948" s="6">
        <v>148000000</v>
      </c>
      <c r="PVN948" s="6" t="str">
        <f t="shared" ref="PVN948" si="5126">PVL948</f>
        <v>Ohms</v>
      </c>
      <c r="PVO948" s="2" t="str">
        <f t="shared" ref="PVO948" si="5127">IF(PVG948="Ionizador", "Plato de carga", IF(PVG948="Cautín", "PTG", "RTG"))</f>
        <v>RTG</v>
      </c>
      <c r="PVP948" s="7">
        <v>45992</v>
      </c>
      <c r="PVQ948" s="7">
        <f t="shared" ref="PVQ948" si="5128">IF(PVR948="Trimestral", PVP948+90, IF(PVR948="Semestral", PVP948+180, PVP948+365))</f>
        <v>46172</v>
      </c>
      <c r="PVR948" s="7" t="str">
        <f t="shared" ref="PVR948" si="5129">IF(PVG948="Ionizador", "Trimestral", IF(PVG948="Rack", "Semestral", IF(PVG948="Mesa", "Semestral", IF(PVG948="Tapete", "Semestral", IF(PVG948="Cautín", "Semestral", IF(PVG948="Silla", "Semestral", "Anual"))))))</f>
        <v>Semestral</v>
      </c>
      <c r="PVS948" s="2" t="str">
        <f t="shared" ref="PVS948" ca="1" si="5130">IF(PVQ948&lt;TODAY(),"VENCIDO",IF(PVQ948=TODAY(),"VENCE HOY",IF(PVQ948&gt;TODAY(),"VIGENTE")))</f>
        <v>VIGENTE</v>
      </c>
      <c r="PVT948" s="6" t="s">
        <v>25</v>
      </c>
      <c r="PVU948" s="23" t="s">
        <v>138</v>
      </c>
      <c r="PVV948" s="2" t="s">
        <v>433</v>
      </c>
      <c r="PVW948" s="3" t="s">
        <v>22</v>
      </c>
      <c r="PVX948" s="3" t="s">
        <v>23</v>
      </c>
      <c r="PVY948" s="2" t="s">
        <v>24</v>
      </c>
      <c r="PVZ948" s="4">
        <v>0</v>
      </c>
      <c r="PWA948" s="8">
        <f t="shared" ref="PWA948" si="5131">IF(PVW948="Ionizador", 10, IF(PVW948="Mesa", 1000000000, IF(PVW948="Rack", 1000000000, IF(PVW948="Piso", 1000000000, IF(PVW948="Tapete", 1000000000, IF(PVW948="Carrito", 1000000000, IF(PVW948="Cautín", 10, 1)))))))</f>
        <v>1000000000</v>
      </c>
      <c r="PWB948" s="4" t="str">
        <f t="shared" ref="PWB948" si="5132">IF(PVW948="Ionizador", "Segundos", "Ohms")</f>
        <v>Ohms</v>
      </c>
      <c r="PWC948" s="6">
        <v>148000000</v>
      </c>
      <c r="PWD948" s="6" t="str">
        <f t="shared" ref="PWD948" si="5133">PWB948</f>
        <v>Ohms</v>
      </c>
      <c r="PWE948" s="2" t="str">
        <f t="shared" ref="PWE948" si="5134">IF(PVW948="Ionizador", "Plato de carga", IF(PVW948="Cautín", "PTG", "RTG"))</f>
        <v>RTG</v>
      </c>
      <c r="PWF948" s="7">
        <v>45992</v>
      </c>
      <c r="PWG948" s="7">
        <f t="shared" ref="PWG948" si="5135">IF(PWH948="Trimestral", PWF948+90, IF(PWH948="Semestral", PWF948+180, PWF948+365))</f>
        <v>46172</v>
      </c>
      <c r="PWH948" s="7" t="str">
        <f t="shared" ref="PWH948" si="5136">IF(PVW948="Ionizador", "Trimestral", IF(PVW948="Rack", "Semestral", IF(PVW948="Mesa", "Semestral", IF(PVW948="Tapete", "Semestral", IF(PVW948="Cautín", "Semestral", IF(PVW948="Silla", "Semestral", "Anual"))))))</f>
        <v>Semestral</v>
      </c>
      <c r="PWI948" s="2" t="str">
        <f t="shared" ref="PWI948" ca="1" si="5137">IF(PWG948&lt;TODAY(),"VENCIDO",IF(PWG948=TODAY(),"VENCE HOY",IF(PWG948&gt;TODAY(),"VIGENTE")))</f>
        <v>VIGENTE</v>
      </c>
      <c r="PWJ948" s="6" t="s">
        <v>25</v>
      </c>
      <c r="PWK948" s="23" t="s">
        <v>138</v>
      </c>
      <c r="PWL948" s="2" t="s">
        <v>433</v>
      </c>
      <c r="PWM948" s="3" t="s">
        <v>22</v>
      </c>
      <c r="PWN948" s="3" t="s">
        <v>23</v>
      </c>
      <c r="PWO948" s="2" t="s">
        <v>24</v>
      </c>
      <c r="PWP948" s="4">
        <v>0</v>
      </c>
      <c r="PWQ948" s="8">
        <f t="shared" ref="PWQ948" si="5138">IF(PWM948="Ionizador", 10, IF(PWM948="Mesa", 1000000000, IF(PWM948="Rack", 1000000000, IF(PWM948="Piso", 1000000000, IF(PWM948="Tapete", 1000000000, IF(PWM948="Carrito", 1000000000, IF(PWM948="Cautín", 10, 1)))))))</f>
        <v>1000000000</v>
      </c>
      <c r="PWR948" s="4" t="str">
        <f t="shared" ref="PWR948" si="5139">IF(PWM948="Ionizador", "Segundos", "Ohms")</f>
        <v>Ohms</v>
      </c>
      <c r="PWS948" s="6">
        <v>148000000</v>
      </c>
      <c r="PWT948" s="6" t="str">
        <f t="shared" ref="PWT948" si="5140">PWR948</f>
        <v>Ohms</v>
      </c>
      <c r="PWU948" s="2" t="str">
        <f t="shared" ref="PWU948" si="5141">IF(PWM948="Ionizador", "Plato de carga", IF(PWM948="Cautín", "PTG", "RTG"))</f>
        <v>RTG</v>
      </c>
      <c r="PWV948" s="7">
        <v>45992</v>
      </c>
      <c r="PWW948" s="7">
        <f t="shared" ref="PWW948" si="5142">IF(PWX948="Trimestral", PWV948+90, IF(PWX948="Semestral", PWV948+180, PWV948+365))</f>
        <v>46172</v>
      </c>
      <c r="PWX948" s="7" t="str">
        <f t="shared" ref="PWX948" si="5143">IF(PWM948="Ionizador", "Trimestral", IF(PWM948="Rack", "Semestral", IF(PWM948="Mesa", "Semestral", IF(PWM948="Tapete", "Semestral", IF(PWM948="Cautín", "Semestral", IF(PWM948="Silla", "Semestral", "Anual"))))))</f>
        <v>Semestral</v>
      </c>
      <c r="PWY948" s="2" t="str">
        <f t="shared" ref="PWY948" ca="1" si="5144">IF(PWW948&lt;TODAY(),"VENCIDO",IF(PWW948=TODAY(),"VENCE HOY",IF(PWW948&gt;TODAY(),"VIGENTE")))</f>
        <v>VIGENTE</v>
      </c>
      <c r="PWZ948" s="6" t="s">
        <v>25</v>
      </c>
      <c r="PXA948" s="23" t="s">
        <v>138</v>
      </c>
      <c r="PXB948" s="2" t="s">
        <v>433</v>
      </c>
      <c r="PXC948" s="3" t="s">
        <v>22</v>
      </c>
      <c r="PXD948" s="3" t="s">
        <v>23</v>
      </c>
      <c r="PXE948" s="2" t="s">
        <v>24</v>
      </c>
      <c r="PXF948" s="4">
        <v>0</v>
      </c>
      <c r="PXG948" s="8">
        <f t="shared" ref="PXG948" si="5145">IF(PXC948="Ionizador", 10, IF(PXC948="Mesa", 1000000000, IF(PXC948="Rack", 1000000000, IF(PXC948="Piso", 1000000000, IF(PXC948="Tapete", 1000000000, IF(PXC948="Carrito", 1000000000, IF(PXC948="Cautín", 10, 1)))))))</f>
        <v>1000000000</v>
      </c>
      <c r="PXH948" s="4" t="str">
        <f t="shared" ref="PXH948" si="5146">IF(PXC948="Ionizador", "Segundos", "Ohms")</f>
        <v>Ohms</v>
      </c>
      <c r="PXI948" s="6">
        <v>148000000</v>
      </c>
      <c r="PXJ948" s="6" t="str">
        <f t="shared" ref="PXJ948" si="5147">PXH948</f>
        <v>Ohms</v>
      </c>
      <c r="PXK948" s="2" t="str">
        <f t="shared" ref="PXK948" si="5148">IF(PXC948="Ionizador", "Plato de carga", IF(PXC948="Cautín", "PTG", "RTG"))</f>
        <v>RTG</v>
      </c>
      <c r="PXL948" s="7">
        <v>45992</v>
      </c>
      <c r="PXM948" s="7">
        <f t="shared" ref="PXM948" si="5149">IF(PXN948="Trimestral", PXL948+90, IF(PXN948="Semestral", PXL948+180, PXL948+365))</f>
        <v>46172</v>
      </c>
      <c r="PXN948" s="7" t="str">
        <f t="shared" ref="PXN948" si="5150">IF(PXC948="Ionizador", "Trimestral", IF(PXC948="Rack", "Semestral", IF(PXC948="Mesa", "Semestral", IF(PXC948="Tapete", "Semestral", IF(PXC948="Cautín", "Semestral", IF(PXC948="Silla", "Semestral", "Anual"))))))</f>
        <v>Semestral</v>
      </c>
      <c r="PXO948" s="2" t="str">
        <f t="shared" ref="PXO948" ca="1" si="5151">IF(PXM948&lt;TODAY(),"VENCIDO",IF(PXM948=TODAY(),"VENCE HOY",IF(PXM948&gt;TODAY(),"VIGENTE")))</f>
        <v>VIGENTE</v>
      </c>
      <c r="PXP948" s="6" t="s">
        <v>25</v>
      </c>
      <c r="PXQ948" s="23" t="s">
        <v>138</v>
      </c>
      <c r="PXR948" s="2" t="s">
        <v>433</v>
      </c>
      <c r="PXS948" s="3" t="s">
        <v>22</v>
      </c>
      <c r="PXT948" s="3" t="s">
        <v>23</v>
      </c>
      <c r="PXU948" s="2" t="s">
        <v>24</v>
      </c>
      <c r="PXV948" s="4">
        <v>0</v>
      </c>
      <c r="PXW948" s="8">
        <f t="shared" ref="PXW948" si="5152">IF(PXS948="Ionizador", 10, IF(PXS948="Mesa", 1000000000, IF(PXS948="Rack", 1000000000, IF(PXS948="Piso", 1000000000, IF(PXS948="Tapete", 1000000000, IF(PXS948="Carrito", 1000000000, IF(PXS948="Cautín", 10, 1)))))))</f>
        <v>1000000000</v>
      </c>
      <c r="PXX948" s="4" t="str">
        <f t="shared" ref="PXX948" si="5153">IF(PXS948="Ionizador", "Segundos", "Ohms")</f>
        <v>Ohms</v>
      </c>
      <c r="PXY948" s="6">
        <v>148000000</v>
      </c>
      <c r="PXZ948" s="6" t="str">
        <f t="shared" ref="PXZ948" si="5154">PXX948</f>
        <v>Ohms</v>
      </c>
      <c r="PYA948" s="2" t="str">
        <f t="shared" ref="PYA948" si="5155">IF(PXS948="Ionizador", "Plato de carga", IF(PXS948="Cautín", "PTG", "RTG"))</f>
        <v>RTG</v>
      </c>
      <c r="PYB948" s="7">
        <v>45992</v>
      </c>
      <c r="PYC948" s="7">
        <f t="shared" ref="PYC948" si="5156">IF(PYD948="Trimestral", PYB948+90, IF(PYD948="Semestral", PYB948+180, PYB948+365))</f>
        <v>46172</v>
      </c>
      <c r="PYD948" s="7" t="str">
        <f t="shared" ref="PYD948" si="5157">IF(PXS948="Ionizador", "Trimestral", IF(PXS948="Rack", "Semestral", IF(PXS948="Mesa", "Semestral", IF(PXS948="Tapete", "Semestral", IF(PXS948="Cautín", "Semestral", IF(PXS948="Silla", "Semestral", "Anual"))))))</f>
        <v>Semestral</v>
      </c>
      <c r="PYE948" s="2" t="str">
        <f t="shared" ref="PYE948" ca="1" si="5158">IF(PYC948&lt;TODAY(),"VENCIDO",IF(PYC948=TODAY(),"VENCE HOY",IF(PYC948&gt;TODAY(),"VIGENTE")))</f>
        <v>VIGENTE</v>
      </c>
      <c r="PYF948" s="6" t="s">
        <v>25</v>
      </c>
      <c r="PYG948" s="23" t="s">
        <v>138</v>
      </c>
      <c r="PYH948" s="2" t="s">
        <v>433</v>
      </c>
      <c r="PYI948" s="3" t="s">
        <v>22</v>
      </c>
      <c r="PYJ948" s="3" t="s">
        <v>23</v>
      </c>
      <c r="PYK948" s="2" t="s">
        <v>24</v>
      </c>
      <c r="PYL948" s="4">
        <v>0</v>
      </c>
      <c r="PYM948" s="8">
        <f t="shared" ref="PYM948" si="5159">IF(PYI948="Ionizador", 10, IF(PYI948="Mesa", 1000000000, IF(PYI948="Rack", 1000000000, IF(PYI948="Piso", 1000000000, IF(PYI948="Tapete", 1000000000, IF(PYI948="Carrito", 1000000000, IF(PYI948="Cautín", 10, 1)))))))</f>
        <v>1000000000</v>
      </c>
      <c r="PYN948" s="4" t="str">
        <f t="shared" ref="PYN948" si="5160">IF(PYI948="Ionizador", "Segundos", "Ohms")</f>
        <v>Ohms</v>
      </c>
      <c r="PYO948" s="6">
        <v>148000000</v>
      </c>
      <c r="PYP948" s="6" t="str">
        <f t="shared" ref="PYP948" si="5161">PYN948</f>
        <v>Ohms</v>
      </c>
      <c r="PYQ948" s="2" t="str">
        <f t="shared" ref="PYQ948" si="5162">IF(PYI948="Ionizador", "Plato de carga", IF(PYI948="Cautín", "PTG", "RTG"))</f>
        <v>RTG</v>
      </c>
      <c r="PYR948" s="7">
        <v>45992</v>
      </c>
      <c r="PYS948" s="7">
        <f t="shared" ref="PYS948" si="5163">IF(PYT948="Trimestral", PYR948+90, IF(PYT948="Semestral", PYR948+180, PYR948+365))</f>
        <v>46172</v>
      </c>
      <c r="PYT948" s="7" t="str">
        <f t="shared" ref="PYT948" si="5164">IF(PYI948="Ionizador", "Trimestral", IF(PYI948="Rack", "Semestral", IF(PYI948="Mesa", "Semestral", IF(PYI948="Tapete", "Semestral", IF(PYI948="Cautín", "Semestral", IF(PYI948="Silla", "Semestral", "Anual"))))))</f>
        <v>Semestral</v>
      </c>
      <c r="PYU948" s="2" t="str">
        <f t="shared" ref="PYU948" ca="1" si="5165">IF(PYS948&lt;TODAY(),"VENCIDO",IF(PYS948=TODAY(),"VENCE HOY",IF(PYS948&gt;TODAY(),"VIGENTE")))</f>
        <v>VIGENTE</v>
      </c>
      <c r="PYV948" s="6" t="s">
        <v>25</v>
      </c>
      <c r="PYW948" s="23" t="s">
        <v>138</v>
      </c>
      <c r="PYX948" s="2" t="s">
        <v>433</v>
      </c>
      <c r="PYY948" s="3" t="s">
        <v>22</v>
      </c>
      <c r="PYZ948" s="3" t="s">
        <v>23</v>
      </c>
      <c r="PZA948" s="2" t="s">
        <v>24</v>
      </c>
      <c r="PZB948" s="4">
        <v>0</v>
      </c>
      <c r="PZC948" s="8">
        <f t="shared" ref="PZC948" si="5166">IF(PYY948="Ionizador", 10, IF(PYY948="Mesa", 1000000000, IF(PYY948="Rack", 1000000000, IF(PYY948="Piso", 1000000000, IF(PYY948="Tapete", 1000000000, IF(PYY948="Carrito", 1000000000, IF(PYY948="Cautín", 10, 1)))))))</f>
        <v>1000000000</v>
      </c>
      <c r="PZD948" s="4" t="str">
        <f t="shared" ref="PZD948" si="5167">IF(PYY948="Ionizador", "Segundos", "Ohms")</f>
        <v>Ohms</v>
      </c>
      <c r="PZE948" s="6">
        <v>148000000</v>
      </c>
      <c r="PZF948" s="6" t="str">
        <f t="shared" ref="PZF948" si="5168">PZD948</f>
        <v>Ohms</v>
      </c>
      <c r="PZG948" s="2" t="str">
        <f t="shared" ref="PZG948" si="5169">IF(PYY948="Ionizador", "Plato de carga", IF(PYY948="Cautín", "PTG", "RTG"))</f>
        <v>RTG</v>
      </c>
      <c r="PZH948" s="7">
        <v>45992</v>
      </c>
      <c r="PZI948" s="7">
        <f t="shared" ref="PZI948" si="5170">IF(PZJ948="Trimestral", PZH948+90, IF(PZJ948="Semestral", PZH948+180, PZH948+365))</f>
        <v>46172</v>
      </c>
      <c r="PZJ948" s="7" t="str">
        <f t="shared" ref="PZJ948" si="5171">IF(PYY948="Ionizador", "Trimestral", IF(PYY948="Rack", "Semestral", IF(PYY948="Mesa", "Semestral", IF(PYY948="Tapete", "Semestral", IF(PYY948="Cautín", "Semestral", IF(PYY948="Silla", "Semestral", "Anual"))))))</f>
        <v>Semestral</v>
      </c>
      <c r="PZK948" s="2" t="str">
        <f t="shared" ref="PZK948" ca="1" si="5172">IF(PZI948&lt;TODAY(),"VENCIDO",IF(PZI948=TODAY(),"VENCE HOY",IF(PZI948&gt;TODAY(),"VIGENTE")))</f>
        <v>VIGENTE</v>
      </c>
      <c r="PZL948" s="6" t="s">
        <v>25</v>
      </c>
      <c r="PZM948" s="23" t="s">
        <v>138</v>
      </c>
      <c r="PZN948" s="2" t="s">
        <v>433</v>
      </c>
      <c r="PZO948" s="3" t="s">
        <v>22</v>
      </c>
      <c r="PZP948" s="3" t="s">
        <v>23</v>
      </c>
      <c r="PZQ948" s="2" t="s">
        <v>24</v>
      </c>
      <c r="PZR948" s="4">
        <v>0</v>
      </c>
      <c r="PZS948" s="8">
        <f t="shared" ref="PZS948" si="5173">IF(PZO948="Ionizador", 10, IF(PZO948="Mesa", 1000000000, IF(PZO948="Rack", 1000000000, IF(PZO948="Piso", 1000000000, IF(PZO948="Tapete", 1000000000, IF(PZO948="Carrito", 1000000000, IF(PZO948="Cautín", 10, 1)))))))</f>
        <v>1000000000</v>
      </c>
      <c r="PZT948" s="4" t="str">
        <f t="shared" ref="PZT948" si="5174">IF(PZO948="Ionizador", "Segundos", "Ohms")</f>
        <v>Ohms</v>
      </c>
      <c r="PZU948" s="6">
        <v>148000000</v>
      </c>
      <c r="PZV948" s="6" t="str">
        <f t="shared" ref="PZV948" si="5175">PZT948</f>
        <v>Ohms</v>
      </c>
      <c r="PZW948" s="2" t="str">
        <f t="shared" ref="PZW948" si="5176">IF(PZO948="Ionizador", "Plato de carga", IF(PZO948="Cautín", "PTG", "RTG"))</f>
        <v>RTG</v>
      </c>
      <c r="PZX948" s="7">
        <v>45992</v>
      </c>
      <c r="PZY948" s="7">
        <f t="shared" ref="PZY948" si="5177">IF(PZZ948="Trimestral", PZX948+90, IF(PZZ948="Semestral", PZX948+180, PZX948+365))</f>
        <v>46172</v>
      </c>
      <c r="PZZ948" s="7" t="str">
        <f t="shared" ref="PZZ948" si="5178">IF(PZO948="Ionizador", "Trimestral", IF(PZO948="Rack", "Semestral", IF(PZO948="Mesa", "Semestral", IF(PZO948="Tapete", "Semestral", IF(PZO948="Cautín", "Semestral", IF(PZO948="Silla", "Semestral", "Anual"))))))</f>
        <v>Semestral</v>
      </c>
      <c r="QAA948" s="2" t="str">
        <f t="shared" ref="QAA948" ca="1" si="5179">IF(PZY948&lt;TODAY(),"VENCIDO",IF(PZY948=TODAY(),"VENCE HOY",IF(PZY948&gt;TODAY(),"VIGENTE")))</f>
        <v>VIGENTE</v>
      </c>
      <c r="QAB948" s="6" t="s">
        <v>25</v>
      </c>
      <c r="QAC948" s="23" t="s">
        <v>138</v>
      </c>
      <c r="QAD948" s="2" t="s">
        <v>433</v>
      </c>
      <c r="QAE948" s="3" t="s">
        <v>22</v>
      </c>
      <c r="QAF948" s="3" t="s">
        <v>23</v>
      </c>
      <c r="QAG948" s="2" t="s">
        <v>24</v>
      </c>
      <c r="QAH948" s="4">
        <v>0</v>
      </c>
      <c r="QAI948" s="8">
        <f t="shared" ref="QAI948" si="5180">IF(QAE948="Ionizador", 10, IF(QAE948="Mesa", 1000000000, IF(QAE948="Rack", 1000000000, IF(QAE948="Piso", 1000000000, IF(QAE948="Tapete", 1000000000, IF(QAE948="Carrito", 1000000000, IF(QAE948="Cautín", 10, 1)))))))</f>
        <v>1000000000</v>
      </c>
      <c r="QAJ948" s="4" t="str">
        <f t="shared" ref="QAJ948" si="5181">IF(QAE948="Ionizador", "Segundos", "Ohms")</f>
        <v>Ohms</v>
      </c>
      <c r="QAK948" s="6">
        <v>148000000</v>
      </c>
      <c r="QAL948" s="6" t="str">
        <f t="shared" ref="QAL948" si="5182">QAJ948</f>
        <v>Ohms</v>
      </c>
      <c r="QAM948" s="2" t="str">
        <f t="shared" ref="QAM948" si="5183">IF(QAE948="Ionizador", "Plato de carga", IF(QAE948="Cautín", "PTG", "RTG"))</f>
        <v>RTG</v>
      </c>
      <c r="QAN948" s="7">
        <v>45992</v>
      </c>
      <c r="QAO948" s="7">
        <f t="shared" ref="QAO948" si="5184">IF(QAP948="Trimestral", QAN948+90, IF(QAP948="Semestral", QAN948+180, QAN948+365))</f>
        <v>46172</v>
      </c>
      <c r="QAP948" s="7" t="str">
        <f t="shared" ref="QAP948" si="5185">IF(QAE948="Ionizador", "Trimestral", IF(QAE948="Rack", "Semestral", IF(QAE948="Mesa", "Semestral", IF(QAE948="Tapete", "Semestral", IF(QAE948="Cautín", "Semestral", IF(QAE948="Silla", "Semestral", "Anual"))))))</f>
        <v>Semestral</v>
      </c>
      <c r="QAQ948" s="2" t="str">
        <f t="shared" ref="QAQ948" ca="1" si="5186">IF(QAO948&lt;TODAY(),"VENCIDO",IF(QAO948=TODAY(),"VENCE HOY",IF(QAO948&gt;TODAY(),"VIGENTE")))</f>
        <v>VIGENTE</v>
      </c>
      <c r="QAR948" s="6" t="s">
        <v>25</v>
      </c>
      <c r="QAS948" s="23" t="s">
        <v>138</v>
      </c>
      <c r="QAT948" s="2" t="s">
        <v>433</v>
      </c>
      <c r="QAU948" s="3" t="s">
        <v>22</v>
      </c>
      <c r="QAV948" s="3" t="s">
        <v>23</v>
      </c>
      <c r="QAW948" s="2" t="s">
        <v>24</v>
      </c>
      <c r="QAX948" s="4">
        <v>0</v>
      </c>
      <c r="QAY948" s="8">
        <f t="shared" ref="QAY948" si="5187">IF(QAU948="Ionizador", 10, IF(QAU948="Mesa", 1000000000, IF(QAU948="Rack", 1000000000, IF(QAU948="Piso", 1000000000, IF(QAU948="Tapete", 1000000000, IF(QAU948="Carrito", 1000000000, IF(QAU948="Cautín", 10, 1)))))))</f>
        <v>1000000000</v>
      </c>
      <c r="QAZ948" s="4" t="str">
        <f t="shared" ref="QAZ948" si="5188">IF(QAU948="Ionizador", "Segundos", "Ohms")</f>
        <v>Ohms</v>
      </c>
      <c r="QBA948" s="6">
        <v>148000000</v>
      </c>
      <c r="QBB948" s="6" t="str">
        <f t="shared" ref="QBB948" si="5189">QAZ948</f>
        <v>Ohms</v>
      </c>
      <c r="QBC948" s="2" t="str">
        <f t="shared" ref="QBC948" si="5190">IF(QAU948="Ionizador", "Plato de carga", IF(QAU948="Cautín", "PTG", "RTG"))</f>
        <v>RTG</v>
      </c>
      <c r="QBD948" s="7">
        <v>45992</v>
      </c>
      <c r="QBE948" s="7">
        <f t="shared" ref="QBE948" si="5191">IF(QBF948="Trimestral", QBD948+90, IF(QBF948="Semestral", QBD948+180, QBD948+365))</f>
        <v>46172</v>
      </c>
      <c r="QBF948" s="7" t="str">
        <f t="shared" ref="QBF948" si="5192">IF(QAU948="Ionizador", "Trimestral", IF(QAU948="Rack", "Semestral", IF(QAU948="Mesa", "Semestral", IF(QAU948="Tapete", "Semestral", IF(QAU948="Cautín", "Semestral", IF(QAU948="Silla", "Semestral", "Anual"))))))</f>
        <v>Semestral</v>
      </c>
      <c r="QBG948" s="2" t="str">
        <f t="shared" ref="QBG948" ca="1" si="5193">IF(QBE948&lt;TODAY(),"VENCIDO",IF(QBE948=TODAY(),"VENCE HOY",IF(QBE948&gt;TODAY(),"VIGENTE")))</f>
        <v>VIGENTE</v>
      </c>
      <c r="QBH948" s="6" t="s">
        <v>25</v>
      </c>
      <c r="QBI948" s="23" t="s">
        <v>138</v>
      </c>
      <c r="QBJ948" s="2" t="s">
        <v>433</v>
      </c>
      <c r="QBK948" s="3" t="s">
        <v>22</v>
      </c>
      <c r="QBL948" s="3" t="s">
        <v>23</v>
      </c>
      <c r="QBM948" s="2" t="s">
        <v>24</v>
      </c>
      <c r="QBN948" s="4">
        <v>0</v>
      </c>
      <c r="QBO948" s="8">
        <f t="shared" ref="QBO948" si="5194">IF(QBK948="Ionizador", 10, IF(QBK948="Mesa", 1000000000, IF(QBK948="Rack", 1000000000, IF(QBK948="Piso", 1000000000, IF(QBK948="Tapete", 1000000000, IF(QBK948="Carrito", 1000000000, IF(QBK948="Cautín", 10, 1)))))))</f>
        <v>1000000000</v>
      </c>
      <c r="QBP948" s="4" t="str">
        <f t="shared" ref="QBP948" si="5195">IF(QBK948="Ionizador", "Segundos", "Ohms")</f>
        <v>Ohms</v>
      </c>
      <c r="QBQ948" s="6">
        <v>148000000</v>
      </c>
      <c r="QBR948" s="6" t="str">
        <f t="shared" ref="QBR948" si="5196">QBP948</f>
        <v>Ohms</v>
      </c>
      <c r="QBS948" s="2" t="str">
        <f t="shared" ref="QBS948" si="5197">IF(QBK948="Ionizador", "Plato de carga", IF(QBK948="Cautín", "PTG", "RTG"))</f>
        <v>RTG</v>
      </c>
      <c r="QBT948" s="7">
        <v>45992</v>
      </c>
      <c r="QBU948" s="7">
        <f t="shared" ref="QBU948" si="5198">IF(QBV948="Trimestral", QBT948+90, IF(QBV948="Semestral", QBT948+180, QBT948+365))</f>
        <v>46172</v>
      </c>
      <c r="QBV948" s="7" t="str">
        <f t="shared" ref="QBV948" si="5199">IF(QBK948="Ionizador", "Trimestral", IF(QBK948="Rack", "Semestral", IF(QBK948="Mesa", "Semestral", IF(QBK948="Tapete", "Semestral", IF(QBK948="Cautín", "Semestral", IF(QBK948="Silla", "Semestral", "Anual"))))))</f>
        <v>Semestral</v>
      </c>
      <c r="QBW948" s="2" t="str">
        <f t="shared" ref="QBW948" ca="1" si="5200">IF(QBU948&lt;TODAY(),"VENCIDO",IF(QBU948=TODAY(),"VENCE HOY",IF(QBU948&gt;TODAY(),"VIGENTE")))</f>
        <v>VIGENTE</v>
      </c>
      <c r="QBX948" s="6" t="s">
        <v>25</v>
      </c>
      <c r="QBY948" s="23" t="s">
        <v>138</v>
      </c>
      <c r="QBZ948" s="2" t="s">
        <v>433</v>
      </c>
      <c r="QCA948" s="3" t="s">
        <v>22</v>
      </c>
      <c r="QCB948" s="3" t="s">
        <v>23</v>
      </c>
      <c r="QCC948" s="2" t="s">
        <v>24</v>
      </c>
      <c r="QCD948" s="4">
        <v>0</v>
      </c>
      <c r="QCE948" s="8">
        <f t="shared" ref="QCE948" si="5201">IF(QCA948="Ionizador", 10, IF(QCA948="Mesa", 1000000000, IF(QCA948="Rack", 1000000000, IF(QCA948="Piso", 1000000000, IF(QCA948="Tapete", 1000000000, IF(QCA948="Carrito", 1000000000, IF(QCA948="Cautín", 10, 1)))))))</f>
        <v>1000000000</v>
      </c>
      <c r="QCF948" s="4" t="str">
        <f t="shared" ref="QCF948" si="5202">IF(QCA948="Ionizador", "Segundos", "Ohms")</f>
        <v>Ohms</v>
      </c>
      <c r="QCG948" s="6">
        <v>148000000</v>
      </c>
      <c r="QCH948" s="6" t="str">
        <f t="shared" ref="QCH948" si="5203">QCF948</f>
        <v>Ohms</v>
      </c>
      <c r="QCI948" s="2" t="str">
        <f t="shared" ref="QCI948" si="5204">IF(QCA948="Ionizador", "Plato de carga", IF(QCA948="Cautín", "PTG", "RTG"))</f>
        <v>RTG</v>
      </c>
      <c r="QCJ948" s="7">
        <v>45992</v>
      </c>
      <c r="QCK948" s="7">
        <f t="shared" ref="QCK948" si="5205">IF(QCL948="Trimestral", QCJ948+90, IF(QCL948="Semestral", QCJ948+180, QCJ948+365))</f>
        <v>46172</v>
      </c>
      <c r="QCL948" s="7" t="str">
        <f t="shared" ref="QCL948" si="5206">IF(QCA948="Ionizador", "Trimestral", IF(QCA948="Rack", "Semestral", IF(QCA948="Mesa", "Semestral", IF(QCA948="Tapete", "Semestral", IF(QCA948="Cautín", "Semestral", IF(QCA948="Silla", "Semestral", "Anual"))))))</f>
        <v>Semestral</v>
      </c>
      <c r="QCM948" s="2" t="str">
        <f t="shared" ref="QCM948" ca="1" si="5207">IF(QCK948&lt;TODAY(),"VENCIDO",IF(QCK948=TODAY(),"VENCE HOY",IF(QCK948&gt;TODAY(),"VIGENTE")))</f>
        <v>VIGENTE</v>
      </c>
      <c r="QCN948" s="6" t="s">
        <v>25</v>
      </c>
      <c r="QCO948" s="23" t="s">
        <v>138</v>
      </c>
      <c r="QCP948" s="2" t="s">
        <v>433</v>
      </c>
      <c r="QCQ948" s="3" t="s">
        <v>22</v>
      </c>
      <c r="QCR948" s="3" t="s">
        <v>23</v>
      </c>
      <c r="QCS948" s="2" t="s">
        <v>24</v>
      </c>
      <c r="QCT948" s="4">
        <v>0</v>
      </c>
      <c r="QCU948" s="8">
        <f t="shared" ref="QCU948" si="5208">IF(QCQ948="Ionizador", 10, IF(QCQ948="Mesa", 1000000000, IF(QCQ948="Rack", 1000000000, IF(QCQ948="Piso", 1000000000, IF(QCQ948="Tapete", 1000000000, IF(QCQ948="Carrito", 1000000000, IF(QCQ948="Cautín", 10, 1)))))))</f>
        <v>1000000000</v>
      </c>
      <c r="QCV948" s="4" t="str">
        <f t="shared" ref="QCV948" si="5209">IF(QCQ948="Ionizador", "Segundos", "Ohms")</f>
        <v>Ohms</v>
      </c>
      <c r="QCW948" s="6">
        <v>148000000</v>
      </c>
      <c r="QCX948" s="6" t="str">
        <f t="shared" ref="QCX948" si="5210">QCV948</f>
        <v>Ohms</v>
      </c>
      <c r="QCY948" s="2" t="str">
        <f t="shared" ref="QCY948" si="5211">IF(QCQ948="Ionizador", "Plato de carga", IF(QCQ948="Cautín", "PTG", "RTG"))</f>
        <v>RTG</v>
      </c>
      <c r="QCZ948" s="7">
        <v>45992</v>
      </c>
      <c r="QDA948" s="7">
        <f t="shared" ref="QDA948" si="5212">IF(QDB948="Trimestral", QCZ948+90, IF(QDB948="Semestral", QCZ948+180, QCZ948+365))</f>
        <v>46172</v>
      </c>
      <c r="QDB948" s="7" t="str">
        <f t="shared" ref="QDB948" si="5213">IF(QCQ948="Ionizador", "Trimestral", IF(QCQ948="Rack", "Semestral", IF(QCQ948="Mesa", "Semestral", IF(QCQ948="Tapete", "Semestral", IF(QCQ948="Cautín", "Semestral", IF(QCQ948="Silla", "Semestral", "Anual"))))))</f>
        <v>Semestral</v>
      </c>
      <c r="QDC948" s="2" t="str">
        <f t="shared" ref="QDC948" ca="1" si="5214">IF(QDA948&lt;TODAY(),"VENCIDO",IF(QDA948=TODAY(),"VENCE HOY",IF(QDA948&gt;TODAY(),"VIGENTE")))</f>
        <v>VIGENTE</v>
      </c>
      <c r="QDD948" s="6" t="s">
        <v>25</v>
      </c>
      <c r="QDE948" s="23" t="s">
        <v>138</v>
      </c>
      <c r="QDF948" s="2" t="s">
        <v>433</v>
      </c>
      <c r="QDG948" s="3" t="s">
        <v>22</v>
      </c>
      <c r="QDH948" s="3" t="s">
        <v>23</v>
      </c>
      <c r="QDI948" s="2" t="s">
        <v>24</v>
      </c>
      <c r="QDJ948" s="4">
        <v>0</v>
      </c>
      <c r="QDK948" s="8">
        <f t="shared" ref="QDK948" si="5215">IF(QDG948="Ionizador", 10, IF(QDG948="Mesa", 1000000000, IF(QDG948="Rack", 1000000000, IF(QDG948="Piso", 1000000000, IF(QDG948="Tapete", 1000000000, IF(QDG948="Carrito", 1000000000, IF(QDG948="Cautín", 10, 1)))))))</f>
        <v>1000000000</v>
      </c>
      <c r="QDL948" s="4" t="str">
        <f t="shared" ref="QDL948" si="5216">IF(QDG948="Ionizador", "Segundos", "Ohms")</f>
        <v>Ohms</v>
      </c>
      <c r="QDM948" s="6">
        <v>148000000</v>
      </c>
      <c r="QDN948" s="6" t="str">
        <f t="shared" ref="QDN948" si="5217">QDL948</f>
        <v>Ohms</v>
      </c>
      <c r="QDO948" s="2" t="str">
        <f t="shared" ref="QDO948" si="5218">IF(QDG948="Ionizador", "Plato de carga", IF(QDG948="Cautín", "PTG", "RTG"))</f>
        <v>RTG</v>
      </c>
      <c r="QDP948" s="7">
        <v>45992</v>
      </c>
      <c r="QDQ948" s="7">
        <f t="shared" ref="QDQ948" si="5219">IF(QDR948="Trimestral", QDP948+90, IF(QDR948="Semestral", QDP948+180, QDP948+365))</f>
        <v>46172</v>
      </c>
      <c r="QDR948" s="7" t="str">
        <f t="shared" ref="QDR948" si="5220">IF(QDG948="Ionizador", "Trimestral", IF(QDG948="Rack", "Semestral", IF(QDG948="Mesa", "Semestral", IF(QDG948="Tapete", "Semestral", IF(QDG948="Cautín", "Semestral", IF(QDG948="Silla", "Semestral", "Anual"))))))</f>
        <v>Semestral</v>
      </c>
      <c r="QDS948" s="2" t="str">
        <f t="shared" ref="QDS948" ca="1" si="5221">IF(QDQ948&lt;TODAY(),"VENCIDO",IF(QDQ948=TODAY(),"VENCE HOY",IF(QDQ948&gt;TODAY(),"VIGENTE")))</f>
        <v>VIGENTE</v>
      </c>
      <c r="QDT948" s="6" t="s">
        <v>25</v>
      </c>
      <c r="QDU948" s="23" t="s">
        <v>138</v>
      </c>
      <c r="QDV948" s="2" t="s">
        <v>433</v>
      </c>
      <c r="QDW948" s="3" t="s">
        <v>22</v>
      </c>
      <c r="QDX948" s="3" t="s">
        <v>23</v>
      </c>
      <c r="QDY948" s="2" t="s">
        <v>24</v>
      </c>
      <c r="QDZ948" s="4">
        <v>0</v>
      </c>
      <c r="QEA948" s="8">
        <f t="shared" ref="QEA948" si="5222">IF(QDW948="Ionizador", 10, IF(QDW948="Mesa", 1000000000, IF(QDW948="Rack", 1000000000, IF(QDW948="Piso", 1000000000, IF(QDW948="Tapete", 1000000000, IF(QDW948="Carrito", 1000000000, IF(QDW948="Cautín", 10, 1)))))))</f>
        <v>1000000000</v>
      </c>
      <c r="QEB948" s="4" t="str">
        <f t="shared" ref="QEB948" si="5223">IF(QDW948="Ionizador", "Segundos", "Ohms")</f>
        <v>Ohms</v>
      </c>
      <c r="QEC948" s="6">
        <v>148000000</v>
      </c>
      <c r="QED948" s="6" t="str">
        <f t="shared" ref="QED948" si="5224">QEB948</f>
        <v>Ohms</v>
      </c>
      <c r="QEE948" s="2" t="str">
        <f t="shared" ref="QEE948" si="5225">IF(QDW948="Ionizador", "Plato de carga", IF(QDW948="Cautín", "PTG", "RTG"))</f>
        <v>RTG</v>
      </c>
      <c r="QEF948" s="7">
        <v>45992</v>
      </c>
      <c r="QEG948" s="7">
        <f t="shared" ref="QEG948" si="5226">IF(QEH948="Trimestral", QEF948+90, IF(QEH948="Semestral", QEF948+180, QEF948+365))</f>
        <v>46172</v>
      </c>
      <c r="QEH948" s="7" t="str">
        <f t="shared" ref="QEH948" si="5227">IF(QDW948="Ionizador", "Trimestral", IF(QDW948="Rack", "Semestral", IF(QDW948="Mesa", "Semestral", IF(QDW948="Tapete", "Semestral", IF(QDW948="Cautín", "Semestral", IF(QDW948="Silla", "Semestral", "Anual"))))))</f>
        <v>Semestral</v>
      </c>
      <c r="QEI948" s="2" t="str">
        <f t="shared" ref="QEI948" ca="1" si="5228">IF(QEG948&lt;TODAY(),"VENCIDO",IF(QEG948=TODAY(),"VENCE HOY",IF(QEG948&gt;TODAY(),"VIGENTE")))</f>
        <v>VIGENTE</v>
      </c>
      <c r="QEJ948" s="6" t="s">
        <v>25</v>
      </c>
      <c r="QEK948" s="23" t="s">
        <v>138</v>
      </c>
      <c r="QEL948" s="2" t="s">
        <v>433</v>
      </c>
      <c r="QEM948" s="3" t="s">
        <v>22</v>
      </c>
      <c r="QEN948" s="3" t="s">
        <v>23</v>
      </c>
      <c r="QEO948" s="2" t="s">
        <v>24</v>
      </c>
      <c r="QEP948" s="4">
        <v>0</v>
      </c>
      <c r="QEQ948" s="8">
        <f t="shared" ref="QEQ948" si="5229">IF(QEM948="Ionizador", 10, IF(QEM948="Mesa", 1000000000, IF(QEM948="Rack", 1000000000, IF(QEM948="Piso", 1000000000, IF(QEM948="Tapete", 1000000000, IF(QEM948="Carrito", 1000000000, IF(QEM948="Cautín", 10, 1)))))))</f>
        <v>1000000000</v>
      </c>
      <c r="QER948" s="4" t="str">
        <f t="shared" ref="QER948" si="5230">IF(QEM948="Ionizador", "Segundos", "Ohms")</f>
        <v>Ohms</v>
      </c>
      <c r="QES948" s="6">
        <v>148000000</v>
      </c>
      <c r="QET948" s="6" t="str">
        <f t="shared" ref="QET948" si="5231">QER948</f>
        <v>Ohms</v>
      </c>
      <c r="QEU948" s="2" t="str">
        <f t="shared" ref="QEU948" si="5232">IF(QEM948="Ionizador", "Plato de carga", IF(QEM948="Cautín", "PTG", "RTG"))</f>
        <v>RTG</v>
      </c>
      <c r="QEV948" s="7">
        <v>45992</v>
      </c>
      <c r="QEW948" s="7">
        <f t="shared" ref="QEW948" si="5233">IF(QEX948="Trimestral", QEV948+90, IF(QEX948="Semestral", QEV948+180, QEV948+365))</f>
        <v>46172</v>
      </c>
      <c r="QEX948" s="7" t="str">
        <f t="shared" ref="QEX948" si="5234">IF(QEM948="Ionizador", "Trimestral", IF(QEM948="Rack", "Semestral", IF(QEM948="Mesa", "Semestral", IF(QEM948="Tapete", "Semestral", IF(QEM948="Cautín", "Semestral", IF(QEM948="Silla", "Semestral", "Anual"))))))</f>
        <v>Semestral</v>
      </c>
      <c r="QEY948" s="2" t="str">
        <f t="shared" ref="QEY948" ca="1" si="5235">IF(QEW948&lt;TODAY(),"VENCIDO",IF(QEW948=TODAY(),"VENCE HOY",IF(QEW948&gt;TODAY(),"VIGENTE")))</f>
        <v>VIGENTE</v>
      </c>
      <c r="QEZ948" s="6" t="s">
        <v>25</v>
      </c>
      <c r="QFA948" s="23" t="s">
        <v>138</v>
      </c>
      <c r="QFB948" s="2" t="s">
        <v>433</v>
      </c>
      <c r="QFC948" s="3" t="s">
        <v>22</v>
      </c>
      <c r="QFD948" s="3" t="s">
        <v>23</v>
      </c>
      <c r="QFE948" s="2" t="s">
        <v>24</v>
      </c>
      <c r="QFF948" s="4">
        <v>0</v>
      </c>
      <c r="QFG948" s="8">
        <f t="shared" ref="QFG948" si="5236">IF(QFC948="Ionizador", 10, IF(QFC948="Mesa", 1000000000, IF(QFC948="Rack", 1000000000, IF(QFC948="Piso", 1000000000, IF(QFC948="Tapete", 1000000000, IF(QFC948="Carrito", 1000000000, IF(QFC948="Cautín", 10, 1)))))))</f>
        <v>1000000000</v>
      </c>
      <c r="QFH948" s="4" t="str">
        <f t="shared" ref="QFH948" si="5237">IF(QFC948="Ionizador", "Segundos", "Ohms")</f>
        <v>Ohms</v>
      </c>
      <c r="QFI948" s="6">
        <v>148000000</v>
      </c>
      <c r="QFJ948" s="6" t="str">
        <f t="shared" ref="QFJ948" si="5238">QFH948</f>
        <v>Ohms</v>
      </c>
      <c r="QFK948" s="2" t="str">
        <f t="shared" ref="QFK948" si="5239">IF(QFC948="Ionizador", "Plato de carga", IF(QFC948="Cautín", "PTG", "RTG"))</f>
        <v>RTG</v>
      </c>
      <c r="QFL948" s="7">
        <v>45992</v>
      </c>
      <c r="QFM948" s="7">
        <f t="shared" ref="QFM948" si="5240">IF(QFN948="Trimestral", QFL948+90, IF(QFN948="Semestral", QFL948+180, QFL948+365))</f>
        <v>46172</v>
      </c>
      <c r="QFN948" s="7" t="str">
        <f t="shared" ref="QFN948" si="5241">IF(QFC948="Ionizador", "Trimestral", IF(QFC948="Rack", "Semestral", IF(QFC948="Mesa", "Semestral", IF(QFC948="Tapete", "Semestral", IF(QFC948="Cautín", "Semestral", IF(QFC948="Silla", "Semestral", "Anual"))))))</f>
        <v>Semestral</v>
      </c>
      <c r="QFO948" s="2" t="str">
        <f t="shared" ref="QFO948" ca="1" si="5242">IF(QFM948&lt;TODAY(),"VENCIDO",IF(QFM948=TODAY(),"VENCE HOY",IF(QFM948&gt;TODAY(),"VIGENTE")))</f>
        <v>VIGENTE</v>
      </c>
      <c r="QFP948" s="6" t="s">
        <v>25</v>
      </c>
      <c r="QFQ948" s="23" t="s">
        <v>138</v>
      </c>
      <c r="QFR948" s="2" t="s">
        <v>433</v>
      </c>
      <c r="QFS948" s="3" t="s">
        <v>22</v>
      </c>
      <c r="QFT948" s="3" t="s">
        <v>23</v>
      </c>
      <c r="QFU948" s="2" t="s">
        <v>24</v>
      </c>
      <c r="QFV948" s="4">
        <v>0</v>
      </c>
      <c r="QFW948" s="8">
        <f t="shared" ref="QFW948" si="5243">IF(QFS948="Ionizador", 10, IF(QFS948="Mesa", 1000000000, IF(QFS948="Rack", 1000000000, IF(QFS948="Piso", 1000000000, IF(QFS948="Tapete", 1000000000, IF(QFS948="Carrito", 1000000000, IF(QFS948="Cautín", 10, 1)))))))</f>
        <v>1000000000</v>
      </c>
      <c r="QFX948" s="4" t="str">
        <f t="shared" ref="QFX948" si="5244">IF(QFS948="Ionizador", "Segundos", "Ohms")</f>
        <v>Ohms</v>
      </c>
      <c r="QFY948" s="6">
        <v>148000000</v>
      </c>
      <c r="QFZ948" s="6" t="str">
        <f t="shared" ref="QFZ948" si="5245">QFX948</f>
        <v>Ohms</v>
      </c>
      <c r="QGA948" s="2" t="str">
        <f t="shared" ref="QGA948" si="5246">IF(QFS948="Ionizador", "Plato de carga", IF(QFS948="Cautín", "PTG", "RTG"))</f>
        <v>RTG</v>
      </c>
      <c r="QGB948" s="7">
        <v>45992</v>
      </c>
      <c r="QGC948" s="7">
        <f t="shared" ref="QGC948" si="5247">IF(QGD948="Trimestral", QGB948+90, IF(QGD948="Semestral", QGB948+180, QGB948+365))</f>
        <v>46172</v>
      </c>
      <c r="QGD948" s="7" t="str">
        <f t="shared" ref="QGD948" si="5248">IF(QFS948="Ionizador", "Trimestral", IF(QFS948="Rack", "Semestral", IF(QFS948="Mesa", "Semestral", IF(QFS948="Tapete", "Semestral", IF(QFS948="Cautín", "Semestral", IF(QFS948="Silla", "Semestral", "Anual"))))))</f>
        <v>Semestral</v>
      </c>
      <c r="QGE948" s="2" t="str">
        <f t="shared" ref="QGE948" ca="1" si="5249">IF(QGC948&lt;TODAY(),"VENCIDO",IF(QGC948=TODAY(),"VENCE HOY",IF(QGC948&gt;TODAY(),"VIGENTE")))</f>
        <v>VIGENTE</v>
      </c>
      <c r="QGF948" s="6" t="s">
        <v>25</v>
      </c>
      <c r="QGG948" s="23" t="s">
        <v>138</v>
      </c>
      <c r="QGH948" s="2" t="s">
        <v>433</v>
      </c>
      <c r="QGI948" s="3" t="s">
        <v>22</v>
      </c>
      <c r="QGJ948" s="3" t="s">
        <v>23</v>
      </c>
      <c r="QGK948" s="2" t="s">
        <v>24</v>
      </c>
      <c r="QGL948" s="4">
        <v>0</v>
      </c>
      <c r="QGM948" s="8">
        <f t="shared" ref="QGM948" si="5250">IF(QGI948="Ionizador", 10, IF(QGI948="Mesa", 1000000000, IF(QGI948="Rack", 1000000000, IF(QGI948="Piso", 1000000000, IF(QGI948="Tapete", 1000000000, IF(QGI948="Carrito", 1000000000, IF(QGI948="Cautín", 10, 1)))))))</f>
        <v>1000000000</v>
      </c>
      <c r="QGN948" s="4" t="str">
        <f t="shared" ref="QGN948" si="5251">IF(QGI948="Ionizador", "Segundos", "Ohms")</f>
        <v>Ohms</v>
      </c>
      <c r="QGO948" s="6">
        <v>148000000</v>
      </c>
      <c r="QGP948" s="6" t="str">
        <f t="shared" ref="QGP948" si="5252">QGN948</f>
        <v>Ohms</v>
      </c>
      <c r="QGQ948" s="2" t="str">
        <f t="shared" ref="QGQ948" si="5253">IF(QGI948="Ionizador", "Plato de carga", IF(QGI948="Cautín", "PTG", "RTG"))</f>
        <v>RTG</v>
      </c>
      <c r="QGR948" s="7">
        <v>45992</v>
      </c>
      <c r="QGS948" s="7">
        <f t="shared" ref="QGS948" si="5254">IF(QGT948="Trimestral", QGR948+90, IF(QGT948="Semestral", QGR948+180, QGR948+365))</f>
        <v>46172</v>
      </c>
      <c r="QGT948" s="7" t="str">
        <f t="shared" ref="QGT948" si="5255">IF(QGI948="Ionizador", "Trimestral", IF(QGI948="Rack", "Semestral", IF(QGI948="Mesa", "Semestral", IF(QGI948="Tapete", "Semestral", IF(QGI948="Cautín", "Semestral", IF(QGI948="Silla", "Semestral", "Anual"))))))</f>
        <v>Semestral</v>
      </c>
      <c r="QGU948" s="2" t="str">
        <f t="shared" ref="QGU948" ca="1" si="5256">IF(QGS948&lt;TODAY(),"VENCIDO",IF(QGS948=TODAY(),"VENCE HOY",IF(QGS948&gt;TODAY(),"VIGENTE")))</f>
        <v>VIGENTE</v>
      </c>
      <c r="QGV948" s="6" t="s">
        <v>25</v>
      </c>
      <c r="QGW948" s="23" t="s">
        <v>138</v>
      </c>
      <c r="QGX948" s="2" t="s">
        <v>433</v>
      </c>
      <c r="QGY948" s="3" t="s">
        <v>22</v>
      </c>
      <c r="QGZ948" s="3" t="s">
        <v>23</v>
      </c>
      <c r="QHA948" s="2" t="s">
        <v>24</v>
      </c>
      <c r="QHB948" s="4">
        <v>0</v>
      </c>
      <c r="QHC948" s="8">
        <f t="shared" ref="QHC948" si="5257">IF(QGY948="Ionizador", 10, IF(QGY948="Mesa", 1000000000, IF(QGY948="Rack", 1000000000, IF(QGY948="Piso", 1000000000, IF(QGY948="Tapete", 1000000000, IF(QGY948="Carrito", 1000000000, IF(QGY948="Cautín", 10, 1)))))))</f>
        <v>1000000000</v>
      </c>
      <c r="QHD948" s="4" t="str">
        <f t="shared" ref="QHD948" si="5258">IF(QGY948="Ionizador", "Segundos", "Ohms")</f>
        <v>Ohms</v>
      </c>
      <c r="QHE948" s="6">
        <v>148000000</v>
      </c>
      <c r="QHF948" s="6" t="str">
        <f t="shared" ref="QHF948" si="5259">QHD948</f>
        <v>Ohms</v>
      </c>
      <c r="QHG948" s="2" t="str">
        <f t="shared" ref="QHG948" si="5260">IF(QGY948="Ionizador", "Plato de carga", IF(QGY948="Cautín", "PTG", "RTG"))</f>
        <v>RTG</v>
      </c>
      <c r="QHH948" s="7">
        <v>45992</v>
      </c>
      <c r="QHI948" s="7">
        <f t="shared" ref="QHI948" si="5261">IF(QHJ948="Trimestral", QHH948+90, IF(QHJ948="Semestral", QHH948+180, QHH948+365))</f>
        <v>46172</v>
      </c>
      <c r="QHJ948" s="7" t="str">
        <f t="shared" ref="QHJ948" si="5262">IF(QGY948="Ionizador", "Trimestral", IF(QGY948="Rack", "Semestral", IF(QGY948="Mesa", "Semestral", IF(QGY948="Tapete", "Semestral", IF(QGY948="Cautín", "Semestral", IF(QGY948="Silla", "Semestral", "Anual"))))))</f>
        <v>Semestral</v>
      </c>
      <c r="QHK948" s="2" t="str">
        <f t="shared" ref="QHK948" ca="1" si="5263">IF(QHI948&lt;TODAY(),"VENCIDO",IF(QHI948=TODAY(),"VENCE HOY",IF(QHI948&gt;TODAY(),"VIGENTE")))</f>
        <v>VIGENTE</v>
      </c>
      <c r="QHL948" s="6" t="s">
        <v>25</v>
      </c>
      <c r="QHM948" s="23" t="s">
        <v>138</v>
      </c>
      <c r="QHN948" s="2" t="s">
        <v>433</v>
      </c>
      <c r="QHO948" s="3" t="s">
        <v>22</v>
      </c>
      <c r="QHP948" s="3" t="s">
        <v>23</v>
      </c>
      <c r="QHQ948" s="2" t="s">
        <v>24</v>
      </c>
      <c r="QHR948" s="4">
        <v>0</v>
      </c>
      <c r="QHS948" s="8">
        <f t="shared" ref="QHS948" si="5264">IF(QHO948="Ionizador", 10, IF(QHO948="Mesa", 1000000000, IF(QHO948="Rack", 1000000000, IF(QHO948="Piso", 1000000000, IF(QHO948="Tapete", 1000000000, IF(QHO948="Carrito", 1000000000, IF(QHO948="Cautín", 10, 1)))))))</f>
        <v>1000000000</v>
      </c>
      <c r="QHT948" s="4" t="str">
        <f t="shared" ref="QHT948" si="5265">IF(QHO948="Ionizador", "Segundos", "Ohms")</f>
        <v>Ohms</v>
      </c>
      <c r="QHU948" s="6">
        <v>148000000</v>
      </c>
      <c r="QHV948" s="6" t="str">
        <f t="shared" ref="QHV948" si="5266">QHT948</f>
        <v>Ohms</v>
      </c>
      <c r="QHW948" s="2" t="str">
        <f t="shared" ref="QHW948" si="5267">IF(QHO948="Ionizador", "Plato de carga", IF(QHO948="Cautín", "PTG", "RTG"))</f>
        <v>RTG</v>
      </c>
      <c r="QHX948" s="7">
        <v>45992</v>
      </c>
      <c r="QHY948" s="7">
        <f t="shared" ref="QHY948" si="5268">IF(QHZ948="Trimestral", QHX948+90, IF(QHZ948="Semestral", QHX948+180, QHX948+365))</f>
        <v>46172</v>
      </c>
      <c r="QHZ948" s="7" t="str">
        <f t="shared" ref="QHZ948" si="5269">IF(QHO948="Ionizador", "Trimestral", IF(QHO948="Rack", "Semestral", IF(QHO948="Mesa", "Semestral", IF(QHO948="Tapete", "Semestral", IF(QHO948="Cautín", "Semestral", IF(QHO948="Silla", "Semestral", "Anual"))))))</f>
        <v>Semestral</v>
      </c>
      <c r="QIA948" s="2" t="str">
        <f t="shared" ref="QIA948" ca="1" si="5270">IF(QHY948&lt;TODAY(),"VENCIDO",IF(QHY948=TODAY(),"VENCE HOY",IF(QHY948&gt;TODAY(),"VIGENTE")))</f>
        <v>VIGENTE</v>
      </c>
      <c r="QIB948" s="6" t="s">
        <v>25</v>
      </c>
      <c r="QIC948" s="23" t="s">
        <v>138</v>
      </c>
      <c r="QID948" s="2" t="s">
        <v>433</v>
      </c>
      <c r="QIE948" s="3" t="s">
        <v>22</v>
      </c>
      <c r="QIF948" s="3" t="s">
        <v>23</v>
      </c>
      <c r="QIG948" s="2" t="s">
        <v>24</v>
      </c>
      <c r="QIH948" s="4">
        <v>0</v>
      </c>
      <c r="QII948" s="8">
        <f t="shared" ref="QII948" si="5271">IF(QIE948="Ionizador", 10, IF(QIE948="Mesa", 1000000000, IF(QIE948="Rack", 1000000000, IF(QIE948="Piso", 1000000000, IF(QIE948="Tapete", 1000000000, IF(QIE948="Carrito", 1000000000, IF(QIE948="Cautín", 10, 1)))))))</f>
        <v>1000000000</v>
      </c>
      <c r="QIJ948" s="4" t="str">
        <f t="shared" ref="QIJ948" si="5272">IF(QIE948="Ionizador", "Segundos", "Ohms")</f>
        <v>Ohms</v>
      </c>
      <c r="QIK948" s="6">
        <v>148000000</v>
      </c>
      <c r="QIL948" s="6" t="str">
        <f t="shared" ref="QIL948" si="5273">QIJ948</f>
        <v>Ohms</v>
      </c>
      <c r="QIM948" s="2" t="str">
        <f t="shared" ref="QIM948" si="5274">IF(QIE948="Ionizador", "Plato de carga", IF(QIE948="Cautín", "PTG", "RTG"))</f>
        <v>RTG</v>
      </c>
      <c r="QIN948" s="7">
        <v>45992</v>
      </c>
      <c r="QIO948" s="7">
        <f t="shared" ref="QIO948" si="5275">IF(QIP948="Trimestral", QIN948+90, IF(QIP948="Semestral", QIN948+180, QIN948+365))</f>
        <v>46172</v>
      </c>
      <c r="QIP948" s="7" t="str">
        <f t="shared" ref="QIP948" si="5276">IF(QIE948="Ionizador", "Trimestral", IF(QIE948="Rack", "Semestral", IF(QIE948="Mesa", "Semestral", IF(QIE948="Tapete", "Semestral", IF(QIE948="Cautín", "Semestral", IF(QIE948="Silla", "Semestral", "Anual"))))))</f>
        <v>Semestral</v>
      </c>
      <c r="QIQ948" s="2" t="str">
        <f t="shared" ref="QIQ948" ca="1" si="5277">IF(QIO948&lt;TODAY(),"VENCIDO",IF(QIO948=TODAY(),"VENCE HOY",IF(QIO948&gt;TODAY(),"VIGENTE")))</f>
        <v>VIGENTE</v>
      </c>
      <c r="QIR948" s="6" t="s">
        <v>25</v>
      </c>
      <c r="QIS948" s="23" t="s">
        <v>138</v>
      </c>
      <c r="QIT948" s="2" t="s">
        <v>433</v>
      </c>
      <c r="QIU948" s="3" t="s">
        <v>22</v>
      </c>
      <c r="QIV948" s="3" t="s">
        <v>23</v>
      </c>
      <c r="QIW948" s="2" t="s">
        <v>24</v>
      </c>
      <c r="QIX948" s="4">
        <v>0</v>
      </c>
      <c r="QIY948" s="8">
        <f t="shared" ref="QIY948" si="5278">IF(QIU948="Ionizador", 10, IF(QIU948="Mesa", 1000000000, IF(QIU948="Rack", 1000000000, IF(QIU948="Piso", 1000000000, IF(QIU948="Tapete", 1000000000, IF(QIU948="Carrito", 1000000000, IF(QIU948="Cautín", 10, 1)))))))</f>
        <v>1000000000</v>
      </c>
      <c r="QIZ948" s="4" t="str">
        <f t="shared" ref="QIZ948" si="5279">IF(QIU948="Ionizador", "Segundos", "Ohms")</f>
        <v>Ohms</v>
      </c>
      <c r="QJA948" s="6">
        <v>148000000</v>
      </c>
      <c r="QJB948" s="6" t="str">
        <f t="shared" ref="QJB948" si="5280">QIZ948</f>
        <v>Ohms</v>
      </c>
      <c r="QJC948" s="2" t="str">
        <f t="shared" ref="QJC948" si="5281">IF(QIU948="Ionizador", "Plato de carga", IF(QIU948="Cautín", "PTG", "RTG"))</f>
        <v>RTG</v>
      </c>
      <c r="QJD948" s="7">
        <v>45992</v>
      </c>
      <c r="QJE948" s="7">
        <f t="shared" ref="QJE948" si="5282">IF(QJF948="Trimestral", QJD948+90, IF(QJF948="Semestral", QJD948+180, QJD948+365))</f>
        <v>46172</v>
      </c>
      <c r="QJF948" s="7" t="str">
        <f t="shared" ref="QJF948" si="5283">IF(QIU948="Ionizador", "Trimestral", IF(QIU948="Rack", "Semestral", IF(QIU948="Mesa", "Semestral", IF(QIU948="Tapete", "Semestral", IF(QIU948="Cautín", "Semestral", IF(QIU948="Silla", "Semestral", "Anual"))))))</f>
        <v>Semestral</v>
      </c>
      <c r="QJG948" s="2" t="str">
        <f t="shared" ref="QJG948" ca="1" si="5284">IF(QJE948&lt;TODAY(),"VENCIDO",IF(QJE948=TODAY(),"VENCE HOY",IF(QJE948&gt;TODAY(),"VIGENTE")))</f>
        <v>VIGENTE</v>
      </c>
      <c r="QJH948" s="6" t="s">
        <v>25</v>
      </c>
      <c r="QJI948" s="23" t="s">
        <v>138</v>
      </c>
      <c r="QJJ948" s="2" t="s">
        <v>433</v>
      </c>
      <c r="QJK948" s="3" t="s">
        <v>22</v>
      </c>
      <c r="QJL948" s="3" t="s">
        <v>23</v>
      </c>
      <c r="QJM948" s="2" t="s">
        <v>24</v>
      </c>
      <c r="QJN948" s="4">
        <v>0</v>
      </c>
      <c r="QJO948" s="8">
        <f t="shared" ref="QJO948" si="5285">IF(QJK948="Ionizador", 10, IF(QJK948="Mesa", 1000000000, IF(QJK948="Rack", 1000000000, IF(QJK948="Piso", 1000000000, IF(QJK948="Tapete", 1000000000, IF(QJK948="Carrito", 1000000000, IF(QJK948="Cautín", 10, 1)))))))</f>
        <v>1000000000</v>
      </c>
      <c r="QJP948" s="4" t="str">
        <f t="shared" ref="QJP948" si="5286">IF(QJK948="Ionizador", "Segundos", "Ohms")</f>
        <v>Ohms</v>
      </c>
      <c r="QJQ948" s="6">
        <v>148000000</v>
      </c>
      <c r="QJR948" s="6" t="str">
        <f t="shared" ref="QJR948" si="5287">QJP948</f>
        <v>Ohms</v>
      </c>
      <c r="QJS948" s="2" t="str">
        <f t="shared" ref="QJS948" si="5288">IF(QJK948="Ionizador", "Plato de carga", IF(QJK948="Cautín", "PTG", "RTG"))</f>
        <v>RTG</v>
      </c>
      <c r="QJT948" s="7">
        <v>45992</v>
      </c>
      <c r="QJU948" s="7">
        <f t="shared" ref="QJU948" si="5289">IF(QJV948="Trimestral", QJT948+90, IF(QJV948="Semestral", QJT948+180, QJT948+365))</f>
        <v>46172</v>
      </c>
      <c r="QJV948" s="7" t="str">
        <f t="shared" ref="QJV948" si="5290">IF(QJK948="Ionizador", "Trimestral", IF(QJK948="Rack", "Semestral", IF(QJK948="Mesa", "Semestral", IF(QJK948="Tapete", "Semestral", IF(QJK948="Cautín", "Semestral", IF(QJK948="Silla", "Semestral", "Anual"))))))</f>
        <v>Semestral</v>
      </c>
      <c r="QJW948" s="2" t="str">
        <f t="shared" ref="QJW948" ca="1" si="5291">IF(QJU948&lt;TODAY(),"VENCIDO",IF(QJU948=TODAY(),"VENCE HOY",IF(QJU948&gt;TODAY(),"VIGENTE")))</f>
        <v>VIGENTE</v>
      </c>
      <c r="QJX948" s="6" t="s">
        <v>25</v>
      </c>
      <c r="QJY948" s="23" t="s">
        <v>138</v>
      </c>
      <c r="QJZ948" s="2" t="s">
        <v>433</v>
      </c>
      <c r="QKA948" s="3" t="s">
        <v>22</v>
      </c>
      <c r="QKB948" s="3" t="s">
        <v>23</v>
      </c>
      <c r="QKC948" s="2" t="s">
        <v>24</v>
      </c>
      <c r="QKD948" s="4">
        <v>0</v>
      </c>
      <c r="QKE948" s="8">
        <f t="shared" ref="QKE948" si="5292">IF(QKA948="Ionizador", 10, IF(QKA948="Mesa", 1000000000, IF(QKA948="Rack", 1000000000, IF(QKA948="Piso", 1000000000, IF(QKA948="Tapete", 1000000000, IF(QKA948="Carrito", 1000000000, IF(QKA948="Cautín", 10, 1)))))))</f>
        <v>1000000000</v>
      </c>
      <c r="QKF948" s="4" t="str">
        <f t="shared" ref="QKF948" si="5293">IF(QKA948="Ionizador", "Segundos", "Ohms")</f>
        <v>Ohms</v>
      </c>
      <c r="QKG948" s="6">
        <v>148000000</v>
      </c>
      <c r="QKH948" s="6" t="str">
        <f t="shared" ref="QKH948" si="5294">QKF948</f>
        <v>Ohms</v>
      </c>
      <c r="QKI948" s="2" t="str">
        <f t="shared" ref="QKI948" si="5295">IF(QKA948="Ionizador", "Plato de carga", IF(QKA948="Cautín", "PTG", "RTG"))</f>
        <v>RTG</v>
      </c>
      <c r="QKJ948" s="7">
        <v>45992</v>
      </c>
      <c r="QKK948" s="7">
        <f t="shared" ref="QKK948" si="5296">IF(QKL948="Trimestral", QKJ948+90, IF(QKL948="Semestral", QKJ948+180, QKJ948+365))</f>
        <v>46172</v>
      </c>
      <c r="QKL948" s="7" t="str">
        <f t="shared" ref="QKL948" si="5297">IF(QKA948="Ionizador", "Trimestral", IF(QKA948="Rack", "Semestral", IF(QKA948="Mesa", "Semestral", IF(QKA948="Tapete", "Semestral", IF(QKA948="Cautín", "Semestral", IF(QKA948="Silla", "Semestral", "Anual"))))))</f>
        <v>Semestral</v>
      </c>
      <c r="QKM948" s="2" t="str">
        <f t="shared" ref="QKM948" ca="1" si="5298">IF(QKK948&lt;TODAY(),"VENCIDO",IF(QKK948=TODAY(),"VENCE HOY",IF(QKK948&gt;TODAY(),"VIGENTE")))</f>
        <v>VIGENTE</v>
      </c>
      <c r="QKN948" s="6" t="s">
        <v>25</v>
      </c>
      <c r="QKO948" s="23" t="s">
        <v>138</v>
      </c>
      <c r="QKP948" s="2" t="s">
        <v>433</v>
      </c>
      <c r="QKQ948" s="3" t="s">
        <v>22</v>
      </c>
      <c r="QKR948" s="3" t="s">
        <v>23</v>
      </c>
      <c r="QKS948" s="2" t="s">
        <v>24</v>
      </c>
      <c r="QKT948" s="4">
        <v>0</v>
      </c>
      <c r="QKU948" s="8">
        <f t="shared" ref="QKU948" si="5299">IF(QKQ948="Ionizador", 10, IF(QKQ948="Mesa", 1000000000, IF(QKQ948="Rack", 1000000000, IF(QKQ948="Piso", 1000000000, IF(QKQ948="Tapete", 1000000000, IF(QKQ948="Carrito", 1000000000, IF(QKQ948="Cautín", 10, 1)))))))</f>
        <v>1000000000</v>
      </c>
      <c r="QKV948" s="4" t="str">
        <f t="shared" ref="QKV948" si="5300">IF(QKQ948="Ionizador", "Segundos", "Ohms")</f>
        <v>Ohms</v>
      </c>
      <c r="QKW948" s="6">
        <v>148000000</v>
      </c>
      <c r="QKX948" s="6" t="str">
        <f t="shared" ref="QKX948" si="5301">QKV948</f>
        <v>Ohms</v>
      </c>
      <c r="QKY948" s="2" t="str">
        <f t="shared" ref="QKY948" si="5302">IF(QKQ948="Ionizador", "Plato de carga", IF(QKQ948="Cautín", "PTG", "RTG"))</f>
        <v>RTG</v>
      </c>
      <c r="QKZ948" s="7">
        <v>45992</v>
      </c>
      <c r="QLA948" s="7">
        <f t="shared" ref="QLA948" si="5303">IF(QLB948="Trimestral", QKZ948+90, IF(QLB948="Semestral", QKZ948+180, QKZ948+365))</f>
        <v>46172</v>
      </c>
      <c r="QLB948" s="7" t="str">
        <f t="shared" ref="QLB948" si="5304">IF(QKQ948="Ionizador", "Trimestral", IF(QKQ948="Rack", "Semestral", IF(QKQ948="Mesa", "Semestral", IF(QKQ948="Tapete", "Semestral", IF(QKQ948="Cautín", "Semestral", IF(QKQ948="Silla", "Semestral", "Anual"))))))</f>
        <v>Semestral</v>
      </c>
      <c r="QLC948" s="2" t="str">
        <f t="shared" ref="QLC948" ca="1" si="5305">IF(QLA948&lt;TODAY(),"VENCIDO",IF(QLA948=TODAY(),"VENCE HOY",IF(QLA948&gt;TODAY(),"VIGENTE")))</f>
        <v>VIGENTE</v>
      </c>
      <c r="QLD948" s="6" t="s">
        <v>25</v>
      </c>
      <c r="QLE948" s="23" t="s">
        <v>138</v>
      </c>
      <c r="QLF948" s="2" t="s">
        <v>433</v>
      </c>
      <c r="QLG948" s="3" t="s">
        <v>22</v>
      </c>
      <c r="QLH948" s="3" t="s">
        <v>23</v>
      </c>
      <c r="QLI948" s="2" t="s">
        <v>24</v>
      </c>
      <c r="QLJ948" s="4">
        <v>0</v>
      </c>
      <c r="QLK948" s="8">
        <f t="shared" ref="QLK948" si="5306">IF(QLG948="Ionizador", 10, IF(QLG948="Mesa", 1000000000, IF(QLG948="Rack", 1000000000, IF(QLG948="Piso", 1000000000, IF(QLG948="Tapete", 1000000000, IF(QLG948="Carrito", 1000000000, IF(QLG948="Cautín", 10, 1)))))))</f>
        <v>1000000000</v>
      </c>
      <c r="QLL948" s="4" t="str">
        <f t="shared" ref="QLL948" si="5307">IF(QLG948="Ionizador", "Segundos", "Ohms")</f>
        <v>Ohms</v>
      </c>
      <c r="QLM948" s="6">
        <v>148000000</v>
      </c>
      <c r="QLN948" s="6" t="str">
        <f t="shared" ref="QLN948" si="5308">QLL948</f>
        <v>Ohms</v>
      </c>
      <c r="QLO948" s="2" t="str">
        <f t="shared" ref="QLO948" si="5309">IF(QLG948="Ionizador", "Plato de carga", IF(QLG948="Cautín", "PTG", "RTG"))</f>
        <v>RTG</v>
      </c>
      <c r="QLP948" s="7">
        <v>45992</v>
      </c>
      <c r="QLQ948" s="7">
        <f t="shared" ref="QLQ948" si="5310">IF(QLR948="Trimestral", QLP948+90, IF(QLR948="Semestral", QLP948+180, QLP948+365))</f>
        <v>46172</v>
      </c>
      <c r="QLR948" s="7" t="str">
        <f t="shared" ref="QLR948" si="5311">IF(QLG948="Ionizador", "Trimestral", IF(QLG948="Rack", "Semestral", IF(QLG948="Mesa", "Semestral", IF(QLG948="Tapete", "Semestral", IF(QLG948="Cautín", "Semestral", IF(QLG948="Silla", "Semestral", "Anual"))))))</f>
        <v>Semestral</v>
      </c>
      <c r="QLS948" s="2" t="str">
        <f t="shared" ref="QLS948" ca="1" si="5312">IF(QLQ948&lt;TODAY(),"VENCIDO",IF(QLQ948=TODAY(),"VENCE HOY",IF(QLQ948&gt;TODAY(),"VIGENTE")))</f>
        <v>VIGENTE</v>
      </c>
      <c r="QLT948" s="6" t="s">
        <v>25</v>
      </c>
      <c r="QLU948" s="23" t="s">
        <v>138</v>
      </c>
      <c r="QLV948" s="2" t="s">
        <v>433</v>
      </c>
      <c r="QLW948" s="3" t="s">
        <v>22</v>
      </c>
      <c r="QLX948" s="3" t="s">
        <v>23</v>
      </c>
      <c r="QLY948" s="2" t="s">
        <v>24</v>
      </c>
      <c r="QLZ948" s="4">
        <v>0</v>
      </c>
      <c r="QMA948" s="8">
        <f t="shared" ref="QMA948" si="5313">IF(QLW948="Ionizador", 10, IF(QLW948="Mesa", 1000000000, IF(QLW948="Rack", 1000000000, IF(QLW948="Piso", 1000000000, IF(QLW948="Tapete", 1000000000, IF(QLW948="Carrito", 1000000000, IF(QLW948="Cautín", 10, 1)))))))</f>
        <v>1000000000</v>
      </c>
      <c r="QMB948" s="4" t="str">
        <f t="shared" ref="QMB948" si="5314">IF(QLW948="Ionizador", "Segundos", "Ohms")</f>
        <v>Ohms</v>
      </c>
      <c r="QMC948" s="6">
        <v>148000000</v>
      </c>
      <c r="QMD948" s="6" t="str">
        <f t="shared" ref="QMD948" si="5315">QMB948</f>
        <v>Ohms</v>
      </c>
      <c r="QME948" s="2" t="str">
        <f t="shared" ref="QME948" si="5316">IF(QLW948="Ionizador", "Plato de carga", IF(QLW948="Cautín", "PTG", "RTG"))</f>
        <v>RTG</v>
      </c>
      <c r="QMF948" s="7">
        <v>45992</v>
      </c>
      <c r="QMG948" s="7">
        <f t="shared" ref="QMG948" si="5317">IF(QMH948="Trimestral", QMF948+90, IF(QMH948="Semestral", QMF948+180, QMF948+365))</f>
        <v>46172</v>
      </c>
      <c r="QMH948" s="7" t="str">
        <f t="shared" ref="QMH948" si="5318">IF(QLW948="Ionizador", "Trimestral", IF(QLW948="Rack", "Semestral", IF(QLW948="Mesa", "Semestral", IF(QLW948="Tapete", "Semestral", IF(QLW948="Cautín", "Semestral", IF(QLW948="Silla", "Semestral", "Anual"))))))</f>
        <v>Semestral</v>
      </c>
      <c r="QMI948" s="2" t="str">
        <f t="shared" ref="QMI948" ca="1" si="5319">IF(QMG948&lt;TODAY(),"VENCIDO",IF(QMG948=TODAY(),"VENCE HOY",IF(QMG948&gt;TODAY(),"VIGENTE")))</f>
        <v>VIGENTE</v>
      </c>
      <c r="QMJ948" s="6" t="s">
        <v>25</v>
      </c>
      <c r="QMK948" s="23" t="s">
        <v>138</v>
      </c>
      <c r="QML948" s="2" t="s">
        <v>433</v>
      </c>
      <c r="QMM948" s="3" t="s">
        <v>22</v>
      </c>
      <c r="QMN948" s="3" t="s">
        <v>23</v>
      </c>
      <c r="QMO948" s="2" t="s">
        <v>24</v>
      </c>
      <c r="QMP948" s="4">
        <v>0</v>
      </c>
      <c r="QMQ948" s="8">
        <f t="shared" ref="QMQ948" si="5320">IF(QMM948="Ionizador", 10, IF(QMM948="Mesa", 1000000000, IF(QMM948="Rack", 1000000000, IF(QMM948="Piso", 1000000000, IF(QMM948="Tapete", 1000000000, IF(QMM948="Carrito", 1000000000, IF(QMM948="Cautín", 10, 1)))))))</f>
        <v>1000000000</v>
      </c>
      <c r="QMR948" s="4" t="str">
        <f t="shared" ref="QMR948" si="5321">IF(QMM948="Ionizador", "Segundos", "Ohms")</f>
        <v>Ohms</v>
      </c>
      <c r="QMS948" s="6">
        <v>148000000</v>
      </c>
      <c r="QMT948" s="6" t="str">
        <f t="shared" ref="QMT948" si="5322">QMR948</f>
        <v>Ohms</v>
      </c>
      <c r="QMU948" s="2" t="str">
        <f t="shared" ref="QMU948" si="5323">IF(QMM948="Ionizador", "Plato de carga", IF(QMM948="Cautín", "PTG", "RTG"))</f>
        <v>RTG</v>
      </c>
      <c r="QMV948" s="7">
        <v>45992</v>
      </c>
      <c r="QMW948" s="7">
        <f t="shared" ref="QMW948" si="5324">IF(QMX948="Trimestral", QMV948+90, IF(QMX948="Semestral", QMV948+180, QMV948+365))</f>
        <v>46172</v>
      </c>
      <c r="QMX948" s="7" t="str">
        <f t="shared" ref="QMX948" si="5325">IF(QMM948="Ionizador", "Trimestral", IF(QMM948="Rack", "Semestral", IF(QMM948="Mesa", "Semestral", IF(QMM948="Tapete", "Semestral", IF(QMM948="Cautín", "Semestral", IF(QMM948="Silla", "Semestral", "Anual"))))))</f>
        <v>Semestral</v>
      </c>
      <c r="QMY948" s="2" t="str">
        <f t="shared" ref="QMY948" ca="1" si="5326">IF(QMW948&lt;TODAY(),"VENCIDO",IF(QMW948=TODAY(),"VENCE HOY",IF(QMW948&gt;TODAY(),"VIGENTE")))</f>
        <v>VIGENTE</v>
      </c>
      <c r="QMZ948" s="6" t="s">
        <v>25</v>
      </c>
      <c r="QNA948" s="23" t="s">
        <v>138</v>
      </c>
      <c r="QNB948" s="2" t="s">
        <v>433</v>
      </c>
      <c r="QNC948" s="3" t="s">
        <v>22</v>
      </c>
      <c r="QND948" s="3" t="s">
        <v>23</v>
      </c>
      <c r="QNE948" s="2" t="s">
        <v>24</v>
      </c>
      <c r="QNF948" s="4">
        <v>0</v>
      </c>
      <c r="QNG948" s="8">
        <f t="shared" ref="QNG948" si="5327">IF(QNC948="Ionizador", 10, IF(QNC948="Mesa", 1000000000, IF(QNC948="Rack", 1000000000, IF(QNC948="Piso", 1000000000, IF(QNC948="Tapete", 1000000000, IF(QNC948="Carrito", 1000000000, IF(QNC948="Cautín", 10, 1)))))))</f>
        <v>1000000000</v>
      </c>
      <c r="QNH948" s="4" t="str">
        <f t="shared" ref="QNH948" si="5328">IF(QNC948="Ionizador", "Segundos", "Ohms")</f>
        <v>Ohms</v>
      </c>
      <c r="QNI948" s="6">
        <v>148000000</v>
      </c>
      <c r="QNJ948" s="6" t="str">
        <f t="shared" ref="QNJ948" si="5329">QNH948</f>
        <v>Ohms</v>
      </c>
      <c r="QNK948" s="2" t="str">
        <f t="shared" ref="QNK948" si="5330">IF(QNC948="Ionizador", "Plato de carga", IF(QNC948="Cautín", "PTG", "RTG"))</f>
        <v>RTG</v>
      </c>
      <c r="QNL948" s="7">
        <v>45992</v>
      </c>
      <c r="QNM948" s="7">
        <f t="shared" ref="QNM948" si="5331">IF(QNN948="Trimestral", QNL948+90, IF(QNN948="Semestral", QNL948+180, QNL948+365))</f>
        <v>46172</v>
      </c>
      <c r="QNN948" s="7" t="str">
        <f t="shared" ref="QNN948" si="5332">IF(QNC948="Ionizador", "Trimestral", IF(QNC948="Rack", "Semestral", IF(QNC948="Mesa", "Semestral", IF(QNC948="Tapete", "Semestral", IF(QNC948="Cautín", "Semestral", IF(QNC948="Silla", "Semestral", "Anual"))))))</f>
        <v>Semestral</v>
      </c>
      <c r="QNO948" s="2" t="str">
        <f t="shared" ref="QNO948" ca="1" si="5333">IF(QNM948&lt;TODAY(),"VENCIDO",IF(QNM948=TODAY(),"VENCE HOY",IF(QNM948&gt;TODAY(),"VIGENTE")))</f>
        <v>VIGENTE</v>
      </c>
      <c r="QNP948" s="6" t="s">
        <v>25</v>
      </c>
      <c r="QNQ948" s="23" t="s">
        <v>138</v>
      </c>
      <c r="QNR948" s="2" t="s">
        <v>433</v>
      </c>
      <c r="QNS948" s="3" t="s">
        <v>22</v>
      </c>
      <c r="QNT948" s="3" t="s">
        <v>23</v>
      </c>
      <c r="QNU948" s="2" t="s">
        <v>24</v>
      </c>
      <c r="QNV948" s="4">
        <v>0</v>
      </c>
      <c r="QNW948" s="8">
        <f t="shared" ref="QNW948" si="5334">IF(QNS948="Ionizador", 10, IF(QNS948="Mesa", 1000000000, IF(QNS948="Rack", 1000000000, IF(QNS948="Piso", 1000000000, IF(QNS948="Tapete", 1000000000, IF(QNS948="Carrito", 1000000000, IF(QNS948="Cautín", 10, 1)))))))</f>
        <v>1000000000</v>
      </c>
      <c r="QNX948" s="4" t="str">
        <f t="shared" ref="QNX948" si="5335">IF(QNS948="Ionizador", "Segundos", "Ohms")</f>
        <v>Ohms</v>
      </c>
      <c r="QNY948" s="6">
        <v>148000000</v>
      </c>
      <c r="QNZ948" s="6" t="str">
        <f t="shared" ref="QNZ948" si="5336">QNX948</f>
        <v>Ohms</v>
      </c>
      <c r="QOA948" s="2" t="str">
        <f t="shared" ref="QOA948" si="5337">IF(QNS948="Ionizador", "Plato de carga", IF(QNS948="Cautín", "PTG", "RTG"))</f>
        <v>RTG</v>
      </c>
      <c r="QOB948" s="7">
        <v>45992</v>
      </c>
      <c r="QOC948" s="7">
        <f t="shared" ref="QOC948" si="5338">IF(QOD948="Trimestral", QOB948+90, IF(QOD948="Semestral", QOB948+180, QOB948+365))</f>
        <v>46172</v>
      </c>
      <c r="QOD948" s="7" t="str">
        <f t="shared" ref="QOD948" si="5339">IF(QNS948="Ionizador", "Trimestral", IF(QNS948="Rack", "Semestral", IF(QNS948="Mesa", "Semestral", IF(QNS948="Tapete", "Semestral", IF(QNS948="Cautín", "Semestral", IF(QNS948="Silla", "Semestral", "Anual"))))))</f>
        <v>Semestral</v>
      </c>
      <c r="QOE948" s="2" t="str">
        <f t="shared" ref="QOE948" ca="1" si="5340">IF(QOC948&lt;TODAY(),"VENCIDO",IF(QOC948=TODAY(),"VENCE HOY",IF(QOC948&gt;TODAY(),"VIGENTE")))</f>
        <v>VIGENTE</v>
      </c>
      <c r="QOF948" s="6" t="s">
        <v>25</v>
      </c>
      <c r="QOG948" s="23" t="s">
        <v>138</v>
      </c>
      <c r="QOH948" s="2" t="s">
        <v>433</v>
      </c>
      <c r="QOI948" s="3" t="s">
        <v>22</v>
      </c>
      <c r="QOJ948" s="3" t="s">
        <v>23</v>
      </c>
      <c r="QOK948" s="2" t="s">
        <v>24</v>
      </c>
      <c r="QOL948" s="4">
        <v>0</v>
      </c>
      <c r="QOM948" s="8">
        <f t="shared" ref="QOM948" si="5341">IF(QOI948="Ionizador", 10, IF(QOI948="Mesa", 1000000000, IF(QOI948="Rack", 1000000000, IF(QOI948="Piso", 1000000000, IF(QOI948="Tapete", 1000000000, IF(QOI948="Carrito", 1000000000, IF(QOI948="Cautín", 10, 1)))))))</f>
        <v>1000000000</v>
      </c>
      <c r="QON948" s="4" t="str">
        <f t="shared" ref="QON948" si="5342">IF(QOI948="Ionizador", "Segundos", "Ohms")</f>
        <v>Ohms</v>
      </c>
      <c r="QOO948" s="6">
        <v>148000000</v>
      </c>
      <c r="QOP948" s="6" t="str">
        <f t="shared" ref="QOP948" si="5343">QON948</f>
        <v>Ohms</v>
      </c>
      <c r="QOQ948" s="2" t="str">
        <f t="shared" ref="QOQ948" si="5344">IF(QOI948="Ionizador", "Plato de carga", IF(QOI948="Cautín", "PTG", "RTG"))</f>
        <v>RTG</v>
      </c>
      <c r="QOR948" s="7">
        <v>45992</v>
      </c>
      <c r="QOS948" s="7">
        <f t="shared" ref="QOS948" si="5345">IF(QOT948="Trimestral", QOR948+90, IF(QOT948="Semestral", QOR948+180, QOR948+365))</f>
        <v>46172</v>
      </c>
      <c r="QOT948" s="7" t="str">
        <f t="shared" ref="QOT948" si="5346">IF(QOI948="Ionizador", "Trimestral", IF(QOI948="Rack", "Semestral", IF(QOI948="Mesa", "Semestral", IF(QOI948="Tapete", "Semestral", IF(QOI948="Cautín", "Semestral", IF(QOI948="Silla", "Semestral", "Anual"))))))</f>
        <v>Semestral</v>
      </c>
      <c r="QOU948" s="2" t="str">
        <f t="shared" ref="QOU948" ca="1" si="5347">IF(QOS948&lt;TODAY(),"VENCIDO",IF(QOS948=TODAY(),"VENCE HOY",IF(QOS948&gt;TODAY(),"VIGENTE")))</f>
        <v>VIGENTE</v>
      </c>
      <c r="QOV948" s="6" t="s">
        <v>25</v>
      </c>
      <c r="QOW948" s="23" t="s">
        <v>138</v>
      </c>
      <c r="QOX948" s="2" t="s">
        <v>433</v>
      </c>
      <c r="QOY948" s="3" t="s">
        <v>22</v>
      </c>
      <c r="QOZ948" s="3" t="s">
        <v>23</v>
      </c>
      <c r="QPA948" s="2" t="s">
        <v>24</v>
      </c>
      <c r="QPB948" s="4">
        <v>0</v>
      </c>
      <c r="QPC948" s="8">
        <f t="shared" ref="QPC948" si="5348">IF(QOY948="Ionizador", 10, IF(QOY948="Mesa", 1000000000, IF(QOY948="Rack", 1000000000, IF(QOY948="Piso", 1000000000, IF(QOY948="Tapete", 1000000000, IF(QOY948="Carrito", 1000000000, IF(QOY948="Cautín", 10, 1)))))))</f>
        <v>1000000000</v>
      </c>
      <c r="QPD948" s="4" t="str">
        <f t="shared" ref="QPD948" si="5349">IF(QOY948="Ionizador", "Segundos", "Ohms")</f>
        <v>Ohms</v>
      </c>
      <c r="QPE948" s="6">
        <v>148000000</v>
      </c>
      <c r="QPF948" s="6" t="str">
        <f t="shared" ref="QPF948" si="5350">QPD948</f>
        <v>Ohms</v>
      </c>
      <c r="QPG948" s="2" t="str">
        <f t="shared" ref="QPG948" si="5351">IF(QOY948="Ionizador", "Plato de carga", IF(QOY948="Cautín", "PTG", "RTG"))</f>
        <v>RTG</v>
      </c>
      <c r="QPH948" s="7">
        <v>45992</v>
      </c>
      <c r="QPI948" s="7">
        <f t="shared" ref="QPI948" si="5352">IF(QPJ948="Trimestral", QPH948+90, IF(QPJ948="Semestral", QPH948+180, QPH948+365))</f>
        <v>46172</v>
      </c>
      <c r="QPJ948" s="7" t="str">
        <f t="shared" ref="QPJ948" si="5353">IF(QOY948="Ionizador", "Trimestral", IF(QOY948="Rack", "Semestral", IF(QOY948="Mesa", "Semestral", IF(QOY948="Tapete", "Semestral", IF(QOY948="Cautín", "Semestral", IF(QOY948="Silla", "Semestral", "Anual"))))))</f>
        <v>Semestral</v>
      </c>
      <c r="QPK948" s="2" t="str">
        <f t="shared" ref="QPK948" ca="1" si="5354">IF(QPI948&lt;TODAY(),"VENCIDO",IF(QPI948=TODAY(),"VENCE HOY",IF(QPI948&gt;TODAY(),"VIGENTE")))</f>
        <v>VIGENTE</v>
      </c>
      <c r="QPL948" s="6" t="s">
        <v>25</v>
      </c>
      <c r="QPM948" s="23" t="s">
        <v>138</v>
      </c>
      <c r="QPN948" s="2" t="s">
        <v>433</v>
      </c>
      <c r="QPO948" s="3" t="s">
        <v>22</v>
      </c>
      <c r="QPP948" s="3" t="s">
        <v>23</v>
      </c>
      <c r="QPQ948" s="2" t="s">
        <v>24</v>
      </c>
      <c r="QPR948" s="4">
        <v>0</v>
      </c>
      <c r="QPS948" s="8">
        <f t="shared" ref="QPS948" si="5355">IF(QPO948="Ionizador", 10, IF(QPO948="Mesa", 1000000000, IF(QPO948="Rack", 1000000000, IF(QPO948="Piso", 1000000000, IF(QPO948="Tapete", 1000000000, IF(QPO948="Carrito", 1000000000, IF(QPO948="Cautín", 10, 1)))))))</f>
        <v>1000000000</v>
      </c>
      <c r="QPT948" s="4" t="str">
        <f t="shared" ref="QPT948" si="5356">IF(QPO948="Ionizador", "Segundos", "Ohms")</f>
        <v>Ohms</v>
      </c>
      <c r="QPU948" s="6">
        <v>148000000</v>
      </c>
      <c r="QPV948" s="6" t="str">
        <f t="shared" ref="QPV948" si="5357">QPT948</f>
        <v>Ohms</v>
      </c>
      <c r="QPW948" s="2" t="str">
        <f t="shared" ref="QPW948" si="5358">IF(QPO948="Ionizador", "Plato de carga", IF(QPO948="Cautín", "PTG", "RTG"))</f>
        <v>RTG</v>
      </c>
      <c r="QPX948" s="7">
        <v>45992</v>
      </c>
      <c r="QPY948" s="7">
        <f t="shared" ref="QPY948" si="5359">IF(QPZ948="Trimestral", QPX948+90, IF(QPZ948="Semestral", QPX948+180, QPX948+365))</f>
        <v>46172</v>
      </c>
      <c r="QPZ948" s="7" t="str">
        <f t="shared" ref="QPZ948" si="5360">IF(QPO948="Ionizador", "Trimestral", IF(QPO948="Rack", "Semestral", IF(QPO948="Mesa", "Semestral", IF(QPO948="Tapete", "Semestral", IF(QPO948="Cautín", "Semestral", IF(QPO948="Silla", "Semestral", "Anual"))))))</f>
        <v>Semestral</v>
      </c>
      <c r="QQA948" s="2" t="str">
        <f t="shared" ref="QQA948" ca="1" si="5361">IF(QPY948&lt;TODAY(),"VENCIDO",IF(QPY948=TODAY(),"VENCE HOY",IF(QPY948&gt;TODAY(),"VIGENTE")))</f>
        <v>VIGENTE</v>
      </c>
      <c r="QQB948" s="6" t="s">
        <v>25</v>
      </c>
      <c r="QQC948" s="23" t="s">
        <v>138</v>
      </c>
      <c r="QQD948" s="2" t="s">
        <v>433</v>
      </c>
      <c r="QQE948" s="3" t="s">
        <v>22</v>
      </c>
      <c r="QQF948" s="3" t="s">
        <v>23</v>
      </c>
      <c r="QQG948" s="2" t="s">
        <v>24</v>
      </c>
      <c r="QQH948" s="4">
        <v>0</v>
      </c>
      <c r="QQI948" s="8">
        <f t="shared" ref="QQI948" si="5362">IF(QQE948="Ionizador", 10, IF(QQE948="Mesa", 1000000000, IF(QQE948="Rack", 1000000000, IF(QQE948="Piso", 1000000000, IF(QQE948="Tapete", 1000000000, IF(QQE948="Carrito", 1000000000, IF(QQE948="Cautín", 10, 1)))))))</f>
        <v>1000000000</v>
      </c>
      <c r="QQJ948" s="4" t="str">
        <f t="shared" ref="QQJ948" si="5363">IF(QQE948="Ionizador", "Segundos", "Ohms")</f>
        <v>Ohms</v>
      </c>
      <c r="QQK948" s="6">
        <v>148000000</v>
      </c>
      <c r="QQL948" s="6" t="str">
        <f t="shared" ref="QQL948" si="5364">QQJ948</f>
        <v>Ohms</v>
      </c>
      <c r="QQM948" s="2" t="str">
        <f t="shared" ref="QQM948" si="5365">IF(QQE948="Ionizador", "Plato de carga", IF(QQE948="Cautín", "PTG", "RTG"))</f>
        <v>RTG</v>
      </c>
      <c r="QQN948" s="7">
        <v>45992</v>
      </c>
      <c r="QQO948" s="7">
        <f t="shared" ref="QQO948" si="5366">IF(QQP948="Trimestral", QQN948+90, IF(QQP948="Semestral", QQN948+180, QQN948+365))</f>
        <v>46172</v>
      </c>
      <c r="QQP948" s="7" t="str">
        <f t="shared" ref="QQP948" si="5367">IF(QQE948="Ionizador", "Trimestral", IF(QQE948="Rack", "Semestral", IF(QQE948="Mesa", "Semestral", IF(QQE948="Tapete", "Semestral", IF(QQE948="Cautín", "Semestral", IF(QQE948="Silla", "Semestral", "Anual"))))))</f>
        <v>Semestral</v>
      </c>
      <c r="QQQ948" s="2" t="str">
        <f t="shared" ref="QQQ948" ca="1" si="5368">IF(QQO948&lt;TODAY(),"VENCIDO",IF(QQO948=TODAY(),"VENCE HOY",IF(QQO948&gt;TODAY(),"VIGENTE")))</f>
        <v>VIGENTE</v>
      </c>
      <c r="QQR948" s="6" t="s">
        <v>25</v>
      </c>
      <c r="QQS948" s="23" t="s">
        <v>138</v>
      </c>
      <c r="QQT948" s="2" t="s">
        <v>433</v>
      </c>
      <c r="QQU948" s="3" t="s">
        <v>22</v>
      </c>
      <c r="QQV948" s="3" t="s">
        <v>23</v>
      </c>
      <c r="QQW948" s="2" t="s">
        <v>24</v>
      </c>
      <c r="QQX948" s="4">
        <v>0</v>
      </c>
      <c r="QQY948" s="8">
        <f t="shared" ref="QQY948" si="5369">IF(QQU948="Ionizador", 10, IF(QQU948="Mesa", 1000000000, IF(QQU948="Rack", 1000000000, IF(QQU948="Piso", 1000000000, IF(QQU948="Tapete", 1000000000, IF(QQU948="Carrito", 1000000000, IF(QQU948="Cautín", 10, 1)))))))</f>
        <v>1000000000</v>
      </c>
      <c r="QQZ948" s="4" t="str">
        <f t="shared" ref="QQZ948" si="5370">IF(QQU948="Ionizador", "Segundos", "Ohms")</f>
        <v>Ohms</v>
      </c>
      <c r="QRA948" s="6">
        <v>148000000</v>
      </c>
      <c r="QRB948" s="6" t="str">
        <f t="shared" ref="QRB948" si="5371">QQZ948</f>
        <v>Ohms</v>
      </c>
      <c r="QRC948" s="2" t="str">
        <f t="shared" ref="QRC948" si="5372">IF(QQU948="Ionizador", "Plato de carga", IF(QQU948="Cautín", "PTG", "RTG"))</f>
        <v>RTG</v>
      </c>
      <c r="QRD948" s="7">
        <v>45992</v>
      </c>
      <c r="QRE948" s="7">
        <f t="shared" ref="QRE948" si="5373">IF(QRF948="Trimestral", QRD948+90, IF(QRF948="Semestral", QRD948+180, QRD948+365))</f>
        <v>46172</v>
      </c>
      <c r="QRF948" s="7" t="str">
        <f t="shared" ref="QRF948" si="5374">IF(QQU948="Ionizador", "Trimestral", IF(QQU948="Rack", "Semestral", IF(QQU948="Mesa", "Semestral", IF(QQU948="Tapete", "Semestral", IF(QQU948="Cautín", "Semestral", IF(QQU948="Silla", "Semestral", "Anual"))))))</f>
        <v>Semestral</v>
      </c>
      <c r="QRG948" s="2" t="str">
        <f t="shared" ref="QRG948" ca="1" si="5375">IF(QRE948&lt;TODAY(),"VENCIDO",IF(QRE948=TODAY(),"VENCE HOY",IF(QRE948&gt;TODAY(),"VIGENTE")))</f>
        <v>VIGENTE</v>
      </c>
      <c r="QRH948" s="6" t="s">
        <v>25</v>
      </c>
      <c r="QRI948" s="23" t="s">
        <v>138</v>
      </c>
      <c r="QRJ948" s="2" t="s">
        <v>433</v>
      </c>
      <c r="QRK948" s="3" t="s">
        <v>22</v>
      </c>
      <c r="QRL948" s="3" t="s">
        <v>23</v>
      </c>
      <c r="QRM948" s="2" t="s">
        <v>24</v>
      </c>
      <c r="QRN948" s="4">
        <v>0</v>
      </c>
      <c r="QRO948" s="8">
        <f t="shared" ref="QRO948" si="5376">IF(QRK948="Ionizador", 10, IF(QRK948="Mesa", 1000000000, IF(QRK948="Rack", 1000000000, IF(QRK948="Piso", 1000000000, IF(QRK948="Tapete", 1000000000, IF(QRK948="Carrito", 1000000000, IF(QRK948="Cautín", 10, 1)))))))</f>
        <v>1000000000</v>
      </c>
      <c r="QRP948" s="4" t="str">
        <f t="shared" ref="QRP948" si="5377">IF(QRK948="Ionizador", "Segundos", "Ohms")</f>
        <v>Ohms</v>
      </c>
      <c r="QRQ948" s="6">
        <v>148000000</v>
      </c>
      <c r="QRR948" s="6" t="str">
        <f t="shared" ref="QRR948" si="5378">QRP948</f>
        <v>Ohms</v>
      </c>
      <c r="QRS948" s="2" t="str">
        <f t="shared" ref="QRS948" si="5379">IF(QRK948="Ionizador", "Plato de carga", IF(QRK948="Cautín", "PTG", "RTG"))</f>
        <v>RTG</v>
      </c>
      <c r="QRT948" s="7">
        <v>45992</v>
      </c>
      <c r="QRU948" s="7">
        <f t="shared" ref="QRU948" si="5380">IF(QRV948="Trimestral", QRT948+90, IF(QRV948="Semestral", QRT948+180, QRT948+365))</f>
        <v>46172</v>
      </c>
      <c r="QRV948" s="7" t="str">
        <f t="shared" ref="QRV948" si="5381">IF(QRK948="Ionizador", "Trimestral", IF(QRK948="Rack", "Semestral", IF(QRK948="Mesa", "Semestral", IF(QRK948="Tapete", "Semestral", IF(QRK948="Cautín", "Semestral", IF(QRK948="Silla", "Semestral", "Anual"))))))</f>
        <v>Semestral</v>
      </c>
      <c r="QRW948" s="2" t="str">
        <f t="shared" ref="QRW948" ca="1" si="5382">IF(QRU948&lt;TODAY(),"VENCIDO",IF(QRU948=TODAY(),"VENCE HOY",IF(QRU948&gt;TODAY(),"VIGENTE")))</f>
        <v>VIGENTE</v>
      </c>
      <c r="QRX948" s="6" t="s">
        <v>25</v>
      </c>
      <c r="QRY948" s="23" t="s">
        <v>138</v>
      </c>
      <c r="QRZ948" s="2" t="s">
        <v>433</v>
      </c>
      <c r="QSA948" s="3" t="s">
        <v>22</v>
      </c>
      <c r="QSB948" s="3" t="s">
        <v>23</v>
      </c>
      <c r="QSC948" s="2" t="s">
        <v>24</v>
      </c>
      <c r="QSD948" s="4">
        <v>0</v>
      </c>
      <c r="QSE948" s="8">
        <f t="shared" ref="QSE948" si="5383">IF(QSA948="Ionizador", 10, IF(QSA948="Mesa", 1000000000, IF(QSA948="Rack", 1000000000, IF(QSA948="Piso", 1000000000, IF(QSA948="Tapete", 1000000000, IF(QSA948="Carrito", 1000000000, IF(QSA948="Cautín", 10, 1)))))))</f>
        <v>1000000000</v>
      </c>
      <c r="QSF948" s="4" t="str">
        <f t="shared" ref="QSF948" si="5384">IF(QSA948="Ionizador", "Segundos", "Ohms")</f>
        <v>Ohms</v>
      </c>
      <c r="QSG948" s="6">
        <v>148000000</v>
      </c>
      <c r="QSH948" s="6" t="str">
        <f t="shared" ref="QSH948" si="5385">QSF948</f>
        <v>Ohms</v>
      </c>
      <c r="QSI948" s="2" t="str">
        <f t="shared" ref="QSI948" si="5386">IF(QSA948="Ionizador", "Plato de carga", IF(QSA948="Cautín", "PTG", "RTG"))</f>
        <v>RTG</v>
      </c>
      <c r="QSJ948" s="7">
        <v>45992</v>
      </c>
      <c r="QSK948" s="7">
        <f t="shared" ref="QSK948" si="5387">IF(QSL948="Trimestral", QSJ948+90, IF(QSL948="Semestral", QSJ948+180, QSJ948+365))</f>
        <v>46172</v>
      </c>
      <c r="QSL948" s="7" t="str">
        <f t="shared" ref="QSL948" si="5388">IF(QSA948="Ionizador", "Trimestral", IF(QSA948="Rack", "Semestral", IF(QSA948="Mesa", "Semestral", IF(QSA948="Tapete", "Semestral", IF(QSA948="Cautín", "Semestral", IF(QSA948="Silla", "Semestral", "Anual"))))))</f>
        <v>Semestral</v>
      </c>
      <c r="QSM948" s="2" t="str">
        <f t="shared" ref="QSM948" ca="1" si="5389">IF(QSK948&lt;TODAY(),"VENCIDO",IF(QSK948=TODAY(),"VENCE HOY",IF(QSK948&gt;TODAY(),"VIGENTE")))</f>
        <v>VIGENTE</v>
      </c>
      <c r="QSN948" s="6" t="s">
        <v>25</v>
      </c>
      <c r="QSO948" s="23" t="s">
        <v>138</v>
      </c>
      <c r="QSP948" s="2" t="s">
        <v>433</v>
      </c>
      <c r="QSQ948" s="3" t="s">
        <v>22</v>
      </c>
      <c r="QSR948" s="3" t="s">
        <v>23</v>
      </c>
      <c r="QSS948" s="2" t="s">
        <v>24</v>
      </c>
      <c r="QST948" s="4">
        <v>0</v>
      </c>
      <c r="QSU948" s="8">
        <f t="shared" ref="QSU948" si="5390">IF(QSQ948="Ionizador", 10, IF(QSQ948="Mesa", 1000000000, IF(QSQ948="Rack", 1000000000, IF(QSQ948="Piso", 1000000000, IF(QSQ948="Tapete", 1000000000, IF(QSQ948="Carrito", 1000000000, IF(QSQ948="Cautín", 10, 1)))))))</f>
        <v>1000000000</v>
      </c>
      <c r="QSV948" s="4" t="str">
        <f t="shared" ref="QSV948" si="5391">IF(QSQ948="Ionizador", "Segundos", "Ohms")</f>
        <v>Ohms</v>
      </c>
      <c r="QSW948" s="6">
        <v>148000000</v>
      </c>
      <c r="QSX948" s="6" t="str">
        <f t="shared" ref="QSX948" si="5392">QSV948</f>
        <v>Ohms</v>
      </c>
      <c r="QSY948" s="2" t="str">
        <f t="shared" ref="QSY948" si="5393">IF(QSQ948="Ionizador", "Plato de carga", IF(QSQ948="Cautín", "PTG", "RTG"))</f>
        <v>RTG</v>
      </c>
      <c r="QSZ948" s="7">
        <v>45992</v>
      </c>
      <c r="QTA948" s="7">
        <f t="shared" ref="QTA948" si="5394">IF(QTB948="Trimestral", QSZ948+90, IF(QTB948="Semestral", QSZ948+180, QSZ948+365))</f>
        <v>46172</v>
      </c>
      <c r="QTB948" s="7" t="str">
        <f t="shared" ref="QTB948" si="5395">IF(QSQ948="Ionizador", "Trimestral", IF(QSQ948="Rack", "Semestral", IF(QSQ948="Mesa", "Semestral", IF(QSQ948="Tapete", "Semestral", IF(QSQ948="Cautín", "Semestral", IF(QSQ948="Silla", "Semestral", "Anual"))))))</f>
        <v>Semestral</v>
      </c>
      <c r="QTC948" s="2" t="str">
        <f t="shared" ref="QTC948" ca="1" si="5396">IF(QTA948&lt;TODAY(),"VENCIDO",IF(QTA948=TODAY(),"VENCE HOY",IF(QTA948&gt;TODAY(),"VIGENTE")))</f>
        <v>VIGENTE</v>
      </c>
      <c r="QTD948" s="6" t="s">
        <v>25</v>
      </c>
      <c r="QTE948" s="23" t="s">
        <v>138</v>
      </c>
      <c r="QTF948" s="2" t="s">
        <v>433</v>
      </c>
      <c r="QTG948" s="3" t="s">
        <v>22</v>
      </c>
      <c r="QTH948" s="3" t="s">
        <v>23</v>
      </c>
      <c r="QTI948" s="2" t="s">
        <v>24</v>
      </c>
      <c r="QTJ948" s="4">
        <v>0</v>
      </c>
      <c r="QTK948" s="8">
        <f t="shared" ref="QTK948" si="5397">IF(QTG948="Ionizador", 10, IF(QTG948="Mesa", 1000000000, IF(QTG948="Rack", 1000000000, IF(QTG948="Piso", 1000000000, IF(QTG948="Tapete", 1000000000, IF(QTG948="Carrito", 1000000000, IF(QTG948="Cautín", 10, 1)))))))</f>
        <v>1000000000</v>
      </c>
      <c r="QTL948" s="4" t="str">
        <f t="shared" ref="QTL948" si="5398">IF(QTG948="Ionizador", "Segundos", "Ohms")</f>
        <v>Ohms</v>
      </c>
      <c r="QTM948" s="6">
        <v>148000000</v>
      </c>
      <c r="QTN948" s="6" t="str">
        <f t="shared" ref="QTN948" si="5399">QTL948</f>
        <v>Ohms</v>
      </c>
      <c r="QTO948" s="2" t="str">
        <f t="shared" ref="QTO948" si="5400">IF(QTG948="Ionizador", "Plato de carga", IF(QTG948="Cautín", "PTG", "RTG"))</f>
        <v>RTG</v>
      </c>
      <c r="QTP948" s="7">
        <v>45992</v>
      </c>
      <c r="QTQ948" s="7">
        <f t="shared" ref="QTQ948" si="5401">IF(QTR948="Trimestral", QTP948+90, IF(QTR948="Semestral", QTP948+180, QTP948+365))</f>
        <v>46172</v>
      </c>
      <c r="QTR948" s="7" t="str">
        <f t="shared" ref="QTR948" si="5402">IF(QTG948="Ionizador", "Trimestral", IF(QTG948="Rack", "Semestral", IF(QTG948="Mesa", "Semestral", IF(QTG948="Tapete", "Semestral", IF(QTG948="Cautín", "Semestral", IF(QTG948="Silla", "Semestral", "Anual"))))))</f>
        <v>Semestral</v>
      </c>
      <c r="QTS948" s="2" t="str">
        <f t="shared" ref="QTS948" ca="1" si="5403">IF(QTQ948&lt;TODAY(),"VENCIDO",IF(QTQ948=TODAY(),"VENCE HOY",IF(QTQ948&gt;TODAY(),"VIGENTE")))</f>
        <v>VIGENTE</v>
      </c>
      <c r="QTT948" s="6" t="s">
        <v>25</v>
      </c>
      <c r="QTU948" s="23" t="s">
        <v>138</v>
      </c>
      <c r="QTV948" s="2" t="s">
        <v>433</v>
      </c>
      <c r="QTW948" s="3" t="s">
        <v>22</v>
      </c>
      <c r="QTX948" s="3" t="s">
        <v>23</v>
      </c>
      <c r="QTY948" s="2" t="s">
        <v>24</v>
      </c>
      <c r="QTZ948" s="4">
        <v>0</v>
      </c>
      <c r="QUA948" s="8">
        <f t="shared" ref="QUA948" si="5404">IF(QTW948="Ionizador", 10, IF(QTW948="Mesa", 1000000000, IF(QTW948="Rack", 1000000000, IF(QTW948="Piso", 1000000000, IF(QTW948="Tapete", 1000000000, IF(QTW948="Carrito", 1000000000, IF(QTW948="Cautín", 10, 1)))))))</f>
        <v>1000000000</v>
      </c>
      <c r="QUB948" s="4" t="str">
        <f t="shared" ref="QUB948" si="5405">IF(QTW948="Ionizador", "Segundos", "Ohms")</f>
        <v>Ohms</v>
      </c>
      <c r="QUC948" s="6">
        <v>148000000</v>
      </c>
      <c r="QUD948" s="6" t="str">
        <f t="shared" ref="QUD948" si="5406">QUB948</f>
        <v>Ohms</v>
      </c>
      <c r="QUE948" s="2" t="str">
        <f t="shared" ref="QUE948" si="5407">IF(QTW948="Ionizador", "Plato de carga", IF(QTW948="Cautín", "PTG", "RTG"))</f>
        <v>RTG</v>
      </c>
      <c r="QUF948" s="7">
        <v>45992</v>
      </c>
      <c r="QUG948" s="7">
        <f t="shared" ref="QUG948" si="5408">IF(QUH948="Trimestral", QUF948+90, IF(QUH948="Semestral", QUF948+180, QUF948+365))</f>
        <v>46172</v>
      </c>
      <c r="QUH948" s="7" t="str">
        <f t="shared" ref="QUH948" si="5409">IF(QTW948="Ionizador", "Trimestral", IF(QTW948="Rack", "Semestral", IF(QTW948="Mesa", "Semestral", IF(QTW948="Tapete", "Semestral", IF(QTW948="Cautín", "Semestral", IF(QTW948="Silla", "Semestral", "Anual"))))))</f>
        <v>Semestral</v>
      </c>
      <c r="QUI948" s="2" t="str">
        <f t="shared" ref="QUI948" ca="1" si="5410">IF(QUG948&lt;TODAY(),"VENCIDO",IF(QUG948=TODAY(),"VENCE HOY",IF(QUG948&gt;TODAY(),"VIGENTE")))</f>
        <v>VIGENTE</v>
      </c>
      <c r="QUJ948" s="6" t="s">
        <v>25</v>
      </c>
      <c r="QUK948" s="23" t="s">
        <v>138</v>
      </c>
      <c r="QUL948" s="2" t="s">
        <v>433</v>
      </c>
      <c r="QUM948" s="3" t="s">
        <v>22</v>
      </c>
      <c r="QUN948" s="3" t="s">
        <v>23</v>
      </c>
      <c r="QUO948" s="2" t="s">
        <v>24</v>
      </c>
      <c r="QUP948" s="4">
        <v>0</v>
      </c>
      <c r="QUQ948" s="8">
        <f t="shared" ref="QUQ948" si="5411">IF(QUM948="Ionizador", 10, IF(QUM948="Mesa", 1000000000, IF(QUM948="Rack", 1000000000, IF(QUM948="Piso", 1000000000, IF(QUM948="Tapete", 1000000000, IF(QUM948="Carrito", 1000000000, IF(QUM948="Cautín", 10, 1)))))))</f>
        <v>1000000000</v>
      </c>
      <c r="QUR948" s="4" t="str">
        <f t="shared" ref="QUR948" si="5412">IF(QUM948="Ionizador", "Segundos", "Ohms")</f>
        <v>Ohms</v>
      </c>
      <c r="QUS948" s="6">
        <v>148000000</v>
      </c>
      <c r="QUT948" s="6" t="str">
        <f t="shared" ref="QUT948" si="5413">QUR948</f>
        <v>Ohms</v>
      </c>
      <c r="QUU948" s="2" t="str">
        <f t="shared" ref="QUU948" si="5414">IF(QUM948="Ionizador", "Plato de carga", IF(QUM948="Cautín", "PTG", "RTG"))</f>
        <v>RTG</v>
      </c>
      <c r="QUV948" s="7">
        <v>45992</v>
      </c>
      <c r="QUW948" s="7">
        <f t="shared" ref="QUW948" si="5415">IF(QUX948="Trimestral", QUV948+90, IF(QUX948="Semestral", QUV948+180, QUV948+365))</f>
        <v>46172</v>
      </c>
      <c r="QUX948" s="7" t="str">
        <f t="shared" ref="QUX948" si="5416">IF(QUM948="Ionizador", "Trimestral", IF(QUM948="Rack", "Semestral", IF(QUM948="Mesa", "Semestral", IF(QUM948="Tapete", "Semestral", IF(QUM948="Cautín", "Semestral", IF(QUM948="Silla", "Semestral", "Anual"))))))</f>
        <v>Semestral</v>
      </c>
      <c r="QUY948" s="2" t="str">
        <f t="shared" ref="QUY948" ca="1" si="5417">IF(QUW948&lt;TODAY(),"VENCIDO",IF(QUW948=TODAY(),"VENCE HOY",IF(QUW948&gt;TODAY(),"VIGENTE")))</f>
        <v>VIGENTE</v>
      </c>
      <c r="QUZ948" s="6" t="s">
        <v>25</v>
      </c>
      <c r="QVA948" s="23" t="s">
        <v>138</v>
      </c>
      <c r="QVB948" s="2" t="s">
        <v>433</v>
      </c>
      <c r="QVC948" s="3" t="s">
        <v>22</v>
      </c>
      <c r="QVD948" s="3" t="s">
        <v>23</v>
      </c>
      <c r="QVE948" s="2" t="s">
        <v>24</v>
      </c>
      <c r="QVF948" s="4">
        <v>0</v>
      </c>
      <c r="QVG948" s="8">
        <f t="shared" ref="QVG948" si="5418">IF(QVC948="Ionizador", 10, IF(QVC948="Mesa", 1000000000, IF(QVC948="Rack", 1000000000, IF(QVC948="Piso", 1000000000, IF(QVC948="Tapete", 1000000000, IF(QVC948="Carrito", 1000000000, IF(QVC948="Cautín", 10, 1)))))))</f>
        <v>1000000000</v>
      </c>
      <c r="QVH948" s="4" t="str">
        <f t="shared" ref="QVH948" si="5419">IF(QVC948="Ionizador", "Segundos", "Ohms")</f>
        <v>Ohms</v>
      </c>
      <c r="QVI948" s="6">
        <v>148000000</v>
      </c>
      <c r="QVJ948" s="6" t="str">
        <f t="shared" ref="QVJ948" si="5420">QVH948</f>
        <v>Ohms</v>
      </c>
      <c r="QVK948" s="2" t="str">
        <f t="shared" ref="QVK948" si="5421">IF(QVC948="Ionizador", "Plato de carga", IF(QVC948="Cautín", "PTG", "RTG"))</f>
        <v>RTG</v>
      </c>
      <c r="QVL948" s="7">
        <v>45992</v>
      </c>
      <c r="QVM948" s="7">
        <f t="shared" ref="QVM948" si="5422">IF(QVN948="Trimestral", QVL948+90, IF(QVN948="Semestral", QVL948+180, QVL948+365))</f>
        <v>46172</v>
      </c>
      <c r="QVN948" s="7" t="str">
        <f t="shared" ref="QVN948" si="5423">IF(QVC948="Ionizador", "Trimestral", IF(QVC948="Rack", "Semestral", IF(QVC948="Mesa", "Semestral", IF(QVC948="Tapete", "Semestral", IF(QVC948="Cautín", "Semestral", IF(QVC948="Silla", "Semestral", "Anual"))))))</f>
        <v>Semestral</v>
      </c>
      <c r="QVO948" s="2" t="str">
        <f t="shared" ref="QVO948" ca="1" si="5424">IF(QVM948&lt;TODAY(),"VENCIDO",IF(QVM948=TODAY(),"VENCE HOY",IF(QVM948&gt;TODAY(),"VIGENTE")))</f>
        <v>VIGENTE</v>
      </c>
      <c r="QVP948" s="6" t="s">
        <v>25</v>
      </c>
      <c r="QVQ948" s="23" t="s">
        <v>138</v>
      </c>
      <c r="QVR948" s="2" t="s">
        <v>433</v>
      </c>
      <c r="QVS948" s="3" t="s">
        <v>22</v>
      </c>
      <c r="QVT948" s="3" t="s">
        <v>23</v>
      </c>
      <c r="QVU948" s="2" t="s">
        <v>24</v>
      </c>
      <c r="QVV948" s="4">
        <v>0</v>
      </c>
      <c r="QVW948" s="8">
        <f t="shared" ref="QVW948" si="5425">IF(QVS948="Ionizador", 10, IF(QVS948="Mesa", 1000000000, IF(QVS948="Rack", 1000000000, IF(QVS948="Piso", 1000000000, IF(QVS948="Tapete", 1000000000, IF(QVS948="Carrito", 1000000000, IF(QVS948="Cautín", 10, 1)))))))</f>
        <v>1000000000</v>
      </c>
      <c r="QVX948" s="4" t="str">
        <f t="shared" ref="QVX948" si="5426">IF(QVS948="Ionizador", "Segundos", "Ohms")</f>
        <v>Ohms</v>
      </c>
      <c r="QVY948" s="6">
        <v>148000000</v>
      </c>
      <c r="QVZ948" s="6" t="str">
        <f t="shared" ref="QVZ948" si="5427">QVX948</f>
        <v>Ohms</v>
      </c>
      <c r="QWA948" s="2" t="str">
        <f t="shared" ref="QWA948" si="5428">IF(QVS948="Ionizador", "Plato de carga", IF(QVS948="Cautín", "PTG", "RTG"))</f>
        <v>RTG</v>
      </c>
      <c r="QWB948" s="7">
        <v>45992</v>
      </c>
      <c r="QWC948" s="7">
        <f t="shared" ref="QWC948" si="5429">IF(QWD948="Trimestral", QWB948+90, IF(QWD948="Semestral", QWB948+180, QWB948+365))</f>
        <v>46172</v>
      </c>
      <c r="QWD948" s="7" t="str">
        <f t="shared" ref="QWD948" si="5430">IF(QVS948="Ionizador", "Trimestral", IF(QVS948="Rack", "Semestral", IF(QVS948="Mesa", "Semestral", IF(QVS948="Tapete", "Semestral", IF(QVS948="Cautín", "Semestral", IF(QVS948="Silla", "Semestral", "Anual"))))))</f>
        <v>Semestral</v>
      </c>
      <c r="QWE948" s="2" t="str">
        <f t="shared" ref="QWE948" ca="1" si="5431">IF(QWC948&lt;TODAY(),"VENCIDO",IF(QWC948=TODAY(),"VENCE HOY",IF(QWC948&gt;TODAY(),"VIGENTE")))</f>
        <v>VIGENTE</v>
      </c>
      <c r="QWF948" s="6" t="s">
        <v>25</v>
      </c>
      <c r="QWG948" s="23" t="s">
        <v>138</v>
      </c>
      <c r="QWH948" s="2" t="s">
        <v>433</v>
      </c>
      <c r="QWI948" s="3" t="s">
        <v>22</v>
      </c>
      <c r="QWJ948" s="3" t="s">
        <v>23</v>
      </c>
      <c r="QWK948" s="2" t="s">
        <v>24</v>
      </c>
      <c r="QWL948" s="4">
        <v>0</v>
      </c>
      <c r="QWM948" s="8">
        <f t="shared" ref="QWM948" si="5432">IF(QWI948="Ionizador", 10, IF(QWI948="Mesa", 1000000000, IF(QWI948="Rack", 1000000000, IF(QWI948="Piso", 1000000000, IF(QWI948="Tapete", 1000000000, IF(QWI948="Carrito", 1000000000, IF(QWI948="Cautín", 10, 1)))))))</f>
        <v>1000000000</v>
      </c>
      <c r="QWN948" s="4" t="str">
        <f t="shared" ref="QWN948" si="5433">IF(QWI948="Ionizador", "Segundos", "Ohms")</f>
        <v>Ohms</v>
      </c>
      <c r="QWO948" s="6">
        <v>148000000</v>
      </c>
      <c r="QWP948" s="6" t="str">
        <f t="shared" ref="QWP948" si="5434">QWN948</f>
        <v>Ohms</v>
      </c>
      <c r="QWQ948" s="2" t="str">
        <f t="shared" ref="QWQ948" si="5435">IF(QWI948="Ionizador", "Plato de carga", IF(QWI948="Cautín", "PTG", "RTG"))</f>
        <v>RTG</v>
      </c>
      <c r="QWR948" s="7">
        <v>45992</v>
      </c>
      <c r="QWS948" s="7">
        <f t="shared" ref="QWS948" si="5436">IF(QWT948="Trimestral", QWR948+90, IF(QWT948="Semestral", QWR948+180, QWR948+365))</f>
        <v>46172</v>
      </c>
      <c r="QWT948" s="7" t="str">
        <f t="shared" ref="QWT948" si="5437">IF(QWI948="Ionizador", "Trimestral", IF(QWI948="Rack", "Semestral", IF(QWI948="Mesa", "Semestral", IF(QWI948="Tapete", "Semestral", IF(QWI948="Cautín", "Semestral", IF(QWI948="Silla", "Semestral", "Anual"))))))</f>
        <v>Semestral</v>
      </c>
      <c r="QWU948" s="2" t="str">
        <f t="shared" ref="QWU948" ca="1" si="5438">IF(QWS948&lt;TODAY(),"VENCIDO",IF(QWS948=TODAY(),"VENCE HOY",IF(QWS948&gt;TODAY(),"VIGENTE")))</f>
        <v>VIGENTE</v>
      </c>
      <c r="QWV948" s="6" t="s">
        <v>25</v>
      </c>
      <c r="QWW948" s="23" t="s">
        <v>138</v>
      </c>
      <c r="QWX948" s="2" t="s">
        <v>433</v>
      </c>
      <c r="QWY948" s="3" t="s">
        <v>22</v>
      </c>
      <c r="QWZ948" s="3" t="s">
        <v>23</v>
      </c>
      <c r="QXA948" s="2" t="s">
        <v>24</v>
      </c>
      <c r="QXB948" s="4">
        <v>0</v>
      </c>
      <c r="QXC948" s="8">
        <f t="shared" ref="QXC948" si="5439">IF(QWY948="Ionizador", 10, IF(QWY948="Mesa", 1000000000, IF(QWY948="Rack", 1000000000, IF(QWY948="Piso", 1000000000, IF(QWY948="Tapete", 1000000000, IF(QWY948="Carrito", 1000000000, IF(QWY948="Cautín", 10, 1)))))))</f>
        <v>1000000000</v>
      </c>
      <c r="QXD948" s="4" t="str">
        <f t="shared" ref="QXD948" si="5440">IF(QWY948="Ionizador", "Segundos", "Ohms")</f>
        <v>Ohms</v>
      </c>
      <c r="QXE948" s="6">
        <v>148000000</v>
      </c>
      <c r="QXF948" s="6" t="str">
        <f t="shared" ref="QXF948" si="5441">QXD948</f>
        <v>Ohms</v>
      </c>
      <c r="QXG948" s="2" t="str">
        <f t="shared" ref="QXG948" si="5442">IF(QWY948="Ionizador", "Plato de carga", IF(QWY948="Cautín", "PTG", "RTG"))</f>
        <v>RTG</v>
      </c>
      <c r="QXH948" s="7">
        <v>45992</v>
      </c>
      <c r="QXI948" s="7">
        <f t="shared" ref="QXI948" si="5443">IF(QXJ948="Trimestral", QXH948+90, IF(QXJ948="Semestral", QXH948+180, QXH948+365))</f>
        <v>46172</v>
      </c>
      <c r="QXJ948" s="7" t="str">
        <f t="shared" ref="QXJ948" si="5444">IF(QWY948="Ionizador", "Trimestral", IF(QWY948="Rack", "Semestral", IF(QWY948="Mesa", "Semestral", IF(QWY948="Tapete", "Semestral", IF(QWY948="Cautín", "Semestral", IF(QWY948="Silla", "Semestral", "Anual"))))))</f>
        <v>Semestral</v>
      </c>
      <c r="QXK948" s="2" t="str">
        <f t="shared" ref="QXK948" ca="1" si="5445">IF(QXI948&lt;TODAY(),"VENCIDO",IF(QXI948=TODAY(),"VENCE HOY",IF(QXI948&gt;TODAY(),"VIGENTE")))</f>
        <v>VIGENTE</v>
      </c>
      <c r="QXL948" s="6" t="s">
        <v>25</v>
      </c>
      <c r="QXM948" s="23" t="s">
        <v>138</v>
      </c>
      <c r="QXN948" s="2" t="s">
        <v>433</v>
      </c>
      <c r="QXO948" s="3" t="s">
        <v>22</v>
      </c>
      <c r="QXP948" s="3" t="s">
        <v>23</v>
      </c>
      <c r="QXQ948" s="2" t="s">
        <v>24</v>
      </c>
      <c r="QXR948" s="4">
        <v>0</v>
      </c>
      <c r="QXS948" s="8">
        <f t="shared" ref="QXS948" si="5446">IF(QXO948="Ionizador", 10, IF(QXO948="Mesa", 1000000000, IF(QXO948="Rack", 1000000000, IF(QXO948="Piso", 1000000000, IF(QXO948="Tapete", 1000000000, IF(QXO948="Carrito", 1000000000, IF(QXO948="Cautín", 10, 1)))))))</f>
        <v>1000000000</v>
      </c>
      <c r="QXT948" s="4" t="str">
        <f t="shared" ref="QXT948" si="5447">IF(QXO948="Ionizador", "Segundos", "Ohms")</f>
        <v>Ohms</v>
      </c>
      <c r="QXU948" s="6">
        <v>148000000</v>
      </c>
      <c r="QXV948" s="6" t="str">
        <f t="shared" ref="QXV948" si="5448">QXT948</f>
        <v>Ohms</v>
      </c>
      <c r="QXW948" s="2" t="str">
        <f t="shared" ref="QXW948" si="5449">IF(QXO948="Ionizador", "Plato de carga", IF(QXO948="Cautín", "PTG", "RTG"))</f>
        <v>RTG</v>
      </c>
      <c r="QXX948" s="7">
        <v>45992</v>
      </c>
      <c r="QXY948" s="7">
        <f t="shared" ref="QXY948" si="5450">IF(QXZ948="Trimestral", QXX948+90, IF(QXZ948="Semestral", QXX948+180, QXX948+365))</f>
        <v>46172</v>
      </c>
      <c r="QXZ948" s="7" t="str">
        <f t="shared" ref="QXZ948" si="5451">IF(QXO948="Ionizador", "Trimestral", IF(QXO948="Rack", "Semestral", IF(QXO948="Mesa", "Semestral", IF(QXO948="Tapete", "Semestral", IF(QXO948="Cautín", "Semestral", IF(QXO948="Silla", "Semestral", "Anual"))))))</f>
        <v>Semestral</v>
      </c>
      <c r="QYA948" s="2" t="str">
        <f t="shared" ref="QYA948" ca="1" si="5452">IF(QXY948&lt;TODAY(),"VENCIDO",IF(QXY948=TODAY(),"VENCE HOY",IF(QXY948&gt;TODAY(),"VIGENTE")))</f>
        <v>VIGENTE</v>
      </c>
      <c r="QYB948" s="6" t="s">
        <v>25</v>
      </c>
      <c r="QYC948" s="23" t="s">
        <v>138</v>
      </c>
      <c r="QYD948" s="2" t="s">
        <v>433</v>
      </c>
      <c r="QYE948" s="3" t="s">
        <v>22</v>
      </c>
      <c r="QYF948" s="3" t="s">
        <v>23</v>
      </c>
      <c r="QYG948" s="2" t="s">
        <v>24</v>
      </c>
      <c r="QYH948" s="4">
        <v>0</v>
      </c>
      <c r="QYI948" s="8">
        <f t="shared" ref="QYI948" si="5453">IF(QYE948="Ionizador", 10, IF(QYE948="Mesa", 1000000000, IF(QYE948="Rack", 1000000000, IF(QYE948="Piso", 1000000000, IF(QYE948="Tapete", 1000000000, IF(QYE948="Carrito", 1000000000, IF(QYE948="Cautín", 10, 1)))))))</f>
        <v>1000000000</v>
      </c>
      <c r="QYJ948" s="4" t="str">
        <f t="shared" ref="QYJ948" si="5454">IF(QYE948="Ionizador", "Segundos", "Ohms")</f>
        <v>Ohms</v>
      </c>
      <c r="QYK948" s="6">
        <v>148000000</v>
      </c>
      <c r="QYL948" s="6" t="str">
        <f t="shared" ref="QYL948" si="5455">QYJ948</f>
        <v>Ohms</v>
      </c>
      <c r="QYM948" s="2" t="str">
        <f t="shared" ref="QYM948" si="5456">IF(QYE948="Ionizador", "Plato de carga", IF(QYE948="Cautín", "PTG", "RTG"))</f>
        <v>RTG</v>
      </c>
      <c r="QYN948" s="7">
        <v>45992</v>
      </c>
      <c r="QYO948" s="7">
        <f t="shared" ref="QYO948" si="5457">IF(QYP948="Trimestral", QYN948+90, IF(QYP948="Semestral", QYN948+180, QYN948+365))</f>
        <v>46172</v>
      </c>
      <c r="QYP948" s="7" t="str">
        <f t="shared" ref="QYP948" si="5458">IF(QYE948="Ionizador", "Trimestral", IF(QYE948="Rack", "Semestral", IF(QYE948="Mesa", "Semestral", IF(QYE948="Tapete", "Semestral", IF(QYE948="Cautín", "Semestral", IF(QYE948="Silla", "Semestral", "Anual"))))))</f>
        <v>Semestral</v>
      </c>
      <c r="QYQ948" s="2" t="str">
        <f t="shared" ref="QYQ948" ca="1" si="5459">IF(QYO948&lt;TODAY(),"VENCIDO",IF(QYO948=TODAY(),"VENCE HOY",IF(QYO948&gt;TODAY(),"VIGENTE")))</f>
        <v>VIGENTE</v>
      </c>
      <c r="QYR948" s="6" t="s">
        <v>25</v>
      </c>
      <c r="QYS948" s="23" t="s">
        <v>138</v>
      </c>
      <c r="QYT948" s="2" t="s">
        <v>433</v>
      </c>
      <c r="QYU948" s="3" t="s">
        <v>22</v>
      </c>
      <c r="QYV948" s="3" t="s">
        <v>23</v>
      </c>
      <c r="QYW948" s="2" t="s">
        <v>24</v>
      </c>
      <c r="QYX948" s="4">
        <v>0</v>
      </c>
      <c r="QYY948" s="8">
        <f t="shared" ref="QYY948" si="5460">IF(QYU948="Ionizador", 10, IF(QYU948="Mesa", 1000000000, IF(QYU948="Rack", 1000000000, IF(QYU948="Piso", 1000000000, IF(QYU948="Tapete", 1000000000, IF(QYU948="Carrito", 1000000000, IF(QYU948="Cautín", 10, 1)))))))</f>
        <v>1000000000</v>
      </c>
      <c r="QYZ948" s="4" t="str">
        <f t="shared" ref="QYZ948" si="5461">IF(QYU948="Ionizador", "Segundos", "Ohms")</f>
        <v>Ohms</v>
      </c>
      <c r="QZA948" s="6">
        <v>148000000</v>
      </c>
      <c r="QZB948" s="6" t="str">
        <f t="shared" ref="QZB948" si="5462">QYZ948</f>
        <v>Ohms</v>
      </c>
      <c r="QZC948" s="2" t="str">
        <f t="shared" ref="QZC948" si="5463">IF(QYU948="Ionizador", "Plato de carga", IF(QYU948="Cautín", "PTG", "RTG"))</f>
        <v>RTG</v>
      </c>
      <c r="QZD948" s="7">
        <v>45992</v>
      </c>
      <c r="QZE948" s="7">
        <f t="shared" ref="QZE948" si="5464">IF(QZF948="Trimestral", QZD948+90, IF(QZF948="Semestral", QZD948+180, QZD948+365))</f>
        <v>46172</v>
      </c>
      <c r="QZF948" s="7" t="str">
        <f t="shared" ref="QZF948" si="5465">IF(QYU948="Ionizador", "Trimestral", IF(QYU948="Rack", "Semestral", IF(QYU948="Mesa", "Semestral", IF(QYU948="Tapete", "Semestral", IF(QYU948="Cautín", "Semestral", IF(QYU948="Silla", "Semestral", "Anual"))))))</f>
        <v>Semestral</v>
      </c>
      <c r="QZG948" s="2" t="str">
        <f t="shared" ref="QZG948" ca="1" si="5466">IF(QZE948&lt;TODAY(),"VENCIDO",IF(QZE948=TODAY(),"VENCE HOY",IF(QZE948&gt;TODAY(),"VIGENTE")))</f>
        <v>VIGENTE</v>
      </c>
      <c r="QZH948" s="6" t="s">
        <v>25</v>
      </c>
      <c r="QZI948" s="23" t="s">
        <v>138</v>
      </c>
      <c r="QZJ948" s="2" t="s">
        <v>433</v>
      </c>
      <c r="QZK948" s="3" t="s">
        <v>22</v>
      </c>
      <c r="QZL948" s="3" t="s">
        <v>23</v>
      </c>
      <c r="QZM948" s="2" t="s">
        <v>24</v>
      </c>
      <c r="QZN948" s="4">
        <v>0</v>
      </c>
      <c r="QZO948" s="8">
        <f t="shared" ref="QZO948" si="5467">IF(QZK948="Ionizador", 10, IF(QZK948="Mesa", 1000000000, IF(QZK948="Rack", 1000000000, IF(QZK948="Piso", 1000000000, IF(QZK948="Tapete", 1000000000, IF(QZK948="Carrito", 1000000000, IF(QZK948="Cautín", 10, 1)))))))</f>
        <v>1000000000</v>
      </c>
      <c r="QZP948" s="4" t="str">
        <f t="shared" ref="QZP948" si="5468">IF(QZK948="Ionizador", "Segundos", "Ohms")</f>
        <v>Ohms</v>
      </c>
      <c r="QZQ948" s="6">
        <v>148000000</v>
      </c>
      <c r="QZR948" s="6" t="str">
        <f t="shared" ref="QZR948" si="5469">QZP948</f>
        <v>Ohms</v>
      </c>
      <c r="QZS948" s="2" t="str">
        <f t="shared" ref="QZS948" si="5470">IF(QZK948="Ionizador", "Plato de carga", IF(QZK948="Cautín", "PTG", "RTG"))</f>
        <v>RTG</v>
      </c>
      <c r="QZT948" s="7">
        <v>45992</v>
      </c>
      <c r="QZU948" s="7">
        <f t="shared" ref="QZU948" si="5471">IF(QZV948="Trimestral", QZT948+90, IF(QZV948="Semestral", QZT948+180, QZT948+365))</f>
        <v>46172</v>
      </c>
      <c r="QZV948" s="7" t="str">
        <f t="shared" ref="QZV948" si="5472">IF(QZK948="Ionizador", "Trimestral", IF(QZK948="Rack", "Semestral", IF(QZK948="Mesa", "Semestral", IF(QZK948="Tapete", "Semestral", IF(QZK948="Cautín", "Semestral", IF(QZK948="Silla", "Semestral", "Anual"))))))</f>
        <v>Semestral</v>
      </c>
      <c r="QZW948" s="2" t="str">
        <f t="shared" ref="QZW948" ca="1" si="5473">IF(QZU948&lt;TODAY(),"VENCIDO",IF(QZU948=TODAY(),"VENCE HOY",IF(QZU948&gt;TODAY(),"VIGENTE")))</f>
        <v>VIGENTE</v>
      </c>
      <c r="QZX948" s="6" t="s">
        <v>25</v>
      </c>
      <c r="QZY948" s="23" t="s">
        <v>138</v>
      </c>
      <c r="QZZ948" s="2" t="s">
        <v>433</v>
      </c>
      <c r="RAA948" s="3" t="s">
        <v>22</v>
      </c>
      <c r="RAB948" s="3" t="s">
        <v>23</v>
      </c>
      <c r="RAC948" s="2" t="s">
        <v>24</v>
      </c>
      <c r="RAD948" s="4">
        <v>0</v>
      </c>
      <c r="RAE948" s="8">
        <f t="shared" ref="RAE948" si="5474">IF(RAA948="Ionizador", 10, IF(RAA948="Mesa", 1000000000, IF(RAA948="Rack", 1000000000, IF(RAA948="Piso", 1000000000, IF(RAA948="Tapete", 1000000000, IF(RAA948="Carrito", 1000000000, IF(RAA948="Cautín", 10, 1)))))))</f>
        <v>1000000000</v>
      </c>
      <c r="RAF948" s="4" t="str">
        <f t="shared" ref="RAF948" si="5475">IF(RAA948="Ionizador", "Segundos", "Ohms")</f>
        <v>Ohms</v>
      </c>
      <c r="RAG948" s="6">
        <v>148000000</v>
      </c>
      <c r="RAH948" s="6" t="str">
        <f t="shared" ref="RAH948" si="5476">RAF948</f>
        <v>Ohms</v>
      </c>
      <c r="RAI948" s="2" t="str">
        <f t="shared" ref="RAI948" si="5477">IF(RAA948="Ionizador", "Plato de carga", IF(RAA948="Cautín", "PTG", "RTG"))</f>
        <v>RTG</v>
      </c>
      <c r="RAJ948" s="7">
        <v>45992</v>
      </c>
      <c r="RAK948" s="7">
        <f t="shared" ref="RAK948" si="5478">IF(RAL948="Trimestral", RAJ948+90, IF(RAL948="Semestral", RAJ948+180, RAJ948+365))</f>
        <v>46172</v>
      </c>
      <c r="RAL948" s="7" t="str">
        <f t="shared" ref="RAL948" si="5479">IF(RAA948="Ionizador", "Trimestral", IF(RAA948="Rack", "Semestral", IF(RAA948="Mesa", "Semestral", IF(RAA948="Tapete", "Semestral", IF(RAA948="Cautín", "Semestral", IF(RAA948="Silla", "Semestral", "Anual"))))))</f>
        <v>Semestral</v>
      </c>
      <c r="RAM948" s="2" t="str">
        <f t="shared" ref="RAM948" ca="1" si="5480">IF(RAK948&lt;TODAY(),"VENCIDO",IF(RAK948=TODAY(),"VENCE HOY",IF(RAK948&gt;TODAY(),"VIGENTE")))</f>
        <v>VIGENTE</v>
      </c>
      <c r="RAN948" s="6" t="s">
        <v>25</v>
      </c>
      <c r="RAO948" s="23" t="s">
        <v>138</v>
      </c>
      <c r="RAP948" s="2" t="s">
        <v>433</v>
      </c>
      <c r="RAQ948" s="3" t="s">
        <v>22</v>
      </c>
      <c r="RAR948" s="3" t="s">
        <v>23</v>
      </c>
      <c r="RAS948" s="2" t="s">
        <v>24</v>
      </c>
      <c r="RAT948" s="4">
        <v>0</v>
      </c>
      <c r="RAU948" s="8">
        <f t="shared" ref="RAU948" si="5481">IF(RAQ948="Ionizador", 10, IF(RAQ948="Mesa", 1000000000, IF(RAQ948="Rack", 1000000000, IF(RAQ948="Piso", 1000000000, IF(RAQ948="Tapete", 1000000000, IF(RAQ948="Carrito", 1000000000, IF(RAQ948="Cautín", 10, 1)))))))</f>
        <v>1000000000</v>
      </c>
      <c r="RAV948" s="4" t="str">
        <f t="shared" ref="RAV948" si="5482">IF(RAQ948="Ionizador", "Segundos", "Ohms")</f>
        <v>Ohms</v>
      </c>
      <c r="RAW948" s="6">
        <v>148000000</v>
      </c>
      <c r="RAX948" s="6" t="str">
        <f t="shared" ref="RAX948" si="5483">RAV948</f>
        <v>Ohms</v>
      </c>
      <c r="RAY948" s="2" t="str">
        <f t="shared" ref="RAY948" si="5484">IF(RAQ948="Ionizador", "Plato de carga", IF(RAQ948="Cautín", "PTG", "RTG"))</f>
        <v>RTG</v>
      </c>
      <c r="RAZ948" s="7">
        <v>45992</v>
      </c>
      <c r="RBA948" s="7">
        <f t="shared" ref="RBA948" si="5485">IF(RBB948="Trimestral", RAZ948+90, IF(RBB948="Semestral", RAZ948+180, RAZ948+365))</f>
        <v>46172</v>
      </c>
      <c r="RBB948" s="7" t="str">
        <f t="shared" ref="RBB948" si="5486">IF(RAQ948="Ionizador", "Trimestral", IF(RAQ948="Rack", "Semestral", IF(RAQ948="Mesa", "Semestral", IF(RAQ948="Tapete", "Semestral", IF(RAQ948="Cautín", "Semestral", IF(RAQ948="Silla", "Semestral", "Anual"))))))</f>
        <v>Semestral</v>
      </c>
      <c r="RBC948" s="2" t="str">
        <f t="shared" ref="RBC948" ca="1" si="5487">IF(RBA948&lt;TODAY(),"VENCIDO",IF(RBA948=TODAY(),"VENCE HOY",IF(RBA948&gt;TODAY(),"VIGENTE")))</f>
        <v>VIGENTE</v>
      </c>
      <c r="RBD948" s="6" t="s">
        <v>25</v>
      </c>
      <c r="RBE948" s="23" t="s">
        <v>138</v>
      </c>
      <c r="RBF948" s="2" t="s">
        <v>433</v>
      </c>
      <c r="RBG948" s="3" t="s">
        <v>22</v>
      </c>
      <c r="RBH948" s="3" t="s">
        <v>23</v>
      </c>
      <c r="RBI948" s="2" t="s">
        <v>24</v>
      </c>
      <c r="RBJ948" s="4">
        <v>0</v>
      </c>
      <c r="RBK948" s="8">
        <f t="shared" ref="RBK948" si="5488">IF(RBG948="Ionizador", 10, IF(RBG948="Mesa", 1000000000, IF(RBG948="Rack", 1000000000, IF(RBG948="Piso", 1000000000, IF(RBG948="Tapete", 1000000000, IF(RBG948="Carrito", 1000000000, IF(RBG948="Cautín", 10, 1)))))))</f>
        <v>1000000000</v>
      </c>
      <c r="RBL948" s="4" t="str">
        <f t="shared" ref="RBL948" si="5489">IF(RBG948="Ionizador", "Segundos", "Ohms")</f>
        <v>Ohms</v>
      </c>
      <c r="RBM948" s="6">
        <v>148000000</v>
      </c>
      <c r="RBN948" s="6" t="str">
        <f t="shared" ref="RBN948" si="5490">RBL948</f>
        <v>Ohms</v>
      </c>
      <c r="RBO948" s="2" t="str">
        <f t="shared" ref="RBO948" si="5491">IF(RBG948="Ionizador", "Plato de carga", IF(RBG948="Cautín", "PTG", "RTG"))</f>
        <v>RTG</v>
      </c>
      <c r="RBP948" s="7">
        <v>45992</v>
      </c>
      <c r="RBQ948" s="7">
        <f t="shared" ref="RBQ948" si="5492">IF(RBR948="Trimestral", RBP948+90, IF(RBR948="Semestral", RBP948+180, RBP948+365))</f>
        <v>46172</v>
      </c>
      <c r="RBR948" s="7" t="str">
        <f t="shared" ref="RBR948" si="5493">IF(RBG948="Ionizador", "Trimestral", IF(RBG948="Rack", "Semestral", IF(RBG948="Mesa", "Semestral", IF(RBG948="Tapete", "Semestral", IF(RBG948="Cautín", "Semestral", IF(RBG948="Silla", "Semestral", "Anual"))))))</f>
        <v>Semestral</v>
      </c>
      <c r="RBS948" s="2" t="str">
        <f t="shared" ref="RBS948" ca="1" si="5494">IF(RBQ948&lt;TODAY(),"VENCIDO",IF(RBQ948=TODAY(),"VENCE HOY",IF(RBQ948&gt;TODAY(),"VIGENTE")))</f>
        <v>VIGENTE</v>
      </c>
      <c r="RBT948" s="6" t="s">
        <v>25</v>
      </c>
      <c r="RBU948" s="23" t="s">
        <v>138</v>
      </c>
      <c r="RBV948" s="2" t="s">
        <v>433</v>
      </c>
      <c r="RBW948" s="3" t="s">
        <v>22</v>
      </c>
      <c r="RBX948" s="3" t="s">
        <v>23</v>
      </c>
      <c r="RBY948" s="2" t="s">
        <v>24</v>
      </c>
      <c r="RBZ948" s="4">
        <v>0</v>
      </c>
      <c r="RCA948" s="8">
        <f t="shared" ref="RCA948" si="5495">IF(RBW948="Ionizador", 10, IF(RBW948="Mesa", 1000000000, IF(RBW948="Rack", 1000000000, IF(RBW948="Piso", 1000000000, IF(RBW948="Tapete", 1000000000, IF(RBW948="Carrito", 1000000000, IF(RBW948="Cautín", 10, 1)))))))</f>
        <v>1000000000</v>
      </c>
      <c r="RCB948" s="4" t="str">
        <f t="shared" ref="RCB948" si="5496">IF(RBW948="Ionizador", "Segundos", "Ohms")</f>
        <v>Ohms</v>
      </c>
      <c r="RCC948" s="6">
        <v>148000000</v>
      </c>
      <c r="RCD948" s="6" t="str">
        <f t="shared" ref="RCD948" si="5497">RCB948</f>
        <v>Ohms</v>
      </c>
      <c r="RCE948" s="2" t="str">
        <f t="shared" ref="RCE948" si="5498">IF(RBW948="Ionizador", "Plato de carga", IF(RBW948="Cautín", "PTG", "RTG"))</f>
        <v>RTG</v>
      </c>
      <c r="RCF948" s="7">
        <v>45992</v>
      </c>
      <c r="RCG948" s="7">
        <f t="shared" ref="RCG948" si="5499">IF(RCH948="Trimestral", RCF948+90, IF(RCH948="Semestral", RCF948+180, RCF948+365))</f>
        <v>46172</v>
      </c>
      <c r="RCH948" s="7" t="str">
        <f t="shared" ref="RCH948" si="5500">IF(RBW948="Ionizador", "Trimestral", IF(RBW948="Rack", "Semestral", IF(RBW948="Mesa", "Semestral", IF(RBW948="Tapete", "Semestral", IF(RBW948="Cautín", "Semestral", IF(RBW948="Silla", "Semestral", "Anual"))))))</f>
        <v>Semestral</v>
      </c>
      <c r="RCI948" s="2" t="str">
        <f t="shared" ref="RCI948" ca="1" si="5501">IF(RCG948&lt;TODAY(),"VENCIDO",IF(RCG948=TODAY(),"VENCE HOY",IF(RCG948&gt;TODAY(),"VIGENTE")))</f>
        <v>VIGENTE</v>
      </c>
      <c r="RCJ948" s="6" t="s">
        <v>25</v>
      </c>
      <c r="RCK948" s="23" t="s">
        <v>138</v>
      </c>
      <c r="RCL948" s="2" t="s">
        <v>433</v>
      </c>
      <c r="RCM948" s="3" t="s">
        <v>22</v>
      </c>
      <c r="RCN948" s="3" t="s">
        <v>23</v>
      </c>
      <c r="RCO948" s="2" t="s">
        <v>24</v>
      </c>
      <c r="RCP948" s="4">
        <v>0</v>
      </c>
      <c r="RCQ948" s="8">
        <f t="shared" ref="RCQ948" si="5502">IF(RCM948="Ionizador", 10, IF(RCM948="Mesa", 1000000000, IF(RCM948="Rack", 1000000000, IF(RCM948="Piso", 1000000000, IF(RCM948="Tapete", 1000000000, IF(RCM948="Carrito", 1000000000, IF(RCM948="Cautín", 10, 1)))))))</f>
        <v>1000000000</v>
      </c>
      <c r="RCR948" s="4" t="str">
        <f t="shared" ref="RCR948" si="5503">IF(RCM948="Ionizador", "Segundos", "Ohms")</f>
        <v>Ohms</v>
      </c>
      <c r="RCS948" s="6">
        <v>148000000</v>
      </c>
      <c r="RCT948" s="6" t="str">
        <f t="shared" ref="RCT948" si="5504">RCR948</f>
        <v>Ohms</v>
      </c>
      <c r="RCU948" s="2" t="str">
        <f t="shared" ref="RCU948" si="5505">IF(RCM948="Ionizador", "Plato de carga", IF(RCM948="Cautín", "PTG", "RTG"))</f>
        <v>RTG</v>
      </c>
      <c r="RCV948" s="7">
        <v>45992</v>
      </c>
      <c r="RCW948" s="7">
        <f t="shared" ref="RCW948" si="5506">IF(RCX948="Trimestral", RCV948+90, IF(RCX948="Semestral", RCV948+180, RCV948+365))</f>
        <v>46172</v>
      </c>
      <c r="RCX948" s="7" t="str">
        <f t="shared" ref="RCX948" si="5507">IF(RCM948="Ionizador", "Trimestral", IF(RCM948="Rack", "Semestral", IF(RCM948="Mesa", "Semestral", IF(RCM948="Tapete", "Semestral", IF(RCM948="Cautín", "Semestral", IF(RCM948="Silla", "Semestral", "Anual"))))))</f>
        <v>Semestral</v>
      </c>
      <c r="RCY948" s="2" t="str">
        <f t="shared" ref="RCY948" ca="1" si="5508">IF(RCW948&lt;TODAY(),"VENCIDO",IF(RCW948=TODAY(),"VENCE HOY",IF(RCW948&gt;TODAY(),"VIGENTE")))</f>
        <v>VIGENTE</v>
      </c>
      <c r="RCZ948" s="6" t="s">
        <v>25</v>
      </c>
      <c r="RDA948" s="23" t="s">
        <v>138</v>
      </c>
      <c r="RDB948" s="2" t="s">
        <v>433</v>
      </c>
      <c r="RDC948" s="3" t="s">
        <v>22</v>
      </c>
      <c r="RDD948" s="3" t="s">
        <v>23</v>
      </c>
      <c r="RDE948" s="2" t="s">
        <v>24</v>
      </c>
      <c r="RDF948" s="4">
        <v>0</v>
      </c>
      <c r="RDG948" s="8">
        <f t="shared" ref="RDG948" si="5509">IF(RDC948="Ionizador", 10, IF(RDC948="Mesa", 1000000000, IF(RDC948="Rack", 1000000000, IF(RDC948="Piso", 1000000000, IF(RDC948="Tapete", 1000000000, IF(RDC948="Carrito", 1000000000, IF(RDC948="Cautín", 10, 1)))))))</f>
        <v>1000000000</v>
      </c>
      <c r="RDH948" s="4" t="str">
        <f t="shared" ref="RDH948" si="5510">IF(RDC948="Ionizador", "Segundos", "Ohms")</f>
        <v>Ohms</v>
      </c>
      <c r="RDI948" s="6">
        <v>148000000</v>
      </c>
      <c r="RDJ948" s="6" t="str">
        <f t="shared" ref="RDJ948" si="5511">RDH948</f>
        <v>Ohms</v>
      </c>
      <c r="RDK948" s="2" t="str">
        <f t="shared" ref="RDK948" si="5512">IF(RDC948="Ionizador", "Plato de carga", IF(RDC948="Cautín", "PTG", "RTG"))</f>
        <v>RTG</v>
      </c>
      <c r="RDL948" s="7">
        <v>45992</v>
      </c>
      <c r="RDM948" s="7">
        <f t="shared" ref="RDM948" si="5513">IF(RDN948="Trimestral", RDL948+90, IF(RDN948="Semestral", RDL948+180, RDL948+365))</f>
        <v>46172</v>
      </c>
      <c r="RDN948" s="7" t="str">
        <f t="shared" ref="RDN948" si="5514">IF(RDC948="Ionizador", "Trimestral", IF(RDC948="Rack", "Semestral", IF(RDC948="Mesa", "Semestral", IF(RDC948="Tapete", "Semestral", IF(RDC948="Cautín", "Semestral", IF(RDC948="Silla", "Semestral", "Anual"))))))</f>
        <v>Semestral</v>
      </c>
      <c r="RDO948" s="2" t="str">
        <f t="shared" ref="RDO948" ca="1" si="5515">IF(RDM948&lt;TODAY(),"VENCIDO",IF(RDM948=TODAY(),"VENCE HOY",IF(RDM948&gt;TODAY(),"VIGENTE")))</f>
        <v>VIGENTE</v>
      </c>
      <c r="RDP948" s="6" t="s">
        <v>25</v>
      </c>
      <c r="RDQ948" s="23" t="s">
        <v>138</v>
      </c>
      <c r="RDR948" s="2" t="s">
        <v>433</v>
      </c>
      <c r="RDS948" s="3" t="s">
        <v>22</v>
      </c>
      <c r="RDT948" s="3" t="s">
        <v>23</v>
      </c>
      <c r="RDU948" s="2" t="s">
        <v>24</v>
      </c>
      <c r="RDV948" s="4">
        <v>0</v>
      </c>
      <c r="RDW948" s="8">
        <f t="shared" ref="RDW948" si="5516">IF(RDS948="Ionizador", 10, IF(RDS948="Mesa", 1000000000, IF(RDS948="Rack", 1000000000, IF(RDS948="Piso", 1000000000, IF(RDS948="Tapete", 1000000000, IF(RDS948="Carrito", 1000000000, IF(RDS948="Cautín", 10, 1)))))))</f>
        <v>1000000000</v>
      </c>
      <c r="RDX948" s="4" t="str">
        <f t="shared" ref="RDX948" si="5517">IF(RDS948="Ionizador", "Segundos", "Ohms")</f>
        <v>Ohms</v>
      </c>
      <c r="RDY948" s="6">
        <v>148000000</v>
      </c>
      <c r="RDZ948" s="6" t="str">
        <f t="shared" ref="RDZ948" si="5518">RDX948</f>
        <v>Ohms</v>
      </c>
      <c r="REA948" s="2" t="str">
        <f t="shared" ref="REA948" si="5519">IF(RDS948="Ionizador", "Plato de carga", IF(RDS948="Cautín", "PTG", "RTG"))</f>
        <v>RTG</v>
      </c>
      <c r="REB948" s="7">
        <v>45992</v>
      </c>
      <c r="REC948" s="7">
        <f t="shared" ref="REC948" si="5520">IF(RED948="Trimestral", REB948+90, IF(RED948="Semestral", REB948+180, REB948+365))</f>
        <v>46172</v>
      </c>
      <c r="RED948" s="7" t="str">
        <f t="shared" ref="RED948" si="5521">IF(RDS948="Ionizador", "Trimestral", IF(RDS948="Rack", "Semestral", IF(RDS948="Mesa", "Semestral", IF(RDS948="Tapete", "Semestral", IF(RDS948="Cautín", "Semestral", IF(RDS948="Silla", "Semestral", "Anual"))))))</f>
        <v>Semestral</v>
      </c>
      <c r="REE948" s="2" t="str">
        <f t="shared" ref="REE948" ca="1" si="5522">IF(REC948&lt;TODAY(),"VENCIDO",IF(REC948=TODAY(),"VENCE HOY",IF(REC948&gt;TODAY(),"VIGENTE")))</f>
        <v>VIGENTE</v>
      </c>
      <c r="REF948" s="6" t="s">
        <v>25</v>
      </c>
      <c r="REG948" s="23" t="s">
        <v>138</v>
      </c>
      <c r="REH948" s="2" t="s">
        <v>433</v>
      </c>
      <c r="REI948" s="3" t="s">
        <v>22</v>
      </c>
      <c r="REJ948" s="3" t="s">
        <v>23</v>
      </c>
      <c r="REK948" s="2" t="s">
        <v>24</v>
      </c>
      <c r="REL948" s="4">
        <v>0</v>
      </c>
      <c r="REM948" s="8">
        <f t="shared" ref="REM948" si="5523">IF(REI948="Ionizador", 10, IF(REI948="Mesa", 1000000000, IF(REI948="Rack", 1000000000, IF(REI948="Piso", 1000000000, IF(REI948="Tapete", 1000000000, IF(REI948="Carrito", 1000000000, IF(REI948="Cautín", 10, 1)))))))</f>
        <v>1000000000</v>
      </c>
      <c r="REN948" s="4" t="str">
        <f t="shared" ref="REN948" si="5524">IF(REI948="Ionizador", "Segundos", "Ohms")</f>
        <v>Ohms</v>
      </c>
      <c r="REO948" s="6">
        <v>148000000</v>
      </c>
      <c r="REP948" s="6" t="str">
        <f t="shared" ref="REP948" si="5525">REN948</f>
        <v>Ohms</v>
      </c>
      <c r="REQ948" s="2" t="str">
        <f t="shared" ref="REQ948" si="5526">IF(REI948="Ionizador", "Plato de carga", IF(REI948="Cautín", "PTG", "RTG"))</f>
        <v>RTG</v>
      </c>
      <c r="RER948" s="7">
        <v>45992</v>
      </c>
      <c r="RES948" s="7">
        <f t="shared" ref="RES948" si="5527">IF(RET948="Trimestral", RER948+90, IF(RET948="Semestral", RER948+180, RER948+365))</f>
        <v>46172</v>
      </c>
      <c r="RET948" s="7" t="str">
        <f t="shared" ref="RET948" si="5528">IF(REI948="Ionizador", "Trimestral", IF(REI948="Rack", "Semestral", IF(REI948="Mesa", "Semestral", IF(REI948="Tapete", "Semestral", IF(REI948="Cautín", "Semestral", IF(REI948="Silla", "Semestral", "Anual"))))))</f>
        <v>Semestral</v>
      </c>
      <c r="REU948" s="2" t="str">
        <f t="shared" ref="REU948" ca="1" si="5529">IF(RES948&lt;TODAY(),"VENCIDO",IF(RES948=TODAY(),"VENCE HOY",IF(RES948&gt;TODAY(),"VIGENTE")))</f>
        <v>VIGENTE</v>
      </c>
      <c r="REV948" s="6" t="s">
        <v>25</v>
      </c>
      <c r="REW948" s="23" t="s">
        <v>138</v>
      </c>
      <c r="REX948" s="2" t="s">
        <v>433</v>
      </c>
      <c r="REY948" s="3" t="s">
        <v>22</v>
      </c>
      <c r="REZ948" s="3" t="s">
        <v>23</v>
      </c>
      <c r="RFA948" s="2" t="s">
        <v>24</v>
      </c>
      <c r="RFB948" s="4">
        <v>0</v>
      </c>
      <c r="RFC948" s="8">
        <f t="shared" ref="RFC948" si="5530">IF(REY948="Ionizador", 10, IF(REY948="Mesa", 1000000000, IF(REY948="Rack", 1000000000, IF(REY948="Piso", 1000000000, IF(REY948="Tapete", 1000000000, IF(REY948="Carrito", 1000000000, IF(REY948="Cautín", 10, 1)))))))</f>
        <v>1000000000</v>
      </c>
      <c r="RFD948" s="4" t="str">
        <f t="shared" ref="RFD948" si="5531">IF(REY948="Ionizador", "Segundos", "Ohms")</f>
        <v>Ohms</v>
      </c>
      <c r="RFE948" s="6">
        <v>148000000</v>
      </c>
      <c r="RFF948" s="6" t="str">
        <f t="shared" ref="RFF948" si="5532">RFD948</f>
        <v>Ohms</v>
      </c>
      <c r="RFG948" s="2" t="str">
        <f t="shared" ref="RFG948" si="5533">IF(REY948="Ionizador", "Plato de carga", IF(REY948="Cautín", "PTG", "RTG"))</f>
        <v>RTG</v>
      </c>
      <c r="RFH948" s="7">
        <v>45992</v>
      </c>
      <c r="RFI948" s="7">
        <f t="shared" ref="RFI948" si="5534">IF(RFJ948="Trimestral", RFH948+90, IF(RFJ948="Semestral", RFH948+180, RFH948+365))</f>
        <v>46172</v>
      </c>
      <c r="RFJ948" s="7" t="str">
        <f t="shared" ref="RFJ948" si="5535">IF(REY948="Ionizador", "Trimestral", IF(REY948="Rack", "Semestral", IF(REY948="Mesa", "Semestral", IF(REY948="Tapete", "Semestral", IF(REY948="Cautín", "Semestral", IF(REY948="Silla", "Semestral", "Anual"))))))</f>
        <v>Semestral</v>
      </c>
      <c r="RFK948" s="2" t="str">
        <f t="shared" ref="RFK948" ca="1" si="5536">IF(RFI948&lt;TODAY(),"VENCIDO",IF(RFI948=TODAY(),"VENCE HOY",IF(RFI948&gt;TODAY(),"VIGENTE")))</f>
        <v>VIGENTE</v>
      </c>
      <c r="RFL948" s="6" t="s">
        <v>25</v>
      </c>
      <c r="RFM948" s="23" t="s">
        <v>138</v>
      </c>
      <c r="RFN948" s="2" t="s">
        <v>433</v>
      </c>
      <c r="RFO948" s="3" t="s">
        <v>22</v>
      </c>
      <c r="RFP948" s="3" t="s">
        <v>23</v>
      </c>
      <c r="RFQ948" s="2" t="s">
        <v>24</v>
      </c>
      <c r="RFR948" s="4">
        <v>0</v>
      </c>
      <c r="RFS948" s="8">
        <f t="shared" ref="RFS948" si="5537">IF(RFO948="Ionizador", 10, IF(RFO948="Mesa", 1000000000, IF(RFO948="Rack", 1000000000, IF(RFO948="Piso", 1000000000, IF(RFO948="Tapete", 1000000000, IF(RFO948="Carrito", 1000000000, IF(RFO948="Cautín", 10, 1)))))))</f>
        <v>1000000000</v>
      </c>
      <c r="RFT948" s="4" t="str">
        <f t="shared" ref="RFT948" si="5538">IF(RFO948="Ionizador", "Segundos", "Ohms")</f>
        <v>Ohms</v>
      </c>
      <c r="RFU948" s="6">
        <v>148000000</v>
      </c>
      <c r="RFV948" s="6" t="str">
        <f t="shared" ref="RFV948" si="5539">RFT948</f>
        <v>Ohms</v>
      </c>
      <c r="RFW948" s="2" t="str">
        <f t="shared" ref="RFW948" si="5540">IF(RFO948="Ionizador", "Plato de carga", IF(RFO948="Cautín", "PTG", "RTG"))</f>
        <v>RTG</v>
      </c>
      <c r="RFX948" s="7">
        <v>45992</v>
      </c>
      <c r="RFY948" s="7">
        <f t="shared" ref="RFY948" si="5541">IF(RFZ948="Trimestral", RFX948+90, IF(RFZ948="Semestral", RFX948+180, RFX948+365))</f>
        <v>46172</v>
      </c>
      <c r="RFZ948" s="7" t="str">
        <f t="shared" ref="RFZ948" si="5542">IF(RFO948="Ionizador", "Trimestral", IF(RFO948="Rack", "Semestral", IF(RFO948="Mesa", "Semestral", IF(RFO948="Tapete", "Semestral", IF(RFO948="Cautín", "Semestral", IF(RFO948="Silla", "Semestral", "Anual"))))))</f>
        <v>Semestral</v>
      </c>
      <c r="RGA948" s="2" t="str">
        <f t="shared" ref="RGA948" ca="1" si="5543">IF(RFY948&lt;TODAY(),"VENCIDO",IF(RFY948=TODAY(),"VENCE HOY",IF(RFY948&gt;TODAY(),"VIGENTE")))</f>
        <v>VIGENTE</v>
      </c>
      <c r="RGB948" s="6" t="s">
        <v>25</v>
      </c>
      <c r="RGC948" s="23" t="s">
        <v>138</v>
      </c>
      <c r="RGD948" s="2" t="s">
        <v>433</v>
      </c>
      <c r="RGE948" s="3" t="s">
        <v>22</v>
      </c>
      <c r="RGF948" s="3" t="s">
        <v>23</v>
      </c>
      <c r="RGG948" s="2" t="s">
        <v>24</v>
      </c>
      <c r="RGH948" s="4">
        <v>0</v>
      </c>
      <c r="RGI948" s="8">
        <f t="shared" ref="RGI948" si="5544">IF(RGE948="Ionizador", 10, IF(RGE948="Mesa", 1000000000, IF(RGE948="Rack", 1000000000, IF(RGE948="Piso", 1000000000, IF(RGE948="Tapete", 1000000000, IF(RGE948="Carrito", 1000000000, IF(RGE948="Cautín", 10, 1)))))))</f>
        <v>1000000000</v>
      </c>
      <c r="RGJ948" s="4" t="str">
        <f t="shared" ref="RGJ948" si="5545">IF(RGE948="Ionizador", "Segundos", "Ohms")</f>
        <v>Ohms</v>
      </c>
      <c r="RGK948" s="6">
        <v>148000000</v>
      </c>
      <c r="RGL948" s="6" t="str">
        <f t="shared" ref="RGL948" si="5546">RGJ948</f>
        <v>Ohms</v>
      </c>
      <c r="RGM948" s="2" t="str">
        <f t="shared" ref="RGM948" si="5547">IF(RGE948="Ionizador", "Plato de carga", IF(RGE948="Cautín", "PTG", "RTG"))</f>
        <v>RTG</v>
      </c>
      <c r="RGN948" s="7">
        <v>45992</v>
      </c>
      <c r="RGO948" s="7">
        <f t="shared" ref="RGO948" si="5548">IF(RGP948="Trimestral", RGN948+90, IF(RGP948="Semestral", RGN948+180, RGN948+365))</f>
        <v>46172</v>
      </c>
      <c r="RGP948" s="7" t="str">
        <f t="shared" ref="RGP948" si="5549">IF(RGE948="Ionizador", "Trimestral", IF(RGE948="Rack", "Semestral", IF(RGE948="Mesa", "Semestral", IF(RGE948="Tapete", "Semestral", IF(RGE948="Cautín", "Semestral", IF(RGE948="Silla", "Semestral", "Anual"))))))</f>
        <v>Semestral</v>
      </c>
      <c r="RGQ948" s="2" t="str">
        <f t="shared" ref="RGQ948" ca="1" si="5550">IF(RGO948&lt;TODAY(),"VENCIDO",IF(RGO948=TODAY(),"VENCE HOY",IF(RGO948&gt;TODAY(),"VIGENTE")))</f>
        <v>VIGENTE</v>
      </c>
      <c r="RGR948" s="6" t="s">
        <v>25</v>
      </c>
      <c r="RGS948" s="23" t="s">
        <v>138</v>
      </c>
      <c r="RGT948" s="2" t="s">
        <v>433</v>
      </c>
      <c r="RGU948" s="3" t="s">
        <v>22</v>
      </c>
      <c r="RGV948" s="3" t="s">
        <v>23</v>
      </c>
      <c r="RGW948" s="2" t="s">
        <v>24</v>
      </c>
      <c r="RGX948" s="4">
        <v>0</v>
      </c>
      <c r="RGY948" s="8">
        <f t="shared" ref="RGY948" si="5551">IF(RGU948="Ionizador", 10, IF(RGU948="Mesa", 1000000000, IF(RGU948="Rack", 1000000000, IF(RGU948="Piso", 1000000000, IF(RGU948="Tapete", 1000000000, IF(RGU948="Carrito", 1000000000, IF(RGU948="Cautín", 10, 1)))))))</f>
        <v>1000000000</v>
      </c>
      <c r="RGZ948" s="4" t="str">
        <f t="shared" ref="RGZ948" si="5552">IF(RGU948="Ionizador", "Segundos", "Ohms")</f>
        <v>Ohms</v>
      </c>
      <c r="RHA948" s="6">
        <v>148000000</v>
      </c>
      <c r="RHB948" s="6" t="str">
        <f t="shared" ref="RHB948" si="5553">RGZ948</f>
        <v>Ohms</v>
      </c>
      <c r="RHC948" s="2" t="str">
        <f t="shared" ref="RHC948" si="5554">IF(RGU948="Ionizador", "Plato de carga", IF(RGU948="Cautín", "PTG", "RTG"))</f>
        <v>RTG</v>
      </c>
      <c r="RHD948" s="7">
        <v>45992</v>
      </c>
      <c r="RHE948" s="7">
        <f t="shared" ref="RHE948" si="5555">IF(RHF948="Trimestral", RHD948+90, IF(RHF948="Semestral", RHD948+180, RHD948+365))</f>
        <v>46172</v>
      </c>
      <c r="RHF948" s="7" t="str">
        <f t="shared" ref="RHF948" si="5556">IF(RGU948="Ionizador", "Trimestral", IF(RGU948="Rack", "Semestral", IF(RGU948="Mesa", "Semestral", IF(RGU948="Tapete", "Semestral", IF(RGU948="Cautín", "Semestral", IF(RGU948="Silla", "Semestral", "Anual"))))))</f>
        <v>Semestral</v>
      </c>
      <c r="RHG948" s="2" t="str">
        <f t="shared" ref="RHG948" ca="1" si="5557">IF(RHE948&lt;TODAY(),"VENCIDO",IF(RHE948=TODAY(),"VENCE HOY",IF(RHE948&gt;TODAY(),"VIGENTE")))</f>
        <v>VIGENTE</v>
      </c>
      <c r="RHH948" s="6" t="s">
        <v>25</v>
      </c>
      <c r="RHI948" s="23" t="s">
        <v>138</v>
      </c>
      <c r="RHJ948" s="2" t="s">
        <v>433</v>
      </c>
      <c r="RHK948" s="3" t="s">
        <v>22</v>
      </c>
      <c r="RHL948" s="3" t="s">
        <v>23</v>
      </c>
      <c r="RHM948" s="2" t="s">
        <v>24</v>
      </c>
      <c r="RHN948" s="4">
        <v>0</v>
      </c>
      <c r="RHO948" s="8">
        <f t="shared" ref="RHO948" si="5558">IF(RHK948="Ionizador", 10, IF(RHK948="Mesa", 1000000000, IF(RHK948="Rack", 1000000000, IF(RHK948="Piso", 1000000000, IF(RHK948="Tapete", 1000000000, IF(RHK948="Carrito", 1000000000, IF(RHK948="Cautín", 10, 1)))))))</f>
        <v>1000000000</v>
      </c>
      <c r="RHP948" s="4" t="str">
        <f t="shared" ref="RHP948" si="5559">IF(RHK948="Ionizador", "Segundos", "Ohms")</f>
        <v>Ohms</v>
      </c>
      <c r="RHQ948" s="6">
        <v>148000000</v>
      </c>
      <c r="RHR948" s="6" t="str">
        <f t="shared" ref="RHR948" si="5560">RHP948</f>
        <v>Ohms</v>
      </c>
      <c r="RHS948" s="2" t="str">
        <f t="shared" ref="RHS948" si="5561">IF(RHK948="Ionizador", "Plato de carga", IF(RHK948="Cautín", "PTG", "RTG"))</f>
        <v>RTG</v>
      </c>
      <c r="RHT948" s="7">
        <v>45992</v>
      </c>
      <c r="RHU948" s="7">
        <f t="shared" ref="RHU948" si="5562">IF(RHV948="Trimestral", RHT948+90, IF(RHV948="Semestral", RHT948+180, RHT948+365))</f>
        <v>46172</v>
      </c>
      <c r="RHV948" s="7" t="str">
        <f t="shared" ref="RHV948" si="5563">IF(RHK948="Ionizador", "Trimestral", IF(RHK948="Rack", "Semestral", IF(RHK948="Mesa", "Semestral", IF(RHK948="Tapete", "Semestral", IF(RHK948="Cautín", "Semestral", IF(RHK948="Silla", "Semestral", "Anual"))))))</f>
        <v>Semestral</v>
      </c>
      <c r="RHW948" s="2" t="str">
        <f t="shared" ref="RHW948" ca="1" si="5564">IF(RHU948&lt;TODAY(),"VENCIDO",IF(RHU948=TODAY(),"VENCE HOY",IF(RHU948&gt;TODAY(),"VIGENTE")))</f>
        <v>VIGENTE</v>
      </c>
      <c r="RHX948" s="6" t="s">
        <v>25</v>
      </c>
      <c r="RHY948" s="23" t="s">
        <v>138</v>
      </c>
      <c r="RHZ948" s="2" t="s">
        <v>433</v>
      </c>
      <c r="RIA948" s="3" t="s">
        <v>22</v>
      </c>
      <c r="RIB948" s="3" t="s">
        <v>23</v>
      </c>
      <c r="RIC948" s="2" t="s">
        <v>24</v>
      </c>
      <c r="RID948" s="4">
        <v>0</v>
      </c>
      <c r="RIE948" s="8">
        <f t="shared" ref="RIE948" si="5565">IF(RIA948="Ionizador", 10, IF(RIA948="Mesa", 1000000000, IF(RIA948="Rack", 1000000000, IF(RIA948="Piso", 1000000000, IF(RIA948="Tapete", 1000000000, IF(RIA948="Carrito", 1000000000, IF(RIA948="Cautín", 10, 1)))))))</f>
        <v>1000000000</v>
      </c>
      <c r="RIF948" s="4" t="str">
        <f t="shared" ref="RIF948" si="5566">IF(RIA948="Ionizador", "Segundos", "Ohms")</f>
        <v>Ohms</v>
      </c>
      <c r="RIG948" s="6">
        <v>148000000</v>
      </c>
      <c r="RIH948" s="6" t="str">
        <f t="shared" ref="RIH948" si="5567">RIF948</f>
        <v>Ohms</v>
      </c>
      <c r="RII948" s="2" t="str">
        <f t="shared" ref="RII948" si="5568">IF(RIA948="Ionizador", "Plato de carga", IF(RIA948="Cautín", "PTG", "RTG"))</f>
        <v>RTG</v>
      </c>
      <c r="RIJ948" s="7">
        <v>45992</v>
      </c>
      <c r="RIK948" s="7">
        <f t="shared" ref="RIK948" si="5569">IF(RIL948="Trimestral", RIJ948+90, IF(RIL948="Semestral", RIJ948+180, RIJ948+365))</f>
        <v>46172</v>
      </c>
      <c r="RIL948" s="7" t="str">
        <f t="shared" ref="RIL948" si="5570">IF(RIA948="Ionizador", "Trimestral", IF(RIA948="Rack", "Semestral", IF(RIA948="Mesa", "Semestral", IF(RIA948="Tapete", "Semestral", IF(RIA948="Cautín", "Semestral", IF(RIA948="Silla", "Semestral", "Anual"))))))</f>
        <v>Semestral</v>
      </c>
      <c r="RIM948" s="2" t="str">
        <f t="shared" ref="RIM948" ca="1" si="5571">IF(RIK948&lt;TODAY(),"VENCIDO",IF(RIK948=TODAY(),"VENCE HOY",IF(RIK948&gt;TODAY(),"VIGENTE")))</f>
        <v>VIGENTE</v>
      </c>
      <c r="RIN948" s="6" t="s">
        <v>25</v>
      </c>
      <c r="RIO948" s="23" t="s">
        <v>138</v>
      </c>
      <c r="RIP948" s="2" t="s">
        <v>433</v>
      </c>
      <c r="RIQ948" s="3" t="s">
        <v>22</v>
      </c>
      <c r="RIR948" s="3" t="s">
        <v>23</v>
      </c>
      <c r="RIS948" s="2" t="s">
        <v>24</v>
      </c>
      <c r="RIT948" s="4">
        <v>0</v>
      </c>
      <c r="RIU948" s="8">
        <f t="shared" ref="RIU948" si="5572">IF(RIQ948="Ionizador", 10, IF(RIQ948="Mesa", 1000000000, IF(RIQ948="Rack", 1000000000, IF(RIQ948="Piso", 1000000000, IF(RIQ948="Tapete", 1000000000, IF(RIQ948="Carrito", 1000000000, IF(RIQ948="Cautín", 10, 1)))))))</f>
        <v>1000000000</v>
      </c>
      <c r="RIV948" s="4" t="str">
        <f t="shared" ref="RIV948" si="5573">IF(RIQ948="Ionizador", "Segundos", "Ohms")</f>
        <v>Ohms</v>
      </c>
      <c r="RIW948" s="6">
        <v>148000000</v>
      </c>
      <c r="RIX948" s="6" t="str">
        <f t="shared" ref="RIX948" si="5574">RIV948</f>
        <v>Ohms</v>
      </c>
      <c r="RIY948" s="2" t="str">
        <f t="shared" ref="RIY948" si="5575">IF(RIQ948="Ionizador", "Plato de carga", IF(RIQ948="Cautín", "PTG", "RTG"))</f>
        <v>RTG</v>
      </c>
      <c r="RIZ948" s="7">
        <v>45992</v>
      </c>
      <c r="RJA948" s="7">
        <f t="shared" ref="RJA948" si="5576">IF(RJB948="Trimestral", RIZ948+90, IF(RJB948="Semestral", RIZ948+180, RIZ948+365))</f>
        <v>46172</v>
      </c>
      <c r="RJB948" s="7" t="str">
        <f t="shared" ref="RJB948" si="5577">IF(RIQ948="Ionizador", "Trimestral", IF(RIQ948="Rack", "Semestral", IF(RIQ948="Mesa", "Semestral", IF(RIQ948="Tapete", "Semestral", IF(RIQ948="Cautín", "Semestral", IF(RIQ948="Silla", "Semestral", "Anual"))))))</f>
        <v>Semestral</v>
      </c>
      <c r="RJC948" s="2" t="str">
        <f t="shared" ref="RJC948" ca="1" si="5578">IF(RJA948&lt;TODAY(),"VENCIDO",IF(RJA948=TODAY(),"VENCE HOY",IF(RJA948&gt;TODAY(),"VIGENTE")))</f>
        <v>VIGENTE</v>
      </c>
      <c r="RJD948" s="6" t="s">
        <v>25</v>
      </c>
      <c r="RJE948" s="23" t="s">
        <v>138</v>
      </c>
      <c r="RJF948" s="2" t="s">
        <v>433</v>
      </c>
      <c r="RJG948" s="3" t="s">
        <v>22</v>
      </c>
      <c r="RJH948" s="3" t="s">
        <v>23</v>
      </c>
      <c r="RJI948" s="2" t="s">
        <v>24</v>
      </c>
      <c r="RJJ948" s="4">
        <v>0</v>
      </c>
      <c r="RJK948" s="8">
        <f t="shared" ref="RJK948" si="5579">IF(RJG948="Ionizador", 10, IF(RJG948="Mesa", 1000000000, IF(RJG948="Rack", 1000000000, IF(RJG948="Piso", 1000000000, IF(RJG948="Tapete", 1000000000, IF(RJG948="Carrito", 1000000000, IF(RJG948="Cautín", 10, 1)))))))</f>
        <v>1000000000</v>
      </c>
      <c r="RJL948" s="4" t="str">
        <f t="shared" ref="RJL948" si="5580">IF(RJG948="Ionizador", "Segundos", "Ohms")</f>
        <v>Ohms</v>
      </c>
      <c r="RJM948" s="6">
        <v>148000000</v>
      </c>
      <c r="RJN948" s="6" t="str">
        <f t="shared" ref="RJN948" si="5581">RJL948</f>
        <v>Ohms</v>
      </c>
      <c r="RJO948" s="2" t="str">
        <f t="shared" ref="RJO948" si="5582">IF(RJG948="Ionizador", "Plato de carga", IF(RJG948="Cautín", "PTG", "RTG"))</f>
        <v>RTG</v>
      </c>
      <c r="RJP948" s="7">
        <v>45992</v>
      </c>
      <c r="RJQ948" s="7">
        <f t="shared" ref="RJQ948" si="5583">IF(RJR948="Trimestral", RJP948+90, IF(RJR948="Semestral", RJP948+180, RJP948+365))</f>
        <v>46172</v>
      </c>
      <c r="RJR948" s="7" t="str">
        <f t="shared" ref="RJR948" si="5584">IF(RJG948="Ionizador", "Trimestral", IF(RJG948="Rack", "Semestral", IF(RJG948="Mesa", "Semestral", IF(RJG948="Tapete", "Semestral", IF(RJG948="Cautín", "Semestral", IF(RJG948="Silla", "Semestral", "Anual"))))))</f>
        <v>Semestral</v>
      </c>
      <c r="RJS948" s="2" t="str">
        <f t="shared" ref="RJS948" ca="1" si="5585">IF(RJQ948&lt;TODAY(),"VENCIDO",IF(RJQ948=TODAY(),"VENCE HOY",IF(RJQ948&gt;TODAY(),"VIGENTE")))</f>
        <v>VIGENTE</v>
      </c>
      <c r="RJT948" s="6" t="s">
        <v>25</v>
      </c>
      <c r="RJU948" s="23" t="s">
        <v>138</v>
      </c>
      <c r="RJV948" s="2" t="s">
        <v>433</v>
      </c>
      <c r="RJW948" s="3" t="s">
        <v>22</v>
      </c>
      <c r="RJX948" s="3" t="s">
        <v>23</v>
      </c>
      <c r="RJY948" s="2" t="s">
        <v>24</v>
      </c>
      <c r="RJZ948" s="4">
        <v>0</v>
      </c>
      <c r="RKA948" s="8">
        <f t="shared" ref="RKA948" si="5586">IF(RJW948="Ionizador", 10, IF(RJW948="Mesa", 1000000000, IF(RJW948="Rack", 1000000000, IF(RJW948="Piso", 1000000000, IF(RJW948="Tapete", 1000000000, IF(RJW948="Carrito", 1000000000, IF(RJW948="Cautín", 10, 1)))))))</f>
        <v>1000000000</v>
      </c>
      <c r="RKB948" s="4" t="str">
        <f t="shared" ref="RKB948" si="5587">IF(RJW948="Ionizador", "Segundos", "Ohms")</f>
        <v>Ohms</v>
      </c>
      <c r="RKC948" s="6">
        <v>148000000</v>
      </c>
      <c r="RKD948" s="6" t="str">
        <f t="shared" ref="RKD948" si="5588">RKB948</f>
        <v>Ohms</v>
      </c>
      <c r="RKE948" s="2" t="str">
        <f t="shared" ref="RKE948" si="5589">IF(RJW948="Ionizador", "Plato de carga", IF(RJW948="Cautín", "PTG", "RTG"))</f>
        <v>RTG</v>
      </c>
      <c r="RKF948" s="7">
        <v>45992</v>
      </c>
      <c r="RKG948" s="7">
        <f t="shared" ref="RKG948" si="5590">IF(RKH948="Trimestral", RKF948+90, IF(RKH948="Semestral", RKF948+180, RKF948+365))</f>
        <v>46172</v>
      </c>
      <c r="RKH948" s="7" t="str">
        <f t="shared" ref="RKH948" si="5591">IF(RJW948="Ionizador", "Trimestral", IF(RJW948="Rack", "Semestral", IF(RJW948="Mesa", "Semestral", IF(RJW948="Tapete", "Semestral", IF(RJW948="Cautín", "Semestral", IF(RJW948="Silla", "Semestral", "Anual"))))))</f>
        <v>Semestral</v>
      </c>
      <c r="RKI948" s="2" t="str">
        <f t="shared" ref="RKI948" ca="1" si="5592">IF(RKG948&lt;TODAY(),"VENCIDO",IF(RKG948=TODAY(),"VENCE HOY",IF(RKG948&gt;TODAY(),"VIGENTE")))</f>
        <v>VIGENTE</v>
      </c>
      <c r="RKJ948" s="6" t="s">
        <v>25</v>
      </c>
      <c r="RKK948" s="23" t="s">
        <v>138</v>
      </c>
      <c r="RKL948" s="2" t="s">
        <v>433</v>
      </c>
      <c r="RKM948" s="3" t="s">
        <v>22</v>
      </c>
      <c r="RKN948" s="3" t="s">
        <v>23</v>
      </c>
      <c r="RKO948" s="2" t="s">
        <v>24</v>
      </c>
      <c r="RKP948" s="4">
        <v>0</v>
      </c>
      <c r="RKQ948" s="8">
        <f t="shared" ref="RKQ948" si="5593">IF(RKM948="Ionizador", 10, IF(RKM948="Mesa", 1000000000, IF(RKM948="Rack", 1000000000, IF(RKM948="Piso", 1000000000, IF(RKM948="Tapete", 1000000000, IF(RKM948="Carrito", 1000000000, IF(RKM948="Cautín", 10, 1)))))))</f>
        <v>1000000000</v>
      </c>
      <c r="RKR948" s="4" t="str">
        <f t="shared" ref="RKR948" si="5594">IF(RKM948="Ionizador", "Segundos", "Ohms")</f>
        <v>Ohms</v>
      </c>
      <c r="RKS948" s="6">
        <v>148000000</v>
      </c>
      <c r="RKT948" s="6" t="str">
        <f t="shared" ref="RKT948" si="5595">RKR948</f>
        <v>Ohms</v>
      </c>
      <c r="RKU948" s="2" t="str">
        <f t="shared" ref="RKU948" si="5596">IF(RKM948="Ionizador", "Plato de carga", IF(RKM948="Cautín", "PTG", "RTG"))</f>
        <v>RTG</v>
      </c>
      <c r="RKV948" s="7">
        <v>45992</v>
      </c>
      <c r="RKW948" s="7">
        <f t="shared" ref="RKW948" si="5597">IF(RKX948="Trimestral", RKV948+90, IF(RKX948="Semestral", RKV948+180, RKV948+365))</f>
        <v>46172</v>
      </c>
      <c r="RKX948" s="7" t="str">
        <f t="shared" ref="RKX948" si="5598">IF(RKM948="Ionizador", "Trimestral", IF(RKM948="Rack", "Semestral", IF(RKM948="Mesa", "Semestral", IF(RKM948="Tapete", "Semestral", IF(RKM948="Cautín", "Semestral", IF(RKM948="Silla", "Semestral", "Anual"))))))</f>
        <v>Semestral</v>
      </c>
      <c r="RKY948" s="2" t="str">
        <f t="shared" ref="RKY948" ca="1" si="5599">IF(RKW948&lt;TODAY(),"VENCIDO",IF(RKW948=TODAY(),"VENCE HOY",IF(RKW948&gt;TODAY(),"VIGENTE")))</f>
        <v>VIGENTE</v>
      </c>
      <c r="RKZ948" s="6" t="s">
        <v>25</v>
      </c>
      <c r="RLA948" s="23" t="s">
        <v>138</v>
      </c>
      <c r="RLB948" s="2" t="s">
        <v>433</v>
      </c>
      <c r="RLC948" s="3" t="s">
        <v>22</v>
      </c>
      <c r="RLD948" s="3" t="s">
        <v>23</v>
      </c>
      <c r="RLE948" s="2" t="s">
        <v>24</v>
      </c>
      <c r="RLF948" s="4">
        <v>0</v>
      </c>
      <c r="RLG948" s="8">
        <f t="shared" ref="RLG948" si="5600">IF(RLC948="Ionizador", 10, IF(RLC948="Mesa", 1000000000, IF(RLC948="Rack", 1000000000, IF(RLC948="Piso", 1000000000, IF(RLC948="Tapete", 1000000000, IF(RLC948="Carrito", 1000000000, IF(RLC948="Cautín", 10, 1)))))))</f>
        <v>1000000000</v>
      </c>
      <c r="RLH948" s="4" t="str">
        <f t="shared" ref="RLH948" si="5601">IF(RLC948="Ionizador", "Segundos", "Ohms")</f>
        <v>Ohms</v>
      </c>
      <c r="RLI948" s="6">
        <v>148000000</v>
      </c>
      <c r="RLJ948" s="6" t="str">
        <f t="shared" ref="RLJ948" si="5602">RLH948</f>
        <v>Ohms</v>
      </c>
      <c r="RLK948" s="2" t="str">
        <f t="shared" ref="RLK948" si="5603">IF(RLC948="Ionizador", "Plato de carga", IF(RLC948="Cautín", "PTG", "RTG"))</f>
        <v>RTG</v>
      </c>
      <c r="RLL948" s="7">
        <v>45992</v>
      </c>
      <c r="RLM948" s="7">
        <f t="shared" ref="RLM948" si="5604">IF(RLN948="Trimestral", RLL948+90, IF(RLN948="Semestral", RLL948+180, RLL948+365))</f>
        <v>46172</v>
      </c>
      <c r="RLN948" s="7" t="str">
        <f t="shared" ref="RLN948" si="5605">IF(RLC948="Ionizador", "Trimestral", IF(RLC948="Rack", "Semestral", IF(RLC948="Mesa", "Semestral", IF(RLC948="Tapete", "Semestral", IF(RLC948="Cautín", "Semestral", IF(RLC948="Silla", "Semestral", "Anual"))))))</f>
        <v>Semestral</v>
      </c>
      <c r="RLO948" s="2" t="str">
        <f t="shared" ref="RLO948" ca="1" si="5606">IF(RLM948&lt;TODAY(),"VENCIDO",IF(RLM948=TODAY(),"VENCE HOY",IF(RLM948&gt;TODAY(),"VIGENTE")))</f>
        <v>VIGENTE</v>
      </c>
      <c r="RLP948" s="6" t="s">
        <v>25</v>
      </c>
      <c r="RLQ948" s="23" t="s">
        <v>138</v>
      </c>
      <c r="RLR948" s="2" t="s">
        <v>433</v>
      </c>
      <c r="RLS948" s="3" t="s">
        <v>22</v>
      </c>
      <c r="RLT948" s="3" t="s">
        <v>23</v>
      </c>
      <c r="RLU948" s="2" t="s">
        <v>24</v>
      </c>
      <c r="RLV948" s="4">
        <v>0</v>
      </c>
      <c r="RLW948" s="8">
        <f t="shared" ref="RLW948" si="5607">IF(RLS948="Ionizador", 10, IF(RLS948="Mesa", 1000000000, IF(RLS948="Rack", 1000000000, IF(RLS948="Piso", 1000000000, IF(RLS948="Tapete", 1000000000, IF(RLS948="Carrito", 1000000000, IF(RLS948="Cautín", 10, 1)))))))</f>
        <v>1000000000</v>
      </c>
      <c r="RLX948" s="4" t="str">
        <f t="shared" ref="RLX948" si="5608">IF(RLS948="Ionizador", "Segundos", "Ohms")</f>
        <v>Ohms</v>
      </c>
      <c r="RLY948" s="6">
        <v>148000000</v>
      </c>
      <c r="RLZ948" s="6" t="str">
        <f t="shared" ref="RLZ948" si="5609">RLX948</f>
        <v>Ohms</v>
      </c>
      <c r="RMA948" s="2" t="str">
        <f t="shared" ref="RMA948" si="5610">IF(RLS948="Ionizador", "Plato de carga", IF(RLS948="Cautín", "PTG", "RTG"))</f>
        <v>RTG</v>
      </c>
      <c r="RMB948" s="7">
        <v>45992</v>
      </c>
      <c r="RMC948" s="7">
        <f t="shared" ref="RMC948" si="5611">IF(RMD948="Trimestral", RMB948+90, IF(RMD948="Semestral", RMB948+180, RMB948+365))</f>
        <v>46172</v>
      </c>
      <c r="RMD948" s="7" t="str">
        <f t="shared" ref="RMD948" si="5612">IF(RLS948="Ionizador", "Trimestral", IF(RLS948="Rack", "Semestral", IF(RLS948="Mesa", "Semestral", IF(RLS948="Tapete", "Semestral", IF(RLS948="Cautín", "Semestral", IF(RLS948="Silla", "Semestral", "Anual"))))))</f>
        <v>Semestral</v>
      </c>
      <c r="RME948" s="2" t="str">
        <f t="shared" ref="RME948" ca="1" si="5613">IF(RMC948&lt;TODAY(),"VENCIDO",IF(RMC948=TODAY(),"VENCE HOY",IF(RMC948&gt;TODAY(),"VIGENTE")))</f>
        <v>VIGENTE</v>
      </c>
      <c r="RMF948" s="6" t="s">
        <v>25</v>
      </c>
      <c r="RMG948" s="23" t="s">
        <v>138</v>
      </c>
      <c r="RMH948" s="2" t="s">
        <v>433</v>
      </c>
      <c r="RMI948" s="3" t="s">
        <v>22</v>
      </c>
      <c r="RMJ948" s="3" t="s">
        <v>23</v>
      </c>
      <c r="RMK948" s="2" t="s">
        <v>24</v>
      </c>
      <c r="RML948" s="4">
        <v>0</v>
      </c>
      <c r="RMM948" s="8">
        <f t="shared" ref="RMM948" si="5614">IF(RMI948="Ionizador", 10, IF(RMI948="Mesa", 1000000000, IF(RMI948="Rack", 1000000000, IF(RMI948="Piso", 1000000000, IF(RMI948="Tapete", 1000000000, IF(RMI948="Carrito", 1000000000, IF(RMI948="Cautín", 10, 1)))))))</f>
        <v>1000000000</v>
      </c>
      <c r="RMN948" s="4" t="str">
        <f t="shared" ref="RMN948" si="5615">IF(RMI948="Ionizador", "Segundos", "Ohms")</f>
        <v>Ohms</v>
      </c>
      <c r="RMO948" s="6">
        <v>148000000</v>
      </c>
      <c r="RMP948" s="6" t="str">
        <f t="shared" ref="RMP948" si="5616">RMN948</f>
        <v>Ohms</v>
      </c>
      <c r="RMQ948" s="2" t="str">
        <f t="shared" ref="RMQ948" si="5617">IF(RMI948="Ionizador", "Plato de carga", IF(RMI948="Cautín", "PTG", "RTG"))</f>
        <v>RTG</v>
      </c>
      <c r="RMR948" s="7">
        <v>45992</v>
      </c>
      <c r="RMS948" s="7">
        <f t="shared" ref="RMS948" si="5618">IF(RMT948="Trimestral", RMR948+90, IF(RMT948="Semestral", RMR948+180, RMR948+365))</f>
        <v>46172</v>
      </c>
      <c r="RMT948" s="7" t="str">
        <f t="shared" ref="RMT948" si="5619">IF(RMI948="Ionizador", "Trimestral", IF(RMI948="Rack", "Semestral", IF(RMI948="Mesa", "Semestral", IF(RMI948="Tapete", "Semestral", IF(RMI948="Cautín", "Semestral", IF(RMI948="Silla", "Semestral", "Anual"))))))</f>
        <v>Semestral</v>
      </c>
      <c r="RMU948" s="2" t="str">
        <f t="shared" ref="RMU948" ca="1" si="5620">IF(RMS948&lt;TODAY(),"VENCIDO",IF(RMS948=TODAY(),"VENCE HOY",IF(RMS948&gt;TODAY(),"VIGENTE")))</f>
        <v>VIGENTE</v>
      </c>
      <c r="RMV948" s="6" t="s">
        <v>25</v>
      </c>
      <c r="RMW948" s="23" t="s">
        <v>138</v>
      </c>
      <c r="RMX948" s="2" t="s">
        <v>433</v>
      </c>
      <c r="RMY948" s="3" t="s">
        <v>22</v>
      </c>
      <c r="RMZ948" s="3" t="s">
        <v>23</v>
      </c>
      <c r="RNA948" s="2" t="s">
        <v>24</v>
      </c>
      <c r="RNB948" s="4">
        <v>0</v>
      </c>
      <c r="RNC948" s="8">
        <f t="shared" ref="RNC948" si="5621">IF(RMY948="Ionizador", 10, IF(RMY948="Mesa", 1000000000, IF(RMY948="Rack", 1000000000, IF(RMY948="Piso", 1000000000, IF(RMY948="Tapete", 1000000000, IF(RMY948="Carrito", 1000000000, IF(RMY948="Cautín", 10, 1)))))))</f>
        <v>1000000000</v>
      </c>
      <c r="RND948" s="4" t="str">
        <f t="shared" ref="RND948" si="5622">IF(RMY948="Ionizador", "Segundos", "Ohms")</f>
        <v>Ohms</v>
      </c>
      <c r="RNE948" s="6">
        <v>148000000</v>
      </c>
      <c r="RNF948" s="6" t="str">
        <f t="shared" ref="RNF948" si="5623">RND948</f>
        <v>Ohms</v>
      </c>
      <c r="RNG948" s="2" t="str">
        <f t="shared" ref="RNG948" si="5624">IF(RMY948="Ionizador", "Plato de carga", IF(RMY948="Cautín", "PTG", "RTG"))</f>
        <v>RTG</v>
      </c>
      <c r="RNH948" s="7">
        <v>45992</v>
      </c>
      <c r="RNI948" s="7">
        <f t="shared" ref="RNI948" si="5625">IF(RNJ948="Trimestral", RNH948+90, IF(RNJ948="Semestral", RNH948+180, RNH948+365))</f>
        <v>46172</v>
      </c>
      <c r="RNJ948" s="7" t="str">
        <f t="shared" ref="RNJ948" si="5626">IF(RMY948="Ionizador", "Trimestral", IF(RMY948="Rack", "Semestral", IF(RMY948="Mesa", "Semestral", IF(RMY948="Tapete", "Semestral", IF(RMY948="Cautín", "Semestral", IF(RMY948="Silla", "Semestral", "Anual"))))))</f>
        <v>Semestral</v>
      </c>
      <c r="RNK948" s="2" t="str">
        <f t="shared" ref="RNK948" ca="1" si="5627">IF(RNI948&lt;TODAY(),"VENCIDO",IF(RNI948=TODAY(),"VENCE HOY",IF(RNI948&gt;TODAY(),"VIGENTE")))</f>
        <v>VIGENTE</v>
      </c>
      <c r="RNL948" s="6" t="s">
        <v>25</v>
      </c>
      <c r="RNM948" s="23" t="s">
        <v>138</v>
      </c>
      <c r="RNN948" s="2" t="s">
        <v>433</v>
      </c>
      <c r="RNO948" s="3" t="s">
        <v>22</v>
      </c>
      <c r="RNP948" s="3" t="s">
        <v>23</v>
      </c>
      <c r="RNQ948" s="2" t="s">
        <v>24</v>
      </c>
      <c r="RNR948" s="4">
        <v>0</v>
      </c>
      <c r="RNS948" s="8">
        <f t="shared" ref="RNS948" si="5628">IF(RNO948="Ionizador", 10, IF(RNO948="Mesa", 1000000000, IF(RNO948="Rack", 1000000000, IF(RNO948="Piso", 1000000000, IF(RNO948="Tapete", 1000000000, IF(RNO948="Carrito", 1000000000, IF(RNO948="Cautín", 10, 1)))))))</f>
        <v>1000000000</v>
      </c>
      <c r="RNT948" s="4" t="str">
        <f t="shared" ref="RNT948" si="5629">IF(RNO948="Ionizador", "Segundos", "Ohms")</f>
        <v>Ohms</v>
      </c>
      <c r="RNU948" s="6">
        <v>148000000</v>
      </c>
      <c r="RNV948" s="6" t="str">
        <f t="shared" ref="RNV948" si="5630">RNT948</f>
        <v>Ohms</v>
      </c>
      <c r="RNW948" s="2" t="str">
        <f t="shared" ref="RNW948" si="5631">IF(RNO948="Ionizador", "Plato de carga", IF(RNO948="Cautín", "PTG", "RTG"))</f>
        <v>RTG</v>
      </c>
      <c r="RNX948" s="7">
        <v>45992</v>
      </c>
      <c r="RNY948" s="7">
        <f t="shared" ref="RNY948" si="5632">IF(RNZ948="Trimestral", RNX948+90, IF(RNZ948="Semestral", RNX948+180, RNX948+365))</f>
        <v>46172</v>
      </c>
      <c r="RNZ948" s="7" t="str">
        <f t="shared" ref="RNZ948" si="5633">IF(RNO948="Ionizador", "Trimestral", IF(RNO948="Rack", "Semestral", IF(RNO948="Mesa", "Semestral", IF(RNO948="Tapete", "Semestral", IF(RNO948="Cautín", "Semestral", IF(RNO948="Silla", "Semestral", "Anual"))))))</f>
        <v>Semestral</v>
      </c>
      <c r="ROA948" s="2" t="str">
        <f t="shared" ref="ROA948" ca="1" si="5634">IF(RNY948&lt;TODAY(),"VENCIDO",IF(RNY948=TODAY(),"VENCE HOY",IF(RNY948&gt;TODAY(),"VIGENTE")))</f>
        <v>VIGENTE</v>
      </c>
      <c r="ROB948" s="6" t="s">
        <v>25</v>
      </c>
      <c r="ROC948" s="23" t="s">
        <v>138</v>
      </c>
      <c r="ROD948" s="2" t="s">
        <v>433</v>
      </c>
      <c r="ROE948" s="3" t="s">
        <v>22</v>
      </c>
      <c r="ROF948" s="3" t="s">
        <v>23</v>
      </c>
      <c r="ROG948" s="2" t="s">
        <v>24</v>
      </c>
      <c r="ROH948" s="4">
        <v>0</v>
      </c>
      <c r="ROI948" s="8">
        <f t="shared" ref="ROI948" si="5635">IF(ROE948="Ionizador", 10, IF(ROE948="Mesa", 1000000000, IF(ROE948="Rack", 1000000000, IF(ROE948="Piso", 1000000000, IF(ROE948="Tapete", 1000000000, IF(ROE948="Carrito", 1000000000, IF(ROE948="Cautín", 10, 1)))))))</f>
        <v>1000000000</v>
      </c>
      <c r="ROJ948" s="4" t="str">
        <f t="shared" ref="ROJ948" si="5636">IF(ROE948="Ionizador", "Segundos", "Ohms")</f>
        <v>Ohms</v>
      </c>
      <c r="ROK948" s="6">
        <v>148000000</v>
      </c>
      <c r="ROL948" s="6" t="str">
        <f t="shared" ref="ROL948" si="5637">ROJ948</f>
        <v>Ohms</v>
      </c>
      <c r="ROM948" s="2" t="str">
        <f t="shared" ref="ROM948" si="5638">IF(ROE948="Ionizador", "Plato de carga", IF(ROE948="Cautín", "PTG", "RTG"))</f>
        <v>RTG</v>
      </c>
      <c r="RON948" s="7">
        <v>45992</v>
      </c>
      <c r="ROO948" s="7">
        <f t="shared" ref="ROO948" si="5639">IF(ROP948="Trimestral", RON948+90, IF(ROP948="Semestral", RON948+180, RON948+365))</f>
        <v>46172</v>
      </c>
      <c r="ROP948" s="7" t="str">
        <f t="shared" ref="ROP948" si="5640">IF(ROE948="Ionizador", "Trimestral", IF(ROE948="Rack", "Semestral", IF(ROE948="Mesa", "Semestral", IF(ROE948="Tapete", "Semestral", IF(ROE948="Cautín", "Semestral", IF(ROE948="Silla", "Semestral", "Anual"))))))</f>
        <v>Semestral</v>
      </c>
      <c r="ROQ948" s="2" t="str">
        <f t="shared" ref="ROQ948" ca="1" si="5641">IF(ROO948&lt;TODAY(),"VENCIDO",IF(ROO948=TODAY(),"VENCE HOY",IF(ROO948&gt;TODAY(),"VIGENTE")))</f>
        <v>VIGENTE</v>
      </c>
      <c r="ROR948" s="6" t="s">
        <v>25</v>
      </c>
      <c r="ROS948" s="23" t="s">
        <v>138</v>
      </c>
      <c r="ROT948" s="2" t="s">
        <v>433</v>
      </c>
      <c r="ROU948" s="3" t="s">
        <v>22</v>
      </c>
      <c r="ROV948" s="3" t="s">
        <v>23</v>
      </c>
      <c r="ROW948" s="2" t="s">
        <v>24</v>
      </c>
      <c r="ROX948" s="4">
        <v>0</v>
      </c>
      <c r="ROY948" s="8">
        <f t="shared" ref="ROY948" si="5642">IF(ROU948="Ionizador", 10, IF(ROU948="Mesa", 1000000000, IF(ROU948="Rack", 1000000000, IF(ROU948="Piso", 1000000000, IF(ROU948="Tapete", 1000000000, IF(ROU948="Carrito", 1000000000, IF(ROU948="Cautín", 10, 1)))))))</f>
        <v>1000000000</v>
      </c>
      <c r="ROZ948" s="4" t="str">
        <f t="shared" ref="ROZ948" si="5643">IF(ROU948="Ionizador", "Segundos", "Ohms")</f>
        <v>Ohms</v>
      </c>
      <c r="RPA948" s="6">
        <v>148000000</v>
      </c>
      <c r="RPB948" s="6" t="str">
        <f t="shared" ref="RPB948" si="5644">ROZ948</f>
        <v>Ohms</v>
      </c>
      <c r="RPC948" s="2" t="str">
        <f t="shared" ref="RPC948" si="5645">IF(ROU948="Ionizador", "Plato de carga", IF(ROU948="Cautín", "PTG", "RTG"))</f>
        <v>RTG</v>
      </c>
      <c r="RPD948" s="7">
        <v>45992</v>
      </c>
      <c r="RPE948" s="7">
        <f t="shared" ref="RPE948" si="5646">IF(RPF948="Trimestral", RPD948+90, IF(RPF948="Semestral", RPD948+180, RPD948+365))</f>
        <v>46172</v>
      </c>
      <c r="RPF948" s="7" t="str">
        <f t="shared" ref="RPF948" si="5647">IF(ROU948="Ionizador", "Trimestral", IF(ROU948="Rack", "Semestral", IF(ROU948="Mesa", "Semestral", IF(ROU948="Tapete", "Semestral", IF(ROU948="Cautín", "Semestral", IF(ROU948="Silla", "Semestral", "Anual"))))))</f>
        <v>Semestral</v>
      </c>
      <c r="RPG948" s="2" t="str">
        <f t="shared" ref="RPG948" ca="1" si="5648">IF(RPE948&lt;TODAY(),"VENCIDO",IF(RPE948=TODAY(),"VENCE HOY",IF(RPE948&gt;TODAY(),"VIGENTE")))</f>
        <v>VIGENTE</v>
      </c>
      <c r="RPH948" s="6" t="s">
        <v>25</v>
      </c>
      <c r="RPI948" s="23" t="s">
        <v>138</v>
      </c>
      <c r="RPJ948" s="2" t="s">
        <v>433</v>
      </c>
      <c r="RPK948" s="3" t="s">
        <v>22</v>
      </c>
      <c r="RPL948" s="3" t="s">
        <v>23</v>
      </c>
      <c r="RPM948" s="2" t="s">
        <v>24</v>
      </c>
      <c r="RPN948" s="4">
        <v>0</v>
      </c>
      <c r="RPO948" s="8">
        <f t="shared" ref="RPO948" si="5649">IF(RPK948="Ionizador", 10, IF(RPK948="Mesa", 1000000000, IF(RPK948="Rack", 1000000000, IF(RPK948="Piso", 1000000000, IF(RPK948="Tapete", 1000000000, IF(RPK948="Carrito", 1000000000, IF(RPK948="Cautín", 10, 1)))))))</f>
        <v>1000000000</v>
      </c>
      <c r="RPP948" s="4" t="str">
        <f t="shared" ref="RPP948" si="5650">IF(RPK948="Ionizador", "Segundos", "Ohms")</f>
        <v>Ohms</v>
      </c>
      <c r="RPQ948" s="6">
        <v>148000000</v>
      </c>
      <c r="RPR948" s="6" t="str">
        <f t="shared" ref="RPR948" si="5651">RPP948</f>
        <v>Ohms</v>
      </c>
      <c r="RPS948" s="2" t="str">
        <f t="shared" ref="RPS948" si="5652">IF(RPK948="Ionizador", "Plato de carga", IF(RPK948="Cautín", "PTG", "RTG"))</f>
        <v>RTG</v>
      </c>
      <c r="RPT948" s="7">
        <v>45992</v>
      </c>
      <c r="RPU948" s="7">
        <f t="shared" ref="RPU948" si="5653">IF(RPV948="Trimestral", RPT948+90, IF(RPV948="Semestral", RPT948+180, RPT948+365))</f>
        <v>46172</v>
      </c>
      <c r="RPV948" s="7" t="str">
        <f t="shared" ref="RPV948" si="5654">IF(RPK948="Ionizador", "Trimestral", IF(RPK948="Rack", "Semestral", IF(RPK948="Mesa", "Semestral", IF(RPK948="Tapete", "Semestral", IF(RPK948="Cautín", "Semestral", IF(RPK948="Silla", "Semestral", "Anual"))))))</f>
        <v>Semestral</v>
      </c>
      <c r="RPW948" s="2" t="str">
        <f t="shared" ref="RPW948" ca="1" si="5655">IF(RPU948&lt;TODAY(),"VENCIDO",IF(RPU948=TODAY(),"VENCE HOY",IF(RPU948&gt;TODAY(),"VIGENTE")))</f>
        <v>VIGENTE</v>
      </c>
      <c r="RPX948" s="6" t="s">
        <v>25</v>
      </c>
      <c r="RPY948" s="23" t="s">
        <v>138</v>
      </c>
      <c r="RPZ948" s="2" t="s">
        <v>433</v>
      </c>
      <c r="RQA948" s="3" t="s">
        <v>22</v>
      </c>
      <c r="RQB948" s="3" t="s">
        <v>23</v>
      </c>
      <c r="RQC948" s="2" t="s">
        <v>24</v>
      </c>
      <c r="RQD948" s="4">
        <v>0</v>
      </c>
      <c r="RQE948" s="8">
        <f t="shared" ref="RQE948" si="5656">IF(RQA948="Ionizador", 10, IF(RQA948="Mesa", 1000000000, IF(RQA948="Rack", 1000000000, IF(RQA948="Piso", 1000000000, IF(RQA948="Tapete", 1000000000, IF(RQA948="Carrito", 1000000000, IF(RQA948="Cautín", 10, 1)))))))</f>
        <v>1000000000</v>
      </c>
      <c r="RQF948" s="4" t="str">
        <f t="shared" ref="RQF948" si="5657">IF(RQA948="Ionizador", "Segundos", "Ohms")</f>
        <v>Ohms</v>
      </c>
      <c r="RQG948" s="6">
        <v>148000000</v>
      </c>
      <c r="RQH948" s="6" t="str">
        <f t="shared" ref="RQH948" si="5658">RQF948</f>
        <v>Ohms</v>
      </c>
      <c r="RQI948" s="2" t="str">
        <f t="shared" ref="RQI948" si="5659">IF(RQA948="Ionizador", "Plato de carga", IF(RQA948="Cautín", "PTG", "RTG"))</f>
        <v>RTG</v>
      </c>
      <c r="RQJ948" s="7">
        <v>45992</v>
      </c>
      <c r="RQK948" s="7">
        <f t="shared" ref="RQK948" si="5660">IF(RQL948="Trimestral", RQJ948+90, IF(RQL948="Semestral", RQJ948+180, RQJ948+365))</f>
        <v>46172</v>
      </c>
      <c r="RQL948" s="7" t="str">
        <f t="shared" ref="RQL948" si="5661">IF(RQA948="Ionizador", "Trimestral", IF(RQA948="Rack", "Semestral", IF(RQA948="Mesa", "Semestral", IF(RQA948="Tapete", "Semestral", IF(RQA948="Cautín", "Semestral", IF(RQA948="Silla", "Semestral", "Anual"))))))</f>
        <v>Semestral</v>
      </c>
      <c r="RQM948" s="2" t="str">
        <f t="shared" ref="RQM948" ca="1" si="5662">IF(RQK948&lt;TODAY(),"VENCIDO",IF(RQK948=TODAY(),"VENCE HOY",IF(RQK948&gt;TODAY(),"VIGENTE")))</f>
        <v>VIGENTE</v>
      </c>
      <c r="RQN948" s="6" t="s">
        <v>25</v>
      </c>
      <c r="RQO948" s="23" t="s">
        <v>138</v>
      </c>
      <c r="RQP948" s="2" t="s">
        <v>433</v>
      </c>
      <c r="RQQ948" s="3" t="s">
        <v>22</v>
      </c>
      <c r="RQR948" s="3" t="s">
        <v>23</v>
      </c>
      <c r="RQS948" s="2" t="s">
        <v>24</v>
      </c>
      <c r="RQT948" s="4">
        <v>0</v>
      </c>
      <c r="RQU948" s="8">
        <f t="shared" ref="RQU948" si="5663">IF(RQQ948="Ionizador", 10, IF(RQQ948="Mesa", 1000000000, IF(RQQ948="Rack", 1000000000, IF(RQQ948="Piso", 1000000000, IF(RQQ948="Tapete", 1000000000, IF(RQQ948="Carrito", 1000000000, IF(RQQ948="Cautín", 10, 1)))))))</f>
        <v>1000000000</v>
      </c>
      <c r="RQV948" s="4" t="str">
        <f t="shared" ref="RQV948" si="5664">IF(RQQ948="Ionizador", "Segundos", "Ohms")</f>
        <v>Ohms</v>
      </c>
      <c r="RQW948" s="6">
        <v>148000000</v>
      </c>
      <c r="RQX948" s="6" t="str">
        <f t="shared" ref="RQX948" si="5665">RQV948</f>
        <v>Ohms</v>
      </c>
      <c r="RQY948" s="2" t="str">
        <f t="shared" ref="RQY948" si="5666">IF(RQQ948="Ionizador", "Plato de carga", IF(RQQ948="Cautín", "PTG", "RTG"))</f>
        <v>RTG</v>
      </c>
      <c r="RQZ948" s="7">
        <v>45992</v>
      </c>
      <c r="RRA948" s="7">
        <f t="shared" ref="RRA948" si="5667">IF(RRB948="Trimestral", RQZ948+90, IF(RRB948="Semestral", RQZ948+180, RQZ948+365))</f>
        <v>46172</v>
      </c>
      <c r="RRB948" s="7" t="str">
        <f t="shared" ref="RRB948" si="5668">IF(RQQ948="Ionizador", "Trimestral", IF(RQQ948="Rack", "Semestral", IF(RQQ948="Mesa", "Semestral", IF(RQQ948="Tapete", "Semestral", IF(RQQ948="Cautín", "Semestral", IF(RQQ948="Silla", "Semestral", "Anual"))))))</f>
        <v>Semestral</v>
      </c>
      <c r="RRC948" s="2" t="str">
        <f t="shared" ref="RRC948" ca="1" si="5669">IF(RRA948&lt;TODAY(),"VENCIDO",IF(RRA948=TODAY(),"VENCE HOY",IF(RRA948&gt;TODAY(),"VIGENTE")))</f>
        <v>VIGENTE</v>
      </c>
      <c r="RRD948" s="6" t="s">
        <v>25</v>
      </c>
      <c r="RRE948" s="23" t="s">
        <v>138</v>
      </c>
      <c r="RRF948" s="2" t="s">
        <v>433</v>
      </c>
      <c r="RRG948" s="3" t="s">
        <v>22</v>
      </c>
      <c r="RRH948" s="3" t="s">
        <v>23</v>
      </c>
      <c r="RRI948" s="2" t="s">
        <v>24</v>
      </c>
      <c r="RRJ948" s="4">
        <v>0</v>
      </c>
      <c r="RRK948" s="8">
        <f t="shared" ref="RRK948" si="5670">IF(RRG948="Ionizador", 10, IF(RRG948="Mesa", 1000000000, IF(RRG948="Rack", 1000000000, IF(RRG948="Piso", 1000000000, IF(RRG948="Tapete", 1000000000, IF(RRG948="Carrito", 1000000000, IF(RRG948="Cautín", 10, 1)))))))</f>
        <v>1000000000</v>
      </c>
      <c r="RRL948" s="4" t="str">
        <f t="shared" ref="RRL948" si="5671">IF(RRG948="Ionizador", "Segundos", "Ohms")</f>
        <v>Ohms</v>
      </c>
      <c r="RRM948" s="6">
        <v>148000000</v>
      </c>
      <c r="RRN948" s="6" t="str">
        <f t="shared" ref="RRN948" si="5672">RRL948</f>
        <v>Ohms</v>
      </c>
      <c r="RRO948" s="2" t="str">
        <f t="shared" ref="RRO948" si="5673">IF(RRG948="Ionizador", "Plato de carga", IF(RRG948="Cautín", "PTG", "RTG"))</f>
        <v>RTG</v>
      </c>
      <c r="RRP948" s="7">
        <v>45992</v>
      </c>
      <c r="RRQ948" s="7">
        <f t="shared" ref="RRQ948" si="5674">IF(RRR948="Trimestral", RRP948+90, IF(RRR948="Semestral", RRP948+180, RRP948+365))</f>
        <v>46172</v>
      </c>
      <c r="RRR948" s="7" t="str">
        <f t="shared" ref="RRR948" si="5675">IF(RRG948="Ionizador", "Trimestral", IF(RRG948="Rack", "Semestral", IF(RRG948="Mesa", "Semestral", IF(RRG948="Tapete", "Semestral", IF(RRG948="Cautín", "Semestral", IF(RRG948="Silla", "Semestral", "Anual"))))))</f>
        <v>Semestral</v>
      </c>
      <c r="RRS948" s="2" t="str">
        <f t="shared" ref="RRS948" ca="1" si="5676">IF(RRQ948&lt;TODAY(),"VENCIDO",IF(RRQ948=TODAY(),"VENCE HOY",IF(RRQ948&gt;TODAY(),"VIGENTE")))</f>
        <v>VIGENTE</v>
      </c>
      <c r="RRT948" s="6" t="s">
        <v>25</v>
      </c>
      <c r="RRU948" s="23" t="s">
        <v>138</v>
      </c>
      <c r="RRV948" s="2" t="s">
        <v>433</v>
      </c>
      <c r="RRW948" s="3" t="s">
        <v>22</v>
      </c>
      <c r="RRX948" s="3" t="s">
        <v>23</v>
      </c>
      <c r="RRY948" s="2" t="s">
        <v>24</v>
      </c>
      <c r="RRZ948" s="4">
        <v>0</v>
      </c>
      <c r="RSA948" s="8">
        <f t="shared" ref="RSA948" si="5677">IF(RRW948="Ionizador", 10, IF(RRW948="Mesa", 1000000000, IF(RRW948="Rack", 1000000000, IF(RRW948="Piso", 1000000000, IF(RRW948="Tapete", 1000000000, IF(RRW948="Carrito", 1000000000, IF(RRW948="Cautín", 10, 1)))))))</f>
        <v>1000000000</v>
      </c>
      <c r="RSB948" s="4" t="str">
        <f t="shared" ref="RSB948" si="5678">IF(RRW948="Ionizador", "Segundos", "Ohms")</f>
        <v>Ohms</v>
      </c>
      <c r="RSC948" s="6">
        <v>148000000</v>
      </c>
      <c r="RSD948" s="6" t="str">
        <f t="shared" ref="RSD948" si="5679">RSB948</f>
        <v>Ohms</v>
      </c>
      <c r="RSE948" s="2" t="str">
        <f t="shared" ref="RSE948" si="5680">IF(RRW948="Ionizador", "Plato de carga", IF(RRW948="Cautín", "PTG", "RTG"))</f>
        <v>RTG</v>
      </c>
      <c r="RSF948" s="7">
        <v>45992</v>
      </c>
      <c r="RSG948" s="7">
        <f t="shared" ref="RSG948" si="5681">IF(RSH948="Trimestral", RSF948+90, IF(RSH948="Semestral", RSF948+180, RSF948+365))</f>
        <v>46172</v>
      </c>
      <c r="RSH948" s="7" t="str">
        <f t="shared" ref="RSH948" si="5682">IF(RRW948="Ionizador", "Trimestral", IF(RRW948="Rack", "Semestral", IF(RRW948="Mesa", "Semestral", IF(RRW948="Tapete", "Semestral", IF(RRW948="Cautín", "Semestral", IF(RRW948="Silla", "Semestral", "Anual"))))))</f>
        <v>Semestral</v>
      </c>
      <c r="RSI948" s="2" t="str">
        <f t="shared" ref="RSI948" ca="1" si="5683">IF(RSG948&lt;TODAY(),"VENCIDO",IF(RSG948=TODAY(),"VENCE HOY",IF(RSG948&gt;TODAY(),"VIGENTE")))</f>
        <v>VIGENTE</v>
      </c>
      <c r="RSJ948" s="6" t="s">
        <v>25</v>
      </c>
      <c r="RSK948" s="23" t="s">
        <v>138</v>
      </c>
      <c r="RSL948" s="2" t="s">
        <v>433</v>
      </c>
      <c r="RSM948" s="3" t="s">
        <v>22</v>
      </c>
      <c r="RSN948" s="3" t="s">
        <v>23</v>
      </c>
      <c r="RSO948" s="2" t="s">
        <v>24</v>
      </c>
      <c r="RSP948" s="4">
        <v>0</v>
      </c>
      <c r="RSQ948" s="8">
        <f t="shared" ref="RSQ948" si="5684">IF(RSM948="Ionizador", 10, IF(RSM948="Mesa", 1000000000, IF(RSM948="Rack", 1000000000, IF(RSM948="Piso", 1000000000, IF(RSM948="Tapete", 1000000000, IF(RSM948="Carrito", 1000000000, IF(RSM948="Cautín", 10, 1)))))))</f>
        <v>1000000000</v>
      </c>
      <c r="RSR948" s="4" t="str">
        <f t="shared" ref="RSR948" si="5685">IF(RSM948="Ionizador", "Segundos", "Ohms")</f>
        <v>Ohms</v>
      </c>
      <c r="RSS948" s="6">
        <v>148000000</v>
      </c>
      <c r="RST948" s="6" t="str">
        <f t="shared" ref="RST948" si="5686">RSR948</f>
        <v>Ohms</v>
      </c>
      <c r="RSU948" s="2" t="str">
        <f t="shared" ref="RSU948" si="5687">IF(RSM948="Ionizador", "Plato de carga", IF(RSM948="Cautín", "PTG", "RTG"))</f>
        <v>RTG</v>
      </c>
      <c r="RSV948" s="7">
        <v>45992</v>
      </c>
      <c r="RSW948" s="7">
        <f t="shared" ref="RSW948" si="5688">IF(RSX948="Trimestral", RSV948+90, IF(RSX948="Semestral", RSV948+180, RSV948+365))</f>
        <v>46172</v>
      </c>
      <c r="RSX948" s="7" t="str">
        <f t="shared" ref="RSX948" si="5689">IF(RSM948="Ionizador", "Trimestral", IF(RSM948="Rack", "Semestral", IF(RSM948="Mesa", "Semestral", IF(RSM948="Tapete", "Semestral", IF(RSM948="Cautín", "Semestral", IF(RSM948="Silla", "Semestral", "Anual"))))))</f>
        <v>Semestral</v>
      </c>
      <c r="RSY948" s="2" t="str">
        <f t="shared" ref="RSY948" ca="1" si="5690">IF(RSW948&lt;TODAY(),"VENCIDO",IF(RSW948=TODAY(),"VENCE HOY",IF(RSW948&gt;TODAY(),"VIGENTE")))</f>
        <v>VIGENTE</v>
      </c>
      <c r="RSZ948" s="6" t="s">
        <v>25</v>
      </c>
      <c r="RTA948" s="23" t="s">
        <v>138</v>
      </c>
      <c r="RTB948" s="2" t="s">
        <v>433</v>
      </c>
      <c r="RTC948" s="3" t="s">
        <v>22</v>
      </c>
      <c r="RTD948" s="3" t="s">
        <v>23</v>
      </c>
      <c r="RTE948" s="2" t="s">
        <v>24</v>
      </c>
      <c r="RTF948" s="4">
        <v>0</v>
      </c>
      <c r="RTG948" s="8">
        <f t="shared" ref="RTG948" si="5691">IF(RTC948="Ionizador", 10, IF(RTC948="Mesa", 1000000000, IF(RTC948="Rack", 1000000000, IF(RTC948="Piso", 1000000000, IF(RTC948="Tapete", 1000000000, IF(RTC948="Carrito", 1000000000, IF(RTC948="Cautín", 10, 1)))))))</f>
        <v>1000000000</v>
      </c>
      <c r="RTH948" s="4" t="str">
        <f t="shared" ref="RTH948" si="5692">IF(RTC948="Ionizador", "Segundos", "Ohms")</f>
        <v>Ohms</v>
      </c>
      <c r="RTI948" s="6">
        <v>148000000</v>
      </c>
      <c r="RTJ948" s="6" t="str">
        <f t="shared" ref="RTJ948" si="5693">RTH948</f>
        <v>Ohms</v>
      </c>
      <c r="RTK948" s="2" t="str">
        <f t="shared" ref="RTK948" si="5694">IF(RTC948="Ionizador", "Plato de carga", IF(RTC948="Cautín", "PTG", "RTG"))</f>
        <v>RTG</v>
      </c>
      <c r="RTL948" s="7">
        <v>45992</v>
      </c>
      <c r="RTM948" s="7">
        <f t="shared" ref="RTM948" si="5695">IF(RTN948="Trimestral", RTL948+90, IF(RTN948="Semestral", RTL948+180, RTL948+365))</f>
        <v>46172</v>
      </c>
      <c r="RTN948" s="7" t="str">
        <f t="shared" ref="RTN948" si="5696">IF(RTC948="Ionizador", "Trimestral", IF(RTC948="Rack", "Semestral", IF(RTC948="Mesa", "Semestral", IF(RTC948="Tapete", "Semestral", IF(RTC948="Cautín", "Semestral", IF(RTC948="Silla", "Semestral", "Anual"))))))</f>
        <v>Semestral</v>
      </c>
      <c r="RTO948" s="2" t="str">
        <f t="shared" ref="RTO948" ca="1" si="5697">IF(RTM948&lt;TODAY(),"VENCIDO",IF(RTM948=TODAY(),"VENCE HOY",IF(RTM948&gt;TODAY(),"VIGENTE")))</f>
        <v>VIGENTE</v>
      </c>
      <c r="RTP948" s="6" t="s">
        <v>25</v>
      </c>
      <c r="RTQ948" s="23" t="s">
        <v>138</v>
      </c>
      <c r="RTR948" s="2" t="s">
        <v>433</v>
      </c>
      <c r="RTS948" s="3" t="s">
        <v>22</v>
      </c>
      <c r="RTT948" s="3" t="s">
        <v>23</v>
      </c>
      <c r="RTU948" s="2" t="s">
        <v>24</v>
      </c>
      <c r="RTV948" s="4">
        <v>0</v>
      </c>
      <c r="RTW948" s="8">
        <f t="shared" ref="RTW948" si="5698">IF(RTS948="Ionizador", 10, IF(RTS948="Mesa", 1000000000, IF(RTS948="Rack", 1000000000, IF(RTS948="Piso", 1000000000, IF(RTS948="Tapete", 1000000000, IF(RTS948="Carrito", 1000000000, IF(RTS948="Cautín", 10, 1)))))))</f>
        <v>1000000000</v>
      </c>
      <c r="RTX948" s="4" t="str">
        <f t="shared" ref="RTX948" si="5699">IF(RTS948="Ionizador", "Segundos", "Ohms")</f>
        <v>Ohms</v>
      </c>
      <c r="RTY948" s="6">
        <v>148000000</v>
      </c>
      <c r="RTZ948" s="6" t="str">
        <f t="shared" ref="RTZ948" si="5700">RTX948</f>
        <v>Ohms</v>
      </c>
      <c r="RUA948" s="2" t="str">
        <f t="shared" ref="RUA948" si="5701">IF(RTS948="Ionizador", "Plato de carga", IF(RTS948="Cautín", "PTG", "RTG"))</f>
        <v>RTG</v>
      </c>
      <c r="RUB948" s="7">
        <v>45992</v>
      </c>
      <c r="RUC948" s="7">
        <f t="shared" ref="RUC948" si="5702">IF(RUD948="Trimestral", RUB948+90, IF(RUD948="Semestral", RUB948+180, RUB948+365))</f>
        <v>46172</v>
      </c>
      <c r="RUD948" s="7" t="str">
        <f t="shared" ref="RUD948" si="5703">IF(RTS948="Ionizador", "Trimestral", IF(RTS948="Rack", "Semestral", IF(RTS948="Mesa", "Semestral", IF(RTS948="Tapete", "Semestral", IF(RTS948="Cautín", "Semestral", IF(RTS948="Silla", "Semestral", "Anual"))))))</f>
        <v>Semestral</v>
      </c>
      <c r="RUE948" s="2" t="str">
        <f t="shared" ref="RUE948" ca="1" si="5704">IF(RUC948&lt;TODAY(),"VENCIDO",IF(RUC948=TODAY(),"VENCE HOY",IF(RUC948&gt;TODAY(),"VIGENTE")))</f>
        <v>VIGENTE</v>
      </c>
      <c r="RUF948" s="6" t="s">
        <v>25</v>
      </c>
      <c r="RUG948" s="23" t="s">
        <v>138</v>
      </c>
      <c r="RUH948" s="2" t="s">
        <v>433</v>
      </c>
      <c r="RUI948" s="3" t="s">
        <v>22</v>
      </c>
      <c r="RUJ948" s="3" t="s">
        <v>23</v>
      </c>
      <c r="RUK948" s="2" t="s">
        <v>24</v>
      </c>
      <c r="RUL948" s="4">
        <v>0</v>
      </c>
      <c r="RUM948" s="8">
        <f t="shared" ref="RUM948" si="5705">IF(RUI948="Ionizador", 10, IF(RUI948="Mesa", 1000000000, IF(RUI948="Rack", 1000000000, IF(RUI948="Piso", 1000000000, IF(RUI948="Tapete", 1000000000, IF(RUI948="Carrito", 1000000000, IF(RUI948="Cautín", 10, 1)))))))</f>
        <v>1000000000</v>
      </c>
      <c r="RUN948" s="4" t="str">
        <f t="shared" ref="RUN948" si="5706">IF(RUI948="Ionizador", "Segundos", "Ohms")</f>
        <v>Ohms</v>
      </c>
      <c r="RUO948" s="6">
        <v>148000000</v>
      </c>
      <c r="RUP948" s="6" t="str">
        <f t="shared" ref="RUP948" si="5707">RUN948</f>
        <v>Ohms</v>
      </c>
      <c r="RUQ948" s="2" t="str">
        <f t="shared" ref="RUQ948" si="5708">IF(RUI948="Ionizador", "Plato de carga", IF(RUI948="Cautín", "PTG", "RTG"))</f>
        <v>RTG</v>
      </c>
      <c r="RUR948" s="7">
        <v>45992</v>
      </c>
      <c r="RUS948" s="7">
        <f t="shared" ref="RUS948" si="5709">IF(RUT948="Trimestral", RUR948+90, IF(RUT948="Semestral", RUR948+180, RUR948+365))</f>
        <v>46172</v>
      </c>
      <c r="RUT948" s="7" t="str">
        <f t="shared" ref="RUT948" si="5710">IF(RUI948="Ionizador", "Trimestral", IF(RUI948="Rack", "Semestral", IF(RUI948="Mesa", "Semestral", IF(RUI948="Tapete", "Semestral", IF(RUI948="Cautín", "Semestral", IF(RUI948="Silla", "Semestral", "Anual"))))))</f>
        <v>Semestral</v>
      </c>
      <c r="RUU948" s="2" t="str">
        <f t="shared" ref="RUU948" ca="1" si="5711">IF(RUS948&lt;TODAY(),"VENCIDO",IF(RUS948=TODAY(),"VENCE HOY",IF(RUS948&gt;TODAY(),"VIGENTE")))</f>
        <v>VIGENTE</v>
      </c>
      <c r="RUV948" s="6" t="s">
        <v>25</v>
      </c>
      <c r="RUW948" s="23" t="s">
        <v>138</v>
      </c>
      <c r="RUX948" s="2" t="s">
        <v>433</v>
      </c>
      <c r="RUY948" s="3" t="s">
        <v>22</v>
      </c>
      <c r="RUZ948" s="3" t="s">
        <v>23</v>
      </c>
      <c r="RVA948" s="2" t="s">
        <v>24</v>
      </c>
      <c r="RVB948" s="4">
        <v>0</v>
      </c>
      <c r="RVC948" s="8">
        <f t="shared" ref="RVC948" si="5712">IF(RUY948="Ionizador", 10, IF(RUY948="Mesa", 1000000000, IF(RUY948="Rack", 1000000000, IF(RUY948="Piso", 1000000000, IF(RUY948="Tapete", 1000000000, IF(RUY948="Carrito", 1000000000, IF(RUY948="Cautín", 10, 1)))))))</f>
        <v>1000000000</v>
      </c>
      <c r="RVD948" s="4" t="str">
        <f t="shared" ref="RVD948" si="5713">IF(RUY948="Ionizador", "Segundos", "Ohms")</f>
        <v>Ohms</v>
      </c>
      <c r="RVE948" s="6">
        <v>148000000</v>
      </c>
      <c r="RVF948" s="6" t="str">
        <f t="shared" ref="RVF948" si="5714">RVD948</f>
        <v>Ohms</v>
      </c>
      <c r="RVG948" s="2" t="str">
        <f t="shared" ref="RVG948" si="5715">IF(RUY948="Ionizador", "Plato de carga", IF(RUY948="Cautín", "PTG", "RTG"))</f>
        <v>RTG</v>
      </c>
      <c r="RVH948" s="7">
        <v>45992</v>
      </c>
      <c r="RVI948" s="7">
        <f t="shared" ref="RVI948" si="5716">IF(RVJ948="Trimestral", RVH948+90, IF(RVJ948="Semestral", RVH948+180, RVH948+365))</f>
        <v>46172</v>
      </c>
      <c r="RVJ948" s="7" t="str">
        <f t="shared" ref="RVJ948" si="5717">IF(RUY948="Ionizador", "Trimestral", IF(RUY948="Rack", "Semestral", IF(RUY948="Mesa", "Semestral", IF(RUY948="Tapete", "Semestral", IF(RUY948="Cautín", "Semestral", IF(RUY948="Silla", "Semestral", "Anual"))))))</f>
        <v>Semestral</v>
      </c>
      <c r="RVK948" s="2" t="str">
        <f t="shared" ref="RVK948" ca="1" si="5718">IF(RVI948&lt;TODAY(),"VENCIDO",IF(RVI948=TODAY(),"VENCE HOY",IF(RVI948&gt;TODAY(),"VIGENTE")))</f>
        <v>VIGENTE</v>
      </c>
      <c r="RVL948" s="6" t="s">
        <v>25</v>
      </c>
      <c r="RVM948" s="23" t="s">
        <v>138</v>
      </c>
      <c r="RVN948" s="2" t="s">
        <v>433</v>
      </c>
      <c r="RVO948" s="3" t="s">
        <v>22</v>
      </c>
      <c r="RVP948" s="3" t="s">
        <v>23</v>
      </c>
      <c r="RVQ948" s="2" t="s">
        <v>24</v>
      </c>
      <c r="RVR948" s="4">
        <v>0</v>
      </c>
      <c r="RVS948" s="8">
        <f t="shared" ref="RVS948" si="5719">IF(RVO948="Ionizador", 10, IF(RVO948="Mesa", 1000000000, IF(RVO948="Rack", 1000000000, IF(RVO948="Piso", 1000000000, IF(RVO948="Tapete", 1000000000, IF(RVO948="Carrito", 1000000000, IF(RVO948="Cautín", 10, 1)))))))</f>
        <v>1000000000</v>
      </c>
      <c r="RVT948" s="4" t="str">
        <f t="shared" ref="RVT948" si="5720">IF(RVO948="Ionizador", "Segundos", "Ohms")</f>
        <v>Ohms</v>
      </c>
      <c r="RVU948" s="6">
        <v>148000000</v>
      </c>
      <c r="RVV948" s="6" t="str">
        <f t="shared" ref="RVV948" si="5721">RVT948</f>
        <v>Ohms</v>
      </c>
      <c r="RVW948" s="2" t="str">
        <f t="shared" ref="RVW948" si="5722">IF(RVO948="Ionizador", "Plato de carga", IF(RVO948="Cautín", "PTG", "RTG"))</f>
        <v>RTG</v>
      </c>
      <c r="RVX948" s="7">
        <v>45992</v>
      </c>
      <c r="RVY948" s="7">
        <f t="shared" ref="RVY948" si="5723">IF(RVZ948="Trimestral", RVX948+90, IF(RVZ948="Semestral", RVX948+180, RVX948+365))</f>
        <v>46172</v>
      </c>
      <c r="RVZ948" s="7" t="str">
        <f t="shared" ref="RVZ948" si="5724">IF(RVO948="Ionizador", "Trimestral", IF(RVO948="Rack", "Semestral", IF(RVO948="Mesa", "Semestral", IF(RVO948="Tapete", "Semestral", IF(RVO948="Cautín", "Semestral", IF(RVO948="Silla", "Semestral", "Anual"))))))</f>
        <v>Semestral</v>
      </c>
      <c r="RWA948" s="2" t="str">
        <f t="shared" ref="RWA948" ca="1" si="5725">IF(RVY948&lt;TODAY(),"VENCIDO",IF(RVY948=TODAY(),"VENCE HOY",IF(RVY948&gt;TODAY(),"VIGENTE")))</f>
        <v>VIGENTE</v>
      </c>
      <c r="RWB948" s="6" t="s">
        <v>25</v>
      </c>
      <c r="RWC948" s="23" t="s">
        <v>138</v>
      </c>
      <c r="RWD948" s="2" t="s">
        <v>433</v>
      </c>
      <c r="RWE948" s="3" t="s">
        <v>22</v>
      </c>
      <c r="RWF948" s="3" t="s">
        <v>23</v>
      </c>
      <c r="RWG948" s="2" t="s">
        <v>24</v>
      </c>
      <c r="RWH948" s="4">
        <v>0</v>
      </c>
      <c r="RWI948" s="8">
        <f t="shared" ref="RWI948" si="5726">IF(RWE948="Ionizador", 10, IF(RWE948="Mesa", 1000000000, IF(RWE948="Rack", 1000000000, IF(RWE948="Piso", 1000000000, IF(RWE948="Tapete", 1000000000, IF(RWE948="Carrito", 1000000000, IF(RWE948="Cautín", 10, 1)))))))</f>
        <v>1000000000</v>
      </c>
      <c r="RWJ948" s="4" t="str">
        <f t="shared" ref="RWJ948" si="5727">IF(RWE948="Ionizador", "Segundos", "Ohms")</f>
        <v>Ohms</v>
      </c>
      <c r="RWK948" s="6">
        <v>148000000</v>
      </c>
      <c r="RWL948" s="6" t="str">
        <f t="shared" ref="RWL948" si="5728">RWJ948</f>
        <v>Ohms</v>
      </c>
      <c r="RWM948" s="2" t="str">
        <f t="shared" ref="RWM948" si="5729">IF(RWE948="Ionizador", "Plato de carga", IF(RWE948="Cautín", "PTG", "RTG"))</f>
        <v>RTG</v>
      </c>
      <c r="RWN948" s="7">
        <v>45992</v>
      </c>
      <c r="RWO948" s="7">
        <f t="shared" ref="RWO948" si="5730">IF(RWP948="Trimestral", RWN948+90, IF(RWP948="Semestral", RWN948+180, RWN948+365))</f>
        <v>46172</v>
      </c>
      <c r="RWP948" s="7" t="str">
        <f t="shared" ref="RWP948" si="5731">IF(RWE948="Ionizador", "Trimestral", IF(RWE948="Rack", "Semestral", IF(RWE948="Mesa", "Semestral", IF(RWE948="Tapete", "Semestral", IF(RWE948="Cautín", "Semestral", IF(RWE948="Silla", "Semestral", "Anual"))))))</f>
        <v>Semestral</v>
      </c>
      <c r="RWQ948" s="2" t="str">
        <f t="shared" ref="RWQ948" ca="1" si="5732">IF(RWO948&lt;TODAY(),"VENCIDO",IF(RWO948=TODAY(),"VENCE HOY",IF(RWO948&gt;TODAY(),"VIGENTE")))</f>
        <v>VIGENTE</v>
      </c>
      <c r="RWR948" s="6" t="s">
        <v>25</v>
      </c>
      <c r="RWS948" s="23" t="s">
        <v>138</v>
      </c>
      <c r="RWT948" s="2" t="s">
        <v>433</v>
      </c>
      <c r="RWU948" s="3" t="s">
        <v>22</v>
      </c>
      <c r="RWV948" s="3" t="s">
        <v>23</v>
      </c>
      <c r="RWW948" s="2" t="s">
        <v>24</v>
      </c>
      <c r="RWX948" s="4">
        <v>0</v>
      </c>
      <c r="RWY948" s="8">
        <f t="shared" ref="RWY948" si="5733">IF(RWU948="Ionizador", 10, IF(RWU948="Mesa", 1000000000, IF(RWU948="Rack", 1000000000, IF(RWU948="Piso", 1000000000, IF(RWU948="Tapete", 1000000000, IF(RWU948="Carrito", 1000000000, IF(RWU948="Cautín", 10, 1)))))))</f>
        <v>1000000000</v>
      </c>
      <c r="RWZ948" s="4" t="str">
        <f t="shared" ref="RWZ948" si="5734">IF(RWU948="Ionizador", "Segundos", "Ohms")</f>
        <v>Ohms</v>
      </c>
      <c r="RXA948" s="6">
        <v>148000000</v>
      </c>
      <c r="RXB948" s="6" t="str">
        <f t="shared" ref="RXB948" si="5735">RWZ948</f>
        <v>Ohms</v>
      </c>
      <c r="RXC948" s="2" t="str">
        <f t="shared" ref="RXC948" si="5736">IF(RWU948="Ionizador", "Plato de carga", IF(RWU948="Cautín", "PTG", "RTG"))</f>
        <v>RTG</v>
      </c>
      <c r="RXD948" s="7">
        <v>45992</v>
      </c>
      <c r="RXE948" s="7">
        <f t="shared" ref="RXE948" si="5737">IF(RXF948="Trimestral", RXD948+90, IF(RXF948="Semestral", RXD948+180, RXD948+365))</f>
        <v>46172</v>
      </c>
      <c r="RXF948" s="7" t="str">
        <f t="shared" ref="RXF948" si="5738">IF(RWU948="Ionizador", "Trimestral", IF(RWU948="Rack", "Semestral", IF(RWU948="Mesa", "Semestral", IF(RWU948="Tapete", "Semestral", IF(RWU948="Cautín", "Semestral", IF(RWU948="Silla", "Semestral", "Anual"))))))</f>
        <v>Semestral</v>
      </c>
      <c r="RXG948" s="2" t="str">
        <f t="shared" ref="RXG948" ca="1" si="5739">IF(RXE948&lt;TODAY(),"VENCIDO",IF(RXE948=TODAY(),"VENCE HOY",IF(RXE948&gt;TODAY(),"VIGENTE")))</f>
        <v>VIGENTE</v>
      </c>
      <c r="RXH948" s="6" t="s">
        <v>25</v>
      </c>
      <c r="RXI948" s="23" t="s">
        <v>138</v>
      </c>
      <c r="RXJ948" s="2" t="s">
        <v>433</v>
      </c>
      <c r="RXK948" s="3" t="s">
        <v>22</v>
      </c>
      <c r="RXL948" s="3" t="s">
        <v>23</v>
      </c>
      <c r="RXM948" s="2" t="s">
        <v>24</v>
      </c>
      <c r="RXN948" s="4">
        <v>0</v>
      </c>
      <c r="RXO948" s="8">
        <f t="shared" ref="RXO948" si="5740">IF(RXK948="Ionizador", 10, IF(RXK948="Mesa", 1000000000, IF(RXK948="Rack", 1000000000, IF(RXK948="Piso", 1000000000, IF(RXK948="Tapete", 1000000000, IF(RXK948="Carrito", 1000000000, IF(RXK948="Cautín", 10, 1)))))))</f>
        <v>1000000000</v>
      </c>
      <c r="RXP948" s="4" t="str">
        <f t="shared" ref="RXP948" si="5741">IF(RXK948="Ionizador", "Segundos", "Ohms")</f>
        <v>Ohms</v>
      </c>
      <c r="RXQ948" s="6">
        <v>148000000</v>
      </c>
      <c r="RXR948" s="6" t="str">
        <f t="shared" ref="RXR948" si="5742">RXP948</f>
        <v>Ohms</v>
      </c>
      <c r="RXS948" s="2" t="str">
        <f t="shared" ref="RXS948" si="5743">IF(RXK948="Ionizador", "Plato de carga", IF(RXK948="Cautín", "PTG", "RTG"))</f>
        <v>RTG</v>
      </c>
      <c r="RXT948" s="7">
        <v>45992</v>
      </c>
      <c r="RXU948" s="7">
        <f t="shared" ref="RXU948" si="5744">IF(RXV948="Trimestral", RXT948+90, IF(RXV948="Semestral", RXT948+180, RXT948+365))</f>
        <v>46172</v>
      </c>
      <c r="RXV948" s="7" t="str">
        <f t="shared" ref="RXV948" si="5745">IF(RXK948="Ionizador", "Trimestral", IF(RXK948="Rack", "Semestral", IF(RXK948="Mesa", "Semestral", IF(RXK948="Tapete", "Semestral", IF(RXK948="Cautín", "Semestral", IF(RXK948="Silla", "Semestral", "Anual"))))))</f>
        <v>Semestral</v>
      </c>
      <c r="RXW948" s="2" t="str">
        <f t="shared" ref="RXW948" ca="1" si="5746">IF(RXU948&lt;TODAY(),"VENCIDO",IF(RXU948=TODAY(),"VENCE HOY",IF(RXU948&gt;TODAY(),"VIGENTE")))</f>
        <v>VIGENTE</v>
      </c>
      <c r="RXX948" s="6" t="s">
        <v>25</v>
      </c>
      <c r="RXY948" s="23" t="s">
        <v>138</v>
      </c>
      <c r="RXZ948" s="2" t="s">
        <v>433</v>
      </c>
      <c r="RYA948" s="3" t="s">
        <v>22</v>
      </c>
      <c r="RYB948" s="3" t="s">
        <v>23</v>
      </c>
      <c r="RYC948" s="2" t="s">
        <v>24</v>
      </c>
      <c r="RYD948" s="4">
        <v>0</v>
      </c>
      <c r="RYE948" s="8">
        <f t="shared" ref="RYE948" si="5747">IF(RYA948="Ionizador", 10, IF(RYA948="Mesa", 1000000000, IF(RYA948="Rack", 1000000000, IF(RYA948="Piso", 1000000000, IF(RYA948="Tapete", 1000000000, IF(RYA948="Carrito", 1000000000, IF(RYA948="Cautín", 10, 1)))))))</f>
        <v>1000000000</v>
      </c>
      <c r="RYF948" s="4" t="str">
        <f t="shared" ref="RYF948" si="5748">IF(RYA948="Ionizador", "Segundos", "Ohms")</f>
        <v>Ohms</v>
      </c>
      <c r="RYG948" s="6">
        <v>148000000</v>
      </c>
      <c r="RYH948" s="6" t="str">
        <f t="shared" ref="RYH948" si="5749">RYF948</f>
        <v>Ohms</v>
      </c>
      <c r="RYI948" s="2" t="str">
        <f t="shared" ref="RYI948" si="5750">IF(RYA948="Ionizador", "Plato de carga", IF(RYA948="Cautín", "PTG", "RTG"))</f>
        <v>RTG</v>
      </c>
      <c r="RYJ948" s="7">
        <v>45992</v>
      </c>
      <c r="RYK948" s="7">
        <f t="shared" ref="RYK948" si="5751">IF(RYL948="Trimestral", RYJ948+90, IF(RYL948="Semestral", RYJ948+180, RYJ948+365))</f>
        <v>46172</v>
      </c>
      <c r="RYL948" s="7" t="str">
        <f t="shared" ref="RYL948" si="5752">IF(RYA948="Ionizador", "Trimestral", IF(RYA948="Rack", "Semestral", IF(RYA948="Mesa", "Semestral", IF(RYA948="Tapete", "Semestral", IF(RYA948="Cautín", "Semestral", IF(RYA948="Silla", "Semestral", "Anual"))))))</f>
        <v>Semestral</v>
      </c>
      <c r="RYM948" s="2" t="str">
        <f t="shared" ref="RYM948" ca="1" si="5753">IF(RYK948&lt;TODAY(),"VENCIDO",IF(RYK948=TODAY(),"VENCE HOY",IF(RYK948&gt;TODAY(),"VIGENTE")))</f>
        <v>VIGENTE</v>
      </c>
      <c r="RYN948" s="6" t="s">
        <v>25</v>
      </c>
      <c r="RYO948" s="23" t="s">
        <v>138</v>
      </c>
      <c r="RYP948" s="2" t="s">
        <v>433</v>
      </c>
      <c r="RYQ948" s="3" t="s">
        <v>22</v>
      </c>
      <c r="RYR948" s="3" t="s">
        <v>23</v>
      </c>
      <c r="RYS948" s="2" t="s">
        <v>24</v>
      </c>
      <c r="RYT948" s="4">
        <v>0</v>
      </c>
      <c r="RYU948" s="8">
        <f t="shared" ref="RYU948" si="5754">IF(RYQ948="Ionizador", 10, IF(RYQ948="Mesa", 1000000000, IF(RYQ948="Rack", 1000000000, IF(RYQ948="Piso", 1000000000, IF(RYQ948="Tapete", 1000000000, IF(RYQ948="Carrito", 1000000000, IF(RYQ948="Cautín", 10, 1)))))))</f>
        <v>1000000000</v>
      </c>
      <c r="RYV948" s="4" t="str">
        <f t="shared" ref="RYV948" si="5755">IF(RYQ948="Ionizador", "Segundos", "Ohms")</f>
        <v>Ohms</v>
      </c>
      <c r="RYW948" s="6">
        <v>148000000</v>
      </c>
      <c r="RYX948" s="6" t="str">
        <f t="shared" ref="RYX948" si="5756">RYV948</f>
        <v>Ohms</v>
      </c>
      <c r="RYY948" s="2" t="str">
        <f t="shared" ref="RYY948" si="5757">IF(RYQ948="Ionizador", "Plato de carga", IF(RYQ948="Cautín", "PTG", "RTG"))</f>
        <v>RTG</v>
      </c>
      <c r="RYZ948" s="7">
        <v>45992</v>
      </c>
      <c r="RZA948" s="7">
        <f t="shared" ref="RZA948" si="5758">IF(RZB948="Trimestral", RYZ948+90, IF(RZB948="Semestral", RYZ948+180, RYZ948+365))</f>
        <v>46172</v>
      </c>
      <c r="RZB948" s="7" t="str">
        <f t="shared" ref="RZB948" si="5759">IF(RYQ948="Ionizador", "Trimestral", IF(RYQ948="Rack", "Semestral", IF(RYQ948="Mesa", "Semestral", IF(RYQ948="Tapete", "Semestral", IF(RYQ948="Cautín", "Semestral", IF(RYQ948="Silla", "Semestral", "Anual"))))))</f>
        <v>Semestral</v>
      </c>
      <c r="RZC948" s="2" t="str">
        <f t="shared" ref="RZC948" ca="1" si="5760">IF(RZA948&lt;TODAY(),"VENCIDO",IF(RZA948=TODAY(),"VENCE HOY",IF(RZA948&gt;TODAY(),"VIGENTE")))</f>
        <v>VIGENTE</v>
      </c>
      <c r="RZD948" s="6" t="s">
        <v>25</v>
      </c>
      <c r="RZE948" s="23" t="s">
        <v>138</v>
      </c>
      <c r="RZF948" s="2" t="s">
        <v>433</v>
      </c>
      <c r="RZG948" s="3" t="s">
        <v>22</v>
      </c>
      <c r="RZH948" s="3" t="s">
        <v>23</v>
      </c>
      <c r="RZI948" s="2" t="s">
        <v>24</v>
      </c>
      <c r="RZJ948" s="4">
        <v>0</v>
      </c>
      <c r="RZK948" s="8">
        <f t="shared" ref="RZK948" si="5761">IF(RZG948="Ionizador", 10, IF(RZG948="Mesa", 1000000000, IF(RZG948="Rack", 1000000000, IF(RZG948="Piso", 1000000000, IF(RZG948="Tapete", 1000000000, IF(RZG948="Carrito", 1000000000, IF(RZG948="Cautín", 10, 1)))))))</f>
        <v>1000000000</v>
      </c>
      <c r="RZL948" s="4" t="str">
        <f t="shared" ref="RZL948" si="5762">IF(RZG948="Ionizador", "Segundos", "Ohms")</f>
        <v>Ohms</v>
      </c>
      <c r="RZM948" s="6">
        <v>148000000</v>
      </c>
      <c r="RZN948" s="6" t="str">
        <f t="shared" ref="RZN948" si="5763">RZL948</f>
        <v>Ohms</v>
      </c>
      <c r="RZO948" s="2" t="str">
        <f t="shared" ref="RZO948" si="5764">IF(RZG948="Ionizador", "Plato de carga", IF(RZG948="Cautín", "PTG", "RTG"))</f>
        <v>RTG</v>
      </c>
      <c r="RZP948" s="7">
        <v>45992</v>
      </c>
      <c r="RZQ948" s="7">
        <f t="shared" ref="RZQ948" si="5765">IF(RZR948="Trimestral", RZP948+90, IF(RZR948="Semestral", RZP948+180, RZP948+365))</f>
        <v>46172</v>
      </c>
      <c r="RZR948" s="7" t="str">
        <f t="shared" ref="RZR948" si="5766">IF(RZG948="Ionizador", "Trimestral", IF(RZG948="Rack", "Semestral", IF(RZG948="Mesa", "Semestral", IF(RZG948="Tapete", "Semestral", IF(RZG948="Cautín", "Semestral", IF(RZG948="Silla", "Semestral", "Anual"))))))</f>
        <v>Semestral</v>
      </c>
      <c r="RZS948" s="2" t="str">
        <f t="shared" ref="RZS948" ca="1" si="5767">IF(RZQ948&lt;TODAY(),"VENCIDO",IF(RZQ948=TODAY(),"VENCE HOY",IF(RZQ948&gt;TODAY(),"VIGENTE")))</f>
        <v>VIGENTE</v>
      </c>
      <c r="RZT948" s="6" t="s">
        <v>25</v>
      </c>
      <c r="RZU948" s="23" t="s">
        <v>138</v>
      </c>
      <c r="RZV948" s="2" t="s">
        <v>433</v>
      </c>
      <c r="RZW948" s="3" t="s">
        <v>22</v>
      </c>
      <c r="RZX948" s="3" t="s">
        <v>23</v>
      </c>
      <c r="RZY948" s="2" t="s">
        <v>24</v>
      </c>
      <c r="RZZ948" s="4">
        <v>0</v>
      </c>
      <c r="SAA948" s="8">
        <f t="shared" ref="SAA948" si="5768">IF(RZW948="Ionizador", 10, IF(RZW948="Mesa", 1000000000, IF(RZW948="Rack", 1000000000, IF(RZW948="Piso", 1000000000, IF(RZW948="Tapete", 1000000000, IF(RZW948="Carrito", 1000000000, IF(RZW948="Cautín", 10, 1)))))))</f>
        <v>1000000000</v>
      </c>
      <c r="SAB948" s="4" t="str">
        <f t="shared" ref="SAB948" si="5769">IF(RZW948="Ionizador", "Segundos", "Ohms")</f>
        <v>Ohms</v>
      </c>
      <c r="SAC948" s="6">
        <v>148000000</v>
      </c>
      <c r="SAD948" s="6" t="str">
        <f t="shared" ref="SAD948" si="5770">SAB948</f>
        <v>Ohms</v>
      </c>
      <c r="SAE948" s="2" t="str">
        <f t="shared" ref="SAE948" si="5771">IF(RZW948="Ionizador", "Plato de carga", IF(RZW948="Cautín", "PTG", "RTG"))</f>
        <v>RTG</v>
      </c>
      <c r="SAF948" s="7">
        <v>45992</v>
      </c>
      <c r="SAG948" s="7">
        <f t="shared" ref="SAG948" si="5772">IF(SAH948="Trimestral", SAF948+90, IF(SAH948="Semestral", SAF948+180, SAF948+365))</f>
        <v>46172</v>
      </c>
      <c r="SAH948" s="7" t="str">
        <f t="shared" ref="SAH948" si="5773">IF(RZW948="Ionizador", "Trimestral", IF(RZW948="Rack", "Semestral", IF(RZW948="Mesa", "Semestral", IF(RZW948="Tapete", "Semestral", IF(RZW948="Cautín", "Semestral", IF(RZW948="Silla", "Semestral", "Anual"))))))</f>
        <v>Semestral</v>
      </c>
      <c r="SAI948" s="2" t="str">
        <f t="shared" ref="SAI948" ca="1" si="5774">IF(SAG948&lt;TODAY(),"VENCIDO",IF(SAG948=TODAY(),"VENCE HOY",IF(SAG948&gt;TODAY(),"VIGENTE")))</f>
        <v>VIGENTE</v>
      </c>
      <c r="SAJ948" s="6" t="s">
        <v>25</v>
      </c>
      <c r="SAK948" s="23" t="s">
        <v>138</v>
      </c>
      <c r="SAL948" s="2" t="s">
        <v>433</v>
      </c>
      <c r="SAM948" s="3" t="s">
        <v>22</v>
      </c>
      <c r="SAN948" s="3" t="s">
        <v>23</v>
      </c>
      <c r="SAO948" s="2" t="s">
        <v>24</v>
      </c>
      <c r="SAP948" s="4">
        <v>0</v>
      </c>
      <c r="SAQ948" s="8">
        <f t="shared" ref="SAQ948" si="5775">IF(SAM948="Ionizador", 10, IF(SAM948="Mesa", 1000000000, IF(SAM948="Rack", 1000000000, IF(SAM948="Piso", 1000000000, IF(SAM948="Tapete", 1000000000, IF(SAM948="Carrito", 1000000000, IF(SAM948="Cautín", 10, 1)))))))</f>
        <v>1000000000</v>
      </c>
      <c r="SAR948" s="4" t="str">
        <f t="shared" ref="SAR948" si="5776">IF(SAM948="Ionizador", "Segundos", "Ohms")</f>
        <v>Ohms</v>
      </c>
      <c r="SAS948" s="6">
        <v>148000000</v>
      </c>
      <c r="SAT948" s="6" t="str">
        <f t="shared" ref="SAT948" si="5777">SAR948</f>
        <v>Ohms</v>
      </c>
      <c r="SAU948" s="2" t="str">
        <f t="shared" ref="SAU948" si="5778">IF(SAM948="Ionizador", "Plato de carga", IF(SAM948="Cautín", "PTG", "RTG"))</f>
        <v>RTG</v>
      </c>
      <c r="SAV948" s="7">
        <v>45992</v>
      </c>
      <c r="SAW948" s="7">
        <f t="shared" ref="SAW948" si="5779">IF(SAX948="Trimestral", SAV948+90, IF(SAX948="Semestral", SAV948+180, SAV948+365))</f>
        <v>46172</v>
      </c>
      <c r="SAX948" s="7" t="str">
        <f t="shared" ref="SAX948" si="5780">IF(SAM948="Ionizador", "Trimestral", IF(SAM948="Rack", "Semestral", IF(SAM948="Mesa", "Semestral", IF(SAM948="Tapete", "Semestral", IF(SAM948="Cautín", "Semestral", IF(SAM948="Silla", "Semestral", "Anual"))))))</f>
        <v>Semestral</v>
      </c>
      <c r="SAY948" s="2" t="str">
        <f t="shared" ref="SAY948" ca="1" si="5781">IF(SAW948&lt;TODAY(),"VENCIDO",IF(SAW948=TODAY(),"VENCE HOY",IF(SAW948&gt;TODAY(),"VIGENTE")))</f>
        <v>VIGENTE</v>
      </c>
      <c r="SAZ948" s="6" t="s">
        <v>25</v>
      </c>
      <c r="SBA948" s="23" t="s">
        <v>138</v>
      </c>
      <c r="SBB948" s="2" t="s">
        <v>433</v>
      </c>
      <c r="SBC948" s="3" t="s">
        <v>22</v>
      </c>
      <c r="SBD948" s="3" t="s">
        <v>23</v>
      </c>
      <c r="SBE948" s="2" t="s">
        <v>24</v>
      </c>
      <c r="SBF948" s="4">
        <v>0</v>
      </c>
      <c r="SBG948" s="8">
        <f t="shared" ref="SBG948" si="5782">IF(SBC948="Ionizador", 10, IF(SBC948="Mesa", 1000000000, IF(SBC948="Rack", 1000000000, IF(SBC948="Piso", 1000000000, IF(SBC948="Tapete", 1000000000, IF(SBC948="Carrito", 1000000000, IF(SBC948="Cautín", 10, 1)))))))</f>
        <v>1000000000</v>
      </c>
      <c r="SBH948" s="4" t="str">
        <f t="shared" ref="SBH948" si="5783">IF(SBC948="Ionizador", "Segundos", "Ohms")</f>
        <v>Ohms</v>
      </c>
      <c r="SBI948" s="6">
        <v>148000000</v>
      </c>
      <c r="SBJ948" s="6" t="str">
        <f t="shared" ref="SBJ948" si="5784">SBH948</f>
        <v>Ohms</v>
      </c>
      <c r="SBK948" s="2" t="str">
        <f t="shared" ref="SBK948" si="5785">IF(SBC948="Ionizador", "Plato de carga", IF(SBC948="Cautín", "PTG", "RTG"))</f>
        <v>RTG</v>
      </c>
      <c r="SBL948" s="7">
        <v>45992</v>
      </c>
      <c r="SBM948" s="7">
        <f t="shared" ref="SBM948" si="5786">IF(SBN948="Trimestral", SBL948+90, IF(SBN948="Semestral", SBL948+180, SBL948+365))</f>
        <v>46172</v>
      </c>
      <c r="SBN948" s="7" t="str">
        <f t="shared" ref="SBN948" si="5787">IF(SBC948="Ionizador", "Trimestral", IF(SBC948="Rack", "Semestral", IF(SBC948="Mesa", "Semestral", IF(SBC948="Tapete", "Semestral", IF(SBC948="Cautín", "Semestral", IF(SBC948="Silla", "Semestral", "Anual"))))))</f>
        <v>Semestral</v>
      </c>
      <c r="SBO948" s="2" t="str">
        <f t="shared" ref="SBO948" ca="1" si="5788">IF(SBM948&lt;TODAY(),"VENCIDO",IF(SBM948=TODAY(),"VENCE HOY",IF(SBM948&gt;TODAY(),"VIGENTE")))</f>
        <v>VIGENTE</v>
      </c>
      <c r="SBP948" s="6" t="s">
        <v>25</v>
      </c>
      <c r="SBQ948" s="23" t="s">
        <v>138</v>
      </c>
      <c r="SBR948" s="2" t="s">
        <v>433</v>
      </c>
      <c r="SBS948" s="3" t="s">
        <v>22</v>
      </c>
      <c r="SBT948" s="3" t="s">
        <v>23</v>
      </c>
      <c r="SBU948" s="2" t="s">
        <v>24</v>
      </c>
      <c r="SBV948" s="4">
        <v>0</v>
      </c>
      <c r="SBW948" s="8">
        <f t="shared" ref="SBW948" si="5789">IF(SBS948="Ionizador", 10, IF(SBS948="Mesa", 1000000000, IF(SBS948="Rack", 1000000000, IF(SBS948="Piso", 1000000000, IF(SBS948="Tapete", 1000000000, IF(SBS948="Carrito", 1000000000, IF(SBS948="Cautín", 10, 1)))))))</f>
        <v>1000000000</v>
      </c>
      <c r="SBX948" s="4" t="str">
        <f t="shared" ref="SBX948" si="5790">IF(SBS948="Ionizador", "Segundos", "Ohms")</f>
        <v>Ohms</v>
      </c>
      <c r="SBY948" s="6">
        <v>148000000</v>
      </c>
      <c r="SBZ948" s="6" t="str">
        <f t="shared" ref="SBZ948" si="5791">SBX948</f>
        <v>Ohms</v>
      </c>
      <c r="SCA948" s="2" t="str">
        <f t="shared" ref="SCA948" si="5792">IF(SBS948="Ionizador", "Plato de carga", IF(SBS948="Cautín", "PTG", "RTG"))</f>
        <v>RTG</v>
      </c>
      <c r="SCB948" s="7">
        <v>45992</v>
      </c>
      <c r="SCC948" s="7">
        <f t="shared" ref="SCC948" si="5793">IF(SCD948="Trimestral", SCB948+90, IF(SCD948="Semestral", SCB948+180, SCB948+365))</f>
        <v>46172</v>
      </c>
      <c r="SCD948" s="7" t="str">
        <f t="shared" ref="SCD948" si="5794">IF(SBS948="Ionizador", "Trimestral", IF(SBS948="Rack", "Semestral", IF(SBS948="Mesa", "Semestral", IF(SBS948="Tapete", "Semestral", IF(SBS948="Cautín", "Semestral", IF(SBS948="Silla", "Semestral", "Anual"))))))</f>
        <v>Semestral</v>
      </c>
      <c r="SCE948" s="2" t="str">
        <f t="shared" ref="SCE948" ca="1" si="5795">IF(SCC948&lt;TODAY(),"VENCIDO",IF(SCC948=TODAY(),"VENCE HOY",IF(SCC948&gt;TODAY(),"VIGENTE")))</f>
        <v>VIGENTE</v>
      </c>
      <c r="SCF948" s="6" t="s">
        <v>25</v>
      </c>
      <c r="SCG948" s="23" t="s">
        <v>138</v>
      </c>
      <c r="SCH948" s="2" t="s">
        <v>433</v>
      </c>
      <c r="SCI948" s="3" t="s">
        <v>22</v>
      </c>
      <c r="SCJ948" s="3" t="s">
        <v>23</v>
      </c>
      <c r="SCK948" s="2" t="s">
        <v>24</v>
      </c>
      <c r="SCL948" s="4">
        <v>0</v>
      </c>
      <c r="SCM948" s="8">
        <f t="shared" ref="SCM948" si="5796">IF(SCI948="Ionizador", 10, IF(SCI948="Mesa", 1000000000, IF(SCI948="Rack", 1000000000, IF(SCI948="Piso", 1000000000, IF(SCI948="Tapete", 1000000000, IF(SCI948="Carrito", 1000000000, IF(SCI948="Cautín", 10, 1)))))))</f>
        <v>1000000000</v>
      </c>
      <c r="SCN948" s="4" t="str">
        <f t="shared" ref="SCN948" si="5797">IF(SCI948="Ionizador", "Segundos", "Ohms")</f>
        <v>Ohms</v>
      </c>
      <c r="SCO948" s="6">
        <v>148000000</v>
      </c>
      <c r="SCP948" s="6" t="str">
        <f t="shared" ref="SCP948" si="5798">SCN948</f>
        <v>Ohms</v>
      </c>
      <c r="SCQ948" s="2" t="str">
        <f t="shared" ref="SCQ948" si="5799">IF(SCI948="Ionizador", "Plato de carga", IF(SCI948="Cautín", "PTG", "RTG"))</f>
        <v>RTG</v>
      </c>
      <c r="SCR948" s="7">
        <v>45992</v>
      </c>
      <c r="SCS948" s="7">
        <f t="shared" ref="SCS948" si="5800">IF(SCT948="Trimestral", SCR948+90, IF(SCT948="Semestral", SCR948+180, SCR948+365))</f>
        <v>46172</v>
      </c>
      <c r="SCT948" s="7" t="str">
        <f t="shared" ref="SCT948" si="5801">IF(SCI948="Ionizador", "Trimestral", IF(SCI948="Rack", "Semestral", IF(SCI948="Mesa", "Semestral", IF(SCI948="Tapete", "Semestral", IF(SCI948="Cautín", "Semestral", IF(SCI948="Silla", "Semestral", "Anual"))))))</f>
        <v>Semestral</v>
      </c>
      <c r="SCU948" s="2" t="str">
        <f t="shared" ref="SCU948" ca="1" si="5802">IF(SCS948&lt;TODAY(),"VENCIDO",IF(SCS948=TODAY(),"VENCE HOY",IF(SCS948&gt;TODAY(),"VIGENTE")))</f>
        <v>VIGENTE</v>
      </c>
      <c r="SCV948" s="6" t="s">
        <v>25</v>
      </c>
      <c r="SCW948" s="23" t="s">
        <v>138</v>
      </c>
      <c r="SCX948" s="2" t="s">
        <v>433</v>
      </c>
      <c r="SCY948" s="3" t="s">
        <v>22</v>
      </c>
      <c r="SCZ948" s="3" t="s">
        <v>23</v>
      </c>
      <c r="SDA948" s="2" t="s">
        <v>24</v>
      </c>
      <c r="SDB948" s="4">
        <v>0</v>
      </c>
      <c r="SDC948" s="8">
        <f t="shared" ref="SDC948" si="5803">IF(SCY948="Ionizador", 10, IF(SCY948="Mesa", 1000000000, IF(SCY948="Rack", 1000000000, IF(SCY948="Piso", 1000000000, IF(SCY948="Tapete", 1000000000, IF(SCY948="Carrito", 1000000000, IF(SCY948="Cautín", 10, 1)))))))</f>
        <v>1000000000</v>
      </c>
      <c r="SDD948" s="4" t="str">
        <f t="shared" ref="SDD948" si="5804">IF(SCY948="Ionizador", "Segundos", "Ohms")</f>
        <v>Ohms</v>
      </c>
      <c r="SDE948" s="6">
        <v>148000000</v>
      </c>
      <c r="SDF948" s="6" t="str">
        <f t="shared" ref="SDF948" si="5805">SDD948</f>
        <v>Ohms</v>
      </c>
      <c r="SDG948" s="2" t="str">
        <f t="shared" ref="SDG948" si="5806">IF(SCY948="Ionizador", "Plato de carga", IF(SCY948="Cautín", "PTG", "RTG"))</f>
        <v>RTG</v>
      </c>
      <c r="SDH948" s="7">
        <v>45992</v>
      </c>
      <c r="SDI948" s="7">
        <f t="shared" ref="SDI948" si="5807">IF(SDJ948="Trimestral", SDH948+90, IF(SDJ948="Semestral", SDH948+180, SDH948+365))</f>
        <v>46172</v>
      </c>
      <c r="SDJ948" s="7" t="str">
        <f t="shared" ref="SDJ948" si="5808">IF(SCY948="Ionizador", "Trimestral", IF(SCY948="Rack", "Semestral", IF(SCY948="Mesa", "Semestral", IF(SCY948="Tapete", "Semestral", IF(SCY948="Cautín", "Semestral", IF(SCY948="Silla", "Semestral", "Anual"))))))</f>
        <v>Semestral</v>
      </c>
      <c r="SDK948" s="2" t="str">
        <f t="shared" ref="SDK948" ca="1" si="5809">IF(SDI948&lt;TODAY(),"VENCIDO",IF(SDI948=TODAY(),"VENCE HOY",IF(SDI948&gt;TODAY(),"VIGENTE")))</f>
        <v>VIGENTE</v>
      </c>
      <c r="SDL948" s="6" t="s">
        <v>25</v>
      </c>
      <c r="SDM948" s="23" t="s">
        <v>138</v>
      </c>
      <c r="SDN948" s="2" t="s">
        <v>433</v>
      </c>
      <c r="SDO948" s="3" t="s">
        <v>22</v>
      </c>
      <c r="SDP948" s="3" t="s">
        <v>23</v>
      </c>
      <c r="SDQ948" s="2" t="s">
        <v>24</v>
      </c>
      <c r="SDR948" s="4">
        <v>0</v>
      </c>
      <c r="SDS948" s="8">
        <f t="shared" ref="SDS948" si="5810">IF(SDO948="Ionizador", 10, IF(SDO948="Mesa", 1000000000, IF(SDO948="Rack", 1000000000, IF(SDO948="Piso", 1000000000, IF(SDO948="Tapete", 1000000000, IF(SDO948="Carrito", 1000000000, IF(SDO948="Cautín", 10, 1)))))))</f>
        <v>1000000000</v>
      </c>
      <c r="SDT948" s="4" t="str">
        <f t="shared" ref="SDT948" si="5811">IF(SDO948="Ionizador", "Segundos", "Ohms")</f>
        <v>Ohms</v>
      </c>
      <c r="SDU948" s="6">
        <v>148000000</v>
      </c>
      <c r="SDV948" s="6" t="str">
        <f t="shared" ref="SDV948" si="5812">SDT948</f>
        <v>Ohms</v>
      </c>
      <c r="SDW948" s="2" t="str">
        <f t="shared" ref="SDW948" si="5813">IF(SDO948="Ionizador", "Plato de carga", IF(SDO948="Cautín", "PTG", "RTG"))</f>
        <v>RTG</v>
      </c>
      <c r="SDX948" s="7">
        <v>45992</v>
      </c>
      <c r="SDY948" s="7">
        <f t="shared" ref="SDY948" si="5814">IF(SDZ948="Trimestral", SDX948+90, IF(SDZ948="Semestral", SDX948+180, SDX948+365))</f>
        <v>46172</v>
      </c>
      <c r="SDZ948" s="7" t="str">
        <f t="shared" ref="SDZ948" si="5815">IF(SDO948="Ionizador", "Trimestral", IF(SDO948="Rack", "Semestral", IF(SDO948="Mesa", "Semestral", IF(SDO948="Tapete", "Semestral", IF(SDO948="Cautín", "Semestral", IF(SDO948="Silla", "Semestral", "Anual"))))))</f>
        <v>Semestral</v>
      </c>
      <c r="SEA948" s="2" t="str">
        <f t="shared" ref="SEA948" ca="1" si="5816">IF(SDY948&lt;TODAY(),"VENCIDO",IF(SDY948=TODAY(),"VENCE HOY",IF(SDY948&gt;TODAY(),"VIGENTE")))</f>
        <v>VIGENTE</v>
      </c>
      <c r="SEB948" s="6" t="s">
        <v>25</v>
      </c>
      <c r="SEC948" s="23" t="s">
        <v>138</v>
      </c>
      <c r="SED948" s="2" t="s">
        <v>433</v>
      </c>
      <c r="SEE948" s="3" t="s">
        <v>22</v>
      </c>
      <c r="SEF948" s="3" t="s">
        <v>23</v>
      </c>
      <c r="SEG948" s="2" t="s">
        <v>24</v>
      </c>
      <c r="SEH948" s="4">
        <v>0</v>
      </c>
      <c r="SEI948" s="8">
        <f t="shared" ref="SEI948" si="5817">IF(SEE948="Ionizador", 10, IF(SEE948="Mesa", 1000000000, IF(SEE948="Rack", 1000000000, IF(SEE948="Piso", 1000000000, IF(SEE948="Tapete", 1000000000, IF(SEE948="Carrito", 1000000000, IF(SEE948="Cautín", 10, 1)))))))</f>
        <v>1000000000</v>
      </c>
      <c r="SEJ948" s="4" t="str">
        <f t="shared" ref="SEJ948" si="5818">IF(SEE948="Ionizador", "Segundos", "Ohms")</f>
        <v>Ohms</v>
      </c>
      <c r="SEK948" s="6">
        <v>148000000</v>
      </c>
      <c r="SEL948" s="6" t="str">
        <f t="shared" ref="SEL948" si="5819">SEJ948</f>
        <v>Ohms</v>
      </c>
      <c r="SEM948" s="2" t="str">
        <f t="shared" ref="SEM948" si="5820">IF(SEE948="Ionizador", "Plato de carga", IF(SEE948="Cautín", "PTG", "RTG"))</f>
        <v>RTG</v>
      </c>
      <c r="SEN948" s="7">
        <v>45992</v>
      </c>
      <c r="SEO948" s="7">
        <f t="shared" ref="SEO948" si="5821">IF(SEP948="Trimestral", SEN948+90, IF(SEP948="Semestral", SEN948+180, SEN948+365))</f>
        <v>46172</v>
      </c>
      <c r="SEP948" s="7" t="str">
        <f t="shared" ref="SEP948" si="5822">IF(SEE948="Ionizador", "Trimestral", IF(SEE948="Rack", "Semestral", IF(SEE948="Mesa", "Semestral", IF(SEE948="Tapete", "Semestral", IF(SEE948="Cautín", "Semestral", IF(SEE948="Silla", "Semestral", "Anual"))))))</f>
        <v>Semestral</v>
      </c>
      <c r="SEQ948" s="2" t="str">
        <f t="shared" ref="SEQ948" ca="1" si="5823">IF(SEO948&lt;TODAY(),"VENCIDO",IF(SEO948=TODAY(),"VENCE HOY",IF(SEO948&gt;TODAY(),"VIGENTE")))</f>
        <v>VIGENTE</v>
      </c>
      <c r="SER948" s="6" t="s">
        <v>25</v>
      </c>
      <c r="SES948" s="23" t="s">
        <v>138</v>
      </c>
      <c r="SET948" s="2" t="s">
        <v>433</v>
      </c>
      <c r="SEU948" s="3" t="s">
        <v>22</v>
      </c>
      <c r="SEV948" s="3" t="s">
        <v>23</v>
      </c>
      <c r="SEW948" s="2" t="s">
        <v>24</v>
      </c>
      <c r="SEX948" s="4">
        <v>0</v>
      </c>
      <c r="SEY948" s="8">
        <f t="shared" ref="SEY948" si="5824">IF(SEU948="Ionizador", 10, IF(SEU948="Mesa", 1000000000, IF(SEU948="Rack", 1000000000, IF(SEU948="Piso", 1000000000, IF(SEU948="Tapete", 1000000000, IF(SEU948="Carrito", 1000000000, IF(SEU948="Cautín", 10, 1)))))))</f>
        <v>1000000000</v>
      </c>
      <c r="SEZ948" s="4" t="str">
        <f t="shared" ref="SEZ948" si="5825">IF(SEU948="Ionizador", "Segundos", "Ohms")</f>
        <v>Ohms</v>
      </c>
      <c r="SFA948" s="6">
        <v>148000000</v>
      </c>
      <c r="SFB948" s="6" t="str">
        <f t="shared" ref="SFB948" si="5826">SEZ948</f>
        <v>Ohms</v>
      </c>
      <c r="SFC948" s="2" t="str">
        <f t="shared" ref="SFC948" si="5827">IF(SEU948="Ionizador", "Plato de carga", IF(SEU948="Cautín", "PTG", "RTG"))</f>
        <v>RTG</v>
      </c>
      <c r="SFD948" s="7">
        <v>45992</v>
      </c>
      <c r="SFE948" s="7">
        <f t="shared" ref="SFE948" si="5828">IF(SFF948="Trimestral", SFD948+90, IF(SFF948="Semestral", SFD948+180, SFD948+365))</f>
        <v>46172</v>
      </c>
      <c r="SFF948" s="7" t="str">
        <f t="shared" ref="SFF948" si="5829">IF(SEU948="Ionizador", "Trimestral", IF(SEU948="Rack", "Semestral", IF(SEU948="Mesa", "Semestral", IF(SEU948="Tapete", "Semestral", IF(SEU948="Cautín", "Semestral", IF(SEU948="Silla", "Semestral", "Anual"))))))</f>
        <v>Semestral</v>
      </c>
      <c r="SFG948" s="2" t="str">
        <f t="shared" ref="SFG948" ca="1" si="5830">IF(SFE948&lt;TODAY(),"VENCIDO",IF(SFE948=TODAY(),"VENCE HOY",IF(SFE948&gt;TODAY(),"VIGENTE")))</f>
        <v>VIGENTE</v>
      </c>
      <c r="SFH948" s="6" t="s">
        <v>25</v>
      </c>
      <c r="SFI948" s="23" t="s">
        <v>138</v>
      </c>
      <c r="SFJ948" s="2" t="s">
        <v>433</v>
      </c>
      <c r="SFK948" s="3" t="s">
        <v>22</v>
      </c>
      <c r="SFL948" s="3" t="s">
        <v>23</v>
      </c>
      <c r="SFM948" s="2" t="s">
        <v>24</v>
      </c>
      <c r="SFN948" s="4">
        <v>0</v>
      </c>
      <c r="SFO948" s="8">
        <f t="shared" ref="SFO948" si="5831">IF(SFK948="Ionizador", 10, IF(SFK948="Mesa", 1000000000, IF(SFK948="Rack", 1000000000, IF(SFK948="Piso", 1000000000, IF(SFK948="Tapete", 1000000000, IF(SFK948="Carrito", 1000000000, IF(SFK948="Cautín", 10, 1)))))))</f>
        <v>1000000000</v>
      </c>
      <c r="SFP948" s="4" t="str">
        <f t="shared" ref="SFP948" si="5832">IF(SFK948="Ionizador", "Segundos", "Ohms")</f>
        <v>Ohms</v>
      </c>
      <c r="SFQ948" s="6">
        <v>148000000</v>
      </c>
      <c r="SFR948" s="6" t="str">
        <f t="shared" ref="SFR948" si="5833">SFP948</f>
        <v>Ohms</v>
      </c>
      <c r="SFS948" s="2" t="str">
        <f t="shared" ref="SFS948" si="5834">IF(SFK948="Ionizador", "Plato de carga", IF(SFK948="Cautín", "PTG", "RTG"))</f>
        <v>RTG</v>
      </c>
      <c r="SFT948" s="7">
        <v>45992</v>
      </c>
      <c r="SFU948" s="7">
        <f t="shared" ref="SFU948" si="5835">IF(SFV948="Trimestral", SFT948+90, IF(SFV948="Semestral", SFT948+180, SFT948+365))</f>
        <v>46172</v>
      </c>
      <c r="SFV948" s="7" t="str">
        <f t="shared" ref="SFV948" si="5836">IF(SFK948="Ionizador", "Trimestral", IF(SFK948="Rack", "Semestral", IF(SFK948="Mesa", "Semestral", IF(SFK948="Tapete", "Semestral", IF(SFK948="Cautín", "Semestral", IF(SFK948="Silla", "Semestral", "Anual"))))))</f>
        <v>Semestral</v>
      </c>
      <c r="SFW948" s="2" t="str">
        <f t="shared" ref="SFW948" ca="1" si="5837">IF(SFU948&lt;TODAY(),"VENCIDO",IF(SFU948=TODAY(),"VENCE HOY",IF(SFU948&gt;TODAY(),"VIGENTE")))</f>
        <v>VIGENTE</v>
      </c>
      <c r="SFX948" s="6" t="s">
        <v>25</v>
      </c>
      <c r="SFY948" s="23" t="s">
        <v>138</v>
      </c>
      <c r="SFZ948" s="2" t="s">
        <v>433</v>
      </c>
      <c r="SGA948" s="3" t="s">
        <v>22</v>
      </c>
      <c r="SGB948" s="3" t="s">
        <v>23</v>
      </c>
      <c r="SGC948" s="2" t="s">
        <v>24</v>
      </c>
      <c r="SGD948" s="4">
        <v>0</v>
      </c>
      <c r="SGE948" s="8">
        <f t="shared" ref="SGE948" si="5838">IF(SGA948="Ionizador", 10, IF(SGA948="Mesa", 1000000000, IF(SGA948="Rack", 1000000000, IF(SGA948="Piso", 1000000000, IF(SGA948="Tapete", 1000000000, IF(SGA948="Carrito", 1000000000, IF(SGA948="Cautín", 10, 1)))))))</f>
        <v>1000000000</v>
      </c>
      <c r="SGF948" s="4" t="str">
        <f t="shared" ref="SGF948" si="5839">IF(SGA948="Ionizador", "Segundos", "Ohms")</f>
        <v>Ohms</v>
      </c>
      <c r="SGG948" s="6">
        <v>148000000</v>
      </c>
      <c r="SGH948" s="6" t="str">
        <f t="shared" ref="SGH948" si="5840">SGF948</f>
        <v>Ohms</v>
      </c>
      <c r="SGI948" s="2" t="str">
        <f t="shared" ref="SGI948" si="5841">IF(SGA948="Ionizador", "Plato de carga", IF(SGA948="Cautín", "PTG", "RTG"))</f>
        <v>RTG</v>
      </c>
      <c r="SGJ948" s="7">
        <v>45992</v>
      </c>
      <c r="SGK948" s="7">
        <f t="shared" ref="SGK948" si="5842">IF(SGL948="Trimestral", SGJ948+90, IF(SGL948="Semestral", SGJ948+180, SGJ948+365))</f>
        <v>46172</v>
      </c>
      <c r="SGL948" s="7" t="str">
        <f t="shared" ref="SGL948" si="5843">IF(SGA948="Ionizador", "Trimestral", IF(SGA948="Rack", "Semestral", IF(SGA948="Mesa", "Semestral", IF(SGA948="Tapete", "Semestral", IF(SGA948="Cautín", "Semestral", IF(SGA948="Silla", "Semestral", "Anual"))))))</f>
        <v>Semestral</v>
      </c>
      <c r="SGM948" s="2" t="str">
        <f t="shared" ref="SGM948" ca="1" si="5844">IF(SGK948&lt;TODAY(),"VENCIDO",IF(SGK948=TODAY(),"VENCE HOY",IF(SGK948&gt;TODAY(),"VIGENTE")))</f>
        <v>VIGENTE</v>
      </c>
      <c r="SGN948" s="6" t="s">
        <v>25</v>
      </c>
      <c r="SGO948" s="23" t="s">
        <v>138</v>
      </c>
      <c r="SGP948" s="2" t="s">
        <v>433</v>
      </c>
      <c r="SGQ948" s="3" t="s">
        <v>22</v>
      </c>
      <c r="SGR948" s="3" t="s">
        <v>23</v>
      </c>
      <c r="SGS948" s="2" t="s">
        <v>24</v>
      </c>
      <c r="SGT948" s="4">
        <v>0</v>
      </c>
      <c r="SGU948" s="8">
        <f t="shared" ref="SGU948" si="5845">IF(SGQ948="Ionizador", 10, IF(SGQ948="Mesa", 1000000000, IF(SGQ948="Rack", 1000000000, IF(SGQ948="Piso", 1000000000, IF(SGQ948="Tapete", 1000000000, IF(SGQ948="Carrito", 1000000000, IF(SGQ948="Cautín", 10, 1)))))))</f>
        <v>1000000000</v>
      </c>
      <c r="SGV948" s="4" t="str">
        <f t="shared" ref="SGV948" si="5846">IF(SGQ948="Ionizador", "Segundos", "Ohms")</f>
        <v>Ohms</v>
      </c>
      <c r="SGW948" s="6">
        <v>148000000</v>
      </c>
      <c r="SGX948" s="6" t="str">
        <f t="shared" ref="SGX948" si="5847">SGV948</f>
        <v>Ohms</v>
      </c>
      <c r="SGY948" s="2" t="str">
        <f t="shared" ref="SGY948" si="5848">IF(SGQ948="Ionizador", "Plato de carga", IF(SGQ948="Cautín", "PTG", "RTG"))</f>
        <v>RTG</v>
      </c>
      <c r="SGZ948" s="7">
        <v>45992</v>
      </c>
      <c r="SHA948" s="7">
        <f t="shared" ref="SHA948" si="5849">IF(SHB948="Trimestral", SGZ948+90, IF(SHB948="Semestral", SGZ948+180, SGZ948+365))</f>
        <v>46172</v>
      </c>
      <c r="SHB948" s="7" t="str">
        <f t="shared" ref="SHB948" si="5850">IF(SGQ948="Ionizador", "Trimestral", IF(SGQ948="Rack", "Semestral", IF(SGQ948="Mesa", "Semestral", IF(SGQ948="Tapete", "Semestral", IF(SGQ948="Cautín", "Semestral", IF(SGQ948="Silla", "Semestral", "Anual"))))))</f>
        <v>Semestral</v>
      </c>
      <c r="SHC948" s="2" t="str">
        <f t="shared" ref="SHC948" ca="1" si="5851">IF(SHA948&lt;TODAY(),"VENCIDO",IF(SHA948=TODAY(),"VENCE HOY",IF(SHA948&gt;TODAY(),"VIGENTE")))</f>
        <v>VIGENTE</v>
      </c>
      <c r="SHD948" s="6" t="s">
        <v>25</v>
      </c>
      <c r="SHE948" s="23" t="s">
        <v>138</v>
      </c>
      <c r="SHF948" s="2" t="s">
        <v>433</v>
      </c>
      <c r="SHG948" s="3" t="s">
        <v>22</v>
      </c>
      <c r="SHH948" s="3" t="s">
        <v>23</v>
      </c>
      <c r="SHI948" s="2" t="s">
        <v>24</v>
      </c>
      <c r="SHJ948" s="4">
        <v>0</v>
      </c>
      <c r="SHK948" s="8">
        <f t="shared" ref="SHK948" si="5852">IF(SHG948="Ionizador", 10, IF(SHG948="Mesa", 1000000000, IF(SHG948="Rack", 1000000000, IF(SHG948="Piso", 1000000000, IF(SHG948="Tapete", 1000000000, IF(SHG948="Carrito", 1000000000, IF(SHG948="Cautín", 10, 1)))))))</f>
        <v>1000000000</v>
      </c>
      <c r="SHL948" s="4" t="str">
        <f t="shared" ref="SHL948" si="5853">IF(SHG948="Ionizador", "Segundos", "Ohms")</f>
        <v>Ohms</v>
      </c>
      <c r="SHM948" s="6">
        <v>148000000</v>
      </c>
      <c r="SHN948" s="6" t="str">
        <f t="shared" ref="SHN948" si="5854">SHL948</f>
        <v>Ohms</v>
      </c>
      <c r="SHO948" s="2" t="str">
        <f t="shared" ref="SHO948" si="5855">IF(SHG948="Ionizador", "Plato de carga", IF(SHG948="Cautín", "PTG", "RTG"))</f>
        <v>RTG</v>
      </c>
      <c r="SHP948" s="7">
        <v>45992</v>
      </c>
      <c r="SHQ948" s="7">
        <f t="shared" ref="SHQ948" si="5856">IF(SHR948="Trimestral", SHP948+90, IF(SHR948="Semestral", SHP948+180, SHP948+365))</f>
        <v>46172</v>
      </c>
      <c r="SHR948" s="7" t="str">
        <f t="shared" ref="SHR948" si="5857">IF(SHG948="Ionizador", "Trimestral", IF(SHG948="Rack", "Semestral", IF(SHG948="Mesa", "Semestral", IF(SHG948="Tapete", "Semestral", IF(SHG948="Cautín", "Semestral", IF(SHG948="Silla", "Semestral", "Anual"))))))</f>
        <v>Semestral</v>
      </c>
      <c r="SHS948" s="2" t="str">
        <f t="shared" ref="SHS948" ca="1" si="5858">IF(SHQ948&lt;TODAY(),"VENCIDO",IF(SHQ948=TODAY(),"VENCE HOY",IF(SHQ948&gt;TODAY(),"VIGENTE")))</f>
        <v>VIGENTE</v>
      </c>
      <c r="SHT948" s="6" t="s">
        <v>25</v>
      </c>
      <c r="SHU948" s="23" t="s">
        <v>138</v>
      </c>
      <c r="SHV948" s="2" t="s">
        <v>433</v>
      </c>
      <c r="SHW948" s="3" t="s">
        <v>22</v>
      </c>
      <c r="SHX948" s="3" t="s">
        <v>23</v>
      </c>
      <c r="SHY948" s="2" t="s">
        <v>24</v>
      </c>
      <c r="SHZ948" s="4">
        <v>0</v>
      </c>
      <c r="SIA948" s="8">
        <f t="shared" ref="SIA948" si="5859">IF(SHW948="Ionizador", 10, IF(SHW948="Mesa", 1000000000, IF(SHW948="Rack", 1000000000, IF(SHW948="Piso", 1000000000, IF(SHW948="Tapete", 1000000000, IF(SHW948="Carrito", 1000000000, IF(SHW948="Cautín", 10, 1)))))))</f>
        <v>1000000000</v>
      </c>
      <c r="SIB948" s="4" t="str">
        <f t="shared" ref="SIB948" si="5860">IF(SHW948="Ionizador", "Segundos", "Ohms")</f>
        <v>Ohms</v>
      </c>
      <c r="SIC948" s="6">
        <v>148000000</v>
      </c>
      <c r="SID948" s="6" t="str">
        <f t="shared" ref="SID948" si="5861">SIB948</f>
        <v>Ohms</v>
      </c>
      <c r="SIE948" s="2" t="str">
        <f t="shared" ref="SIE948" si="5862">IF(SHW948="Ionizador", "Plato de carga", IF(SHW948="Cautín", "PTG", "RTG"))</f>
        <v>RTG</v>
      </c>
      <c r="SIF948" s="7">
        <v>45992</v>
      </c>
      <c r="SIG948" s="7">
        <f t="shared" ref="SIG948" si="5863">IF(SIH948="Trimestral", SIF948+90, IF(SIH948="Semestral", SIF948+180, SIF948+365))</f>
        <v>46172</v>
      </c>
      <c r="SIH948" s="7" t="str">
        <f t="shared" ref="SIH948" si="5864">IF(SHW948="Ionizador", "Trimestral", IF(SHW948="Rack", "Semestral", IF(SHW948="Mesa", "Semestral", IF(SHW948="Tapete", "Semestral", IF(SHW948="Cautín", "Semestral", IF(SHW948="Silla", "Semestral", "Anual"))))))</f>
        <v>Semestral</v>
      </c>
      <c r="SII948" s="2" t="str">
        <f t="shared" ref="SII948" ca="1" si="5865">IF(SIG948&lt;TODAY(),"VENCIDO",IF(SIG948=TODAY(),"VENCE HOY",IF(SIG948&gt;TODAY(),"VIGENTE")))</f>
        <v>VIGENTE</v>
      </c>
      <c r="SIJ948" s="6" t="s">
        <v>25</v>
      </c>
      <c r="SIK948" s="23" t="s">
        <v>138</v>
      </c>
      <c r="SIL948" s="2" t="s">
        <v>433</v>
      </c>
      <c r="SIM948" s="3" t="s">
        <v>22</v>
      </c>
      <c r="SIN948" s="3" t="s">
        <v>23</v>
      </c>
      <c r="SIO948" s="2" t="s">
        <v>24</v>
      </c>
      <c r="SIP948" s="4">
        <v>0</v>
      </c>
      <c r="SIQ948" s="8">
        <f t="shared" ref="SIQ948" si="5866">IF(SIM948="Ionizador", 10, IF(SIM948="Mesa", 1000000000, IF(SIM948="Rack", 1000000000, IF(SIM948="Piso", 1000000000, IF(SIM948="Tapete", 1000000000, IF(SIM948="Carrito", 1000000000, IF(SIM948="Cautín", 10, 1)))))))</f>
        <v>1000000000</v>
      </c>
      <c r="SIR948" s="4" t="str">
        <f t="shared" ref="SIR948" si="5867">IF(SIM948="Ionizador", "Segundos", "Ohms")</f>
        <v>Ohms</v>
      </c>
      <c r="SIS948" s="6">
        <v>148000000</v>
      </c>
      <c r="SIT948" s="6" t="str">
        <f t="shared" ref="SIT948" si="5868">SIR948</f>
        <v>Ohms</v>
      </c>
      <c r="SIU948" s="2" t="str">
        <f t="shared" ref="SIU948" si="5869">IF(SIM948="Ionizador", "Plato de carga", IF(SIM948="Cautín", "PTG", "RTG"))</f>
        <v>RTG</v>
      </c>
      <c r="SIV948" s="7">
        <v>45992</v>
      </c>
      <c r="SIW948" s="7">
        <f t="shared" ref="SIW948" si="5870">IF(SIX948="Trimestral", SIV948+90, IF(SIX948="Semestral", SIV948+180, SIV948+365))</f>
        <v>46172</v>
      </c>
      <c r="SIX948" s="7" t="str">
        <f t="shared" ref="SIX948" si="5871">IF(SIM948="Ionizador", "Trimestral", IF(SIM948="Rack", "Semestral", IF(SIM948="Mesa", "Semestral", IF(SIM948="Tapete", "Semestral", IF(SIM948="Cautín", "Semestral", IF(SIM948="Silla", "Semestral", "Anual"))))))</f>
        <v>Semestral</v>
      </c>
      <c r="SIY948" s="2" t="str">
        <f t="shared" ref="SIY948" ca="1" si="5872">IF(SIW948&lt;TODAY(),"VENCIDO",IF(SIW948=TODAY(),"VENCE HOY",IF(SIW948&gt;TODAY(),"VIGENTE")))</f>
        <v>VIGENTE</v>
      </c>
      <c r="SIZ948" s="6" t="s">
        <v>25</v>
      </c>
      <c r="SJA948" s="23" t="s">
        <v>138</v>
      </c>
      <c r="SJB948" s="2" t="s">
        <v>433</v>
      </c>
      <c r="SJC948" s="3" t="s">
        <v>22</v>
      </c>
      <c r="SJD948" s="3" t="s">
        <v>23</v>
      </c>
      <c r="SJE948" s="2" t="s">
        <v>24</v>
      </c>
      <c r="SJF948" s="4">
        <v>0</v>
      </c>
      <c r="SJG948" s="8">
        <f t="shared" ref="SJG948" si="5873">IF(SJC948="Ionizador", 10, IF(SJC948="Mesa", 1000000000, IF(SJC948="Rack", 1000000000, IF(SJC948="Piso", 1000000000, IF(SJC948="Tapete", 1000000000, IF(SJC948="Carrito", 1000000000, IF(SJC948="Cautín", 10, 1)))))))</f>
        <v>1000000000</v>
      </c>
      <c r="SJH948" s="4" t="str">
        <f t="shared" ref="SJH948" si="5874">IF(SJC948="Ionizador", "Segundos", "Ohms")</f>
        <v>Ohms</v>
      </c>
      <c r="SJI948" s="6">
        <v>148000000</v>
      </c>
      <c r="SJJ948" s="6" t="str">
        <f t="shared" ref="SJJ948" si="5875">SJH948</f>
        <v>Ohms</v>
      </c>
      <c r="SJK948" s="2" t="str">
        <f t="shared" ref="SJK948" si="5876">IF(SJC948="Ionizador", "Plato de carga", IF(SJC948="Cautín", "PTG", "RTG"))</f>
        <v>RTG</v>
      </c>
      <c r="SJL948" s="7">
        <v>45992</v>
      </c>
      <c r="SJM948" s="7">
        <f t="shared" ref="SJM948" si="5877">IF(SJN948="Trimestral", SJL948+90, IF(SJN948="Semestral", SJL948+180, SJL948+365))</f>
        <v>46172</v>
      </c>
      <c r="SJN948" s="7" t="str">
        <f t="shared" ref="SJN948" si="5878">IF(SJC948="Ionizador", "Trimestral", IF(SJC948="Rack", "Semestral", IF(SJC948="Mesa", "Semestral", IF(SJC948="Tapete", "Semestral", IF(SJC948="Cautín", "Semestral", IF(SJC948="Silla", "Semestral", "Anual"))))))</f>
        <v>Semestral</v>
      </c>
      <c r="SJO948" s="2" t="str">
        <f t="shared" ref="SJO948" ca="1" si="5879">IF(SJM948&lt;TODAY(),"VENCIDO",IF(SJM948=TODAY(),"VENCE HOY",IF(SJM948&gt;TODAY(),"VIGENTE")))</f>
        <v>VIGENTE</v>
      </c>
      <c r="SJP948" s="6" t="s">
        <v>25</v>
      </c>
      <c r="SJQ948" s="23" t="s">
        <v>138</v>
      </c>
      <c r="SJR948" s="2" t="s">
        <v>433</v>
      </c>
      <c r="SJS948" s="3" t="s">
        <v>22</v>
      </c>
      <c r="SJT948" s="3" t="s">
        <v>23</v>
      </c>
      <c r="SJU948" s="2" t="s">
        <v>24</v>
      </c>
      <c r="SJV948" s="4">
        <v>0</v>
      </c>
      <c r="SJW948" s="8">
        <f t="shared" ref="SJW948" si="5880">IF(SJS948="Ionizador", 10, IF(SJS948="Mesa", 1000000000, IF(SJS948="Rack", 1000000000, IF(SJS948="Piso", 1000000000, IF(SJS948="Tapete", 1000000000, IF(SJS948="Carrito", 1000000000, IF(SJS948="Cautín", 10, 1)))))))</f>
        <v>1000000000</v>
      </c>
      <c r="SJX948" s="4" t="str">
        <f t="shared" ref="SJX948" si="5881">IF(SJS948="Ionizador", "Segundos", "Ohms")</f>
        <v>Ohms</v>
      </c>
      <c r="SJY948" s="6">
        <v>148000000</v>
      </c>
      <c r="SJZ948" s="6" t="str">
        <f t="shared" ref="SJZ948" si="5882">SJX948</f>
        <v>Ohms</v>
      </c>
      <c r="SKA948" s="2" t="str">
        <f t="shared" ref="SKA948" si="5883">IF(SJS948="Ionizador", "Plato de carga", IF(SJS948="Cautín", "PTG", "RTG"))</f>
        <v>RTG</v>
      </c>
      <c r="SKB948" s="7">
        <v>45992</v>
      </c>
      <c r="SKC948" s="7">
        <f t="shared" ref="SKC948" si="5884">IF(SKD948="Trimestral", SKB948+90, IF(SKD948="Semestral", SKB948+180, SKB948+365))</f>
        <v>46172</v>
      </c>
      <c r="SKD948" s="7" t="str">
        <f t="shared" ref="SKD948" si="5885">IF(SJS948="Ionizador", "Trimestral", IF(SJS948="Rack", "Semestral", IF(SJS948="Mesa", "Semestral", IF(SJS948="Tapete", "Semestral", IF(SJS948="Cautín", "Semestral", IF(SJS948="Silla", "Semestral", "Anual"))))))</f>
        <v>Semestral</v>
      </c>
      <c r="SKE948" s="2" t="str">
        <f t="shared" ref="SKE948" ca="1" si="5886">IF(SKC948&lt;TODAY(),"VENCIDO",IF(SKC948=TODAY(),"VENCE HOY",IF(SKC948&gt;TODAY(),"VIGENTE")))</f>
        <v>VIGENTE</v>
      </c>
      <c r="SKF948" s="6" t="s">
        <v>25</v>
      </c>
      <c r="SKG948" s="23" t="s">
        <v>138</v>
      </c>
      <c r="SKH948" s="2" t="s">
        <v>433</v>
      </c>
      <c r="SKI948" s="3" t="s">
        <v>22</v>
      </c>
      <c r="SKJ948" s="3" t="s">
        <v>23</v>
      </c>
      <c r="SKK948" s="2" t="s">
        <v>24</v>
      </c>
      <c r="SKL948" s="4">
        <v>0</v>
      </c>
      <c r="SKM948" s="8">
        <f t="shared" ref="SKM948" si="5887">IF(SKI948="Ionizador", 10, IF(SKI948="Mesa", 1000000000, IF(SKI948="Rack", 1000000000, IF(SKI948="Piso", 1000000000, IF(SKI948="Tapete", 1000000000, IF(SKI948="Carrito", 1000000000, IF(SKI948="Cautín", 10, 1)))))))</f>
        <v>1000000000</v>
      </c>
      <c r="SKN948" s="4" t="str">
        <f t="shared" ref="SKN948" si="5888">IF(SKI948="Ionizador", "Segundos", "Ohms")</f>
        <v>Ohms</v>
      </c>
      <c r="SKO948" s="6">
        <v>148000000</v>
      </c>
      <c r="SKP948" s="6" t="str">
        <f t="shared" ref="SKP948" si="5889">SKN948</f>
        <v>Ohms</v>
      </c>
      <c r="SKQ948" s="2" t="str">
        <f t="shared" ref="SKQ948" si="5890">IF(SKI948="Ionizador", "Plato de carga", IF(SKI948="Cautín", "PTG", "RTG"))</f>
        <v>RTG</v>
      </c>
      <c r="SKR948" s="7">
        <v>45992</v>
      </c>
      <c r="SKS948" s="7">
        <f t="shared" ref="SKS948" si="5891">IF(SKT948="Trimestral", SKR948+90, IF(SKT948="Semestral", SKR948+180, SKR948+365))</f>
        <v>46172</v>
      </c>
      <c r="SKT948" s="7" t="str">
        <f t="shared" ref="SKT948" si="5892">IF(SKI948="Ionizador", "Trimestral", IF(SKI948="Rack", "Semestral", IF(SKI948="Mesa", "Semestral", IF(SKI948="Tapete", "Semestral", IF(SKI948="Cautín", "Semestral", IF(SKI948="Silla", "Semestral", "Anual"))))))</f>
        <v>Semestral</v>
      </c>
      <c r="SKU948" s="2" t="str">
        <f t="shared" ref="SKU948" ca="1" si="5893">IF(SKS948&lt;TODAY(),"VENCIDO",IF(SKS948=TODAY(),"VENCE HOY",IF(SKS948&gt;TODAY(),"VIGENTE")))</f>
        <v>VIGENTE</v>
      </c>
      <c r="SKV948" s="6" t="s">
        <v>25</v>
      </c>
      <c r="SKW948" s="23" t="s">
        <v>138</v>
      </c>
      <c r="SKX948" s="2" t="s">
        <v>433</v>
      </c>
      <c r="SKY948" s="3" t="s">
        <v>22</v>
      </c>
      <c r="SKZ948" s="3" t="s">
        <v>23</v>
      </c>
      <c r="SLA948" s="2" t="s">
        <v>24</v>
      </c>
      <c r="SLB948" s="4">
        <v>0</v>
      </c>
      <c r="SLC948" s="8">
        <f t="shared" ref="SLC948" si="5894">IF(SKY948="Ionizador", 10, IF(SKY948="Mesa", 1000000000, IF(SKY948="Rack", 1000000000, IF(SKY948="Piso", 1000000000, IF(SKY948="Tapete", 1000000000, IF(SKY948="Carrito", 1000000000, IF(SKY948="Cautín", 10, 1)))))))</f>
        <v>1000000000</v>
      </c>
      <c r="SLD948" s="4" t="str">
        <f t="shared" ref="SLD948" si="5895">IF(SKY948="Ionizador", "Segundos", "Ohms")</f>
        <v>Ohms</v>
      </c>
      <c r="SLE948" s="6">
        <v>148000000</v>
      </c>
      <c r="SLF948" s="6" t="str">
        <f t="shared" ref="SLF948" si="5896">SLD948</f>
        <v>Ohms</v>
      </c>
      <c r="SLG948" s="2" t="str">
        <f t="shared" ref="SLG948" si="5897">IF(SKY948="Ionizador", "Plato de carga", IF(SKY948="Cautín", "PTG", "RTG"))</f>
        <v>RTG</v>
      </c>
      <c r="SLH948" s="7">
        <v>45992</v>
      </c>
      <c r="SLI948" s="7">
        <f t="shared" ref="SLI948" si="5898">IF(SLJ948="Trimestral", SLH948+90, IF(SLJ948="Semestral", SLH948+180, SLH948+365))</f>
        <v>46172</v>
      </c>
      <c r="SLJ948" s="7" t="str">
        <f t="shared" ref="SLJ948" si="5899">IF(SKY948="Ionizador", "Trimestral", IF(SKY948="Rack", "Semestral", IF(SKY948="Mesa", "Semestral", IF(SKY948="Tapete", "Semestral", IF(SKY948="Cautín", "Semestral", IF(SKY948="Silla", "Semestral", "Anual"))))))</f>
        <v>Semestral</v>
      </c>
      <c r="SLK948" s="2" t="str">
        <f t="shared" ref="SLK948" ca="1" si="5900">IF(SLI948&lt;TODAY(),"VENCIDO",IF(SLI948=TODAY(),"VENCE HOY",IF(SLI948&gt;TODAY(),"VIGENTE")))</f>
        <v>VIGENTE</v>
      </c>
      <c r="SLL948" s="6" t="s">
        <v>25</v>
      </c>
      <c r="SLM948" s="23" t="s">
        <v>138</v>
      </c>
      <c r="SLN948" s="2" t="s">
        <v>433</v>
      </c>
      <c r="SLO948" s="3" t="s">
        <v>22</v>
      </c>
      <c r="SLP948" s="3" t="s">
        <v>23</v>
      </c>
      <c r="SLQ948" s="2" t="s">
        <v>24</v>
      </c>
      <c r="SLR948" s="4">
        <v>0</v>
      </c>
      <c r="SLS948" s="8">
        <f t="shared" ref="SLS948" si="5901">IF(SLO948="Ionizador", 10, IF(SLO948="Mesa", 1000000000, IF(SLO948="Rack", 1000000000, IF(SLO948="Piso", 1000000000, IF(SLO948="Tapete", 1000000000, IF(SLO948="Carrito", 1000000000, IF(SLO948="Cautín", 10, 1)))))))</f>
        <v>1000000000</v>
      </c>
      <c r="SLT948" s="4" t="str">
        <f t="shared" ref="SLT948" si="5902">IF(SLO948="Ionizador", "Segundos", "Ohms")</f>
        <v>Ohms</v>
      </c>
      <c r="SLU948" s="6">
        <v>148000000</v>
      </c>
      <c r="SLV948" s="6" t="str">
        <f t="shared" ref="SLV948" si="5903">SLT948</f>
        <v>Ohms</v>
      </c>
      <c r="SLW948" s="2" t="str">
        <f t="shared" ref="SLW948" si="5904">IF(SLO948="Ionizador", "Plato de carga", IF(SLO948="Cautín", "PTG", "RTG"))</f>
        <v>RTG</v>
      </c>
      <c r="SLX948" s="7">
        <v>45992</v>
      </c>
      <c r="SLY948" s="7">
        <f t="shared" ref="SLY948" si="5905">IF(SLZ948="Trimestral", SLX948+90, IF(SLZ948="Semestral", SLX948+180, SLX948+365))</f>
        <v>46172</v>
      </c>
      <c r="SLZ948" s="7" t="str">
        <f t="shared" ref="SLZ948" si="5906">IF(SLO948="Ionizador", "Trimestral", IF(SLO948="Rack", "Semestral", IF(SLO948="Mesa", "Semestral", IF(SLO948="Tapete", "Semestral", IF(SLO948="Cautín", "Semestral", IF(SLO948="Silla", "Semestral", "Anual"))))))</f>
        <v>Semestral</v>
      </c>
      <c r="SMA948" s="2" t="str">
        <f t="shared" ref="SMA948" ca="1" si="5907">IF(SLY948&lt;TODAY(),"VENCIDO",IF(SLY948=TODAY(),"VENCE HOY",IF(SLY948&gt;TODAY(),"VIGENTE")))</f>
        <v>VIGENTE</v>
      </c>
      <c r="SMB948" s="6" t="s">
        <v>25</v>
      </c>
      <c r="SMC948" s="23" t="s">
        <v>138</v>
      </c>
      <c r="SMD948" s="2" t="s">
        <v>433</v>
      </c>
      <c r="SME948" s="3" t="s">
        <v>22</v>
      </c>
      <c r="SMF948" s="3" t="s">
        <v>23</v>
      </c>
      <c r="SMG948" s="2" t="s">
        <v>24</v>
      </c>
      <c r="SMH948" s="4">
        <v>0</v>
      </c>
      <c r="SMI948" s="8">
        <f t="shared" ref="SMI948" si="5908">IF(SME948="Ionizador", 10, IF(SME948="Mesa", 1000000000, IF(SME948="Rack", 1000000000, IF(SME948="Piso", 1000000000, IF(SME948="Tapete", 1000000000, IF(SME948="Carrito", 1000000000, IF(SME948="Cautín", 10, 1)))))))</f>
        <v>1000000000</v>
      </c>
      <c r="SMJ948" s="4" t="str">
        <f t="shared" ref="SMJ948" si="5909">IF(SME948="Ionizador", "Segundos", "Ohms")</f>
        <v>Ohms</v>
      </c>
      <c r="SMK948" s="6">
        <v>148000000</v>
      </c>
      <c r="SML948" s="6" t="str">
        <f t="shared" ref="SML948" si="5910">SMJ948</f>
        <v>Ohms</v>
      </c>
      <c r="SMM948" s="2" t="str">
        <f t="shared" ref="SMM948" si="5911">IF(SME948="Ionizador", "Plato de carga", IF(SME948="Cautín", "PTG", "RTG"))</f>
        <v>RTG</v>
      </c>
      <c r="SMN948" s="7">
        <v>45992</v>
      </c>
      <c r="SMO948" s="7">
        <f t="shared" ref="SMO948" si="5912">IF(SMP948="Trimestral", SMN948+90, IF(SMP948="Semestral", SMN948+180, SMN948+365))</f>
        <v>46172</v>
      </c>
      <c r="SMP948" s="7" t="str">
        <f t="shared" ref="SMP948" si="5913">IF(SME948="Ionizador", "Trimestral", IF(SME948="Rack", "Semestral", IF(SME948="Mesa", "Semestral", IF(SME948="Tapete", "Semestral", IF(SME948="Cautín", "Semestral", IF(SME948="Silla", "Semestral", "Anual"))))))</f>
        <v>Semestral</v>
      </c>
      <c r="SMQ948" s="2" t="str">
        <f t="shared" ref="SMQ948" ca="1" si="5914">IF(SMO948&lt;TODAY(),"VENCIDO",IF(SMO948=TODAY(),"VENCE HOY",IF(SMO948&gt;TODAY(),"VIGENTE")))</f>
        <v>VIGENTE</v>
      </c>
      <c r="SMR948" s="6" t="s">
        <v>25</v>
      </c>
      <c r="SMS948" s="23" t="s">
        <v>138</v>
      </c>
      <c r="SMT948" s="2" t="s">
        <v>433</v>
      </c>
      <c r="SMU948" s="3" t="s">
        <v>22</v>
      </c>
      <c r="SMV948" s="3" t="s">
        <v>23</v>
      </c>
      <c r="SMW948" s="2" t="s">
        <v>24</v>
      </c>
      <c r="SMX948" s="4">
        <v>0</v>
      </c>
      <c r="SMY948" s="8">
        <f t="shared" ref="SMY948" si="5915">IF(SMU948="Ionizador", 10, IF(SMU948="Mesa", 1000000000, IF(SMU948="Rack", 1000000000, IF(SMU948="Piso", 1000000000, IF(SMU948="Tapete", 1000000000, IF(SMU948="Carrito", 1000000000, IF(SMU948="Cautín", 10, 1)))))))</f>
        <v>1000000000</v>
      </c>
      <c r="SMZ948" s="4" t="str">
        <f t="shared" ref="SMZ948" si="5916">IF(SMU948="Ionizador", "Segundos", "Ohms")</f>
        <v>Ohms</v>
      </c>
      <c r="SNA948" s="6">
        <v>148000000</v>
      </c>
      <c r="SNB948" s="6" t="str">
        <f t="shared" ref="SNB948" si="5917">SMZ948</f>
        <v>Ohms</v>
      </c>
      <c r="SNC948" s="2" t="str">
        <f t="shared" ref="SNC948" si="5918">IF(SMU948="Ionizador", "Plato de carga", IF(SMU948="Cautín", "PTG", "RTG"))</f>
        <v>RTG</v>
      </c>
      <c r="SND948" s="7">
        <v>45992</v>
      </c>
      <c r="SNE948" s="7">
        <f t="shared" ref="SNE948" si="5919">IF(SNF948="Trimestral", SND948+90, IF(SNF948="Semestral", SND948+180, SND948+365))</f>
        <v>46172</v>
      </c>
      <c r="SNF948" s="7" t="str">
        <f t="shared" ref="SNF948" si="5920">IF(SMU948="Ionizador", "Trimestral", IF(SMU948="Rack", "Semestral", IF(SMU948="Mesa", "Semestral", IF(SMU948="Tapete", "Semestral", IF(SMU948="Cautín", "Semestral", IF(SMU948="Silla", "Semestral", "Anual"))))))</f>
        <v>Semestral</v>
      </c>
      <c r="SNG948" s="2" t="str">
        <f t="shared" ref="SNG948" ca="1" si="5921">IF(SNE948&lt;TODAY(),"VENCIDO",IF(SNE948=TODAY(),"VENCE HOY",IF(SNE948&gt;TODAY(),"VIGENTE")))</f>
        <v>VIGENTE</v>
      </c>
      <c r="SNH948" s="6" t="s">
        <v>25</v>
      </c>
      <c r="SNI948" s="23" t="s">
        <v>138</v>
      </c>
      <c r="SNJ948" s="2" t="s">
        <v>433</v>
      </c>
      <c r="SNK948" s="3" t="s">
        <v>22</v>
      </c>
      <c r="SNL948" s="3" t="s">
        <v>23</v>
      </c>
      <c r="SNM948" s="2" t="s">
        <v>24</v>
      </c>
      <c r="SNN948" s="4">
        <v>0</v>
      </c>
      <c r="SNO948" s="8">
        <f t="shared" ref="SNO948" si="5922">IF(SNK948="Ionizador", 10, IF(SNK948="Mesa", 1000000000, IF(SNK948="Rack", 1000000000, IF(SNK948="Piso", 1000000000, IF(SNK948="Tapete", 1000000000, IF(SNK948="Carrito", 1000000000, IF(SNK948="Cautín", 10, 1)))))))</f>
        <v>1000000000</v>
      </c>
      <c r="SNP948" s="4" t="str">
        <f t="shared" ref="SNP948" si="5923">IF(SNK948="Ionizador", "Segundos", "Ohms")</f>
        <v>Ohms</v>
      </c>
      <c r="SNQ948" s="6">
        <v>148000000</v>
      </c>
      <c r="SNR948" s="6" t="str">
        <f t="shared" ref="SNR948" si="5924">SNP948</f>
        <v>Ohms</v>
      </c>
      <c r="SNS948" s="2" t="str">
        <f t="shared" ref="SNS948" si="5925">IF(SNK948="Ionizador", "Plato de carga", IF(SNK948="Cautín", "PTG", "RTG"))</f>
        <v>RTG</v>
      </c>
      <c r="SNT948" s="7">
        <v>45992</v>
      </c>
      <c r="SNU948" s="7">
        <f t="shared" ref="SNU948" si="5926">IF(SNV948="Trimestral", SNT948+90, IF(SNV948="Semestral", SNT948+180, SNT948+365))</f>
        <v>46172</v>
      </c>
      <c r="SNV948" s="7" t="str">
        <f t="shared" ref="SNV948" si="5927">IF(SNK948="Ionizador", "Trimestral", IF(SNK948="Rack", "Semestral", IF(SNK948="Mesa", "Semestral", IF(SNK948="Tapete", "Semestral", IF(SNK948="Cautín", "Semestral", IF(SNK948="Silla", "Semestral", "Anual"))))))</f>
        <v>Semestral</v>
      </c>
      <c r="SNW948" s="2" t="str">
        <f t="shared" ref="SNW948" ca="1" si="5928">IF(SNU948&lt;TODAY(),"VENCIDO",IF(SNU948=TODAY(),"VENCE HOY",IF(SNU948&gt;TODAY(),"VIGENTE")))</f>
        <v>VIGENTE</v>
      </c>
      <c r="SNX948" s="6" t="s">
        <v>25</v>
      </c>
      <c r="SNY948" s="23" t="s">
        <v>138</v>
      </c>
      <c r="SNZ948" s="2" t="s">
        <v>433</v>
      </c>
      <c r="SOA948" s="3" t="s">
        <v>22</v>
      </c>
      <c r="SOB948" s="3" t="s">
        <v>23</v>
      </c>
      <c r="SOC948" s="2" t="s">
        <v>24</v>
      </c>
      <c r="SOD948" s="4">
        <v>0</v>
      </c>
      <c r="SOE948" s="8">
        <f t="shared" ref="SOE948" si="5929">IF(SOA948="Ionizador", 10, IF(SOA948="Mesa", 1000000000, IF(SOA948="Rack", 1000000000, IF(SOA948="Piso", 1000000000, IF(SOA948="Tapete", 1000000000, IF(SOA948="Carrito", 1000000000, IF(SOA948="Cautín", 10, 1)))))))</f>
        <v>1000000000</v>
      </c>
      <c r="SOF948" s="4" t="str">
        <f t="shared" ref="SOF948" si="5930">IF(SOA948="Ionizador", "Segundos", "Ohms")</f>
        <v>Ohms</v>
      </c>
      <c r="SOG948" s="6">
        <v>148000000</v>
      </c>
      <c r="SOH948" s="6" t="str">
        <f t="shared" ref="SOH948" si="5931">SOF948</f>
        <v>Ohms</v>
      </c>
      <c r="SOI948" s="2" t="str">
        <f t="shared" ref="SOI948" si="5932">IF(SOA948="Ionizador", "Plato de carga", IF(SOA948="Cautín", "PTG", "RTG"))</f>
        <v>RTG</v>
      </c>
      <c r="SOJ948" s="7">
        <v>45992</v>
      </c>
      <c r="SOK948" s="7">
        <f t="shared" ref="SOK948" si="5933">IF(SOL948="Trimestral", SOJ948+90, IF(SOL948="Semestral", SOJ948+180, SOJ948+365))</f>
        <v>46172</v>
      </c>
      <c r="SOL948" s="7" t="str">
        <f t="shared" ref="SOL948" si="5934">IF(SOA948="Ionizador", "Trimestral", IF(SOA948="Rack", "Semestral", IF(SOA948="Mesa", "Semestral", IF(SOA948="Tapete", "Semestral", IF(SOA948="Cautín", "Semestral", IF(SOA948="Silla", "Semestral", "Anual"))))))</f>
        <v>Semestral</v>
      </c>
      <c r="SOM948" s="2" t="str">
        <f t="shared" ref="SOM948" ca="1" si="5935">IF(SOK948&lt;TODAY(),"VENCIDO",IF(SOK948=TODAY(),"VENCE HOY",IF(SOK948&gt;TODAY(),"VIGENTE")))</f>
        <v>VIGENTE</v>
      </c>
      <c r="SON948" s="6" t="s">
        <v>25</v>
      </c>
      <c r="SOO948" s="23" t="s">
        <v>138</v>
      </c>
      <c r="SOP948" s="2" t="s">
        <v>433</v>
      </c>
      <c r="SOQ948" s="3" t="s">
        <v>22</v>
      </c>
      <c r="SOR948" s="3" t="s">
        <v>23</v>
      </c>
      <c r="SOS948" s="2" t="s">
        <v>24</v>
      </c>
      <c r="SOT948" s="4">
        <v>0</v>
      </c>
      <c r="SOU948" s="8">
        <f t="shared" ref="SOU948" si="5936">IF(SOQ948="Ionizador", 10, IF(SOQ948="Mesa", 1000000000, IF(SOQ948="Rack", 1000000000, IF(SOQ948="Piso", 1000000000, IF(SOQ948="Tapete", 1000000000, IF(SOQ948="Carrito", 1000000000, IF(SOQ948="Cautín", 10, 1)))))))</f>
        <v>1000000000</v>
      </c>
      <c r="SOV948" s="4" t="str">
        <f t="shared" ref="SOV948" si="5937">IF(SOQ948="Ionizador", "Segundos", "Ohms")</f>
        <v>Ohms</v>
      </c>
      <c r="SOW948" s="6">
        <v>148000000</v>
      </c>
      <c r="SOX948" s="6" t="str">
        <f t="shared" ref="SOX948" si="5938">SOV948</f>
        <v>Ohms</v>
      </c>
      <c r="SOY948" s="2" t="str">
        <f t="shared" ref="SOY948" si="5939">IF(SOQ948="Ionizador", "Plato de carga", IF(SOQ948="Cautín", "PTG", "RTG"))</f>
        <v>RTG</v>
      </c>
      <c r="SOZ948" s="7">
        <v>45992</v>
      </c>
      <c r="SPA948" s="7">
        <f t="shared" ref="SPA948" si="5940">IF(SPB948="Trimestral", SOZ948+90, IF(SPB948="Semestral", SOZ948+180, SOZ948+365))</f>
        <v>46172</v>
      </c>
      <c r="SPB948" s="7" t="str">
        <f t="shared" ref="SPB948" si="5941">IF(SOQ948="Ionizador", "Trimestral", IF(SOQ948="Rack", "Semestral", IF(SOQ948="Mesa", "Semestral", IF(SOQ948="Tapete", "Semestral", IF(SOQ948="Cautín", "Semestral", IF(SOQ948="Silla", "Semestral", "Anual"))))))</f>
        <v>Semestral</v>
      </c>
      <c r="SPC948" s="2" t="str">
        <f t="shared" ref="SPC948" ca="1" si="5942">IF(SPA948&lt;TODAY(),"VENCIDO",IF(SPA948=TODAY(),"VENCE HOY",IF(SPA948&gt;TODAY(),"VIGENTE")))</f>
        <v>VIGENTE</v>
      </c>
      <c r="SPD948" s="6" t="s">
        <v>25</v>
      </c>
      <c r="SPE948" s="23" t="s">
        <v>138</v>
      </c>
      <c r="SPF948" s="2" t="s">
        <v>433</v>
      </c>
      <c r="SPG948" s="3" t="s">
        <v>22</v>
      </c>
      <c r="SPH948" s="3" t="s">
        <v>23</v>
      </c>
      <c r="SPI948" s="2" t="s">
        <v>24</v>
      </c>
      <c r="SPJ948" s="4">
        <v>0</v>
      </c>
      <c r="SPK948" s="8">
        <f t="shared" ref="SPK948" si="5943">IF(SPG948="Ionizador", 10, IF(SPG948="Mesa", 1000000000, IF(SPG948="Rack", 1000000000, IF(SPG948="Piso", 1000000000, IF(SPG948="Tapete", 1000000000, IF(SPG948="Carrito", 1000000000, IF(SPG948="Cautín", 10, 1)))))))</f>
        <v>1000000000</v>
      </c>
      <c r="SPL948" s="4" t="str">
        <f t="shared" ref="SPL948" si="5944">IF(SPG948="Ionizador", "Segundos", "Ohms")</f>
        <v>Ohms</v>
      </c>
      <c r="SPM948" s="6">
        <v>148000000</v>
      </c>
      <c r="SPN948" s="6" t="str">
        <f t="shared" ref="SPN948" si="5945">SPL948</f>
        <v>Ohms</v>
      </c>
      <c r="SPO948" s="2" t="str">
        <f t="shared" ref="SPO948" si="5946">IF(SPG948="Ionizador", "Plato de carga", IF(SPG948="Cautín", "PTG", "RTG"))</f>
        <v>RTG</v>
      </c>
      <c r="SPP948" s="7">
        <v>45992</v>
      </c>
      <c r="SPQ948" s="7">
        <f t="shared" ref="SPQ948" si="5947">IF(SPR948="Trimestral", SPP948+90, IF(SPR948="Semestral", SPP948+180, SPP948+365))</f>
        <v>46172</v>
      </c>
      <c r="SPR948" s="7" t="str">
        <f t="shared" ref="SPR948" si="5948">IF(SPG948="Ionizador", "Trimestral", IF(SPG948="Rack", "Semestral", IF(SPG948="Mesa", "Semestral", IF(SPG948="Tapete", "Semestral", IF(SPG948="Cautín", "Semestral", IF(SPG948="Silla", "Semestral", "Anual"))))))</f>
        <v>Semestral</v>
      </c>
      <c r="SPS948" s="2" t="str">
        <f t="shared" ref="SPS948" ca="1" si="5949">IF(SPQ948&lt;TODAY(),"VENCIDO",IF(SPQ948=TODAY(),"VENCE HOY",IF(SPQ948&gt;TODAY(),"VIGENTE")))</f>
        <v>VIGENTE</v>
      </c>
      <c r="SPT948" s="6" t="s">
        <v>25</v>
      </c>
      <c r="SPU948" s="23" t="s">
        <v>138</v>
      </c>
      <c r="SPV948" s="2" t="s">
        <v>433</v>
      </c>
      <c r="SPW948" s="3" t="s">
        <v>22</v>
      </c>
      <c r="SPX948" s="3" t="s">
        <v>23</v>
      </c>
      <c r="SPY948" s="2" t="s">
        <v>24</v>
      </c>
      <c r="SPZ948" s="4">
        <v>0</v>
      </c>
      <c r="SQA948" s="8">
        <f t="shared" ref="SQA948" si="5950">IF(SPW948="Ionizador", 10, IF(SPW948="Mesa", 1000000000, IF(SPW948="Rack", 1000000000, IF(SPW948="Piso", 1000000000, IF(SPW948="Tapete", 1000000000, IF(SPW948="Carrito", 1000000000, IF(SPW948="Cautín", 10, 1)))))))</f>
        <v>1000000000</v>
      </c>
      <c r="SQB948" s="4" t="str">
        <f t="shared" ref="SQB948" si="5951">IF(SPW948="Ionizador", "Segundos", "Ohms")</f>
        <v>Ohms</v>
      </c>
      <c r="SQC948" s="6">
        <v>148000000</v>
      </c>
      <c r="SQD948" s="6" t="str">
        <f t="shared" ref="SQD948" si="5952">SQB948</f>
        <v>Ohms</v>
      </c>
      <c r="SQE948" s="2" t="str">
        <f t="shared" ref="SQE948" si="5953">IF(SPW948="Ionizador", "Plato de carga", IF(SPW948="Cautín", "PTG", "RTG"))</f>
        <v>RTG</v>
      </c>
      <c r="SQF948" s="7">
        <v>45992</v>
      </c>
      <c r="SQG948" s="7">
        <f t="shared" ref="SQG948" si="5954">IF(SQH948="Trimestral", SQF948+90, IF(SQH948="Semestral", SQF948+180, SQF948+365))</f>
        <v>46172</v>
      </c>
      <c r="SQH948" s="7" t="str">
        <f t="shared" ref="SQH948" si="5955">IF(SPW948="Ionizador", "Trimestral", IF(SPW948="Rack", "Semestral", IF(SPW948="Mesa", "Semestral", IF(SPW948="Tapete", "Semestral", IF(SPW948="Cautín", "Semestral", IF(SPW948="Silla", "Semestral", "Anual"))))))</f>
        <v>Semestral</v>
      </c>
      <c r="SQI948" s="2" t="str">
        <f t="shared" ref="SQI948" ca="1" si="5956">IF(SQG948&lt;TODAY(),"VENCIDO",IF(SQG948=TODAY(),"VENCE HOY",IF(SQG948&gt;TODAY(),"VIGENTE")))</f>
        <v>VIGENTE</v>
      </c>
      <c r="SQJ948" s="6" t="s">
        <v>25</v>
      </c>
      <c r="SQK948" s="23" t="s">
        <v>138</v>
      </c>
      <c r="SQL948" s="2" t="s">
        <v>433</v>
      </c>
      <c r="SQM948" s="3" t="s">
        <v>22</v>
      </c>
      <c r="SQN948" s="3" t="s">
        <v>23</v>
      </c>
      <c r="SQO948" s="2" t="s">
        <v>24</v>
      </c>
      <c r="SQP948" s="4">
        <v>0</v>
      </c>
      <c r="SQQ948" s="8">
        <f t="shared" ref="SQQ948" si="5957">IF(SQM948="Ionizador", 10, IF(SQM948="Mesa", 1000000000, IF(SQM948="Rack", 1000000000, IF(SQM948="Piso", 1000000000, IF(SQM948="Tapete", 1000000000, IF(SQM948="Carrito", 1000000000, IF(SQM948="Cautín", 10, 1)))))))</f>
        <v>1000000000</v>
      </c>
      <c r="SQR948" s="4" t="str">
        <f t="shared" ref="SQR948" si="5958">IF(SQM948="Ionizador", "Segundos", "Ohms")</f>
        <v>Ohms</v>
      </c>
      <c r="SQS948" s="6">
        <v>148000000</v>
      </c>
      <c r="SQT948" s="6" t="str">
        <f t="shared" ref="SQT948" si="5959">SQR948</f>
        <v>Ohms</v>
      </c>
      <c r="SQU948" s="2" t="str">
        <f t="shared" ref="SQU948" si="5960">IF(SQM948="Ionizador", "Plato de carga", IF(SQM948="Cautín", "PTG", "RTG"))</f>
        <v>RTG</v>
      </c>
      <c r="SQV948" s="7">
        <v>45992</v>
      </c>
      <c r="SQW948" s="7">
        <f t="shared" ref="SQW948" si="5961">IF(SQX948="Trimestral", SQV948+90, IF(SQX948="Semestral", SQV948+180, SQV948+365))</f>
        <v>46172</v>
      </c>
      <c r="SQX948" s="7" t="str">
        <f t="shared" ref="SQX948" si="5962">IF(SQM948="Ionizador", "Trimestral", IF(SQM948="Rack", "Semestral", IF(SQM948="Mesa", "Semestral", IF(SQM948="Tapete", "Semestral", IF(SQM948="Cautín", "Semestral", IF(SQM948="Silla", "Semestral", "Anual"))))))</f>
        <v>Semestral</v>
      </c>
      <c r="SQY948" s="2" t="str">
        <f t="shared" ref="SQY948" ca="1" si="5963">IF(SQW948&lt;TODAY(),"VENCIDO",IF(SQW948=TODAY(),"VENCE HOY",IF(SQW948&gt;TODAY(),"VIGENTE")))</f>
        <v>VIGENTE</v>
      </c>
      <c r="SQZ948" s="6" t="s">
        <v>25</v>
      </c>
      <c r="SRA948" s="23" t="s">
        <v>138</v>
      </c>
      <c r="SRB948" s="2" t="s">
        <v>433</v>
      </c>
      <c r="SRC948" s="3" t="s">
        <v>22</v>
      </c>
      <c r="SRD948" s="3" t="s">
        <v>23</v>
      </c>
      <c r="SRE948" s="2" t="s">
        <v>24</v>
      </c>
      <c r="SRF948" s="4">
        <v>0</v>
      </c>
      <c r="SRG948" s="8">
        <f t="shared" ref="SRG948" si="5964">IF(SRC948="Ionizador", 10, IF(SRC948="Mesa", 1000000000, IF(SRC948="Rack", 1000000000, IF(SRC948="Piso", 1000000000, IF(SRC948="Tapete", 1000000000, IF(SRC948="Carrito", 1000000000, IF(SRC948="Cautín", 10, 1)))))))</f>
        <v>1000000000</v>
      </c>
      <c r="SRH948" s="4" t="str">
        <f t="shared" ref="SRH948" si="5965">IF(SRC948="Ionizador", "Segundos", "Ohms")</f>
        <v>Ohms</v>
      </c>
      <c r="SRI948" s="6">
        <v>148000000</v>
      </c>
      <c r="SRJ948" s="6" t="str">
        <f t="shared" ref="SRJ948" si="5966">SRH948</f>
        <v>Ohms</v>
      </c>
      <c r="SRK948" s="2" t="str">
        <f t="shared" ref="SRK948" si="5967">IF(SRC948="Ionizador", "Plato de carga", IF(SRC948="Cautín", "PTG", "RTG"))</f>
        <v>RTG</v>
      </c>
      <c r="SRL948" s="7">
        <v>45992</v>
      </c>
      <c r="SRM948" s="7">
        <f t="shared" ref="SRM948" si="5968">IF(SRN948="Trimestral", SRL948+90, IF(SRN948="Semestral", SRL948+180, SRL948+365))</f>
        <v>46172</v>
      </c>
      <c r="SRN948" s="7" t="str">
        <f t="shared" ref="SRN948" si="5969">IF(SRC948="Ionizador", "Trimestral", IF(SRC948="Rack", "Semestral", IF(SRC948="Mesa", "Semestral", IF(SRC948="Tapete", "Semestral", IF(SRC948="Cautín", "Semestral", IF(SRC948="Silla", "Semestral", "Anual"))))))</f>
        <v>Semestral</v>
      </c>
      <c r="SRO948" s="2" t="str">
        <f t="shared" ref="SRO948" ca="1" si="5970">IF(SRM948&lt;TODAY(),"VENCIDO",IF(SRM948=TODAY(),"VENCE HOY",IF(SRM948&gt;TODAY(),"VIGENTE")))</f>
        <v>VIGENTE</v>
      </c>
      <c r="SRP948" s="6" t="s">
        <v>25</v>
      </c>
      <c r="SRQ948" s="23" t="s">
        <v>138</v>
      </c>
      <c r="SRR948" s="2" t="s">
        <v>433</v>
      </c>
      <c r="SRS948" s="3" t="s">
        <v>22</v>
      </c>
      <c r="SRT948" s="3" t="s">
        <v>23</v>
      </c>
      <c r="SRU948" s="2" t="s">
        <v>24</v>
      </c>
      <c r="SRV948" s="4">
        <v>0</v>
      </c>
      <c r="SRW948" s="8">
        <f t="shared" ref="SRW948" si="5971">IF(SRS948="Ionizador", 10, IF(SRS948="Mesa", 1000000000, IF(SRS948="Rack", 1000000000, IF(SRS948="Piso", 1000000000, IF(SRS948="Tapete", 1000000000, IF(SRS948="Carrito", 1000000000, IF(SRS948="Cautín", 10, 1)))))))</f>
        <v>1000000000</v>
      </c>
      <c r="SRX948" s="4" t="str">
        <f t="shared" ref="SRX948" si="5972">IF(SRS948="Ionizador", "Segundos", "Ohms")</f>
        <v>Ohms</v>
      </c>
      <c r="SRY948" s="6">
        <v>148000000</v>
      </c>
      <c r="SRZ948" s="6" t="str">
        <f t="shared" ref="SRZ948" si="5973">SRX948</f>
        <v>Ohms</v>
      </c>
      <c r="SSA948" s="2" t="str">
        <f t="shared" ref="SSA948" si="5974">IF(SRS948="Ionizador", "Plato de carga", IF(SRS948="Cautín", "PTG", "RTG"))</f>
        <v>RTG</v>
      </c>
      <c r="SSB948" s="7">
        <v>45992</v>
      </c>
      <c r="SSC948" s="7">
        <f t="shared" ref="SSC948" si="5975">IF(SSD948="Trimestral", SSB948+90, IF(SSD948="Semestral", SSB948+180, SSB948+365))</f>
        <v>46172</v>
      </c>
      <c r="SSD948" s="7" t="str">
        <f t="shared" ref="SSD948" si="5976">IF(SRS948="Ionizador", "Trimestral", IF(SRS948="Rack", "Semestral", IF(SRS948="Mesa", "Semestral", IF(SRS948="Tapete", "Semestral", IF(SRS948="Cautín", "Semestral", IF(SRS948="Silla", "Semestral", "Anual"))))))</f>
        <v>Semestral</v>
      </c>
      <c r="SSE948" s="2" t="str">
        <f t="shared" ref="SSE948" ca="1" si="5977">IF(SSC948&lt;TODAY(),"VENCIDO",IF(SSC948=TODAY(),"VENCE HOY",IF(SSC948&gt;TODAY(),"VIGENTE")))</f>
        <v>VIGENTE</v>
      </c>
      <c r="SSF948" s="6" t="s">
        <v>25</v>
      </c>
      <c r="SSG948" s="23" t="s">
        <v>138</v>
      </c>
      <c r="SSH948" s="2" t="s">
        <v>433</v>
      </c>
      <c r="SSI948" s="3" t="s">
        <v>22</v>
      </c>
      <c r="SSJ948" s="3" t="s">
        <v>23</v>
      </c>
      <c r="SSK948" s="2" t="s">
        <v>24</v>
      </c>
      <c r="SSL948" s="4">
        <v>0</v>
      </c>
      <c r="SSM948" s="8">
        <f t="shared" ref="SSM948" si="5978">IF(SSI948="Ionizador", 10, IF(SSI948="Mesa", 1000000000, IF(SSI948="Rack", 1000000000, IF(SSI948="Piso", 1000000000, IF(SSI948="Tapete", 1000000000, IF(SSI948="Carrito", 1000000000, IF(SSI948="Cautín", 10, 1)))))))</f>
        <v>1000000000</v>
      </c>
      <c r="SSN948" s="4" t="str">
        <f t="shared" ref="SSN948" si="5979">IF(SSI948="Ionizador", "Segundos", "Ohms")</f>
        <v>Ohms</v>
      </c>
      <c r="SSO948" s="6">
        <v>148000000</v>
      </c>
      <c r="SSP948" s="6" t="str">
        <f t="shared" ref="SSP948" si="5980">SSN948</f>
        <v>Ohms</v>
      </c>
      <c r="SSQ948" s="2" t="str">
        <f t="shared" ref="SSQ948" si="5981">IF(SSI948="Ionizador", "Plato de carga", IF(SSI948="Cautín", "PTG", "RTG"))</f>
        <v>RTG</v>
      </c>
      <c r="SSR948" s="7">
        <v>45992</v>
      </c>
      <c r="SSS948" s="7">
        <f t="shared" ref="SSS948" si="5982">IF(SST948="Trimestral", SSR948+90, IF(SST948="Semestral", SSR948+180, SSR948+365))</f>
        <v>46172</v>
      </c>
      <c r="SST948" s="7" t="str">
        <f t="shared" ref="SST948" si="5983">IF(SSI948="Ionizador", "Trimestral", IF(SSI948="Rack", "Semestral", IF(SSI948="Mesa", "Semestral", IF(SSI948="Tapete", "Semestral", IF(SSI948="Cautín", "Semestral", IF(SSI948="Silla", "Semestral", "Anual"))))))</f>
        <v>Semestral</v>
      </c>
      <c r="SSU948" s="2" t="str">
        <f t="shared" ref="SSU948" ca="1" si="5984">IF(SSS948&lt;TODAY(),"VENCIDO",IF(SSS948=TODAY(),"VENCE HOY",IF(SSS948&gt;TODAY(),"VIGENTE")))</f>
        <v>VIGENTE</v>
      </c>
      <c r="SSV948" s="6" t="s">
        <v>25</v>
      </c>
      <c r="SSW948" s="23" t="s">
        <v>138</v>
      </c>
      <c r="SSX948" s="2" t="s">
        <v>433</v>
      </c>
      <c r="SSY948" s="3" t="s">
        <v>22</v>
      </c>
      <c r="SSZ948" s="3" t="s">
        <v>23</v>
      </c>
      <c r="STA948" s="2" t="s">
        <v>24</v>
      </c>
      <c r="STB948" s="4">
        <v>0</v>
      </c>
      <c r="STC948" s="8">
        <f t="shared" ref="STC948" si="5985">IF(SSY948="Ionizador", 10, IF(SSY948="Mesa", 1000000000, IF(SSY948="Rack", 1000000000, IF(SSY948="Piso", 1000000000, IF(SSY948="Tapete", 1000000000, IF(SSY948="Carrito", 1000000000, IF(SSY948="Cautín", 10, 1)))))))</f>
        <v>1000000000</v>
      </c>
      <c r="STD948" s="4" t="str">
        <f t="shared" ref="STD948" si="5986">IF(SSY948="Ionizador", "Segundos", "Ohms")</f>
        <v>Ohms</v>
      </c>
      <c r="STE948" s="6">
        <v>148000000</v>
      </c>
      <c r="STF948" s="6" t="str">
        <f t="shared" ref="STF948" si="5987">STD948</f>
        <v>Ohms</v>
      </c>
      <c r="STG948" s="2" t="str">
        <f t="shared" ref="STG948" si="5988">IF(SSY948="Ionizador", "Plato de carga", IF(SSY948="Cautín", "PTG", "RTG"))</f>
        <v>RTG</v>
      </c>
      <c r="STH948" s="7">
        <v>45992</v>
      </c>
      <c r="STI948" s="7">
        <f t="shared" ref="STI948" si="5989">IF(STJ948="Trimestral", STH948+90, IF(STJ948="Semestral", STH948+180, STH948+365))</f>
        <v>46172</v>
      </c>
      <c r="STJ948" s="7" t="str">
        <f t="shared" ref="STJ948" si="5990">IF(SSY948="Ionizador", "Trimestral", IF(SSY948="Rack", "Semestral", IF(SSY948="Mesa", "Semestral", IF(SSY948="Tapete", "Semestral", IF(SSY948="Cautín", "Semestral", IF(SSY948="Silla", "Semestral", "Anual"))))))</f>
        <v>Semestral</v>
      </c>
      <c r="STK948" s="2" t="str">
        <f t="shared" ref="STK948" ca="1" si="5991">IF(STI948&lt;TODAY(),"VENCIDO",IF(STI948=TODAY(),"VENCE HOY",IF(STI948&gt;TODAY(),"VIGENTE")))</f>
        <v>VIGENTE</v>
      </c>
      <c r="STL948" s="6" t="s">
        <v>25</v>
      </c>
      <c r="STM948" s="23" t="s">
        <v>138</v>
      </c>
      <c r="STN948" s="2" t="s">
        <v>433</v>
      </c>
      <c r="STO948" s="3" t="s">
        <v>22</v>
      </c>
      <c r="STP948" s="3" t="s">
        <v>23</v>
      </c>
      <c r="STQ948" s="2" t="s">
        <v>24</v>
      </c>
      <c r="STR948" s="4">
        <v>0</v>
      </c>
      <c r="STS948" s="8">
        <f t="shared" ref="STS948" si="5992">IF(STO948="Ionizador", 10, IF(STO948="Mesa", 1000000000, IF(STO948="Rack", 1000000000, IF(STO948="Piso", 1000000000, IF(STO948="Tapete", 1000000000, IF(STO948="Carrito", 1000000000, IF(STO948="Cautín", 10, 1)))))))</f>
        <v>1000000000</v>
      </c>
      <c r="STT948" s="4" t="str">
        <f t="shared" ref="STT948" si="5993">IF(STO948="Ionizador", "Segundos", "Ohms")</f>
        <v>Ohms</v>
      </c>
      <c r="STU948" s="6">
        <v>148000000</v>
      </c>
      <c r="STV948" s="6" t="str">
        <f t="shared" ref="STV948" si="5994">STT948</f>
        <v>Ohms</v>
      </c>
      <c r="STW948" s="2" t="str">
        <f t="shared" ref="STW948" si="5995">IF(STO948="Ionizador", "Plato de carga", IF(STO948="Cautín", "PTG", "RTG"))</f>
        <v>RTG</v>
      </c>
      <c r="STX948" s="7">
        <v>45992</v>
      </c>
      <c r="STY948" s="7">
        <f t="shared" ref="STY948" si="5996">IF(STZ948="Trimestral", STX948+90, IF(STZ948="Semestral", STX948+180, STX948+365))</f>
        <v>46172</v>
      </c>
      <c r="STZ948" s="7" t="str">
        <f t="shared" ref="STZ948" si="5997">IF(STO948="Ionizador", "Trimestral", IF(STO948="Rack", "Semestral", IF(STO948="Mesa", "Semestral", IF(STO948="Tapete", "Semestral", IF(STO948="Cautín", "Semestral", IF(STO948="Silla", "Semestral", "Anual"))))))</f>
        <v>Semestral</v>
      </c>
      <c r="SUA948" s="2" t="str">
        <f t="shared" ref="SUA948" ca="1" si="5998">IF(STY948&lt;TODAY(),"VENCIDO",IF(STY948=TODAY(),"VENCE HOY",IF(STY948&gt;TODAY(),"VIGENTE")))</f>
        <v>VIGENTE</v>
      </c>
      <c r="SUB948" s="6" t="s">
        <v>25</v>
      </c>
      <c r="SUC948" s="23" t="s">
        <v>138</v>
      </c>
      <c r="SUD948" s="2" t="s">
        <v>433</v>
      </c>
      <c r="SUE948" s="3" t="s">
        <v>22</v>
      </c>
      <c r="SUF948" s="3" t="s">
        <v>23</v>
      </c>
      <c r="SUG948" s="2" t="s">
        <v>24</v>
      </c>
      <c r="SUH948" s="4">
        <v>0</v>
      </c>
      <c r="SUI948" s="8">
        <f t="shared" ref="SUI948" si="5999">IF(SUE948="Ionizador", 10, IF(SUE948="Mesa", 1000000000, IF(SUE948="Rack", 1000000000, IF(SUE948="Piso", 1000000000, IF(SUE948="Tapete", 1000000000, IF(SUE948="Carrito", 1000000000, IF(SUE948="Cautín", 10, 1)))))))</f>
        <v>1000000000</v>
      </c>
      <c r="SUJ948" s="4" t="str">
        <f t="shared" ref="SUJ948" si="6000">IF(SUE948="Ionizador", "Segundos", "Ohms")</f>
        <v>Ohms</v>
      </c>
      <c r="SUK948" s="6">
        <v>148000000</v>
      </c>
      <c r="SUL948" s="6" t="str">
        <f t="shared" ref="SUL948" si="6001">SUJ948</f>
        <v>Ohms</v>
      </c>
      <c r="SUM948" s="2" t="str">
        <f t="shared" ref="SUM948" si="6002">IF(SUE948="Ionizador", "Plato de carga", IF(SUE948="Cautín", "PTG", "RTG"))</f>
        <v>RTG</v>
      </c>
      <c r="SUN948" s="7">
        <v>45992</v>
      </c>
      <c r="SUO948" s="7">
        <f t="shared" ref="SUO948" si="6003">IF(SUP948="Trimestral", SUN948+90, IF(SUP948="Semestral", SUN948+180, SUN948+365))</f>
        <v>46172</v>
      </c>
      <c r="SUP948" s="7" t="str">
        <f t="shared" ref="SUP948" si="6004">IF(SUE948="Ionizador", "Trimestral", IF(SUE948="Rack", "Semestral", IF(SUE948="Mesa", "Semestral", IF(SUE948="Tapete", "Semestral", IF(SUE948="Cautín", "Semestral", IF(SUE948="Silla", "Semestral", "Anual"))))))</f>
        <v>Semestral</v>
      </c>
      <c r="SUQ948" s="2" t="str">
        <f t="shared" ref="SUQ948" ca="1" si="6005">IF(SUO948&lt;TODAY(),"VENCIDO",IF(SUO948=TODAY(),"VENCE HOY",IF(SUO948&gt;TODAY(),"VIGENTE")))</f>
        <v>VIGENTE</v>
      </c>
      <c r="SUR948" s="6" t="s">
        <v>25</v>
      </c>
      <c r="SUS948" s="23" t="s">
        <v>138</v>
      </c>
      <c r="SUT948" s="2" t="s">
        <v>433</v>
      </c>
      <c r="SUU948" s="3" t="s">
        <v>22</v>
      </c>
      <c r="SUV948" s="3" t="s">
        <v>23</v>
      </c>
      <c r="SUW948" s="2" t="s">
        <v>24</v>
      </c>
      <c r="SUX948" s="4">
        <v>0</v>
      </c>
      <c r="SUY948" s="8">
        <f t="shared" ref="SUY948" si="6006">IF(SUU948="Ionizador", 10, IF(SUU948="Mesa", 1000000000, IF(SUU948="Rack", 1000000000, IF(SUU948="Piso", 1000000000, IF(SUU948="Tapete", 1000000000, IF(SUU948="Carrito", 1000000000, IF(SUU948="Cautín", 10, 1)))))))</f>
        <v>1000000000</v>
      </c>
      <c r="SUZ948" s="4" t="str">
        <f t="shared" ref="SUZ948" si="6007">IF(SUU948="Ionizador", "Segundos", "Ohms")</f>
        <v>Ohms</v>
      </c>
      <c r="SVA948" s="6">
        <v>148000000</v>
      </c>
      <c r="SVB948" s="6" t="str">
        <f t="shared" ref="SVB948" si="6008">SUZ948</f>
        <v>Ohms</v>
      </c>
      <c r="SVC948" s="2" t="str">
        <f t="shared" ref="SVC948" si="6009">IF(SUU948="Ionizador", "Plato de carga", IF(SUU948="Cautín", "PTG", "RTG"))</f>
        <v>RTG</v>
      </c>
      <c r="SVD948" s="7">
        <v>45992</v>
      </c>
      <c r="SVE948" s="7">
        <f t="shared" ref="SVE948" si="6010">IF(SVF948="Trimestral", SVD948+90, IF(SVF948="Semestral", SVD948+180, SVD948+365))</f>
        <v>46172</v>
      </c>
      <c r="SVF948" s="7" t="str">
        <f t="shared" ref="SVF948" si="6011">IF(SUU948="Ionizador", "Trimestral", IF(SUU948="Rack", "Semestral", IF(SUU948="Mesa", "Semestral", IF(SUU948="Tapete", "Semestral", IF(SUU948="Cautín", "Semestral", IF(SUU948="Silla", "Semestral", "Anual"))))))</f>
        <v>Semestral</v>
      </c>
      <c r="SVG948" s="2" t="str">
        <f t="shared" ref="SVG948" ca="1" si="6012">IF(SVE948&lt;TODAY(),"VENCIDO",IF(SVE948=TODAY(),"VENCE HOY",IF(SVE948&gt;TODAY(),"VIGENTE")))</f>
        <v>VIGENTE</v>
      </c>
      <c r="SVH948" s="6" t="s">
        <v>25</v>
      </c>
      <c r="SVI948" s="23" t="s">
        <v>138</v>
      </c>
      <c r="SVJ948" s="2" t="s">
        <v>433</v>
      </c>
      <c r="SVK948" s="3" t="s">
        <v>22</v>
      </c>
      <c r="SVL948" s="3" t="s">
        <v>23</v>
      </c>
      <c r="SVM948" s="2" t="s">
        <v>24</v>
      </c>
      <c r="SVN948" s="4">
        <v>0</v>
      </c>
      <c r="SVO948" s="8">
        <f t="shared" ref="SVO948" si="6013">IF(SVK948="Ionizador", 10, IF(SVK948="Mesa", 1000000000, IF(SVK948="Rack", 1000000000, IF(SVK948="Piso", 1000000000, IF(SVK948="Tapete", 1000000000, IF(SVK948="Carrito", 1000000000, IF(SVK948="Cautín", 10, 1)))))))</f>
        <v>1000000000</v>
      </c>
      <c r="SVP948" s="4" t="str">
        <f t="shared" ref="SVP948" si="6014">IF(SVK948="Ionizador", "Segundos", "Ohms")</f>
        <v>Ohms</v>
      </c>
      <c r="SVQ948" s="6">
        <v>148000000</v>
      </c>
      <c r="SVR948" s="6" t="str">
        <f t="shared" ref="SVR948" si="6015">SVP948</f>
        <v>Ohms</v>
      </c>
      <c r="SVS948" s="2" t="str">
        <f t="shared" ref="SVS948" si="6016">IF(SVK948="Ionizador", "Plato de carga", IF(SVK948="Cautín", "PTG", "RTG"))</f>
        <v>RTG</v>
      </c>
      <c r="SVT948" s="7">
        <v>45992</v>
      </c>
      <c r="SVU948" s="7">
        <f t="shared" ref="SVU948" si="6017">IF(SVV948="Trimestral", SVT948+90, IF(SVV948="Semestral", SVT948+180, SVT948+365))</f>
        <v>46172</v>
      </c>
      <c r="SVV948" s="7" t="str">
        <f t="shared" ref="SVV948" si="6018">IF(SVK948="Ionizador", "Trimestral", IF(SVK948="Rack", "Semestral", IF(SVK948="Mesa", "Semestral", IF(SVK948="Tapete", "Semestral", IF(SVK948="Cautín", "Semestral", IF(SVK948="Silla", "Semestral", "Anual"))))))</f>
        <v>Semestral</v>
      </c>
      <c r="SVW948" s="2" t="str">
        <f t="shared" ref="SVW948" ca="1" si="6019">IF(SVU948&lt;TODAY(),"VENCIDO",IF(SVU948=TODAY(),"VENCE HOY",IF(SVU948&gt;TODAY(),"VIGENTE")))</f>
        <v>VIGENTE</v>
      </c>
      <c r="SVX948" s="6" t="s">
        <v>25</v>
      </c>
      <c r="SVY948" s="23" t="s">
        <v>138</v>
      </c>
      <c r="SVZ948" s="2" t="s">
        <v>433</v>
      </c>
      <c r="SWA948" s="3" t="s">
        <v>22</v>
      </c>
      <c r="SWB948" s="3" t="s">
        <v>23</v>
      </c>
      <c r="SWC948" s="2" t="s">
        <v>24</v>
      </c>
      <c r="SWD948" s="4">
        <v>0</v>
      </c>
      <c r="SWE948" s="8">
        <f t="shared" ref="SWE948" si="6020">IF(SWA948="Ionizador", 10, IF(SWA948="Mesa", 1000000000, IF(SWA948="Rack", 1000000000, IF(SWA948="Piso", 1000000000, IF(SWA948="Tapete", 1000000000, IF(SWA948="Carrito", 1000000000, IF(SWA948="Cautín", 10, 1)))))))</f>
        <v>1000000000</v>
      </c>
      <c r="SWF948" s="4" t="str">
        <f t="shared" ref="SWF948" si="6021">IF(SWA948="Ionizador", "Segundos", "Ohms")</f>
        <v>Ohms</v>
      </c>
      <c r="SWG948" s="6">
        <v>148000000</v>
      </c>
      <c r="SWH948" s="6" t="str">
        <f t="shared" ref="SWH948" si="6022">SWF948</f>
        <v>Ohms</v>
      </c>
      <c r="SWI948" s="2" t="str">
        <f t="shared" ref="SWI948" si="6023">IF(SWA948="Ionizador", "Plato de carga", IF(SWA948="Cautín", "PTG", "RTG"))</f>
        <v>RTG</v>
      </c>
      <c r="SWJ948" s="7">
        <v>45992</v>
      </c>
      <c r="SWK948" s="7">
        <f t="shared" ref="SWK948" si="6024">IF(SWL948="Trimestral", SWJ948+90, IF(SWL948="Semestral", SWJ948+180, SWJ948+365))</f>
        <v>46172</v>
      </c>
      <c r="SWL948" s="7" t="str">
        <f t="shared" ref="SWL948" si="6025">IF(SWA948="Ionizador", "Trimestral", IF(SWA948="Rack", "Semestral", IF(SWA948="Mesa", "Semestral", IF(SWA948="Tapete", "Semestral", IF(SWA948="Cautín", "Semestral", IF(SWA948="Silla", "Semestral", "Anual"))))))</f>
        <v>Semestral</v>
      </c>
      <c r="SWM948" s="2" t="str">
        <f t="shared" ref="SWM948" ca="1" si="6026">IF(SWK948&lt;TODAY(),"VENCIDO",IF(SWK948=TODAY(),"VENCE HOY",IF(SWK948&gt;TODAY(),"VIGENTE")))</f>
        <v>VIGENTE</v>
      </c>
      <c r="SWN948" s="6" t="s">
        <v>25</v>
      </c>
      <c r="SWO948" s="23" t="s">
        <v>138</v>
      </c>
      <c r="SWP948" s="2" t="s">
        <v>433</v>
      </c>
      <c r="SWQ948" s="3" t="s">
        <v>22</v>
      </c>
      <c r="SWR948" s="3" t="s">
        <v>23</v>
      </c>
      <c r="SWS948" s="2" t="s">
        <v>24</v>
      </c>
      <c r="SWT948" s="4">
        <v>0</v>
      </c>
      <c r="SWU948" s="8">
        <f t="shared" ref="SWU948" si="6027">IF(SWQ948="Ionizador", 10, IF(SWQ948="Mesa", 1000000000, IF(SWQ948="Rack", 1000000000, IF(SWQ948="Piso", 1000000000, IF(SWQ948="Tapete", 1000000000, IF(SWQ948="Carrito", 1000000000, IF(SWQ948="Cautín", 10, 1)))))))</f>
        <v>1000000000</v>
      </c>
      <c r="SWV948" s="4" t="str">
        <f t="shared" ref="SWV948" si="6028">IF(SWQ948="Ionizador", "Segundos", "Ohms")</f>
        <v>Ohms</v>
      </c>
      <c r="SWW948" s="6">
        <v>148000000</v>
      </c>
      <c r="SWX948" s="6" t="str">
        <f t="shared" ref="SWX948" si="6029">SWV948</f>
        <v>Ohms</v>
      </c>
      <c r="SWY948" s="2" t="str">
        <f t="shared" ref="SWY948" si="6030">IF(SWQ948="Ionizador", "Plato de carga", IF(SWQ948="Cautín", "PTG", "RTG"))</f>
        <v>RTG</v>
      </c>
      <c r="SWZ948" s="7">
        <v>45992</v>
      </c>
      <c r="SXA948" s="7">
        <f t="shared" ref="SXA948" si="6031">IF(SXB948="Trimestral", SWZ948+90, IF(SXB948="Semestral", SWZ948+180, SWZ948+365))</f>
        <v>46172</v>
      </c>
      <c r="SXB948" s="7" t="str">
        <f t="shared" ref="SXB948" si="6032">IF(SWQ948="Ionizador", "Trimestral", IF(SWQ948="Rack", "Semestral", IF(SWQ948="Mesa", "Semestral", IF(SWQ948="Tapete", "Semestral", IF(SWQ948="Cautín", "Semestral", IF(SWQ948="Silla", "Semestral", "Anual"))))))</f>
        <v>Semestral</v>
      </c>
      <c r="SXC948" s="2" t="str">
        <f t="shared" ref="SXC948" ca="1" si="6033">IF(SXA948&lt;TODAY(),"VENCIDO",IF(SXA948=TODAY(),"VENCE HOY",IF(SXA948&gt;TODAY(),"VIGENTE")))</f>
        <v>VIGENTE</v>
      </c>
      <c r="SXD948" s="6" t="s">
        <v>25</v>
      </c>
      <c r="SXE948" s="23" t="s">
        <v>138</v>
      </c>
      <c r="SXF948" s="2" t="s">
        <v>433</v>
      </c>
      <c r="SXG948" s="3" t="s">
        <v>22</v>
      </c>
      <c r="SXH948" s="3" t="s">
        <v>23</v>
      </c>
      <c r="SXI948" s="2" t="s">
        <v>24</v>
      </c>
      <c r="SXJ948" s="4">
        <v>0</v>
      </c>
      <c r="SXK948" s="8">
        <f t="shared" ref="SXK948" si="6034">IF(SXG948="Ionizador", 10, IF(SXG948="Mesa", 1000000000, IF(SXG948="Rack", 1000000000, IF(SXG948="Piso", 1000000000, IF(SXG948="Tapete", 1000000000, IF(SXG948="Carrito", 1000000000, IF(SXG948="Cautín", 10, 1)))))))</f>
        <v>1000000000</v>
      </c>
      <c r="SXL948" s="4" t="str">
        <f t="shared" ref="SXL948" si="6035">IF(SXG948="Ionizador", "Segundos", "Ohms")</f>
        <v>Ohms</v>
      </c>
      <c r="SXM948" s="6">
        <v>148000000</v>
      </c>
      <c r="SXN948" s="6" t="str">
        <f t="shared" ref="SXN948" si="6036">SXL948</f>
        <v>Ohms</v>
      </c>
      <c r="SXO948" s="2" t="str">
        <f t="shared" ref="SXO948" si="6037">IF(SXG948="Ionizador", "Plato de carga", IF(SXG948="Cautín", "PTG", "RTG"))</f>
        <v>RTG</v>
      </c>
      <c r="SXP948" s="7">
        <v>45992</v>
      </c>
      <c r="SXQ948" s="7">
        <f t="shared" ref="SXQ948" si="6038">IF(SXR948="Trimestral", SXP948+90, IF(SXR948="Semestral", SXP948+180, SXP948+365))</f>
        <v>46172</v>
      </c>
      <c r="SXR948" s="7" t="str">
        <f t="shared" ref="SXR948" si="6039">IF(SXG948="Ionizador", "Trimestral", IF(SXG948="Rack", "Semestral", IF(SXG948="Mesa", "Semestral", IF(SXG948="Tapete", "Semestral", IF(SXG948="Cautín", "Semestral", IF(SXG948="Silla", "Semestral", "Anual"))))))</f>
        <v>Semestral</v>
      </c>
      <c r="SXS948" s="2" t="str">
        <f t="shared" ref="SXS948" ca="1" si="6040">IF(SXQ948&lt;TODAY(),"VENCIDO",IF(SXQ948=TODAY(),"VENCE HOY",IF(SXQ948&gt;TODAY(),"VIGENTE")))</f>
        <v>VIGENTE</v>
      </c>
      <c r="SXT948" s="6" t="s">
        <v>25</v>
      </c>
      <c r="SXU948" s="23" t="s">
        <v>138</v>
      </c>
      <c r="SXV948" s="2" t="s">
        <v>433</v>
      </c>
      <c r="SXW948" s="3" t="s">
        <v>22</v>
      </c>
      <c r="SXX948" s="3" t="s">
        <v>23</v>
      </c>
      <c r="SXY948" s="2" t="s">
        <v>24</v>
      </c>
      <c r="SXZ948" s="4">
        <v>0</v>
      </c>
      <c r="SYA948" s="8">
        <f t="shared" ref="SYA948" si="6041">IF(SXW948="Ionizador", 10, IF(SXW948="Mesa", 1000000000, IF(SXW948="Rack", 1000000000, IF(SXW948="Piso", 1000000000, IF(SXW948="Tapete", 1000000000, IF(SXW948="Carrito", 1000000000, IF(SXW948="Cautín", 10, 1)))))))</f>
        <v>1000000000</v>
      </c>
      <c r="SYB948" s="4" t="str">
        <f t="shared" ref="SYB948" si="6042">IF(SXW948="Ionizador", "Segundos", "Ohms")</f>
        <v>Ohms</v>
      </c>
      <c r="SYC948" s="6">
        <v>148000000</v>
      </c>
      <c r="SYD948" s="6" t="str">
        <f t="shared" ref="SYD948" si="6043">SYB948</f>
        <v>Ohms</v>
      </c>
      <c r="SYE948" s="2" t="str">
        <f t="shared" ref="SYE948" si="6044">IF(SXW948="Ionizador", "Plato de carga", IF(SXW948="Cautín", "PTG", "RTG"))</f>
        <v>RTG</v>
      </c>
      <c r="SYF948" s="7">
        <v>45992</v>
      </c>
      <c r="SYG948" s="7">
        <f t="shared" ref="SYG948" si="6045">IF(SYH948="Trimestral", SYF948+90, IF(SYH948="Semestral", SYF948+180, SYF948+365))</f>
        <v>46172</v>
      </c>
      <c r="SYH948" s="7" t="str">
        <f t="shared" ref="SYH948" si="6046">IF(SXW948="Ionizador", "Trimestral", IF(SXW948="Rack", "Semestral", IF(SXW948="Mesa", "Semestral", IF(SXW948="Tapete", "Semestral", IF(SXW948="Cautín", "Semestral", IF(SXW948="Silla", "Semestral", "Anual"))))))</f>
        <v>Semestral</v>
      </c>
      <c r="SYI948" s="2" t="str">
        <f t="shared" ref="SYI948" ca="1" si="6047">IF(SYG948&lt;TODAY(),"VENCIDO",IF(SYG948=TODAY(),"VENCE HOY",IF(SYG948&gt;TODAY(),"VIGENTE")))</f>
        <v>VIGENTE</v>
      </c>
      <c r="SYJ948" s="6" t="s">
        <v>25</v>
      </c>
      <c r="SYK948" s="23" t="s">
        <v>138</v>
      </c>
      <c r="SYL948" s="2" t="s">
        <v>433</v>
      </c>
      <c r="SYM948" s="3" t="s">
        <v>22</v>
      </c>
      <c r="SYN948" s="3" t="s">
        <v>23</v>
      </c>
      <c r="SYO948" s="2" t="s">
        <v>24</v>
      </c>
      <c r="SYP948" s="4">
        <v>0</v>
      </c>
      <c r="SYQ948" s="8">
        <f t="shared" ref="SYQ948" si="6048">IF(SYM948="Ionizador", 10, IF(SYM948="Mesa", 1000000000, IF(SYM948="Rack", 1000000000, IF(SYM948="Piso", 1000000000, IF(SYM948="Tapete", 1000000000, IF(SYM948="Carrito", 1000000000, IF(SYM948="Cautín", 10, 1)))))))</f>
        <v>1000000000</v>
      </c>
      <c r="SYR948" s="4" t="str">
        <f t="shared" ref="SYR948" si="6049">IF(SYM948="Ionizador", "Segundos", "Ohms")</f>
        <v>Ohms</v>
      </c>
      <c r="SYS948" s="6">
        <v>148000000</v>
      </c>
      <c r="SYT948" s="6" t="str">
        <f t="shared" ref="SYT948" si="6050">SYR948</f>
        <v>Ohms</v>
      </c>
      <c r="SYU948" s="2" t="str">
        <f t="shared" ref="SYU948" si="6051">IF(SYM948="Ionizador", "Plato de carga", IF(SYM948="Cautín", "PTG", "RTG"))</f>
        <v>RTG</v>
      </c>
      <c r="SYV948" s="7">
        <v>45992</v>
      </c>
      <c r="SYW948" s="7">
        <f t="shared" ref="SYW948" si="6052">IF(SYX948="Trimestral", SYV948+90, IF(SYX948="Semestral", SYV948+180, SYV948+365))</f>
        <v>46172</v>
      </c>
      <c r="SYX948" s="7" t="str">
        <f t="shared" ref="SYX948" si="6053">IF(SYM948="Ionizador", "Trimestral", IF(SYM948="Rack", "Semestral", IF(SYM948="Mesa", "Semestral", IF(SYM948="Tapete", "Semestral", IF(SYM948="Cautín", "Semestral", IF(SYM948="Silla", "Semestral", "Anual"))))))</f>
        <v>Semestral</v>
      </c>
      <c r="SYY948" s="2" t="str">
        <f t="shared" ref="SYY948" ca="1" si="6054">IF(SYW948&lt;TODAY(),"VENCIDO",IF(SYW948=TODAY(),"VENCE HOY",IF(SYW948&gt;TODAY(),"VIGENTE")))</f>
        <v>VIGENTE</v>
      </c>
      <c r="SYZ948" s="6" t="s">
        <v>25</v>
      </c>
      <c r="SZA948" s="23" t="s">
        <v>138</v>
      </c>
      <c r="SZB948" s="2" t="s">
        <v>433</v>
      </c>
      <c r="SZC948" s="3" t="s">
        <v>22</v>
      </c>
      <c r="SZD948" s="3" t="s">
        <v>23</v>
      </c>
      <c r="SZE948" s="2" t="s">
        <v>24</v>
      </c>
      <c r="SZF948" s="4">
        <v>0</v>
      </c>
      <c r="SZG948" s="8">
        <f t="shared" ref="SZG948" si="6055">IF(SZC948="Ionizador", 10, IF(SZC948="Mesa", 1000000000, IF(SZC948="Rack", 1000000000, IF(SZC948="Piso", 1000000000, IF(SZC948="Tapete", 1000000000, IF(SZC948="Carrito", 1000000000, IF(SZC948="Cautín", 10, 1)))))))</f>
        <v>1000000000</v>
      </c>
      <c r="SZH948" s="4" t="str">
        <f t="shared" ref="SZH948" si="6056">IF(SZC948="Ionizador", "Segundos", "Ohms")</f>
        <v>Ohms</v>
      </c>
      <c r="SZI948" s="6">
        <v>148000000</v>
      </c>
      <c r="SZJ948" s="6" t="str">
        <f t="shared" ref="SZJ948" si="6057">SZH948</f>
        <v>Ohms</v>
      </c>
      <c r="SZK948" s="2" t="str">
        <f t="shared" ref="SZK948" si="6058">IF(SZC948="Ionizador", "Plato de carga", IF(SZC948="Cautín", "PTG", "RTG"))</f>
        <v>RTG</v>
      </c>
      <c r="SZL948" s="7">
        <v>45992</v>
      </c>
      <c r="SZM948" s="7">
        <f t="shared" ref="SZM948" si="6059">IF(SZN948="Trimestral", SZL948+90, IF(SZN948="Semestral", SZL948+180, SZL948+365))</f>
        <v>46172</v>
      </c>
      <c r="SZN948" s="7" t="str">
        <f t="shared" ref="SZN948" si="6060">IF(SZC948="Ionizador", "Trimestral", IF(SZC948="Rack", "Semestral", IF(SZC948="Mesa", "Semestral", IF(SZC948="Tapete", "Semestral", IF(SZC948="Cautín", "Semestral", IF(SZC948="Silla", "Semestral", "Anual"))))))</f>
        <v>Semestral</v>
      </c>
      <c r="SZO948" s="2" t="str">
        <f t="shared" ref="SZO948" ca="1" si="6061">IF(SZM948&lt;TODAY(),"VENCIDO",IF(SZM948=TODAY(),"VENCE HOY",IF(SZM948&gt;TODAY(),"VIGENTE")))</f>
        <v>VIGENTE</v>
      </c>
      <c r="SZP948" s="6" t="s">
        <v>25</v>
      </c>
      <c r="SZQ948" s="23" t="s">
        <v>138</v>
      </c>
      <c r="SZR948" s="2" t="s">
        <v>433</v>
      </c>
      <c r="SZS948" s="3" t="s">
        <v>22</v>
      </c>
      <c r="SZT948" s="3" t="s">
        <v>23</v>
      </c>
      <c r="SZU948" s="2" t="s">
        <v>24</v>
      </c>
      <c r="SZV948" s="4">
        <v>0</v>
      </c>
      <c r="SZW948" s="8">
        <f t="shared" ref="SZW948" si="6062">IF(SZS948="Ionizador", 10, IF(SZS948="Mesa", 1000000000, IF(SZS948="Rack", 1000000000, IF(SZS948="Piso", 1000000000, IF(SZS948="Tapete", 1000000000, IF(SZS948="Carrito", 1000000000, IF(SZS948="Cautín", 10, 1)))))))</f>
        <v>1000000000</v>
      </c>
      <c r="SZX948" s="4" t="str">
        <f t="shared" ref="SZX948" si="6063">IF(SZS948="Ionizador", "Segundos", "Ohms")</f>
        <v>Ohms</v>
      </c>
      <c r="SZY948" s="6">
        <v>148000000</v>
      </c>
      <c r="SZZ948" s="6" t="str">
        <f t="shared" ref="SZZ948" si="6064">SZX948</f>
        <v>Ohms</v>
      </c>
      <c r="TAA948" s="2" t="str">
        <f t="shared" ref="TAA948" si="6065">IF(SZS948="Ionizador", "Plato de carga", IF(SZS948="Cautín", "PTG", "RTG"))</f>
        <v>RTG</v>
      </c>
      <c r="TAB948" s="7">
        <v>45992</v>
      </c>
      <c r="TAC948" s="7">
        <f t="shared" ref="TAC948" si="6066">IF(TAD948="Trimestral", TAB948+90, IF(TAD948="Semestral", TAB948+180, TAB948+365))</f>
        <v>46172</v>
      </c>
      <c r="TAD948" s="7" t="str">
        <f t="shared" ref="TAD948" si="6067">IF(SZS948="Ionizador", "Trimestral", IF(SZS948="Rack", "Semestral", IF(SZS948="Mesa", "Semestral", IF(SZS948="Tapete", "Semestral", IF(SZS948="Cautín", "Semestral", IF(SZS948="Silla", "Semestral", "Anual"))))))</f>
        <v>Semestral</v>
      </c>
      <c r="TAE948" s="2" t="str">
        <f t="shared" ref="TAE948" ca="1" si="6068">IF(TAC948&lt;TODAY(),"VENCIDO",IF(TAC948=TODAY(),"VENCE HOY",IF(TAC948&gt;TODAY(),"VIGENTE")))</f>
        <v>VIGENTE</v>
      </c>
      <c r="TAF948" s="6" t="s">
        <v>25</v>
      </c>
      <c r="TAG948" s="23" t="s">
        <v>138</v>
      </c>
      <c r="TAH948" s="2" t="s">
        <v>433</v>
      </c>
      <c r="TAI948" s="3" t="s">
        <v>22</v>
      </c>
      <c r="TAJ948" s="3" t="s">
        <v>23</v>
      </c>
      <c r="TAK948" s="2" t="s">
        <v>24</v>
      </c>
      <c r="TAL948" s="4">
        <v>0</v>
      </c>
      <c r="TAM948" s="8">
        <f t="shared" ref="TAM948" si="6069">IF(TAI948="Ionizador", 10, IF(TAI948="Mesa", 1000000000, IF(TAI948="Rack", 1000000000, IF(TAI948="Piso", 1000000000, IF(TAI948="Tapete", 1000000000, IF(TAI948="Carrito", 1000000000, IF(TAI948="Cautín", 10, 1)))))))</f>
        <v>1000000000</v>
      </c>
      <c r="TAN948" s="4" t="str">
        <f t="shared" ref="TAN948" si="6070">IF(TAI948="Ionizador", "Segundos", "Ohms")</f>
        <v>Ohms</v>
      </c>
      <c r="TAO948" s="6">
        <v>148000000</v>
      </c>
      <c r="TAP948" s="6" t="str">
        <f t="shared" ref="TAP948" si="6071">TAN948</f>
        <v>Ohms</v>
      </c>
      <c r="TAQ948" s="2" t="str">
        <f t="shared" ref="TAQ948" si="6072">IF(TAI948="Ionizador", "Plato de carga", IF(TAI948="Cautín", "PTG", "RTG"))</f>
        <v>RTG</v>
      </c>
      <c r="TAR948" s="7">
        <v>45992</v>
      </c>
      <c r="TAS948" s="7">
        <f t="shared" ref="TAS948" si="6073">IF(TAT948="Trimestral", TAR948+90, IF(TAT948="Semestral", TAR948+180, TAR948+365))</f>
        <v>46172</v>
      </c>
      <c r="TAT948" s="7" t="str">
        <f t="shared" ref="TAT948" si="6074">IF(TAI948="Ionizador", "Trimestral", IF(TAI948="Rack", "Semestral", IF(TAI948="Mesa", "Semestral", IF(TAI948="Tapete", "Semestral", IF(TAI948="Cautín", "Semestral", IF(TAI948="Silla", "Semestral", "Anual"))))))</f>
        <v>Semestral</v>
      </c>
      <c r="TAU948" s="2" t="str">
        <f t="shared" ref="TAU948" ca="1" si="6075">IF(TAS948&lt;TODAY(),"VENCIDO",IF(TAS948=TODAY(),"VENCE HOY",IF(TAS948&gt;TODAY(),"VIGENTE")))</f>
        <v>VIGENTE</v>
      </c>
      <c r="TAV948" s="6" t="s">
        <v>25</v>
      </c>
      <c r="TAW948" s="23" t="s">
        <v>138</v>
      </c>
      <c r="TAX948" s="2" t="s">
        <v>433</v>
      </c>
      <c r="TAY948" s="3" t="s">
        <v>22</v>
      </c>
      <c r="TAZ948" s="3" t="s">
        <v>23</v>
      </c>
      <c r="TBA948" s="2" t="s">
        <v>24</v>
      </c>
      <c r="TBB948" s="4">
        <v>0</v>
      </c>
      <c r="TBC948" s="8">
        <f t="shared" ref="TBC948" si="6076">IF(TAY948="Ionizador", 10, IF(TAY948="Mesa", 1000000000, IF(TAY948="Rack", 1000000000, IF(TAY948="Piso", 1000000000, IF(TAY948="Tapete", 1000000000, IF(TAY948="Carrito", 1000000000, IF(TAY948="Cautín", 10, 1)))))))</f>
        <v>1000000000</v>
      </c>
      <c r="TBD948" s="4" t="str">
        <f t="shared" ref="TBD948" si="6077">IF(TAY948="Ionizador", "Segundos", "Ohms")</f>
        <v>Ohms</v>
      </c>
      <c r="TBE948" s="6">
        <v>148000000</v>
      </c>
      <c r="TBF948" s="6" t="str">
        <f t="shared" ref="TBF948" si="6078">TBD948</f>
        <v>Ohms</v>
      </c>
      <c r="TBG948" s="2" t="str">
        <f t="shared" ref="TBG948" si="6079">IF(TAY948="Ionizador", "Plato de carga", IF(TAY948="Cautín", "PTG", "RTG"))</f>
        <v>RTG</v>
      </c>
      <c r="TBH948" s="7">
        <v>45992</v>
      </c>
      <c r="TBI948" s="7">
        <f t="shared" ref="TBI948" si="6080">IF(TBJ948="Trimestral", TBH948+90, IF(TBJ948="Semestral", TBH948+180, TBH948+365))</f>
        <v>46172</v>
      </c>
      <c r="TBJ948" s="7" t="str">
        <f t="shared" ref="TBJ948" si="6081">IF(TAY948="Ionizador", "Trimestral", IF(TAY948="Rack", "Semestral", IF(TAY948="Mesa", "Semestral", IF(TAY948="Tapete", "Semestral", IF(TAY948="Cautín", "Semestral", IF(TAY948="Silla", "Semestral", "Anual"))))))</f>
        <v>Semestral</v>
      </c>
      <c r="TBK948" s="2" t="str">
        <f t="shared" ref="TBK948" ca="1" si="6082">IF(TBI948&lt;TODAY(),"VENCIDO",IF(TBI948=TODAY(),"VENCE HOY",IF(TBI948&gt;TODAY(),"VIGENTE")))</f>
        <v>VIGENTE</v>
      </c>
      <c r="TBL948" s="6" t="s">
        <v>25</v>
      </c>
      <c r="TBM948" s="23" t="s">
        <v>138</v>
      </c>
      <c r="TBN948" s="2" t="s">
        <v>433</v>
      </c>
      <c r="TBO948" s="3" t="s">
        <v>22</v>
      </c>
      <c r="TBP948" s="3" t="s">
        <v>23</v>
      </c>
      <c r="TBQ948" s="2" t="s">
        <v>24</v>
      </c>
      <c r="TBR948" s="4">
        <v>0</v>
      </c>
      <c r="TBS948" s="8">
        <f t="shared" ref="TBS948" si="6083">IF(TBO948="Ionizador", 10, IF(TBO948="Mesa", 1000000000, IF(TBO948="Rack", 1000000000, IF(TBO948="Piso", 1000000000, IF(TBO948="Tapete", 1000000000, IF(TBO948="Carrito", 1000000000, IF(TBO948="Cautín", 10, 1)))))))</f>
        <v>1000000000</v>
      </c>
      <c r="TBT948" s="4" t="str">
        <f t="shared" ref="TBT948" si="6084">IF(TBO948="Ionizador", "Segundos", "Ohms")</f>
        <v>Ohms</v>
      </c>
      <c r="TBU948" s="6">
        <v>148000000</v>
      </c>
      <c r="TBV948" s="6" t="str">
        <f t="shared" ref="TBV948" si="6085">TBT948</f>
        <v>Ohms</v>
      </c>
      <c r="TBW948" s="2" t="str">
        <f t="shared" ref="TBW948" si="6086">IF(TBO948="Ionizador", "Plato de carga", IF(TBO948="Cautín", "PTG", "RTG"))</f>
        <v>RTG</v>
      </c>
      <c r="TBX948" s="7">
        <v>45992</v>
      </c>
      <c r="TBY948" s="7">
        <f t="shared" ref="TBY948" si="6087">IF(TBZ948="Trimestral", TBX948+90, IF(TBZ948="Semestral", TBX948+180, TBX948+365))</f>
        <v>46172</v>
      </c>
      <c r="TBZ948" s="7" t="str">
        <f t="shared" ref="TBZ948" si="6088">IF(TBO948="Ionizador", "Trimestral", IF(TBO948="Rack", "Semestral", IF(TBO948="Mesa", "Semestral", IF(TBO948="Tapete", "Semestral", IF(TBO948="Cautín", "Semestral", IF(TBO948="Silla", "Semestral", "Anual"))))))</f>
        <v>Semestral</v>
      </c>
      <c r="TCA948" s="2" t="str">
        <f t="shared" ref="TCA948" ca="1" si="6089">IF(TBY948&lt;TODAY(),"VENCIDO",IF(TBY948=TODAY(),"VENCE HOY",IF(TBY948&gt;TODAY(),"VIGENTE")))</f>
        <v>VIGENTE</v>
      </c>
      <c r="TCB948" s="6" t="s">
        <v>25</v>
      </c>
      <c r="TCC948" s="23" t="s">
        <v>138</v>
      </c>
      <c r="TCD948" s="2" t="s">
        <v>433</v>
      </c>
      <c r="TCE948" s="3" t="s">
        <v>22</v>
      </c>
      <c r="TCF948" s="3" t="s">
        <v>23</v>
      </c>
      <c r="TCG948" s="2" t="s">
        <v>24</v>
      </c>
      <c r="TCH948" s="4">
        <v>0</v>
      </c>
      <c r="TCI948" s="8">
        <f t="shared" ref="TCI948" si="6090">IF(TCE948="Ionizador", 10, IF(TCE948="Mesa", 1000000000, IF(TCE948="Rack", 1000000000, IF(TCE948="Piso", 1000000000, IF(TCE948="Tapete", 1000000000, IF(TCE948="Carrito", 1000000000, IF(TCE948="Cautín", 10, 1)))))))</f>
        <v>1000000000</v>
      </c>
      <c r="TCJ948" s="4" t="str">
        <f t="shared" ref="TCJ948" si="6091">IF(TCE948="Ionizador", "Segundos", "Ohms")</f>
        <v>Ohms</v>
      </c>
      <c r="TCK948" s="6">
        <v>148000000</v>
      </c>
      <c r="TCL948" s="6" t="str">
        <f t="shared" ref="TCL948" si="6092">TCJ948</f>
        <v>Ohms</v>
      </c>
      <c r="TCM948" s="2" t="str">
        <f t="shared" ref="TCM948" si="6093">IF(TCE948="Ionizador", "Plato de carga", IF(TCE948="Cautín", "PTG", "RTG"))</f>
        <v>RTG</v>
      </c>
      <c r="TCN948" s="7">
        <v>45992</v>
      </c>
      <c r="TCO948" s="7">
        <f t="shared" ref="TCO948" si="6094">IF(TCP948="Trimestral", TCN948+90, IF(TCP948="Semestral", TCN948+180, TCN948+365))</f>
        <v>46172</v>
      </c>
      <c r="TCP948" s="7" t="str">
        <f t="shared" ref="TCP948" si="6095">IF(TCE948="Ionizador", "Trimestral", IF(TCE948="Rack", "Semestral", IF(TCE948="Mesa", "Semestral", IF(TCE948="Tapete", "Semestral", IF(TCE948="Cautín", "Semestral", IF(TCE948="Silla", "Semestral", "Anual"))))))</f>
        <v>Semestral</v>
      </c>
      <c r="TCQ948" s="2" t="str">
        <f t="shared" ref="TCQ948" ca="1" si="6096">IF(TCO948&lt;TODAY(),"VENCIDO",IF(TCO948=TODAY(),"VENCE HOY",IF(TCO948&gt;TODAY(),"VIGENTE")))</f>
        <v>VIGENTE</v>
      </c>
      <c r="TCR948" s="6" t="s">
        <v>25</v>
      </c>
      <c r="TCS948" s="23" t="s">
        <v>138</v>
      </c>
      <c r="TCT948" s="2" t="s">
        <v>433</v>
      </c>
      <c r="TCU948" s="3" t="s">
        <v>22</v>
      </c>
      <c r="TCV948" s="3" t="s">
        <v>23</v>
      </c>
      <c r="TCW948" s="2" t="s">
        <v>24</v>
      </c>
      <c r="TCX948" s="4">
        <v>0</v>
      </c>
      <c r="TCY948" s="8">
        <f t="shared" ref="TCY948" si="6097">IF(TCU948="Ionizador", 10, IF(TCU948="Mesa", 1000000000, IF(TCU948="Rack", 1000000000, IF(TCU948="Piso", 1000000000, IF(TCU948="Tapete", 1000000000, IF(TCU948="Carrito", 1000000000, IF(TCU948="Cautín", 10, 1)))))))</f>
        <v>1000000000</v>
      </c>
      <c r="TCZ948" s="4" t="str">
        <f t="shared" ref="TCZ948" si="6098">IF(TCU948="Ionizador", "Segundos", "Ohms")</f>
        <v>Ohms</v>
      </c>
      <c r="TDA948" s="6">
        <v>148000000</v>
      </c>
      <c r="TDB948" s="6" t="str">
        <f t="shared" ref="TDB948" si="6099">TCZ948</f>
        <v>Ohms</v>
      </c>
      <c r="TDC948" s="2" t="str">
        <f t="shared" ref="TDC948" si="6100">IF(TCU948="Ionizador", "Plato de carga", IF(TCU948="Cautín", "PTG", "RTG"))</f>
        <v>RTG</v>
      </c>
      <c r="TDD948" s="7">
        <v>45992</v>
      </c>
      <c r="TDE948" s="7">
        <f t="shared" ref="TDE948" si="6101">IF(TDF948="Trimestral", TDD948+90, IF(TDF948="Semestral", TDD948+180, TDD948+365))</f>
        <v>46172</v>
      </c>
      <c r="TDF948" s="7" t="str">
        <f t="shared" ref="TDF948" si="6102">IF(TCU948="Ionizador", "Trimestral", IF(TCU948="Rack", "Semestral", IF(TCU948="Mesa", "Semestral", IF(TCU948="Tapete", "Semestral", IF(TCU948="Cautín", "Semestral", IF(TCU948="Silla", "Semestral", "Anual"))))))</f>
        <v>Semestral</v>
      </c>
      <c r="TDG948" s="2" t="str">
        <f t="shared" ref="TDG948" ca="1" si="6103">IF(TDE948&lt;TODAY(),"VENCIDO",IF(TDE948=TODAY(),"VENCE HOY",IF(TDE948&gt;TODAY(),"VIGENTE")))</f>
        <v>VIGENTE</v>
      </c>
      <c r="TDH948" s="6" t="s">
        <v>25</v>
      </c>
      <c r="TDI948" s="23" t="s">
        <v>138</v>
      </c>
      <c r="TDJ948" s="2" t="s">
        <v>433</v>
      </c>
      <c r="TDK948" s="3" t="s">
        <v>22</v>
      </c>
      <c r="TDL948" s="3" t="s">
        <v>23</v>
      </c>
      <c r="TDM948" s="2" t="s">
        <v>24</v>
      </c>
      <c r="TDN948" s="4">
        <v>0</v>
      </c>
      <c r="TDO948" s="8">
        <f t="shared" ref="TDO948" si="6104">IF(TDK948="Ionizador", 10, IF(TDK948="Mesa", 1000000000, IF(TDK948="Rack", 1000000000, IF(TDK948="Piso", 1000000000, IF(TDK948="Tapete", 1000000000, IF(TDK948="Carrito", 1000000000, IF(TDK948="Cautín", 10, 1)))))))</f>
        <v>1000000000</v>
      </c>
      <c r="TDP948" s="4" t="str">
        <f t="shared" ref="TDP948" si="6105">IF(TDK948="Ionizador", "Segundos", "Ohms")</f>
        <v>Ohms</v>
      </c>
      <c r="TDQ948" s="6">
        <v>148000000</v>
      </c>
      <c r="TDR948" s="6" t="str">
        <f t="shared" ref="TDR948" si="6106">TDP948</f>
        <v>Ohms</v>
      </c>
      <c r="TDS948" s="2" t="str">
        <f t="shared" ref="TDS948" si="6107">IF(TDK948="Ionizador", "Plato de carga", IF(TDK948="Cautín", "PTG", "RTG"))</f>
        <v>RTG</v>
      </c>
      <c r="TDT948" s="7">
        <v>45992</v>
      </c>
      <c r="TDU948" s="7">
        <f t="shared" ref="TDU948" si="6108">IF(TDV948="Trimestral", TDT948+90, IF(TDV948="Semestral", TDT948+180, TDT948+365))</f>
        <v>46172</v>
      </c>
      <c r="TDV948" s="7" t="str">
        <f t="shared" ref="TDV948" si="6109">IF(TDK948="Ionizador", "Trimestral", IF(TDK948="Rack", "Semestral", IF(TDK948="Mesa", "Semestral", IF(TDK948="Tapete", "Semestral", IF(TDK948="Cautín", "Semestral", IF(TDK948="Silla", "Semestral", "Anual"))))))</f>
        <v>Semestral</v>
      </c>
      <c r="TDW948" s="2" t="str">
        <f t="shared" ref="TDW948" ca="1" si="6110">IF(TDU948&lt;TODAY(),"VENCIDO",IF(TDU948=TODAY(),"VENCE HOY",IF(TDU948&gt;TODAY(),"VIGENTE")))</f>
        <v>VIGENTE</v>
      </c>
      <c r="TDX948" s="6" t="s">
        <v>25</v>
      </c>
      <c r="TDY948" s="23" t="s">
        <v>138</v>
      </c>
      <c r="TDZ948" s="2" t="s">
        <v>433</v>
      </c>
      <c r="TEA948" s="3" t="s">
        <v>22</v>
      </c>
      <c r="TEB948" s="3" t="s">
        <v>23</v>
      </c>
      <c r="TEC948" s="2" t="s">
        <v>24</v>
      </c>
      <c r="TED948" s="4">
        <v>0</v>
      </c>
      <c r="TEE948" s="8">
        <f t="shared" ref="TEE948" si="6111">IF(TEA948="Ionizador", 10, IF(TEA948="Mesa", 1000000000, IF(TEA948="Rack", 1000000000, IF(TEA948="Piso", 1000000000, IF(TEA948="Tapete", 1000000000, IF(TEA948="Carrito", 1000000000, IF(TEA948="Cautín", 10, 1)))))))</f>
        <v>1000000000</v>
      </c>
      <c r="TEF948" s="4" t="str">
        <f t="shared" ref="TEF948" si="6112">IF(TEA948="Ionizador", "Segundos", "Ohms")</f>
        <v>Ohms</v>
      </c>
      <c r="TEG948" s="6">
        <v>148000000</v>
      </c>
      <c r="TEH948" s="6" t="str">
        <f t="shared" ref="TEH948" si="6113">TEF948</f>
        <v>Ohms</v>
      </c>
      <c r="TEI948" s="2" t="str">
        <f t="shared" ref="TEI948" si="6114">IF(TEA948="Ionizador", "Plato de carga", IF(TEA948="Cautín", "PTG", "RTG"))</f>
        <v>RTG</v>
      </c>
      <c r="TEJ948" s="7">
        <v>45992</v>
      </c>
      <c r="TEK948" s="7">
        <f t="shared" ref="TEK948" si="6115">IF(TEL948="Trimestral", TEJ948+90, IF(TEL948="Semestral", TEJ948+180, TEJ948+365))</f>
        <v>46172</v>
      </c>
      <c r="TEL948" s="7" t="str">
        <f t="shared" ref="TEL948" si="6116">IF(TEA948="Ionizador", "Trimestral", IF(TEA948="Rack", "Semestral", IF(TEA948="Mesa", "Semestral", IF(TEA948="Tapete", "Semestral", IF(TEA948="Cautín", "Semestral", IF(TEA948="Silla", "Semestral", "Anual"))))))</f>
        <v>Semestral</v>
      </c>
      <c r="TEM948" s="2" t="str">
        <f t="shared" ref="TEM948" ca="1" si="6117">IF(TEK948&lt;TODAY(),"VENCIDO",IF(TEK948=TODAY(),"VENCE HOY",IF(TEK948&gt;TODAY(),"VIGENTE")))</f>
        <v>VIGENTE</v>
      </c>
      <c r="TEN948" s="6" t="s">
        <v>25</v>
      </c>
      <c r="TEO948" s="23" t="s">
        <v>138</v>
      </c>
      <c r="TEP948" s="2" t="s">
        <v>433</v>
      </c>
      <c r="TEQ948" s="3" t="s">
        <v>22</v>
      </c>
      <c r="TER948" s="3" t="s">
        <v>23</v>
      </c>
      <c r="TES948" s="2" t="s">
        <v>24</v>
      </c>
      <c r="TET948" s="4">
        <v>0</v>
      </c>
      <c r="TEU948" s="8">
        <f t="shared" ref="TEU948" si="6118">IF(TEQ948="Ionizador", 10, IF(TEQ948="Mesa", 1000000000, IF(TEQ948="Rack", 1000000000, IF(TEQ948="Piso", 1000000000, IF(TEQ948="Tapete", 1000000000, IF(TEQ948="Carrito", 1000000000, IF(TEQ948="Cautín", 10, 1)))))))</f>
        <v>1000000000</v>
      </c>
      <c r="TEV948" s="4" t="str">
        <f t="shared" ref="TEV948" si="6119">IF(TEQ948="Ionizador", "Segundos", "Ohms")</f>
        <v>Ohms</v>
      </c>
      <c r="TEW948" s="6">
        <v>148000000</v>
      </c>
      <c r="TEX948" s="6" t="str">
        <f t="shared" ref="TEX948" si="6120">TEV948</f>
        <v>Ohms</v>
      </c>
      <c r="TEY948" s="2" t="str">
        <f t="shared" ref="TEY948" si="6121">IF(TEQ948="Ionizador", "Plato de carga", IF(TEQ948="Cautín", "PTG", "RTG"))</f>
        <v>RTG</v>
      </c>
      <c r="TEZ948" s="7">
        <v>45992</v>
      </c>
      <c r="TFA948" s="7">
        <f t="shared" ref="TFA948" si="6122">IF(TFB948="Trimestral", TEZ948+90, IF(TFB948="Semestral", TEZ948+180, TEZ948+365))</f>
        <v>46172</v>
      </c>
      <c r="TFB948" s="7" t="str">
        <f t="shared" ref="TFB948" si="6123">IF(TEQ948="Ionizador", "Trimestral", IF(TEQ948="Rack", "Semestral", IF(TEQ948="Mesa", "Semestral", IF(TEQ948="Tapete", "Semestral", IF(TEQ948="Cautín", "Semestral", IF(TEQ948="Silla", "Semestral", "Anual"))))))</f>
        <v>Semestral</v>
      </c>
      <c r="TFC948" s="2" t="str">
        <f t="shared" ref="TFC948" ca="1" si="6124">IF(TFA948&lt;TODAY(),"VENCIDO",IF(TFA948=TODAY(),"VENCE HOY",IF(TFA948&gt;TODAY(),"VIGENTE")))</f>
        <v>VIGENTE</v>
      </c>
      <c r="TFD948" s="6" t="s">
        <v>25</v>
      </c>
      <c r="TFE948" s="23" t="s">
        <v>138</v>
      </c>
      <c r="TFF948" s="2" t="s">
        <v>433</v>
      </c>
      <c r="TFG948" s="3" t="s">
        <v>22</v>
      </c>
      <c r="TFH948" s="3" t="s">
        <v>23</v>
      </c>
      <c r="TFI948" s="2" t="s">
        <v>24</v>
      </c>
      <c r="TFJ948" s="4">
        <v>0</v>
      </c>
      <c r="TFK948" s="8">
        <f t="shared" ref="TFK948" si="6125">IF(TFG948="Ionizador", 10, IF(TFG948="Mesa", 1000000000, IF(TFG948="Rack", 1000000000, IF(TFG948="Piso", 1000000000, IF(TFG948="Tapete", 1000000000, IF(TFG948="Carrito", 1000000000, IF(TFG948="Cautín", 10, 1)))))))</f>
        <v>1000000000</v>
      </c>
      <c r="TFL948" s="4" t="str">
        <f t="shared" ref="TFL948" si="6126">IF(TFG948="Ionizador", "Segundos", "Ohms")</f>
        <v>Ohms</v>
      </c>
      <c r="TFM948" s="6">
        <v>148000000</v>
      </c>
      <c r="TFN948" s="6" t="str">
        <f t="shared" ref="TFN948" si="6127">TFL948</f>
        <v>Ohms</v>
      </c>
      <c r="TFO948" s="2" t="str">
        <f t="shared" ref="TFO948" si="6128">IF(TFG948="Ionizador", "Plato de carga", IF(TFG948="Cautín", "PTG", "RTG"))</f>
        <v>RTG</v>
      </c>
      <c r="TFP948" s="7">
        <v>45992</v>
      </c>
      <c r="TFQ948" s="7">
        <f t="shared" ref="TFQ948" si="6129">IF(TFR948="Trimestral", TFP948+90, IF(TFR948="Semestral", TFP948+180, TFP948+365))</f>
        <v>46172</v>
      </c>
      <c r="TFR948" s="7" t="str">
        <f t="shared" ref="TFR948" si="6130">IF(TFG948="Ionizador", "Trimestral", IF(TFG948="Rack", "Semestral", IF(TFG948="Mesa", "Semestral", IF(TFG948="Tapete", "Semestral", IF(TFG948="Cautín", "Semestral", IF(TFG948="Silla", "Semestral", "Anual"))))))</f>
        <v>Semestral</v>
      </c>
      <c r="TFS948" s="2" t="str">
        <f t="shared" ref="TFS948" ca="1" si="6131">IF(TFQ948&lt;TODAY(),"VENCIDO",IF(TFQ948=TODAY(),"VENCE HOY",IF(TFQ948&gt;TODAY(),"VIGENTE")))</f>
        <v>VIGENTE</v>
      </c>
      <c r="TFT948" s="6" t="s">
        <v>25</v>
      </c>
      <c r="TFU948" s="23" t="s">
        <v>138</v>
      </c>
      <c r="TFV948" s="2" t="s">
        <v>433</v>
      </c>
      <c r="TFW948" s="3" t="s">
        <v>22</v>
      </c>
      <c r="TFX948" s="3" t="s">
        <v>23</v>
      </c>
      <c r="TFY948" s="2" t="s">
        <v>24</v>
      </c>
      <c r="TFZ948" s="4">
        <v>0</v>
      </c>
      <c r="TGA948" s="8">
        <f t="shared" ref="TGA948" si="6132">IF(TFW948="Ionizador", 10, IF(TFW948="Mesa", 1000000000, IF(TFW948="Rack", 1000000000, IF(TFW948="Piso", 1000000000, IF(TFW948="Tapete", 1000000000, IF(TFW948="Carrito", 1000000000, IF(TFW948="Cautín", 10, 1)))))))</f>
        <v>1000000000</v>
      </c>
      <c r="TGB948" s="4" t="str">
        <f t="shared" ref="TGB948" si="6133">IF(TFW948="Ionizador", "Segundos", "Ohms")</f>
        <v>Ohms</v>
      </c>
      <c r="TGC948" s="6">
        <v>148000000</v>
      </c>
      <c r="TGD948" s="6" t="str">
        <f t="shared" ref="TGD948" si="6134">TGB948</f>
        <v>Ohms</v>
      </c>
      <c r="TGE948" s="2" t="str">
        <f t="shared" ref="TGE948" si="6135">IF(TFW948="Ionizador", "Plato de carga", IF(TFW948="Cautín", "PTG", "RTG"))</f>
        <v>RTG</v>
      </c>
      <c r="TGF948" s="7">
        <v>45992</v>
      </c>
      <c r="TGG948" s="7">
        <f t="shared" ref="TGG948" si="6136">IF(TGH948="Trimestral", TGF948+90, IF(TGH948="Semestral", TGF948+180, TGF948+365))</f>
        <v>46172</v>
      </c>
      <c r="TGH948" s="7" t="str">
        <f t="shared" ref="TGH948" si="6137">IF(TFW948="Ionizador", "Trimestral", IF(TFW948="Rack", "Semestral", IF(TFW948="Mesa", "Semestral", IF(TFW948="Tapete", "Semestral", IF(TFW948="Cautín", "Semestral", IF(TFW948="Silla", "Semestral", "Anual"))))))</f>
        <v>Semestral</v>
      </c>
      <c r="TGI948" s="2" t="str">
        <f t="shared" ref="TGI948" ca="1" si="6138">IF(TGG948&lt;TODAY(),"VENCIDO",IF(TGG948=TODAY(),"VENCE HOY",IF(TGG948&gt;TODAY(),"VIGENTE")))</f>
        <v>VIGENTE</v>
      </c>
      <c r="TGJ948" s="6" t="s">
        <v>25</v>
      </c>
      <c r="TGK948" s="23" t="s">
        <v>138</v>
      </c>
      <c r="TGL948" s="2" t="s">
        <v>433</v>
      </c>
      <c r="TGM948" s="3" t="s">
        <v>22</v>
      </c>
      <c r="TGN948" s="3" t="s">
        <v>23</v>
      </c>
      <c r="TGO948" s="2" t="s">
        <v>24</v>
      </c>
      <c r="TGP948" s="4">
        <v>0</v>
      </c>
      <c r="TGQ948" s="8">
        <f t="shared" ref="TGQ948" si="6139">IF(TGM948="Ionizador", 10, IF(TGM948="Mesa", 1000000000, IF(TGM948="Rack", 1000000000, IF(TGM948="Piso", 1000000000, IF(TGM948="Tapete", 1000000000, IF(TGM948="Carrito", 1000000000, IF(TGM948="Cautín", 10, 1)))))))</f>
        <v>1000000000</v>
      </c>
      <c r="TGR948" s="4" t="str">
        <f t="shared" ref="TGR948" si="6140">IF(TGM948="Ionizador", "Segundos", "Ohms")</f>
        <v>Ohms</v>
      </c>
      <c r="TGS948" s="6">
        <v>148000000</v>
      </c>
      <c r="TGT948" s="6" t="str">
        <f t="shared" ref="TGT948" si="6141">TGR948</f>
        <v>Ohms</v>
      </c>
      <c r="TGU948" s="2" t="str">
        <f t="shared" ref="TGU948" si="6142">IF(TGM948="Ionizador", "Plato de carga", IF(TGM948="Cautín", "PTG", "RTG"))</f>
        <v>RTG</v>
      </c>
      <c r="TGV948" s="7">
        <v>45992</v>
      </c>
      <c r="TGW948" s="7">
        <f t="shared" ref="TGW948" si="6143">IF(TGX948="Trimestral", TGV948+90, IF(TGX948="Semestral", TGV948+180, TGV948+365))</f>
        <v>46172</v>
      </c>
      <c r="TGX948" s="7" t="str">
        <f t="shared" ref="TGX948" si="6144">IF(TGM948="Ionizador", "Trimestral", IF(TGM948="Rack", "Semestral", IF(TGM948="Mesa", "Semestral", IF(TGM948="Tapete", "Semestral", IF(TGM948="Cautín", "Semestral", IF(TGM948="Silla", "Semestral", "Anual"))))))</f>
        <v>Semestral</v>
      </c>
      <c r="TGY948" s="2" t="str">
        <f t="shared" ref="TGY948" ca="1" si="6145">IF(TGW948&lt;TODAY(),"VENCIDO",IF(TGW948=TODAY(),"VENCE HOY",IF(TGW948&gt;TODAY(),"VIGENTE")))</f>
        <v>VIGENTE</v>
      </c>
      <c r="TGZ948" s="6" t="s">
        <v>25</v>
      </c>
      <c r="THA948" s="23" t="s">
        <v>138</v>
      </c>
      <c r="THB948" s="2" t="s">
        <v>433</v>
      </c>
      <c r="THC948" s="3" t="s">
        <v>22</v>
      </c>
      <c r="THD948" s="3" t="s">
        <v>23</v>
      </c>
      <c r="THE948" s="2" t="s">
        <v>24</v>
      </c>
      <c r="THF948" s="4">
        <v>0</v>
      </c>
      <c r="THG948" s="8">
        <f t="shared" ref="THG948" si="6146">IF(THC948="Ionizador", 10, IF(THC948="Mesa", 1000000000, IF(THC948="Rack", 1000000000, IF(THC948="Piso", 1000000000, IF(THC948="Tapete", 1000000000, IF(THC948="Carrito", 1000000000, IF(THC948="Cautín", 10, 1)))))))</f>
        <v>1000000000</v>
      </c>
      <c r="THH948" s="4" t="str">
        <f t="shared" ref="THH948" si="6147">IF(THC948="Ionizador", "Segundos", "Ohms")</f>
        <v>Ohms</v>
      </c>
      <c r="THI948" s="6">
        <v>148000000</v>
      </c>
      <c r="THJ948" s="6" t="str">
        <f t="shared" ref="THJ948" si="6148">THH948</f>
        <v>Ohms</v>
      </c>
      <c r="THK948" s="2" t="str">
        <f t="shared" ref="THK948" si="6149">IF(THC948="Ionizador", "Plato de carga", IF(THC948="Cautín", "PTG", "RTG"))</f>
        <v>RTG</v>
      </c>
      <c r="THL948" s="7">
        <v>45992</v>
      </c>
      <c r="THM948" s="7">
        <f t="shared" ref="THM948" si="6150">IF(THN948="Trimestral", THL948+90, IF(THN948="Semestral", THL948+180, THL948+365))</f>
        <v>46172</v>
      </c>
      <c r="THN948" s="7" t="str">
        <f t="shared" ref="THN948" si="6151">IF(THC948="Ionizador", "Trimestral", IF(THC948="Rack", "Semestral", IF(THC948="Mesa", "Semestral", IF(THC948="Tapete", "Semestral", IF(THC948="Cautín", "Semestral", IF(THC948="Silla", "Semestral", "Anual"))))))</f>
        <v>Semestral</v>
      </c>
      <c r="THO948" s="2" t="str">
        <f t="shared" ref="THO948" ca="1" si="6152">IF(THM948&lt;TODAY(),"VENCIDO",IF(THM948=TODAY(),"VENCE HOY",IF(THM948&gt;TODAY(),"VIGENTE")))</f>
        <v>VIGENTE</v>
      </c>
      <c r="THP948" s="6" t="s">
        <v>25</v>
      </c>
      <c r="THQ948" s="23" t="s">
        <v>138</v>
      </c>
      <c r="THR948" s="2" t="s">
        <v>433</v>
      </c>
      <c r="THS948" s="3" t="s">
        <v>22</v>
      </c>
      <c r="THT948" s="3" t="s">
        <v>23</v>
      </c>
      <c r="THU948" s="2" t="s">
        <v>24</v>
      </c>
      <c r="THV948" s="4">
        <v>0</v>
      </c>
      <c r="THW948" s="8">
        <f t="shared" ref="THW948" si="6153">IF(THS948="Ionizador", 10, IF(THS948="Mesa", 1000000000, IF(THS948="Rack", 1000000000, IF(THS948="Piso", 1000000000, IF(THS948="Tapete", 1000000000, IF(THS948="Carrito", 1000000000, IF(THS948="Cautín", 10, 1)))))))</f>
        <v>1000000000</v>
      </c>
      <c r="THX948" s="4" t="str">
        <f t="shared" ref="THX948" si="6154">IF(THS948="Ionizador", "Segundos", "Ohms")</f>
        <v>Ohms</v>
      </c>
      <c r="THY948" s="6">
        <v>148000000</v>
      </c>
      <c r="THZ948" s="6" t="str">
        <f t="shared" ref="THZ948" si="6155">THX948</f>
        <v>Ohms</v>
      </c>
      <c r="TIA948" s="2" t="str">
        <f t="shared" ref="TIA948" si="6156">IF(THS948="Ionizador", "Plato de carga", IF(THS948="Cautín", "PTG", "RTG"))</f>
        <v>RTG</v>
      </c>
      <c r="TIB948" s="7">
        <v>45992</v>
      </c>
      <c r="TIC948" s="7">
        <f t="shared" ref="TIC948" si="6157">IF(TID948="Trimestral", TIB948+90, IF(TID948="Semestral", TIB948+180, TIB948+365))</f>
        <v>46172</v>
      </c>
      <c r="TID948" s="7" t="str">
        <f t="shared" ref="TID948" si="6158">IF(THS948="Ionizador", "Trimestral", IF(THS948="Rack", "Semestral", IF(THS948="Mesa", "Semestral", IF(THS948="Tapete", "Semestral", IF(THS948="Cautín", "Semestral", IF(THS948="Silla", "Semestral", "Anual"))))))</f>
        <v>Semestral</v>
      </c>
      <c r="TIE948" s="2" t="str">
        <f t="shared" ref="TIE948" ca="1" si="6159">IF(TIC948&lt;TODAY(),"VENCIDO",IF(TIC948=TODAY(),"VENCE HOY",IF(TIC948&gt;TODAY(),"VIGENTE")))</f>
        <v>VIGENTE</v>
      </c>
      <c r="TIF948" s="6" t="s">
        <v>25</v>
      </c>
      <c r="TIG948" s="23" t="s">
        <v>138</v>
      </c>
      <c r="TIH948" s="2" t="s">
        <v>433</v>
      </c>
      <c r="TII948" s="3" t="s">
        <v>22</v>
      </c>
      <c r="TIJ948" s="3" t="s">
        <v>23</v>
      </c>
      <c r="TIK948" s="2" t="s">
        <v>24</v>
      </c>
      <c r="TIL948" s="4">
        <v>0</v>
      </c>
      <c r="TIM948" s="8">
        <f t="shared" ref="TIM948" si="6160">IF(TII948="Ionizador", 10, IF(TII948="Mesa", 1000000000, IF(TII948="Rack", 1000000000, IF(TII948="Piso", 1000000000, IF(TII948="Tapete", 1000000000, IF(TII948="Carrito", 1000000000, IF(TII948="Cautín", 10, 1)))))))</f>
        <v>1000000000</v>
      </c>
      <c r="TIN948" s="4" t="str">
        <f t="shared" ref="TIN948" si="6161">IF(TII948="Ionizador", "Segundos", "Ohms")</f>
        <v>Ohms</v>
      </c>
      <c r="TIO948" s="6">
        <v>148000000</v>
      </c>
      <c r="TIP948" s="6" t="str">
        <f t="shared" ref="TIP948" si="6162">TIN948</f>
        <v>Ohms</v>
      </c>
      <c r="TIQ948" s="2" t="str">
        <f t="shared" ref="TIQ948" si="6163">IF(TII948="Ionizador", "Plato de carga", IF(TII948="Cautín", "PTG", "RTG"))</f>
        <v>RTG</v>
      </c>
      <c r="TIR948" s="7">
        <v>45992</v>
      </c>
      <c r="TIS948" s="7">
        <f t="shared" ref="TIS948" si="6164">IF(TIT948="Trimestral", TIR948+90, IF(TIT948="Semestral", TIR948+180, TIR948+365))</f>
        <v>46172</v>
      </c>
      <c r="TIT948" s="7" t="str">
        <f t="shared" ref="TIT948" si="6165">IF(TII948="Ionizador", "Trimestral", IF(TII948="Rack", "Semestral", IF(TII948="Mesa", "Semestral", IF(TII948="Tapete", "Semestral", IF(TII948="Cautín", "Semestral", IF(TII948="Silla", "Semestral", "Anual"))))))</f>
        <v>Semestral</v>
      </c>
      <c r="TIU948" s="2" t="str">
        <f t="shared" ref="TIU948" ca="1" si="6166">IF(TIS948&lt;TODAY(),"VENCIDO",IF(TIS948=TODAY(),"VENCE HOY",IF(TIS948&gt;TODAY(),"VIGENTE")))</f>
        <v>VIGENTE</v>
      </c>
      <c r="TIV948" s="6" t="s">
        <v>25</v>
      </c>
      <c r="TIW948" s="23" t="s">
        <v>138</v>
      </c>
      <c r="TIX948" s="2" t="s">
        <v>433</v>
      </c>
      <c r="TIY948" s="3" t="s">
        <v>22</v>
      </c>
      <c r="TIZ948" s="3" t="s">
        <v>23</v>
      </c>
      <c r="TJA948" s="2" t="s">
        <v>24</v>
      </c>
      <c r="TJB948" s="4">
        <v>0</v>
      </c>
      <c r="TJC948" s="8">
        <f t="shared" ref="TJC948" si="6167">IF(TIY948="Ionizador", 10, IF(TIY948="Mesa", 1000000000, IF(TIY948="Rack", 1000000000, IF(TIY948="Piso", 1000000000, IF(TIY948="Tapete", 1000000000, IF(TIY948="Carrito", 1000000000, IF(TIY948="Cautín", 10, 1)))))))</f>
        <v>1000000000</v>
      </c>
      <c r="TJD948" s="4" t="str">
        <f t="shared" ref="TJD948" si="6168">IF(TIY948="Ionizador", "Segundos", "Ohms")</f>
        <v>Ohms</v>
      </c>
      <c r="TJE948" s="6">
        <v>148000000</v>
      </c>
      <c r="TJF948" s="6" t="str">
        <f t="shared" ref="TJF948" si="6169">TJD948</f>
        <v>Ohms</v>
      </c>
      <c r="TJG948" s="2" t="str">
        <f t="shared" ref="TJG948" si="6170">IF(TIY948="Ionizador", "Plato de carga", IF(TIY948="Cautín", "PTG", "RTG"))</f>
        <v>RTG</v>
      </c>
      <c r="TJH948" s="7">
        <v>45992</v>
      </c>
      <c r="TJI948" s="7">
        <f t="shared" ref="TJI948" si="6171">IF(TJJ948="Trimestral", TJH948+90, IF(TJJ948="Semestral", TJH948+180, TJH948+365))</f>
        <v>46172</v>
      </c>
      <c r="TJJ948" s="7" t="str">
        <f t="shared" ref="TJJ948" si="6172">IF(TIY948="Ionizador", "Trimestral", IF(TIY948="Rack", "Semestral", IF(TIY948="Mesa", "Semestral", IF(TIY948="Tapete", "Semestral", IF(TIY948="Cautín", "Semestral", IF(TIY948="Silla", "Semestral", "Anual"))))))</f>
        <v>Semestral</v>
      </c>
      <c r="TJK948" s="2" t="str">
        <f t="shared" ref="TJK948" ca="1" si="6173">IF(TJI948&lt;TODAY(),"VENCIDO",IF(TJI948=TODAY(),"VENCE HOY",IF(TJI948&gt;TODAY(),"VIGENTE")))</f>
        <v>VIGENTE</v>
      </c>
      <c r="TJL948" s="6" t="s">
        <v>25</v>
      </c>
      <c r="TJM948" s="23" t="s">
        <v>138</v>
      </c>
      <c r="TJN948" s="2" t="s">
        <v>433</v>
      </c>
      <c r="TJO948" s="3" t="s">
        <v>22</v>
      </c>
      <c r="TJP948" s="3" t="s">
        <v>23</v>
      </c>
      <c r="TJQ948" s="2" t="s">
        <v>24</v>
      </c>
      <c r="TJR948" s="4">
        <v>0</v>
      </c>
      <c r="TJS948" s="8">
        <f t="shared" ref="TJS948" si="6174">IF(TJO948="Ionizador", 10, IF(TJO948="Mesa", 1000000000, IF(TJO948="Rack", 1000000000, IF(TJO948="Piso", 1000000000, IF(TJO948="Tapete", 1000000000, IF(TJO948="Carrito", 1000000000, IF(TJO948="Cautín", 10, 1)))))))</f>
        <v>1000000000</v>
      </c>
      <c r="TJT948" s="4" t="str">
        <f t="shared" ref="TJT948" si="6175">IF(TJO948="Ionizador", "Segundos", "Ohms")</f>
        <v>Ohms</v>
      </c>
      <c r="TJU948" s="6">
        <v>148000000</v>
      </c>
      <c r="TJV948" s="6" t="str">
        <f t="shared" ref="TJV948" si="6176">TJT948</f>
        <v>Ohms</v>
      </c>
      <c r="TJW948" s="2" t="str">
        <f t="shared" ref="TJW948" si="6177">IF(TJO948="Ionizador", "Plato de carga", IF(TJO948="Cautín", "PTG", "RTG"))</f>
        <v>RTG</v>
      </c>
      <c r="TJX948" s="7">
        <v>45992</v>
      </c>
      <c r="TJY948" s="7">
        <f t="shared" ref="TJY948" si="6178">IF(TJZ948="Trimestral", TJX948+90, IF(TJZ948="Semestral", TJX948+180, TJX948+365))</f>
        <v>46172</v>
      </c>
      <c r="TJZ948" s="7" t="str">
        <f t="shared" ref="TJZ948" si="6179">IF(TJO948="Ionizador", "Trimestral", IF(TJO948="Rack", "Semestral", IF(TJO948="Mesa", "Semestral", IF(TJO948="Tapete", "Semestral", IF(TJO948="Cautín", "Semestral", IF(TJO948="Silla", "Semestral", "Anual"))))))</f>
        <v>Semestral</v>
      </c>
      <c r="TKA948" s="2" t="str">
        <f t="shared" ref="TKA948" ca="1" si="6180">IF(TJY948&lt;TODAY(),"VENCIDO",IF(TJY948=TODAY(),"VENCE HOY",IF(TJY948&gt;TODAY(),"VIGENTE")))</f>
        <v>VIGENTE</v>
      </c>
      <c r="TKB948" s="6" t="s">
        <v>25</v>
      </c>
      <c r="TKC948" s="23" t="s">
        <v>138</v>
      </c>
      <c r="TKD948" s="2" t="s">
        <v>433</v>
      </c>
      <c r="TKE948" s="3" t="s">
        <v>22</v>
      </c>
      <c r="TKF948" s="3" t="s">
        <v>23</v>
      </c>
      <c r="TKG948" s="2" t="s">
        <v>24</v>
      </c>
      <c r="TKH948" s="4">
        <v>0</v>
      </c>
      <c r="TKI948" s="8">
        <f t="shared" ref="TKI948" si="6181">IF(TKE948="Ionizador", 10, IF(TKE948="Mesa", 1000000000, IF(TKE948="Rack", 1000000000, IF(TKE948="Piso", 1000000000, IF(TKE948="Tapete", 1000000000, IF(TKE948="Carrito", 1000000000, IF(TKE948="Cautín", 10, 1)))))))</f>
        <v>1000000000</v>
      </c>
      <c r="TKJ948" s="4" t="str">
        <f t="shared" ref="TKJ948" si="6182">IF(TKE948="Ionizador", "Segundos", "Ohms")</f>
        <v>Ohms</v>
      </c>
      <c r="TKK948" s="6">
        <v>148000000</v>
      </c>
      <c r="TKL948" s="6" t="str">
        <f t="shared" ref="TKL948" si="6183">TKJ948</f>
        <v>Ohms</v>
      </c>
      <c r="TKM948" s="2" t="str">
        <f t="shared" ref="TKM948" si="6184">IF(TKE948="Ionizador", "Plato de carga", IF(TKE948="Cautín", "PTG", "RTG"))</f>
        <v>RTG</v>
      </c>
      <c r="TKN948" s="7">
        <v>45992</v>
      </c>
      <c r="TKO948" s="7">
        <f t="shared" ref="TKO948" si="6185">IF(TKP948="Trimestral", TKN948+90, IF(TKP948="Semestral", TKN948+180, TKN948+365))</f>
        <v>46172</v>
      </c>
      <c r="TKP948" s="7" t="str">
        <f t="shared" ref="TKP948" si="6186">IF(TKE948="Ionizador", "Trimestral", IF(TKE948="Rack", "Semestral", IF(TKE948="Mesa", "Semestral", IF(TKE948="Tapete", "Semestral", IF(TKE948="Cautín", "Semestral", IF(TKE948="Silla", "Semestral", "Anual"))))))</f>
        <v>Semestral</v>
      </c>
      <c r="TKQ948" s="2" t="str">
        <f t="shared" ref="TKQ948" ca="1" si="6187">IF(TKO948&lt;TODAY(),"VENCIDO",IF(TKO948=TODAY(),"VENCE HOY",IF(TKO948&gt;TODAY(),"VIGENTE")))</f>
        <v>VIGENTE</v>
      </c>
      <c r="TKR948" s="6" t="s">
        <v>25</v>
      </c>
      <c r="TKS948" s="23" t="s">
        <v>138</v>
      </c>
      <c r="TKT948" s="2" t="s">
        <v>433</v>
      </c>
      <c r="TKU948" s="3" t="s">
        <v>22</v>
      </c>
      <c r="TKV948" s="3" t="s">
        <v>23</v>
      </c>
      <c r="TKW948" s="2" t="s">
        <v>24</v>
      </c>
      <c r="TKX948" s="4">
        <v>0</v>
      </c>
      <c r="TKY948" s="8">
        <f t="shared" ref="TKY948" si="6188">IF(TKU948="Ionizador", 10, IF(TKU948="Mesa", 1000000000, IF(TKU948="Rack", 1000000000, IF(TKU948="Piso", 1000000000, IF(TKU948="Tapete", 1000000000, IF(TKU948="Carrito", 1000000000, IF(TKU948="Cautín", 10, 1)))))))</f>
        <v>1000000000</v>
      </c>
      <c r="TKZ948" s="4" t="str">
        <f t="shared" ref="TKZ948" si="6189">IF(TKU948="Ionizador", "Segundos", "Ohms")</f>
        <v>Ohms</v>
      </c>
      <c r="TLA948" s="6">
        <v>148000000</v>
      </c>
      <c r="TLB948" s="6" t="str">
        <f t="shared" ref="TLB948" si="6190">TKZ948</f>
        <v>Ohms</v>
      </c>
      <c r="TLC948" s="2" t="str">
        <f t="shared" ref="TLC948" si="6191">IF(TKU948="Ionizador", "Plato de carga", IF(TKU948="Cautín", "PTG", "RTG"))</f>
        <v>RTG</v>
      </c>
      <c r="TLD948" s="7">
        <v>45992</v>
      </c>
      <c r="TLE948" s="7">
        <f t="shared" ref="TLE948" si="6192">IF(TLF948="Trimestral", TLD948+90, IF(TLF948="Semestral", TLD948+180, TLD948+365))</f>
        <v>46172</v>
      </c>
      <c r="TLF948" s="7" t="str">
        <f t="shared" ref="TLF948" si="6193">IF(TKU948="Ionizador", "Trimestral", IF(TKU948="Rack", "Semestral", IF(TKU948="Mesa", "Semestral", IF(TKU948="Tapete", "Semestral", IF(TKU948="Cautín", "Semestral", IF(TKU948="Silla", "Semestral", "Anual"))))))</f>
        <v>Semestral</v>
      </c>
      <c r="TLG948" s="2" t="str">
        <f t="shared" ref="TLG948" ca="1" si="6194">IF(TLE948&lt;TODAY(),"VENCIDO",IF(TLE948=TODAY(),"VENCE HOY",IF(TLE948&gt;TODAY(),"VIGENTE")))</f>
        <v>VIGENTE</v>
      </c>
      <c r="TLH948" s="6" t="s">
        <v>25</v>
      </c>
      <c r="TLI948" s="23" t="s">
        <v>138</v>
      </c>
      <c r="TLJ948" s="2" t="s">
        <v>433</v>
      </c>
      <c r="TLK948" s="3" t="s">
        <v>22</v>
      </c>
      <c r="TLL948" s="3" t="s">
        <v>23</v>
      </c>
      <c r="TLM948" s="2" t="s">
        <v>24</v>
      </c>
      <c r="TLN948" s="4">
        <v>0</v>
      </c>
      <c r="TLO948" s="8">
        <f t="shared" ref="TLO948" si="6195">IF(TLK948="Ionizador", 10, IF(TLK948="Mesa", 1000000000, IF(TLK948="Rack", 1000000000, IF(TLK948="Piso", 1000000000, IF(TLK948="Tapete", 1000000000, IF(TLK948="Carrito", 1000000000, IF(TLK948="Cautín", 10, 1)))))))</f>
        <v>1000000000</v>
      </c>
      <c r="TLP948" s="4" t="str">
        <f t="shared" ref="TLP948" si="6196">IF(TLK948="Ionizador", "Segundos", "Ohms")</f>
        <v>Ohms</v>
      </c>
      <c r="TLQ948" s="6">
        <v>148000000</v>
      </c>
      <c r="TLR948" s="6" t="str">
        <f t="shared" ref="TLR948" si="6197">TLP948</f>
        <v>Ohms</v>
      </c>
      <c r="TLS948" s="2" t="str">
        <f t="shared" ref="TLS948" si="6198">IF(TLK948="Ionizador", "Plato de carga", IF(TLK948="Cautín", "PTG", "RTG"))</f>
        <v>RTG</v>
      </c>
      <c r="TLT948" s="7">
        <v>45992</v>
      </c>
      <c r="TLU948" s="7">
        <f t="shared" ref="TLU948" si="6199">IF(TLV948="Trimestral", TLT948+90, IF(TLV948="Semestral", TLT948+180, TLT948+365))</f>
        <v>46172</v>
      </c>
      <c r="TLV948" s="7" t="str">
        <f t="shared" ref="TLV948" si="6200">IF(TLK948="Ionizador", "Trimestral", IF(TLK948="Rack", "Semestral", IF(TLK948="Mesa", "Semestral", IF(TLK948="Tapete", "Semestral", IF(TLK948="Cautín", "Semestral", IF(TLK948="Silla", "Semestral", "Anual"))))))</f>
        <v>Semestral</v>
      </c>
      <c r="TLW948" s="2" t="str">
        <f t="shared" ref="TLW948" ca="1" si="6201">IF(TLU948&lt;TODAY(),"VENCIDO",IF(TLU948=TODAY(),"VENCE HOY",IF(TLU948&gt;TODAY(),"VIGENTE")))</f>
        <v>VIGENTE</v>
      </c>
      <c r="TLX948" s="6" t="s">
        <v>25</v>
      </c>
      <c r="TLY948" s="23" t="s">
        <v>138</v>
      </c>
      <c r="TLZ948" s="2" t="s">
        <v>433</v>
      </c>
      <c r="TMA948" s="3" t="s">
        <v>22</v>
      </c>
      <c r="TMB948" s="3" t="s">
        <v>23</v>
      </c>
      <c r="TMC948" s="2" t="s">
        <v>24</v>
      </c>
      <c r="TMD948" s="4">
        <v>0</v>
      </c>
      <c r="TME948" s="8">
        <f t="shared" ref="TME948" si="6202">IF(TMA948="Ionizador", 10, IF(TMA948="Mesa", 1000000000, IF(TMA948="Rack", 1000000000, IF(TMA948="Piso", 1000000000, IF(TMA948="Tapete", 1000000000, IF(TMA948="Carrito", 1000000000, IF(TMA948="Cautín", 10, 1)))))))</f>
        <v>1000000000</v>
      </c>
      <c r="TMF948" s="4" t="str">
        <f t="shared" ref="TMF948" si="6203">IF(TMA948="Ionizador", "Segundos", "Ohms")</f>
        <v>Ohms</v>
      </c>
      <c r="TMG948" s="6">
        <v>148000000</v>
      </c>
      <c r="TMH948" s="6" t="str">
        <f t="shared" ref="TMH948" si="6204">TMF948</f>
        <v>Ohms</v>
      </c>
      <c r="TMI948" s="2" t="str">
        <f t="shared" ref="TMI948" si="6205">IF(TMA948="Ionizador", "Plato de carga", IF(TMA948="Cautín", "PTG", "RTG"))</f>
        <v>RTG</v>
      </c>
      <c r="TMJ948" s="7">
        <v>45992</v>
      </c>
      <c r="TMK948" s="7">
        <f t="shared" ref="TMK948" si="6206">IF(TML948="Trimestral", TMJ948+90, IF(TML948="Semestral", TMJ948+180, TMJ948+365))</f>
        <v>46172</v>
      </c>
      <c r="TML948" s="7" t="str">
        <f t="shared" ref="TML948" si="6207">IF(TMA948="Ionizador", "Trimestral", IF(TMA948="Rack", "Semestral", IF(TMA948="Mesa", "Semestral", IF(TMA948="Tapete", "Semestral", IF(TMA948="Cautín", "Semestral", IF(TMA948="Silla", "Semestral", "Anual"))))))</f>
        <v>Semestral</v>
      </c>
      <c r="TMM948" s="2" t="str">
        <f t="shared" ref="TMM948" ca="1" si="6208">IF(TMK948&lt;TODAY(),"VENCIDO",IF(TMK948=TODAY(),"VENCE HOY",IF(TMK948&gt;TODAY(),"VIGENTE")))</f>
        <v>VIGENTE</v>
      </c>
      <c r="TMN948" s="6" t="s">
        <v>25</v>
      </c>
      <c r="TMO948" s="23" t="s">
        <v>138</v>
      </c>
      <c r="TMP948" s="2" t="s">
        <v>433</v>
      </c>
      <c r="TMQ948" s="3" t="s">
        <v>22</v>
      </c>
      <c r="TMR948" s="3" t="s">
        <v>23</v>
      </c>
      <c r="TMS948" s="2" t="s">
        <v>24</v>
      </c>
      <c r="TMT948" s="4">
        <v>0</v>
      </c>
      <c r="TMU948" s="8">
        <f t="shared" ref="TMU948" si="6209">IF(TMQ948="Ionizador", 10, IF(TMQ948="Mesa", 1000000000, IF(TMQ948="Rack", 1000000000, IF(TMQ948="Piso", 1000000000, IF(TMQ948="Tapete", 1000000000, IF(TMQ948="Carrito", 1000000000, IF(TMQ948="Cautín", 10, 1)))))))</f>
        <v>1000000000</v>
      </c>
      <c r="TMV948" s="4" t="str">
        <f t="shared" ref="TMV948" si="6210">IF(TMQ948="Ionizador", "Segundos", "Ohms")</f>
        <v>Ohms</v>
      </c>
      <c r="TMW948" s="6">
        <v>148000000</v>
      </c>
      <c r="TMX948" s="6" t="str">
        <f t="shared" ref="TMX948" si="6211">TMV948</f>
        <v>Ohms</v>
      </c>
      <c r="TMY948" s="2" t="str">
        <f t="shared" ref="TMY948" si="6212">IF(TMQ948="Ionizador", "Plato de carga", IF(TMQ948="Cautín", "PTG", "RTG"))</f>
        <v>RTG</v>
      </c>
      <c r="TMZ948" s="7">
        <v>45992</v>
      </c>
      <c r="TNA948" s="7">
        <f t="shared" ref="TNA948" si="6213">IF(TNB948="Trimestral", TMZ948+90, IF(TNB948="Semestral", TMZ948+180, TMZ948+365))</f>
        <v>46172</v>
      </c>
      <c r="TNB948" s="7" t="str">
        <f t="shared" ref="TNB948" si="6214">IF(TMQ948="Ionizador", "Trimestral", IF(TMQ948="Rack", "Semestral", IF(TMQ948="Mesa", "Semestral", IF(TMQ948="Tapete", "Semestral", IF(TMQ948="Cautín", "Semestral", IF(TMQ948="Silla", "Semestral", "Anual"))))))</f>
        <v>Semestral</v>
      </c>
      <c r="TNC948" s="2" t="str">
        <f t="shared" ref="TNC948" ca="1" si="6215">IF(TNA948&lt;TODAY(),"VENCIDO",IF(TNA948=TODAY(),"VENCE HOY",IF(TNA948&gt;TODAY(),"VIGENTE")))</f>
        <v>VIGENTE</v>
      </c>
      <c r="TND948" s="6" t="s">
        <v>25</v>
      </c>
      <c r="TNE948" s="23" t="s">
        <v>138</v>
      </c>
      <c r="TNF948" s="2" t="s">
        <v>433</v>
      </c>
      <c r="TNG948" s="3" t="s">
        <v>22</v>
      </c>
      <c r="TNH948" s="3" t="s">
        <v>23</v>
      </c>
      <c r="TNI948" s="2" t="s">
        <v>24</v>
      </c>
      <c r="TNJ948" s="4">
        <v>0</v>
      </c>
      <c r="TNK948" s="8">
        <f t="shared" ref="TNK948" si="6216">IF(TNG948="Ionizador", 10, IF(TNG948="Mesa", 1000000000, IF(TNG948="Rack", 1000000000, IF(TNG948="Piso", 1000000000, IF(TNG948="Tapete", 1000000000, IF(TNG948="Carrito", 1000000000, IF(TNG948="Cautín", 10, 1)))))))</f>
        <v>1000000000</v>
      </c>
      <c r="TNL948" s="4" t="str">
        <f t="shared" ref="TNL948" si="6217">IF(TNG948="Ionizador", "Segundos", "Ohms")</f>
        <v>Ohms</v>
      </c>
      <c r="TNM948" s="6">
        <v>148000000</v>
      </c>
      <c r="TNN948" s="6" t="str">
        <f t="shared" ref="TNN948" si="6218">TNL948</f>
        <v>Ohms</v>
      </c>
      <c r="TNO948" s="2" t="str">
        <f t="shared" ref="TNO948" si="6219">IF(TNG948="Ionizador", "Plato de carga", IF(TNG948="Cautín", "PTG", "RTG"))</f>
        <v>RTG</v>
      </c>
      <c r="TNP948" s="7">
        <v>45992</v>
      </c>
      <c r="TNQ948" s="7">
        <f t="shared" ref="TNQ948" si="6220">IF(TNR948="Trimestral", TNP948+90, IF(TNR948="Semestral", TNP948+180, TNP948+365))</f>
        <v>46172</v>
      </c>
      <c r="TNR948" s="7" t="str">
        <f t="shared" ref="TNR948" si="6221">IF(TNG948="Ionizador", "Trimestral", IF(TNG948="Rack", "Semestral", IF(TNG948="Mesa", "Semestral", IF(TNG948="Tapete", "Semestral", IF(TNG948="Cautín", "Semestral", IF(TNG948="Silla", "Semestral", "Anual"))))))</f>
        <v>Semestral</v>
      </c>
      <c r="TNS948" s="2" t="str">
        <f t="shared" ref="TNS948" ca="1" si="6222">IF(TNQ948&lt;TODAY(),"VENCIDO",IF(TNQ948=TODAY(),"VENCE HOY",IF(TNQ948&gt;TODAY(),"VIGENTE")))</f>
        <v>VIGENTE</v>
      </c>
      <c r="TNT948" s="6" t="s">
        <v>25</v>
      </c>
      <c r="TNU948" s="23" t="s">
        <v>138</v>
      </c>
      <c r="TNV948" s="2" t="s">
        <v>433</v>
      </c>
      <c r="TNW948" s="3" t="s">
        <v>22</v>
      </c>
      <c r="TNX948" s="3" t="s">
        <v>23</v>
      </c>
      <c r="TNY948" s="2" t="s">
        <v>24</v>
      </c>
      <c r="TNZ948" s="4">
        <v>0</v>
      </c>
      <c r="TOA948" s="8">
        <f t="shared" ref="TOA948" si="6223">IF(TNW948="Ionizador", 10, IF(TNW948="Mesa", 1000000000, IF(TNW948="Rack", 1000000000, IF(TNW948="Piso", 1000000000, IF(TNW948="Tapete", 1000000000, IF(TNW948="Carrito", 1000000000, IF(TNW948="Cautín", 10, 1)))))))</f>
        <v>1000000000</v>
      </c>
      <c r="TOB948" s="4" t="str">
        <f t="shared" ref="TOB948" si="6224">IF(TNW948="Ionizador", "Segundos", "Ohms")</f>
        <v>Ohms</v>
      </c>
      <c r="TOC948" s="6">
        <v>148000000</v>
      </c>
      <c r="TOD948" s="6" t="str">
        <f t="shared" ref="TOD948" si="6225">TOB948</f>
        <v>Ohms</v>
      </c>
      <c r="TOE948" s="2" t="str">
        <f t="shared" ref="TOE948" si="6226">IF(TNW948="Ionizador", "Plato de carga", IF(TNW948="Cautín", "PTG", "RTG"))</f>
        <v>RTG</v>
      </c>
      <c r="TOF948" s="7">
        <v>45992</v>
      </c>
      <c r="TOG948" s="7">
        <f t="shared" ref="TOG948" si="6227">IF(TOH948="Trimestral", TOF948+90, IF(TOH948="Semestral", TOF948+180, TOF948+365))</f>
        <v>46172</v>
      </c>
      <c r="TOH948" s="7" t="str">
        <f t="shared" ref="TOH948" si="6228">IF(TNW948="Ionizador", "Trimestral", IF(TNW948="Rack", "Semestral", IF(TNW948="Mesa", "Semestral", IF(TNW948="Tapete", "Semestral", IF(TNW948="Cautín", "Semestral", IF(TNW948="Silla", "Semestral", "Anual"))))))</f>
        <v>Semestral</v>
      </c>
      <c r="TOI948" s="2" t="str">
        <f t="shared" ref="TOI948" ca="1" si="6229">IF(TOG948&lt;TODAY(),"VENCIDO",IF(TOG948=TODAY(),"VENCE HOY",IF(TOG948&gt;TODAY(),"VIGENTE")))</f>
        <v>VIGENTE</v>
      </c>
      <c r="TOJ948" s="6" t="s">
        <v>25</v>
      </c>
      <c r="TOK948" s="23" t="s">
        <v>138</v>
      </c>
      <c r="TOL948" s="2" t="s">
        <v>433</v>
      </c>
      <c r="TOM948" s="3" t="s">
        <v>22</v>
      </c>
      <c r="TON948" s="3" t="s">
        <v>23</v>
      </c>
      <c r="TOO948" s="2" t="s">
        <v>24</v>
      </c>
      <c r="TOP948" s="4">
        <v>0</v>
      </c>
      <c r="TOQ948" s="8">
        <f t="shared" ref="TOQ948" si="6230">IF(TOM948="Ionizador", 10, IF(TOM948="Mesa", 1000000000, IF(TOM948="Rack", 1000000000, IF(TOM948="Piso", 1000000000, IF(TOM948="Tapete", 1000000000, IF(TOM948="Carrito", 1000000000, IF(TOM948="Cautín", 10, 1)))))))</f>
        <v>1000000000</v>
      </c>
      <c r="TOR948" s="4" t="str">
        <f t="shared" ref="TOR948" si="6231">IF(TOM948="Ionizador", "Segundos", "Ohms")</f>
        <v>Ohms</v>
      </c>
      <c r="TOS948" s="6">
        <v>148000000</v>
      </c>
      <c r="TOT948" s="6" t="str">
        <f t="shared" ref="TOT948" si="6232">TOR948</f>
        <v>Ohms</v>
      </c>
      <c r="TOU948" s="2" t="str">
        <f t="shared" ref="TOU948" si="6233">IF(TOM948="Ionizador", "Plato de carga", IF(TOM948="Cautín", "PTG", "RTG"))</f>
        <v>RTG</v>
      </c>
      <c r="TOV948" s="7">
        <v>45992</v>
      </c>
      <c r="TOW948" s="7">
        <f t="shared" ref="TOW948" si="6234">IF(TOX948="Trimestral", TOV948+90, IF(TOX948="Semestral", TOV948+180, TOV948+365))</f>
        <v>46172</v>
      </c>
      <c r="TOX948" s="7" t="str">
        <f t="shared" ref="TOX948" si="6235">IF(TOM948="Ionizador", "Trimestral", IF(TOM948="Rack", "Semestral", IF(TOM948="Mesa", "Semestral", IF(TOM948="Tapete", "Semestral", IF(TOM948="Cautín", "Semestral", IF(TOM948="Silla", "Semestral", "Anual"))))))</f>
        <v>Semestral</v>
      </c>
      <c r="TOY948" s="2" t="str">
        <f t="shared" ref="TOY948" ca="1" si="6236">IF(TOW948&lt;TODAY(),"VENCIDO",IF(TOW948=TODAY(),"VENCE HOY",IF(TOW948&gt;TODAY(),"VIGENTE")))</f>
        <v>VIGENTE</v>
      </c>
      <c r="TOZ948" s="6" t="s">
        <v>25</v>
      </c>
      <c r="TPA948" s="23" t="s">
        <v>138</v>
      </c>
      <c r="TPB948" s="2" t="s">
        <v>433</v>
      </c>
      <c r="TPC948" s="3" t="s">
        <v>22</v>
      </c>
      <c r="TPD948" s="3" t="s">
        <v>23</v>
      </c>
      <c r="TPE948" s="2" t="s">
        <v>24</v>
      </c>
      <c r="TPF948" s="4">
        <v>0</v>
      </c>
      <c r="TPG948" s="8">
        <f t="shared" ref="TPG948" si="6237">IF(TPC948="Ionizador", 10, IF(TPC948="Mesa", 1000000000, IF(TPC948="Rack", 1000000000, IF(TPC948="Piso", 1000000000, IF(TPC948="Tapete", 1000000000, IF(TPC948="Carrito", 1000000000, IF(TPC948="Cautín", 10, 1)))))))</f>
        <v>1000000000</v>
      </c>
      <c r="TPH948" s="4" t="str">
        <f t="shared" ref="TPH948" si="6238">IF(TPC948="Ionizador", "Segundos", "Ohms")</f>
        <v>Ohms</v>
      </c>
      <c r="TPI948" s="6">
        <v>148000000</v>
      </c>
      <c r="TPJ948" s="6" t="str">
        <f t="shared" ref="TPJ948" si="6239">TPH948</f>
        <v>Ohms</v>
      </c>
      <c r="TPK948" s="2" t="str">
        <f t="shared" ref="TPK948" si="6240">IF(TPC948="Ionizador", "Plato de carga", IF(TPC948="Cautín", "PTG", "RTG"))</f>
        <v>RTG</v>
      </c>
      <c r="TPL948" s="7">
        <v>45992</v>
      </c>
      <c r="TPM948" s="7">
        <f t="shared" ref="TPM948" si="6241">IF(TPN948="Trimestral", TPL948+90, IF(TPN948="Semestral", TPL948+180, TPL948+365))</f>
        <v>46172</v>
      </c>
      <c r="TPN948" s="7" t="str">
        <f t="shared" ref="TPN948" si="6242">IF(TPC948="Ionizador", "Trimestral", IF(TPC948="Rack", "Semestral", IF(TPC948="Mesa", "Semestral", IF(TPC948="Tapete", "Semestral", IF(TPC948="Cautín", "Semestral", IF(TPC948="Silla", "Semestral", "Anual"))))))</f>
        <v>Semestral</v>
      </c>
      <c r="TPO948" s="2" t="str">
        <f t="shared" ref="TPO948" ca="1" si="6243">IF(TPM948&lt;TODAY(),"VENCIDO",IF(TPM948=TODAY(),"VENCE HOY",IF(TPM948&gt;TODAY(),"VIGENTE")))</f>
        <v>VIGENTE</v>
      </c>
      <c r="TPP948" s="6" t="s">
        <v>25</v>
      </c>
      <c r="TPQ948" s="23" t="s">
        <v>138</v>
      </c>
      <c r="TPR948" s="2" t="s">
        <v>433</v>
      </c>
      <c r="TPS948" s="3" t="s">
        <v>22</v>
      </c>
      <c r="TPT948" s="3" t="s">
        <v>23</v>
      </c>
      <c r="TPU948" s="2" t="s">
        <v>24</v>
      </c>
      <c r="TPV948" s="4">
        <v>0</v>
      </c>
      <c r="TPW948" s="8">
        <f t="shared" ref="TPW948" si="6244">IF(TPS948="Ionizador", 10, IF(TPS948="Mesa", 1000000000, IF(TPS948="Rack", 1000000000, IF(TPS948="Piso", 1000000000, IF(TPS948="Tapete", 1000000000, IF(TPS948="Carrito", 1000000000, IF(TPS948="Cautín", 10, 1)))))))</f>
        <v>1000000000</v>
      </c>
      <c r="TPX948" s="4" t="str">
        <f t="shared" ref="TPX948" si="6245">IF(TPS948="Ionizador", "Segundos", "Ohms")</f>
        <v>Ohms</v>
      </c>
      <c r="TPY948" s="6">
        <v>148000000</v>
      </c>
      <c r="TPZ948" s="6" t="str">
        <f t="shared" ref="TPZ948" si="6246">TPX948</f>
        <v>Ohms</v>
      </c>
      <c r="TQA948" s="2" t="str">
        <f t="shared" ref="TQA948" si="6247">IF(TPS948="Ionizador", "Plato de carga", IF(TPS948="Cautín", "PTG", "RTG"))</f>
        <v>RTG</v>
      </c>
      <c r="TQB948" s="7">
        <v>45992</v>
      </c>
      <c r="TQC948" s="7">
        <f t="shared" ref="TQC948" si="6248">IF(TQD948="Trimestral", TQB948+90, IF(TQD948="Semestral", TQB948+180, TQB948+365))</f>
        <v>46172</v>
      </c>
      <c r="TQD948" s="7" t="str">
        <f t="shared" ref="TQD948" si="6249">IF(TPS948="Ionizador", "Trimestral", IF(TPS948="Rack", "Semestral", IF(TPS948="Mesa", "Semestral", IF(TPS948="Tapete", "Semestral", IF(TPS948="Cautín", "Semestral", IF(TPS948="Silla", "Semestral", "Anual"))))))</f>
        <v>Semestral</v>
      </c>
      <c r="TQE948" s="2" t="str">
        <f t="shared" ref="TQE948" ca="1" si="6250">IF(TQC948&lt;TODAY(),"VENCIDO",IF(TQC948=TODAY(),"VENCE HOY",IF(TQC948&gt;TODAY(),"VIGENTE")))</f>
        <v>VIGENTE</v>
      </c>
      <c r="TQF948" s="6" t="s">
        <v>25</v>
      </c>
      <c r="TQG948" s="23" t="s">
        <v>138</v>
      </c>
      <c r="TQH948" s="2" t="s">
        <v>433</v>
      </c>
      <c r="TQI948" s="3" t="s">
        <v>22</v>
      </c>
      <c r="TQJ948" s="3" t="s">
        <v>23</v>
      </c>
      <c r="TQK948" s="2" t="s">
        <v>24</v>
      </c>
      <c r="TQL948" s="4">
        <v>0</v>
      </c>
      <c r="TQM948" s="8">
        <f t="shared" ref="TQM948" si="6251">IF(TQI948="Ionizador", 10, IF(TQI948="Mesa", 1000000000, IF(TQI948="Rack", 1000000000, IF(TQI948="Piso", 1000000000, IF(TQI948="Tapete", 1000000000, IF(TQI948="Carrito", 1000000000, IF(TQI948="Cautín", 10, 1)))))))</f>
        <v>1000000000</v>
      </c>
      <c r="TQN948" s="4" t="str">
        <f t="shared" ref="TQN948" si="6252">IF(TQI948="Ionizador", "Segundos", "Ohms")</f>
        <v>Ohms</v>
      </c>
      <c r="TQO948" s="6">
        <v>148000000</v>
      </c>
      <c r="TQP948" s="6" t="str">
        <f t="shared" ref="TQP948" si="6253">TQN948</f>
        <v>Ohms</v>
      </c>
      <c r="TQQ948" s="2" t="str">
        <f t="shared" ref="TQQ948" si="6254">IF(TQI948="Ionizador", "Plato de carga", IF(TQI948="Cautín", "PTG", "RTG"))</f>
        <v>RTG</v>
      </c>
      <c r="TQR948" s="7">
        <v>45992</v>
      </c>
      <c r="TQS948" s="7">
        <f t="shared" ref="TQS948" si="6255">IF(TQT948="Trimestral", TQR948+90, IF(TQT948="Semestral", TQR948+180, TQR948+365))</f>
        <v>46172</v>
      </c>
      <c r="TQT948" s="7" t="str">
        <f t="shared" ref="TQT948" si="6256">IF(TQI948="Ionizador", "Trimestral", IF(TQI948="Rack", "Semestral", IF(TQI948="Mesa", "Semestral", IF(TQI948="Tapete", "Semestral", IF(TQI948="Cautín", "Semestral", IF(TQI948="Silla", "Semestral", "Anual"))))))</f>
        <v>Semestral</v>
      </c>
      <c r="TQU948" s="2" t="str">
        <f t="shared" ref="TQU948" ca="1" si="6257">IF(TQS948&lt;TODAY(),"VENCIDO",IF(TQS948=TODAY(),"VENCE HOY",IF(TQS948&gt;TODAY(),"VIGENTE")))</f>
        <v>VIGENTE</v>
      </c>
      <c r="TQV948" s="6" t="s">
        <v>25</v>
      </c>
      <c r="TQW948" s="23" t="s">
        <v>138</v>
      </c>
      <c r="TQX948" s="2" t="s">
        <v>433</v>
      </c>
      <c r="TQY948" s="3" t="s">
        <v>22</v>
      </c>
      <c r="TQZ948" s="3" t="s">
        <v>23</v>
      </c>
      <c r="TRA948" s="2" t="s">
        <v>24</v>
      </c>
      <c r="TRB948" s="4">
        <v>0</v>
      </c>
      <c r="TRC948" s="8">
        <f t="shared" ref="TRC948" si="6258">IF(TQY948="Ionizador", 10, IF(TQY948="Mesa", 1000000000, IF(TQY948="Rack", 1000000000, IF(TQY948="Piso", 1000000000, IF(TQY948="Tapete", 1000000000, IF(TQY948="Carrito", 1000000000, IF(TQY948="Cautín", 10, 1)))))))</f>
        <v>1000000000</v>
      </c>
      <c r="TRD948" s="4" t="str">
        <f t="shared" ref="TRD948" si="6259">IF(TQY948="Ionizador", "Segundos", "Ohms")</f>
        <v>Ohms</v>
      </c>
      <c r="TRE948" s="6">
        <v>148000000</v>
      </c>
      <c r="TRF948" s="6" t="str">
        <f t="shared" ref="TRF948" si="6260">TRD948</f>
        <v>Ohms</v>
      </c>
      <c r="TRG948" s="2" t="str">
        <f t="shared" ref="TRG948" si="6261">IF(TQY948="Ionizador", "Plato de carga", IF(TQY948="Cautín", "PTG", "RTG"))</f>
        <v>RTG</v>
      </c>
      <c r="TRH948" s="7">
        <v>45992</v>
      </c>
      <c r="TRI948" s="7">
        <f t="shared" ref="TRI948" si="6262">IF(TRJ948="Trimestral", TRH948+90, IF(TRJ948="Semestral", TRH948+180, TRH948+365))</f>
        <v>46172</v>
      </c>
      <c r="TRJ948" s="7" t="str">
        <f t="shared" ref="TRJ948" si="6263">IF(TQY948="Ionizador", "Trimestral", IF(TQY948="Rack", "Semestral", IF(TQY948="Mesa", "Semestral", IF(TQY948="Tapete", "Semestral", IF(TQY948="Cautín", "Semestral", IF(TQY948="Silla", "Semestral", "Anual"))))))</f>
        <v>Semestral</v>
      </c>
      <c r="TRK948" s="2" t="str">
        <f t="shared" ref="TRK948" ca="1" si="6264">IF(TRI948&lt;TODAY(),"VENCIDO",IF(TRI948=TODAY(),"VENCE HOY",IF(TRI948&gt;TODAY(),"VIGENTE")))</f>
        <v>VIGENTE</v>
      </c>
      <c r="TRL948" s="6" t="s">
        <v>25</v>
      </c>
      <c r="TRM948" s="23" t="s">
        <v>138</v>
      </c>
      <c r="TRN948" s="2" t="s">
        <v>433</v>
      </c>
      <c r="TRO948" s="3" t="s">
        <v>22</v>
      </c>
      <c r="TRP948" s="3" t="s">
        <v>23</v>
      </c>
      <c r="TRQ948" s="2" t="s">
        <v>24</v>
      </c>
      <c r="TRR948" s="4">
        <v>0</v>
      </c>
      <c r="TRS948" s="8">
        <f t="shared" ref="TRS948" si="6265">IF(TRO948="Ionizador", 10, IF(TRO948="Mesa", 1000000000, IF(TRO948="Rack", 1000000000, IF(TRO948="Piso", 1000000000, IF(TRO948="Tapete", 1000000000, IF(TRO948="Carrito", 1000000000, IF(TRO948="Cautín", 10, 1)))))))</f>
        <v>1000000000</v>
      </c>
      <c r="TRT948" s="4" t="str">
        <f t="shared" ref="TRT948" si="6266">IF(TRO948="Ionizador", "Segundos", "Ohms")</f>
        <v>Ohms</v>
      </c>
      <c r="TRU948" s="6">
        <v>148000000</v>
      </c>
      <c r="TRV948" s="6" t="str">
        <f t="shared" ref="TRV948" si="6267">TRT948</f>
        <v>Ohms</v>
      </c>
      <c r="TRW948" s="2" t="str">
        <f t="shared" ref="TRW948" si="6268">IF(TRO948="Ionizador", "Plato de carga", IF(TRO948="Cautín", "PTG", "RTG"))</f>
        <v>RTG</v>
      </c>
      <c r="TRX948" s="7">
        <v>45992</v>
      </c>
      <c r="TRY948" s="7">
        <f t="shared" ref="TRY948" si="6269">IF(TRZ948="Trimestral", TRX948+90, IF(TRZ948="Semestral", TRX948+180, TRX948+365))</f>
        <v>46172</v>
      </c>
      <c r="TRZ948" s="7" t="str">
        <f t="shared" ref="TRZ948" si="6270">IF(TRO948="Ionizador", "Trimestral", IF(TRO948="Rack", "Semestral", IF(TRO948="Mesa", "Semestral", IF(TRO948="Tapete", "Semestral", IF(TRO948="Cautín", "Semestral", IF(TRO948="Silla", "Semestral", "Anual"))))))</f>
        <v>Semestral</v>
      </c>
      <c r="TSA948" s="2" t="str">
        <f t="shared" ref="TSA948" ca="1" si="6271">IF(TRY948&lt;TODAY(),"VENCIDO",IF(TRY948=TODAY(),"VENCE HOY",IF(TRY948&gt;TODAY(),"VIGENTE")))</f>
        <v>VIGENTE</v>
      </c>
      <c r="TSB948" s="6" t="s">
        <v>25</v>
      </c>
      <c r="TSC948" s="23" t="s">
        <v>138</v>
      </c>
      <c r="TSD948" s="2" t="s">
        <v>433</v>
      </c>
      <c r="TSE948" s="3" t="s">
        <v>22</v>
      </c>
      <c r="TSF948" s="3" t="s">
        <v>23</v>
      </c>
      <c r="TSG948" s="2" t="s">
        <v>24</v>
      </c>
      <c r="TSH948" s="4">
        <v>0</v>
      </c>
      <c r="TSI948" s="8">
        <f t="shared" ref="TSI948" si="6272">IF(TSE948="Ionizador", 10, IF(TSE948="Mesa", 1000000000, IF(TSE948="Rack", 1000000000, IF(TSE948="Piso", 1000000000, IF(TSE948="Tapete", 1000000000, IF(TSE948="Carrito", 1000000000, IF(TSE948="Cautín", 10, 1)))))))</f>
        <v>1000000000</v>
      </c>
      <c r="TSJ948" s="4" t="str">
        <f t="shared" ref="TSJ948" si="6273">IF(TSE948="Ionizador", "Segundos", "Ohms")</f>
        <v>Ohms</v>
      </c>
      <c r="TSK948" s="6">
        <v>148000000</v>
      </c>
      <c r="TSL948" s="6" t="str">
        <f t="shared" ref="TSL948" si="6274">TSJ948</f>
        <v>Ohms</v>
      </c>
      <c r="TSM948" s="2" t="str">
        <f t="shared" ref="TSM948" si="6275">IF(TSE948="Ionizador", "Plato de carga", IF(TSE948="Cautín", "PTG", "RTG"))</f>
        <v>RTG</v>
      </c>
      <c r="TSN948" s="7">
        <v>45992</v>
      </c>
      <c r="TSO948" s="7">
        <f t="shared" ref="TSO948" si="6276">IF(TSP948="Trimestral", TSN948+90, IF(TSP948="Semestral", TSN948+180, TSN948+365))</f>
        <v>46172</v>
      </c>
      <c r="TSP948" s="7" t="str">
        <f t="shared" ref="TSP948" si="6277">IF(TSE948="Ionizador", "Trimestral", IF(TSE948="Rack", "Semestral", IF(TSE948="Mesa", "Semestral", IF(TSE948="Tapete", "Semestral", IF(TSE948="Cautín", "Semestral", IF(TSE948="Silla", "Semestral", "Anual"))))))</f>
        <v>Semestral</v>
      </c>
      <c r="TSQ948" s="2" t="str">
        <f t="shared" ref="TSQ948" ca="1" si="6278">IF(TSO948&lt;TODAY(),"VENCIDO",IF(TSO948=TODAY(),"VENCE HOY",IF(TSO948&gt;TODAY(),"VIGENTE")))</f>
        <v>VIGENTE</v>
      </c>
      <c r="TSR948" s="6" t="s">
        <v>25</v>
      </c>
      <c r="TSS948" s="23" t="s">
        <v>138</v>
      </c>
      <c r="TST948" s="2" t="s">
        <v>433</v>
      </c>
      <c r="TSU948" s="3" t="s">
        <v>22</v>
      </c>
      <c r="TSV948" s="3" t="s">
        <v>23</v>
      </c>
      <c r="TSW948" s="2" t="s">
        <v>24</v>
      </c>
      <c r="TSX948" s="4">
        <v>0</v>
      </c>
      <c r="TSY948" s="8">
        <f t="shared" ref="TSY948" si="6279">IF(TSU948="Ionizador", 10, IF(TSU948="Mesa", 1000000000, IF(TSU948="Rack", 1000000000, IF(TSU948="Piso", 1000000000, IF(TSU948="Tapete", 1000000000, IF(TSU948="Carrito", 1000000000, IF(TSU948="Cautín", 10, 1)))))))</f>
        <v>1000000000</v>
      </c>
      <c r="TSZ948" s="4" t="str">
        <f t="shared" ref="TSZ948" si="6280">IF(TSU948="Ionizador", "Segundos", "Ohms")</f>
        <v>Ohms</v>
      </c>
      <c r="TTA948" s="6">
        <v>148000000</v>
      </c>
      <c r="TTB948" s="6" t="str">
        <f t="shared" ref="TTB948" si="6281">TSZ948</f>
        <v>Ohms</v>
      </c>
      <c r="TTC948" s="2" t="str">
        <f t="shared" ref="TTC948" si="6282">IF(TSU948="Ionizador", "Plato de carga", IF(TSU948="Cautín", "PTG", "RTG"))</f>
        <v>RTG</v>
      </c>
      <c r="TTD948" s="7">
        <v>45992</v>
      </c>
      <c r="TTE948" s="7">
        <f t="shared" ref="TTE948" si="6283">IF(TTF948="Trimestral", TTD948+90, IF(TTF948="Semestral", TTD948+180, TTD948+365))</f>
        <v>46172</v>
      </c>
      <c r="TTF948" s="7" t="str">
        <f t="shared" ref="TTF948" si="6284">IF(TSU948="Ionizador", "Trimestral", IF(TSU948="Rack", "Semestral", IF(TSU948="Mesa", "Semestral", IF(TSU948="Tapete", "Semestral", IF(TSU948="Cautín", "Semestral", IF(TSU948="Silla", "Semestral", "Anual"))))))</f>
        <v>Semestral</v>
      </c>
      <c r="TTG948" s="2" t="str">
        <f t="shared" ref="TTG948" ca="1" si="6285">IF(TTE948&lt;TODAY(),"VENCIDO",IF(TTE948=TODAY(),"VENCE HOY",IF(TTE948&gt;TODAY(),"VIGENTE")))</f>
        <v>VIGENTE</v>
      </c>
      <c r="TTH948" s="6" t="s">
        <v>25</v>
      </c>
      <c r="TTI948" s="23" t="s">
        <v>138</v>
      </c>
      <c r="TTJ948" s="2" t="s">
        <v>433</v>
      </c>
      <c r="TTK948" s="3" t="s">
        <v>22</v>
      </c>
      <c r="TTL948" s="3" t="s">
        <v>23</v>
      </c>
      <c r="TTM948" s="2" t="s">
        <v>24</v>
      </c>
      <c r="TTN948" s="4">
        <v>0</v>
      </c>
      <c r="TTO948" s="8">
        <f t="shared" ref="TTO948" si="6286">IF(TTK948="Ionizador", 10, IF(TTK948="Mesa", 1000000000, IF(TTK948="Rack", 1000000000, IF(TTK948="Piso", 1000000000, IF(TTK948="Tapete", 1000000000, IF(TTK948="Carrito", 1000000000, IF(TTK948="Cautín", 10, 1)))))))</f>
        <v>1000000000</v>
      </c>
      <c r="TTP948" s="4" t="str">
        <f t="shared" ref="TTP948" si="6287">IF(TTK948="Ionizador", "Segundos", "Ohms")</f>
        <v>Ohms</v>
      </c>
      <c r="TTQ948" s="6">
        <v>148000000</v>
      </c>
      <c r="TTR948" s="6" t="str">
        <f t="shared" ref="TTR948" si="6288">TTP948</f>
        <v>Ohms</v>
      </c>
      <c r="TTS948" s="2" t="str">
        <f t="shared" ref="TTS948" si="6289">IF(TTK948="Ionizador", "Plato de carga", IF(TTK948="Cautín", "PTG", "RTG"))</f>
        <v>RTG</v>
      </c>
      <c r="TTT948" s="7">
        <v>45992</v>
      </c>
      <c r="TTU948" s="7">
        <f t="shared" ref="TTU948" si="6290">IF(TTV948="Trimestral", TTT948+90, IF(TTV948="Semestral", TTT948+180, TTT948+365))</f>
        <v>46172</v>
      </c>
      <c r="TTV948" s="7" t="str">
        <f t="shared" ref="TTV948" si="6291">IF(TTK948="Ionizador", "Trimestral", IF(TTK948="Rack", "Semestral", IF(TTK948="Mesa", "Semestral", IF(TTK948="Tapete", "Semestral", IF(TTK948="Cautín", "Semestral", IF(TTK948="Silla", "Semestral", "Anual"))))))</f>
        <v>Semestral</v>
      </c>
      <c r="TTW948" s="2" t="str">
        <f t="shared" ref="TTW948" ca="1" si="6292">IF(TTU948&lt;TODAY(),"VENCIDO",IF(TTU948=TODAY(),"VENCE HOY",IF(TTU948&gt;TODAY(),"VIGENTE")))</f>
        <v>VIGENTE</v>
      </c>
      <c r="TTX948" s="6" t="s">
        <v>25</v>
      </c>
      <c r="TTY948" s="23" t="s">
        <v>138</v>
      </c>
      <c r="TTZ948" s="2" t="s">
        <v>433</v>
      </c>
      <c r="TUA948" s="3" t="s">
        <v>22</v>
      </c>
      <c r="TUB948" s="3" t="s">
        <v>23</v>
      </c>
      <c r="TUC948" s="2" t="s">
        <v>24</v>
      </c>
      <c r="TUD948" s="4">
        <v>0</v>
      </c>
      <c r="TUE948" s="8">
        <f t="shared" ref="TUE948" si="6293">IF(TUA948="Ionizador", 10, IF(TUA948="Mesa", 1000000000, IF(TUA948="Rack", 1000000000, IF(TUA948="Piso", 1000000000, IF(TUA948="Tapete", 1000000000, IF(TUA948="Carrito", 1000000000, IF(TUA948="Cautín", 10, 1)))))))</f>
        <v>1000000000</v>
      </c>
      <c r="TUF948" s="4" t="str">
        <f t="shared" ref="TUF948" si="6294">IF(TUA948="Ionizador", "Segundos", "Ohms")</f>
        <v>Ohms</v>
      </c>
      <c r="TUG948" s="6">
        <v>148000000</v>
      </c>
      <c r="TUH948" s="6" t="str">
        <f t="shared" ref="TUH948" si="6295">TUF948</f>
        <v>Ohms</v>
      </c>
      <c r="TUI948" s="2" t="str">
        <f t="shared" ref="TUI948" si="6296">IF(TUA948="Ionizador", "Plato de carga", IF(TUA948="Cautín", "PTG", "RTG"))</f>
        <v>RTG</v>
      </c>
      <c r="TUJ948" s="7">
        <v>45992</v>
      </c>
      <c r="TUK948" s="7">
        <f t="shared" ref="TUK948" si="6297">IF(TUL948="Trimestral", TUJ948+90, IF(TUL948="Semestral", TUJ948+180, TUJ948+365))</f>
        <v>46172</v>
      </c>
      <c r="TUL948" s="7" t="str">
        <f t="shared" ref="TUL948" si="6298">IF(TUA948="Ionizador", "Trimestral", IF(TUA948="Rack", "Semestral", IF(TUA948="Mesa", "Semestral", IF(TUA948="Tapete", "Semestral", IF(TUA948="Cautín", "Semestral", IF(TUA948="Silla", "Semestral", "Anual"))))))</f>
        <v>Semestral</v>
      </c>
      <c r="TUM948" s="2" t="str">
        <f t="shared" ref="TUM948" ca="1" si="6299">IF(TUK948&lt;TODAY(),"VENCIDO",IF(TUK948=TODAY(),"VENCE HOY",IF(TUK948&gt;TODAY(),"VIGENTE")))</f>
        <v>VIGENTE</v>
      </c>
      <c r="TUN948" s="6" t="s">
        <v>25</v>
      </c>
      <c r="TUO948" s="23" t="s">
        <v>138</v>
      </c>
      <c r="TUP948" s="2" t="s">
        <v>433</v>
      </c>
      <c r="TUQ948" s="3" t="s">
        <v>22</v>
      </c>
      <c r="TUR948" s="3" t="s">
        <v>23</v>
      </c>
      <c r="TUS948" s="2" t="s">
        <v>24</v>
      </c>
      <c r="TUT948" s="4">
        <v>0</v>
      </c>
      <c r="TUU948" s="8">
        <f t="shared" ref="TUU948" si="6300">IF(TUQ948="Ionizador", 10, IF(TUQ948="Mesa", 1000000000, IF(TUQ948="Rack", 1000000000, IF(TUQ948="Piso", 1000000000, IF(TUQ948="Tapete", 1000000000, IF(TUQ948="Carrito", 1000000000, IF(TUQ948="Cautín", 10, 1)))))))</f>
        <v>1000000000</v>
      </c>
      <c r="TUV948" s="4" t="str">
        <f t="shared" ref="TUV948" si="6301">IF(TUQ948="Ionizador", "Segundos", "Ohms")</f>
        <v>Ohms</v>
      </c>
      <c r="TUW948" s="6">
        <v>148000000</v>
      </c>
      <c r="TUX948" s="6" t="str">
        <f t="shared" ref="TUX948" si="6302">TUV948</f>
        <v>Ohms</v>
      </c>
      <c r="TUY948" s="2" t="str">
        <f t="shared" ref="TUY948" si="6303">IF(TUQ948="Ionizador", "Plato de carga", IF(TUQ948="Cautín", "PTG", "RTG"))</f>
        <v>RTG</v>
      </c>
      <c r="TUZ948" s="7">
        <v>45992</v>
      </c>
      <c r="TVA948" s="7">
        <f t="shared" ref="TVA948" si="6304">IF(TVB948="Trimestral", TUZ948+90, IF(TVB948="Semestral", TUZ948+180, TUZ948+365))</f>
        <v>46172</v>
      </c>
      <c r="TVB948" s="7" t="str">
        <f t="shared" ref="TVB948" si="6305">IF(TUQ948="Ionizador", "Trimestral", IF(TUQ948="Rack", "Semestral", IF(TUQ948="Mesa", "Semestral", IF(TUQ948="Tapete", "Semestral", IF(TUQ948="Cautín", "Semestral", IF(TUQ948="Silla", "Semestral", "Anual"))))))</f>
        <v>Semestral</v>
      </c>
      <c r="TVC948" s="2" t="str">
        <f t="shared" ref="TVC948" ca="1" si="6306">IF(TVA948&lt;TODAY(),"VENCIDO",IF(TVA948=TODAY(),"VENCE HOY",IF(TVA948&gt;TODAY(),"VIGENTE")))</f>
        <v>VIGENTE</v>
      </c>
      <c r="TVD948" s="6" t="s">
        <v>25</v>
      </c>
      <c r="TVE948" s="23" t="s">
        <v>138</v>
      </c>
      <c r="TVF948" s="2" t="s">
        <v>433</v>
      </c>
      <c r="TVG948" s="3" t="s">
        <v>22</v>
      </c>
      <c r="TVH948" s="3" t="s">
        <v>23</v>
      </c>
      <c r="TVI948" s="2" t="s">
        <v>24</v>
      </c>
      <c r="TVJ948" s="4">
        <v>0</v>
      </c>
      <c r="TVK948" s="8">
        <f t="shared" ref="TVK948" si="6307">IF(TVG948="Ionizador", 10, IF(TVG948="Mesa", 1000000000, IF(TVG948="Rack", 1000000000, IF(TVG948="Piso", 1000000000, IF(TVG948="Tapete", 1000000000, IF(TVG948="Carrito", 1000000000, IF(TVG948="Cautín", 10, 1)))))))</f>
        <v>1000000000</v>
      </c>
      <c r="TVL948" s="4" t="str">
        <f t="shared" ref="TVL948" si="6308">IF(TVG948="Ionizador", "Segundos", "Ohms")</f>
        <v>Ohms</v>
      </c>
      <c r="TVM948" s="6">
        <v>148000000</v>
      </c>
      <c r="TVN948" s="6" t="str">
        <f t="shared" ref="TVN948" si="6309">TVL948</f>
        <v>Ohms</v>
      </c>
      <c r="TVO948" s="2" t="str">
        <f t="shared" ref="TVO948" si="6310">IF(TVG948="Ionizador", "Plato de carga", IF(TVG948="Cautín", "PTG", "RTG"))</f>
        <v>RTG</v>
      </c>
      <c r="TVP948" s="7">
        <v>45992</v>
      </c>
      <c r="TVQ948" s="7">
        <f t="shared" ref="TVQ948" si="6311">IF(TVR948="Trimestral", TVP948+90, IF(TVR948="Semestral", TVP948+180, TVP948+365))</f>
        <v>46172</v>
      </c>
      <c r="TVR948" s="7" t="str">
        <f t="shared" ref="TVR948" si="6312">IF(TVG948="Ionizador", "Trimestral", IF(TVG948="Rack", "Semestral", IF(TVG948="Mesa", "Semestral", IF(TVG948="Tapete", "Semestral", IF(TVG948="Cautín", "Semestral", IF(TVG948="Silla", "Semestral", "Anual"))))))</f>
        <v>Semestral</v>
      </c>
      <c r="TVS948" s="2" t="str">
        <f t="shared" ref="TVS948" ca="1" si="6313">IF(TVQ948&lt;TODAY(),"VENCIDO",IF(TVQ948=TODAY(),"VENCE HOY",IF(TVQ948&gt;TODAY(),"VIGENTE")))</f>
        <v>VIGENTE</v>
      </c>
      <c r="TVT948" s="6" t="s">
        <v>25</v>
      </c>
      <c r="TVU948" s="23" t="s">
        <v>138</v>
      </c>
      <c r="TVV948" s="2" t="s">
        <v>433</v>
      </c>
      <c r="TVW948" s="3" t="s">
        <v>22</v>
      </c>
      <c r="TVX948" s="3" t="s">
        <v>23</v>
      </c>
      <c r="TVY948" s="2" t="s">
        <v>24</v>
      </c>
      <c r="TVZ948" s="4">
        <v>0</v>
      </c>
      <c r="TWA948" s="8">
        <f t="shared" ref="TWA948" si="6314">IF(TVW948="Ionizador", 10, IF(TVW948="Mesa", 1000000000, IF(TVW948="Rack", 1000000000, IF(TVW948="Piso", 1000000000, IF(TVW948="Tapete", 1000000000, IF(TVW948="Carrito", 1000000000, IF(TVW948="Cautín", 10, 1)))))))</f>
        <v>1000000000</v>
      </c>
      <c r="TWB948" s="4" t="str">
        <f t="shared" ref="TWB948" si="6315">IF(TVW948="Ionizador", "Segundos", "Ohms")</f>
        <v>Ohms</v>
      </c>
      <c r="TWC948" s="6">
        <v>148000000</v>
      </c>
      <c r="TWD948" s="6" t="str">
        <f t="shared" ref="TWD948" si="6316">TWB948</f>
        <v>Ohms</v>
      </c>
      <c r="TWE948" s="2" t="str">
        <f t="shared" ref="TWE948" si="6317">IF(TVW948="Ionizador", "Plato de carga", IF(TVW948="Cautín", "PTG", "RTG"))</f>
        <v>RTG</v>
      </c>
      <c r="TWF948" s="7">
        <v>45992</v>
      </c>
      <c r="TWG948" s="7">
        <f t="shared" ref="TWG948" si="6318">IF(TWH948="Trimestral", TWF948+90, IF(TWH948="Semestral", TWF948+180, TWF948+365))</f>
        <v>46172</v>
      </c>
      <c r="TWH948" s="7" t="str">
        <f t="shared" ref="TWH948" si="6319">IF(TVW948="Ionizador", "Trimestral", IF(TVW948="Rack", "Semestral", IF(TVW948="Mesa", "Semestral", IF(TVW948="Tapete", "Semestral", IF(TVW948="Cautín", "Semestral", IF(TVW948="Silla", "Semestral", "Anual"))))))</f>
        <v>Semestral</v>
      </c>
      <c r="TWI948" s="2" t="str">
        <f t="shared" ref="TWI948" ca="1" si="6320">IF(TWG948&lt;TODAY(),"VENCIDO",IF(TWG948=TODAY(),"VENCE HOY",IF(TWG948&gt;TODAY(),"VIGENTE")))</f>
        <v>VIGENTE</v>
      </c>
      <c r="TWJ948" s="6" t="s">
        <v>25</v>
      </c>
      <c r="TWK948" s="23" t="s">
        <v>138</v>
      </c>
      <c r="TWL948" s="2" t="s">
        <v>433</v>
      </c>
      <c r="TWM948" s="3" t="s">
        <v>22</v>
      </c>
      <c r="TWN948" s="3" t="s">
        <v>23</v>
      </c>
      <c r="TWO948" s="2" t="s">
        <v>24</v>
      </c>
      <c r="TWP948" s="4">
        <v>0</v>
      </c>
      <c r="TWQ948" s="8">
        <f t="shared" ref="TWQ948" si="6321">IF(TWM948="Ionizador", 10, IF(TWM948="Mesa", 1000000000, IF(TWM948="Rack", 1000000000, IF(TWM948="Piso", 1000000000, IF(TWM948="Tapete", 1000000000, IF(TWM948="Carrito", 1000000000, IF(TWM948="Cautín", 10, 1)))))))</f>
        <v>1000000000</v>
      </c>
      <c r="TWR948" s="4" t="str">
        <f t="shared" ref="TWR948" si="6322">IF(TWM948="Ionizador", "Segundos", "Ohms")</f>
        <v>Ohms</v>
      </c>
      <c r="TWS948" s="6">
        <v>148000000</v>
      </c>
      <c r="TWT948" s="6" t="str">
        <f t="shared" ref="TWT948" si="6323">TWR948</f>
        <v>Ohms</v>
      </c>
      <c r="TWU948" s="2" t="str">
        <f t="shared" ref="TWU948" si="6324">IF(TWM948="Ionizador", "Plato de carga", IF(TWM948="Cautín", "PTG", "RTG"))</f>
        <v>RTG</v>
      </c>
      <c r="TWV948" s="7">
        <v>45992</v>
      </c>
      <c r="TWW948" s="7">
        <f t="shared" ref="TWW948" si="6325">IF(TWX948="Trimestral", TWV948+90, IF(TWX948="Semestral", TWV948+180, TWV948+365))</f>
        <v>46172</v>
      </c>
      <c r="TWX948" s="7" t="str">
        <f t="shared" ref="TWX948" si="6326">IF(TWM948="Ionizador", "Trimestral", IF(TWM948="Rack", "Semestral", IF(TWM948="Mesa", "Semestral", IF(TWM948="Tapete", "Semestral", IF(TWM948="Cautín", "Semestral", IF(TWM948="Silla", "Semestral", "Anual"))))))</f>
        <v>Semestral</v>
      </c>
      <c r="TWY948" s="2" t="str">
        <f t="shared" ref="TWY948" ca="1" si="6327">IF(TWW948&lt;TODAY(),"VENCIDO",IF(TWW948=TODAY(),"VENCE HOY",IF(TWW948&gt;TODAY(),"VIGENTE")))</f>
        <v>VIGENTE</v>
      </c>
      <c r="TWZ948" s="6" t="s">
        <v>25</v>
      </c>
      <c r="TXA948" s="23" t="s">
        <v>138</v>
      </c>
      <c r="TXB948" s="2" t="s">
        <v>433</v>
      </c>
      <c r="TXC948" s="3" t="s">
        <v>22</v>
      </c>
      <c r="TXD948" s="3" t="s">
        <v>23</v>
      </c>
      <c r="TXE948" s="2" t="s">
        <v>24</v>
      </c>
      <c r="TXF948" s="4">
        <v>0</v>
      </c>
      <c r="TXG948" s="8">
        <f t="shared" ref="TXG948" si="6328">IF(TXC948="Ionizador", 10, IF(TXC948="Mesa", 1000000000, IF(TXC948="Rack", 1000000000, IF(TXC948="Piso", 1000000000, IF(TXC948="Tapete", 1000000000, IF(TXC948="Carrito", 1000000000, IF(TXC948="Cautín", 10, 1)))))))</f>
        <v>1000000000</v>
      </c>
      <c r="TXH948" s="4" t="str">
        <f t="shared" ref="TXH948" si="6329">IF(TXC948="Ionizador", "Segundos", "Ohms")</f>
        <v>Ohms</v>
      </c>
      <c r="TXI948" s="6">
        <v>148000000</v>
      </c>
      <c r="TXJ948" s="6" t="str">
        <f t="shared" ref="TXJ948" si="6330">TXH948</f>
        <v>Ohms</v>
      </c>
      <c r="TXK948" s="2" t="str">
        <f t="shared" ref="TXK948" si="6331">IF(TXC948="Ionizador", "Plato de carga", IF(TXC948="Cautín", "PTG", "RTG"))</f>
        <v>RTG</v>
      </c>
      <c r="TXL948" s="7">
        <v>45992</v>
      </c>
      <c r="TXM948" s="7">
        <f t="shared" ref="TXM948" si="6332">IF(TXN948="Trimestral", TXL948+90, IF(TXN948="Semestral", TXL948+180, TXL948+365))</f>
        <v>46172</v>
      </c>
      <c r="TXN948" s="7" t="str">
        <f t="shared" ref="TXN948" si="6333">IF(TXC948="Ionizador", "Trimestral", IF(TXC948="Rack", "Semestral", IF(TXC948="Mesa", "Semestral", IF(TXC948="Tapete", "Semestral", IF(TXC948="Cautín", "Semestral", IF(TXC948="Silla", "Semestral", "Anual"))))))</f>
        <v>Semestral</v>
      </c>
      <c r="TXO948" s="2" t="str">
        <f t="shared" ref="TXO948" ca="1" si="6334">IF(TXM948&lt;TODAY(),"VENCIDO",IF(TXM948=TODAY(),"VENCE HOY",IF(TXM948&gt;TODAY(),"VIGENTE")))</f>
        <v>VIGENTE</v>
      </c>
      <c r="TXP948" s="6" t="s">
        <v>25</v>
      </c>
      <c r="TXQ948" s="23" t="s">
        <v>138</v>
      </c>
      <c r="TXR948" s="2" t="s">
        <v>433</v>
      </c>
      <c r="TXS948" s="3" t="s">
        <v>22</v>
      </c>
      <c r="TXT948" s="3" t="s">
        <v>23</v>
      </c>
      <c r="TXU948" s="2" t="s">
        <v>24</v>
      </c>
      <c r="TXV948" s="4">
        <v>0</v>
      </c>
      <c r="TXW948" s="8">
        <f t="shared" ref="TXW948" si="6335">IF(TXS948="Ionizador", 10, IF(TXS948="Mesa", 1000000000, IF(TXS948="Rack", 1000000000, IF(TXS948="Piso", 1000000000, IF(TXS948="Tapete", 1000000000, IF(TXS948="Carrito", 1000000000, IF(TXS948="Cautín", 10, 1)))))))</f>
        <v>1000000000</v>
      </c>
      <c r="TXX948" s="4" t="str">
        <f t="shared" ref="TXX948" si="6336">IF(TXS948="Ionizador", "Segundos", "Ohms")</f>
        <v>Ohms</v>
      </c>
      <c r="TXY948" s="6">
        <v>148000000</v>
      </c>
      <c r="TXZ948" s="6" t="str">
        <f t="shared" ref="TXZ948" si="6337">TXX948</f>
        <v>Ohms</v>
      </c>
      <c r="TYA948" s="2" t="str">
        <f t="shared" ref="TYA948" si="6338">IF(TXS948="Ionizador", "Plato de carga", IF(TXS948="Cautín", "PTG", "RTG"))</f>
        <v>RTG</v>
      </c>
      <c r="TYB948" s="7">
        <v>45992</v>
      </c>
      <c r="TYC948" s="7">
        <f t="shared" ref="TYC948" si="6339">IF(TYD948="Trimestral", TYB948+90, IF(TYD948="Semestral", TYB948+180, TYB948+365))</f>
        <v>46172</v>
      </c>
      <c r="TYD948" s="7" t="str">
        <f t="shared" ref="TYD948" si="6340">IF(TXS948="Ionizador", "Trimestral", IF(TXS948="Rack", "Semestral", IF(TXS948="Mesa", "Semestral", IF(TXS948="Tapete", "Semestral", IF(TXS948="Cautín", "Semestral", IF(TXS948="Silla", "Semestral", "Anual"))))))</f>
        <v>Semestral</v>
      </c>
      <c r="TYE948" s="2" t="str">
        <f t="shared" ref="TYE948" ca="1" si="6341">IF(TYC948&lt;TODAY(),"VENCIDO",IF(TYC948=TODAY(),"VENCE HOY",IF(TYC948&gt;TODAY(),"VIGENTE")))</f>
        <v>VIGENTE</v>
      </c>
      <c r="TYF948" s="6" t="s">
        <v>25</v>
      </c>
      <c r="TYG948" s="23" t="s">
        <v>138</v>
      </c>
      <c r="TYH948" s="2" t="s">
        <v>433</v>
      </c>
      <c r="TYI948" s="3" t="s">
        <v>22</v>
      </c>
      <c r="TYJ948" s="3" t="s">
        <v>23</v>
      </c>
      <c r="TYK948" s="2" t="s">
        <v>24</v>
      </c>
      <c r="TYL948" s="4">
        <v>0</v>
      </c>
      <c r="TYM948" s="8">
        <f t="shared" ref="TYM948" si="6342">IF(TYI948="Ionizador", 10, IF(TYI948="Mesa", 1000000000, IF(TYI948="Rack", 1000000000, IF(TYI948="Piso", 1000000000, IF(TYI948="Tapete", 1000000000, IF(TYI948="Carrito", 1000000000, IF(TYI948="Cautín", 10, 1)))))))</f>
        <v>1000000000</v>
      </c>
      <c r="TYN948" s="4" t="str">
        <f t="shared" ref="TYN948" si="6343">IF(TYI948="Ionizador", "Segundos", "Ohms")</f>
        <v>Ohms</v>
      </c>
      <c r="TYO948" s="6">
        <v>148000000</v>
      </c>
      <c r="TYP948" s="6" t="str">
        <f t="shared" ref="TYP948" si="6344">TYN948</f>
        <v>Ohms</v>
      </c>
      <c r="TYQ948" s="2" t="str">
        <f t="shared" ref="TYQ948" si="6345">IF(TYI948="Ionizador", "Plato de carga", IF(TYI948="Cautín", "PTG", "RTG"))</f>
        <v>RTG</v>
      </c>
      <c r="TYR948" s="7">
        <v>45992</v>
      </c>
      <c r="TYS948" s="7">
        <f t="shared" ref="TYS948" si="6346">IF(TYT948="Trimestral", TYR948+90, IF(TYT948="Semestral", TYR948+180, TYR948+365))</f>
        <v>46172</v>
      </c>
      <c r="TYT948" s="7" t="str">
        <f t="shared" ref="TYT948" si="6347">IF(TYI948="Ionizador", "Trimestral", IF(TYI948="Rack", "Semestral", IF(TYI948="Mesa", "Semestral", IF(TYI948="Tapete", "Semestral", IF(TYI948="Cautín", "Semestral", IF(TYI948="Silla", "Semestral", "Anual"))))))</f>
        <v>Semestral</v>
      </c>
      <c r="TYU948" s="2" t="str">
        <f t="shared" ref="TYU948" ca="1" si="6348">IF(TYS948&lt;TODAY(),"VENCIDO",IF(TYS948=TODAY(),"VENCE HOY",IF(TYS948&gt;TODAY(),"VIGENTE")))</f>
        <v>VIGENTE</v>
      </c>
      <c r="TYV948" s="6" t="s">
        <v>25</v>
      </c>
      <c r="TYW948" s="23" t="s">
        <v>138</v>
      </c>
      <c r="TYX948" s="2" t="s">
        <v>433</v>
      </c>
      <c r="TYY948" s="3" t="s">
        <v>22</v>
      </c>
      <c r="TYZ948" s="3" t="s">
        <v>23</v>
      </c>
      <c r="TZA948" s="2" t="s">
        <v>24</v>
      </c>
      <c r="TZB948" s="4">
        <v>0</v>
      </c>
      <c r="TZC948" s="8">
        <f t="shared" ref="TZC948" si="6349">IF(TYY948="Ionizador", 10, IF(TYY948="Mesa", 1000000000, IF(TYY948="Rack", 1000000000, IF(TYY948="Piso", 1000000000, IF(TYY948="Tapete", 1000000000, IF(TYY948="Carrito", 1000000000, IF(TYY948="Cautín", 10, 1)))))))</f>
        <v>1000000000</v>
      </c>
      <c r="TZD948" s="4" t="str">
        <f t="shared" ref="TZD948" si="6350">IF(TYY948="Ionizador", "Segundos", "Ohms")</f>
        <v>Ohms</v>
      </c>
      <c r="TZE948" s="6">
        <v>148000000</v>
      </c>
      <c r="TZF948" s="6" t="str">
        <f t="shared" ref="TZF948" si="6351">TZD948</f>
        <v>Ohms</v>
      </c>
      <c r="TZG948" s="2" t="str">
        <f t="shared" ref="TZG948" si="6352">IF(TYY948="Ionizador", "Plato de carga", IF(TYY948="Cautín", "PTG", "RTG"))</f>
        <v>RTG</v>
      </c>
      <c r="TZH948" s="7">
        <v>45992</v>
      </c>
      <c r="TZI948" s="7">
        <f t="shared" ref="TZI948" si="6353">IF(TZJ948="Trimestral", TZH948+90, IF(TZJ948="Semestral", TZH948+180, TZH948+365))</f>
        <v>46172</v>
      </c>
      <c r="TZJ948" s="7" t="str">
        <f t="shared" ref="TZJ948" si="6354">IF(TYY948="Ionizador", "Trimestral", IF(TYY948="Rack", "Semestral", IF(TYY948="Mesa", "Semestral", IF(TYY948="Tapete", "Semestral", IF(TYY948="Cautín", "Semestral", IF(TYY948="Silla", "Semestral", "Anual"))))))</f>
        <v>Semestral</v>
      </c>
      <c r="TZK948" s="2" t="str">
        <f t="shared" ref="TZK948" ca="1" si="6355">IF(TZI948&lt;TODAY(),"VENCIDO",IF(TZI948=TODAY(),"VENCE HOY",IF(TZI948&gt;TODAY(),"VIGENTE")))</f>
        <v>VIGENTE</v>
      </c>
      <c r="TZL948" s="6" t="s">
        <v>25</v>
      </c>
      <c r="TZM948" s="23" t="s">
        <v>138</v>
      </c>
      <c r="TZN948" s="2" t="s">
        <v>433</v>
      </c>
      <c r="TZO948" s="3" t="s">
        <v>22</v>
      </c>
      <c r="TZP948" s="3" t="s">
        <v>23</v>
      </c>
      <c r="TZQ948" s="2" t="s">
        <v>24</v>
      </c>
      <c r="TZR948" s="4">
        <v>0</v>
      </c>
      <c r="TZS948" s="8">
        <f t="shared" ref="TZS948" si="6356">IF(TZO948="Ionizador", 10, IF(TZO948="Mesa", 1000000000, IF(TZO948="Rack", 1000000000, IF(TZO948="Piso", 1000000000, IF(TZO948="Tapete", 1000000000, IF(TZO948="Carrito", 1000000000, IF(TZO948="Cautín", 10, 1)))))))</f>
        <v>1000000000</v>
      </c>
      <c r="TZT948" s="4" t="str">
        <f t="shared" ref="TZT948" si="6357">IF(TZO948="Ionizador", "Segundos", "Ohms")</f>
        <v>Ohms</v>
      </c>
      <c r="TZU948" s="6">
        <v>148000000</v>
      </c>
      <c r="TZV948" s="6" t="str">
        <f t="shared" ref="TZV948" si="6358">TZT948</f>
        <v>Ohms</v>
      </c>
      <c r="TZW948" s="2" t="str">
        <f t="shared" ref="TZW948" si="6359">IF(TZO948="Ionizador", "Plato de carga", IF(TZO948="Cautín", "PTG", "RTG"))</f>
        <v>RTG</v>
      </c>
      <c r="TZX948" s="7">
        <v>45992</v>
      </c>
      <c r="TZY948" s="7">
        <f t="shared" ref="TZY948" si="6360">IF(TZZ948="Trimestral", TZX948+90, IF(TZZ948="Semestral", TZX948+180, TZX948+365))</f>
        <v>46172</v>
      </c>
      <c r="TZZ948" s="7" t="str">
        <f t="shared" ref="TZZ948" si="6361">IF(TZO948="Ionizador", "Trimestral", IF(TZO948="Rack", "Semestral", IF(TZO948="Mesa", "Semestral", IF(TZO948="Tapete", "Semestral", IF(TZO948="Cautín", "Semestral", IF(TZO948="Silla", "Semestral", "Anual"))))))</f>
        <v>Semestral</v>
      </c>
      <c r="UAA948" s="2" t="str">
        <f t="shared" ref="UAA948" ca="1" si="6362">IF(TZY948&lt;TODAY(),"VENCIDO",IF(TZY948=TODAY(),"VENCE HOY",IF(TZY948&gt;TODAY(),"VIGENTE")))</f>
        <v>VIGENTE</v>
      </c>
      <c r="UAB948" s="6" t="s">
        <v>25</v>
      </c>
      <c r="UAC948" s="23" t="s">
        <v>138</v>
      </c>
      <c r="UAD948" s="2" t="s">
        <v>433</v>
      </c>
      <c r="UAE948" s="3" t="s">
        <v>22</v>
      </c>
      <c r="UAF948" s="3" t="s">
        <v>23</v>
      </c>
      <c r="UAG948" s="2" t="s">
        <v>24</v>
      </c>
      <c r="UAH948" s="4">
        <v>0</v>
      </c>
      <c r="UAI948" s="8">
        <f t="shared" ref="UAI948" si="6363">IF(UAE948="Ionizador", 10, IF(UAE948="Mesa", 1000000000, IF(UAE948="Rack", 1000000000, IF(UAE948="Piso", 1000000000, IF(UAE948="Tapete", 1000000000, IF(UAE948="Carrito", 1000000000, IF(UAE948="Cautín", 10, 1)))))))</f>
        <v>1000000000</v>
      </c>
      <c r="UAJ948" s="4" t="str">
        <f t="shared" ref="UAJ948" si="6364">IF(UAE948="Ionizador", "Segundos", "Ohms")</f>
        <v>Ohms</v>
      </c>
      <c r="UAK948" s="6">
        <v>148000000</v>
      </c>
      <c r="UAL948" s="6" t="str">
        <f t="shared" ref="UAL948" si="6365">UAJ948</f>
        <v>Ohms</v>
      </c>
      <c r="UAM948" s="2" t="str">
        <f t="shared" ref="UAM948" si="6366">IF(UAE948="Ionizador", "Plato de carga", IF(UAE948="Cautín", "PTG", "RTG"))</f>
        <v>RTG</v>
      </c>
      <c r="UAN948" s="7">
        <v>45992</v>
      </c>
      <c r="UAO948" s="7">
        <f t="shared" ref="UAO948" si="6367">IF(UAP948="Trimestral", UAN948+90, IF(UAP948="Semestral", UAN948+180, UAN948+365))</f>
        <v>46172</v>
      </c>
      <c r="UAP948" s="7" t="str">
        <f t="shared" ref="UAP948" si="6368">IF(UAE948="Ionizador", "Trimestral", IF(UAE948="Rack", "Semestral", IF(UAE948="Mesa", "Semestral", IF(UAE948="Tapete", "Semestral", IF(UAE948="Cautín", "Semestral", IF(UAE948="Silla", "Semestral", "Anual"))))))</f>
        <v>Semestral</v>
      </c>
      <c r="UAQ948" s="2" t="str">
        <f t="shared" ref="UAQ948" ca="1" si="6369">IF(UAO948&lt;TODAY(),"VENCIDO",IF(UAO948=TODAY(),"VENCE HOY",IF(UAO948&gt;TODAY(),"VIGENTE")))</f>
        <v>VIGENTE</v>
      </c>
      <c r="UAR948" s="6" t="s">
        <v>25</v>
      </c>
      <c r="UAS948" s="23" t="s">
        <v>138</v>
      </c>
      <c r="UAT948" s="2" t="s">
        <v>433</v>
      </c>
      <c r="UAU948" s="3" t="s">
        <v>22</v>
      </c>
      <c r="UAV948" s="3" t="s">
        <v>23</v>
      </c>
      <c r="UAW948" s="2" t="s">
        <v>24</v>
      </c>
      <c r="UAX948" s="4">
        <v>0</v>
      </c>
      <c r="UAY948" s="8">
        <f t="shared" ref="UAY948" si="6370">IF(UAU948="Ionizador", 10, IF(UAU948="Mesa", 1000000000, IF(UAU948="Rack", 1000000000, IF(UAU948="Piso", 1000000000, IF(UAU948="Tapete", 1000000000, IF(UAU948="Carrito", 1000000000, IF(UAU948="Cautín", 10, 1)))))))</f>
        <v>1000000000</v>
      </c>
      <c r="UAZ948" s="4" t="str">
        <f t="shared" ref="UAZ948" si="6371">IF(UAU948="Ionizador", "Segundos", "Ohms")</f>
        <v>Ohms</v>
      </c>
      <c r="UBA948" s="6">
        <v>148000000</v>
      </c>
      <c r="UBB948" s="6" t="str">
        <f t="shared" ref="UBB948" si="6372">UAZ948</f>
        <v>Ohms</v>
      </c>
      <c r="UBC948" s="2" t="str">
        <f t="shared" ref="UBC948" si="6373">IF(UAU948="Ionizador", "Plato de carga", IF(UAU948="Cautín", "PTG", "RTG"))</f>
        <v>RTG</v>
      </c>
      <c r="UBD948" s="7">
        <v>45992</v>
      </c>
      <c r="UBE948" s="7">
        <f t="shared" ref="UBE948" si="6374">IF(UBF948="Trimestral", UBD948+90, IF(UBF948="Semestral", UBD948+180, UBD948+365))</f>
        <v>46172</v>
      </c>
      <c r="UBF948" s="7" t="str">
        <f t="shared" ref="UBF948" si="6375">IF(UAU948="Ionizador", "Trimestral", IF(UAU948="Rack", "Semestral", IF(UAU948="Mesa", "Semestral", IF(UAU948="Tapete", "Semestral", IF(UAU948="Cautín", "Semestral", IF(UAU948="Silla", "Semestral", "Anual"))))))</f>
        <v>Semestral</v>
      </c>
      <c r="UBG948" s="2" t="str">
        <f t="shared" ref="UBG948" ca="1" si="6376">IF(UBE948&lt;TODAY(),"VENCIDO",IF(UBE948=TODAY(),"VENCE HOY",IF(UBE948&gt;TODAY(),"VIGENTE")))</f>
        <v>VIGENTE</v>
      </c>
      <c r="UBH948" s="6" t="s">
        <v>25</v>
      </c>
      <c r="UBI948" s="23" t="s">
        <v>138</v>
      </c>
      <c r="UBJ948" s="2" t="s">
        <v>433</v>
      </c>
      <c r="UBK948" s="3" t="s">
        <v>22</v>
      </c>
      <c r="UBL948" s="3" t="s">
        <v>23</v>
      </c>
      <c r="UBM948" s="2" t="s">
        <v>24</v>
      </c>
      <c r="UBN948" s="4">
        <v>0</v>
      </c>
      <c r="UBO948" s="8">
        <f t="shared" ref="UBO948" si="6377">IF(UBK948="Ionizador", 10, IF(UBK948="Mesa", 1000000000, IF(UBK948="Rack", 1000000000, IF(UBK948="Piso", 1000000000, IF(UBK948="Tapete", 1000000000, IF(UBK948="Carrito", 1000000000, IF(UBK948="Cautín", 10, 1)))))))</f>
        <v>1000000000</v>
      </c>
      <c r="UBP948" s="4" t="str">
        <f t="shared" ref="UBP948" si="6378">IF(UBK948="Ionizador", "Segundos", "Ohms")</f>
        <v>Ohms</v>
      </c>
      <c r="UBQ948" s="6">
        <v>148000000</v>
      </c>
      <c r="UBR948" s="6" t="str">
        <f t="shared" ref="UBR948" si="6379">UBP948</f>
        <v>Ohms</v>
      </c>
      <c r="UBS948" s="2" t="str">
        <f t="shared" ref="UBS948" si="6380">IF(UBK948="Ionizador", "Plato de carga", IF(UBK948="Cautín", "PTG", "RTG"))</f>
        <v>RTG</v>
      </c>
      <c r="UBT948" s="7">
        <v>45992</v>
      </c>
      <c r="UBU948" s="7">
        <f t="shared" ref="UBU948" si="6381">IF(UBV948="Trimestral", UBT948+90, IF(UBV948="Semestral", UBT948+180, UBT948+365))</f>
        <v>46172</v>
      </c>
      <c r="UBV948" s="7" t="str">
        <f t="shared" ref="UBV948" si="6382">IF(UBK948="Ionizador", "Trimestral", IF(UBK948="Rack", "Semestral", IF(UBK948="Mesa", "Semestral", IF(UBK948="Tapete", "Semestral", IF(UBK948="Cautín", "Semestral", IF(UBK948="Silla", "Semestral", "Anual"))))))</f>
        <v>Semestral</v>
      </c>
      <c r="UBW948" s="2" t="str">
        <f t="shared" ref="UBW948" ca="1" si="6383">IF(UBU948&lt;TODAY(),"VENCIDO",IF(UBU948=TODAY(),"VENCE HOY",IF(UBU948&gt;TODAY(),"VIGENTE")))</f>
        <v>VIGENTE</v>
      </c>
      <c r="UBX948" s="6" t="s">
        <v>25</v>
      </c>
      <c r="UBY948" s="23" t="s">
        <v>138</v>
      </c>
      <c r="UBZ948" s="2" t="s">
        <v>433</v>
      </c>
      <c r="UCA948" s="3" t="s">
        <v>22</v>
      </c>
      <c r="UCB948" s="3" t="s">
        <v>23</v>
      </c>
      <c r="UCC948" s="2" t="s">
        <v>24</v>
      </c>
      <c r="UCD948" s="4">
        <v>0</v>
      </c>
      <c r="UCE948" s="8">
        <f t="shared" ref="UCE948" si="6384">IF(UCA948="Ionizador", 10, IF(UCA948="Mesa", 1000000000, IF(UCA948="Rack", 1000000000, IF(UCA948="Piso", 1000000000, IF(UCA948="Tapete", 1000000000, IF(UCA948="Carrito", 1000000000, IF(UCA948="Cautín", 10, 1)))))))</f>
        <v>1000000000</v>
      </c>
      <c r="UCF948" s="4" t="str">
        <f t="shared" ref="UCF948" si="6385">IF(UCA948="Ionizador", "Segundos", "Ohms")</f>
        <v>Ohms</v>
      </c>
      <c r="UCG948" s="6">
        <v>148000000</v>
      </c>
      <c r="UCH948" s="6" t="str">
        <f t="shared" ref="UCH948" si="6386">UCF948</f>
        <v>Ohms</v>
      </c>
      <c r="UCI948" s="2" t="str">
        <f t="shared" ref="UCI948" si="6387">IF(UCA948="Ionizador", "Plato de carga", IF(UCA948="Cautín", "PTG", "RTG"))</f>
        <v>RTG</v>
      </c>
      <c r="UCJ948" s="7">
        <v>45992</v>
      </c>
      <c r="UCK948" s="7">
        <f t="shared" ref="UCK948" si="6388">IF(UCL948="Trimestral", UCJ948+90, IF(UCL948="Semestral", UCJ948+180, UCJ948+365))</f>
        <v>46172</v>
      </c>
      <c r="UCL948" s="7" t="str">
        <f t="shared" ref="UCL948" si="6389">IF(UCA948="Ionizador", "Trimestral", IF(UCA948="Rack", "Semestral", IF(UCA948="Mesa", "Semestral", IF(UCA948="Tapete", "Semestral", IF(UCA948="Cautín", "Semestral", IF(UCA948="Silla", "Semestral", "Anual"))))))</f>
        <v>Semestral</v>
      </c>
      <c r="UCM948" s="2" t="str">
        <f t="shared" ref="UCM948" ca="1" si="6390">IF(UCK948&lt;TODAY(),"VENCIDO",IF(UCK948=TODAY(),"VENCE HOY",IF(UCK948&gt;TODAY(),"VIGENTE")))</f>
        <v>VIGENTE</v>
      </c>
      <c r="UCN948" s="6" t="s">
        <v>25</v>
      </c>
      <c r="UCO948" s="23" t="s">
        <v>138</v>
      </c>
      <c r="UCP948" s="2" t="s">
        <v>433</v>
      </c>
      <c r="UCQ948" s="3" t="s">
        <v>22</v>
      </c>
      <c r="UCR948" s="3" t="s">
        <v>23</v>
      </c>
      <c r="UCS948" s="2" t="s">
        <v>24</v>
      </c>
      <c r="UCT948" s="4">
        <v>0</v>
      </c>
      <c r="UCU948" s="8">
        <f t="shared" ref="UCU948" si="6391">IF(UCQ948="Ionizador", 10, IF(UCQ948="Mesa", 1000000000, IF(UCQ948="Rack", 1000000000, IF(UCQ948="Piso", 1000000000, IF(UCQ948="Tapete", 1000000000, IF(UCQ948="Carrito", 1000000000, IF(UCQ948="Cautín", 10, 1)))))))</f>
        <v>1000000000</v>
      </c>
      <c r="UCV948" s="4" t="str">
        <f t="shared" ref="UCV948" si="6392">IF(UCQ948="Ionizador", "Segundos", "Ohms")</f>
        <v>Ohms</v>
      </c>
      <c r="UCW948" s="6">
        <v>148000000</v>
      </c>
      <c r="UCX948" s="6" t="str">
        <f t="shared" ref="UCX948" si="6393">UCV948</f>
        <v>Ohms</v>
      </c>
      <c r="UCY948" s="2" t="str">
        <f t="shared" ref="UCY948" si="6394">IF(UCQ948="Ionizador", "Plato de carga", IF(UCQ948="Cautín", "PTG", "RTG"))</f>
        <v>RTG</v>
      </c>
      <c r="UCZ948" s="7">
        <v>45992</v>
      </c>
      <c r="UDA948" s="7">
        <f t="shared" ref="UDA948" si="6395">IF(UDB948="Trimestral", UCZ948+90, IF(UDB948="Semestral", UCZ948+180, UCZ948+365))</f>
        <v>46172</v>
      </c>
      <c r="UDB948" s="7" t="str">
        <f t="shared" ref="UDB948" si="6396">IF(UCQ948="Ionizador", "Trimestral", IF(UCQ948="Rack", "Semestral", IF(UCQ948="Mesa", "Semestral", IF(UCQ948="Tapete", "Semestral", IF(UCQ948="Cautín", "Semestral", IF(UCQ948="Silla", "Semestral", "Anual"))))))</f>
        <v>Semestral</v>
      </c>
      <c r="UDC948" s="2" t="str">
        <f t="shared" ref="UDC948" ca="1" si="6397">IF(UDA948&lt;TODAY(),"VENCIDO",IF(UDA948=TODAY(),"VENCE HOY",IF(UDA948&gt;TODAY(),"VIGENTE")))</f>
        <v>VIGENTE</v>
      </c>
      <c r="UDD948" s="6" t="s">
        <v>25</v>
      </c>
      <c r="UDE948" s="23" t="s">
        <v>138</v>
      </c>
      <c r="UDF948" s="2" t="s">
        <v>433</v>
      </c>
      <c r="UDG948" s="3" t="s">
        <v>22</v>
      </c>
      <c r="UDH948" s="3" t="s">
        <v>23</v>
      </c>
      <c r="UDI948" s="2" t="s">
        <v>24</v>
      </c>
      <c r="UDJ948" s="4">
        <v>0</v>
      </c>
      <c r="UDK948" s="8">
        <f t="shared" ref="UDK948" si="6398">IF(UDG948="Ionizador", 10, IF(UDG948="Mesa", 1000000000, IF(UDG948="Rack", 1000000000, IF(UDG948="Piso", 1000000000, IF(UDG948="Tapete", 1000000000, IF(UDG948="Carrito", 1000000000, IF(UDG948="Cautín", 10, 1)))))))</f>
        <v>1000000000</v>
      </c>
      <c r="UDL948" s="4" t="str">
        <f t="shared" ref="UDL948" si="6399">IF(UDG948="Ionizador", "Segundos", "Ohms")</f>
        <v>Ohms</v>
      </c>
      <c r="UDM948" s="6">
        <v>148000000</v>
      </c>
      <c r="UDN948" s="6" t="str">
        <f t="shared" ref="UDN948" si="6400">UDL948</f>
        <v>Ohms</v>
      </c>
      <c r="UDO948" s="2" t="str">
        <f t="shared" ref="UDO948" si="6401">IF(UDG948="Ionizador", "Plato de carga", IF(UDG948="Cautín", "PTG", "RTG"))</f>
        <v>RTG</v>
      </c>
      <c r="UDP948" s="7">
        <v>45992</v>
      </c>
      <c r="UDQ948" s="7">
        <f t="shared" ref="UDQ948" si="6402">IF(UDR948="Trimestral", UDP948+90, IF(UDR948="Semestral", UDP948+180, UDP948+365))</f>
        <v>46172</v>
      </c>
      <c r="UDR948" s="7" t="str">
        <f t="shared" ref="UDR948" si="6403">IF(UDG948="Ionizador", "Trimestral", IF(UDG948="Rack", "Semestral", IF(UDG948="Mesa", "Semestral", IF(UDG948="Tapete", "Semestral", IF(UDG948="Cautín", "Semestral", IF(UDG948="Silla", "Semestral", "Anual"))))))</f>
        <v>Semestral</v>
      </c>
      <c r="UDS948" s="2" t="str">
        <f t="shared" ref="UDS948" ca="1" si="6404">IF(UDQ948&lt;TODAY(),"VENCIDO",IF(UDQ948=TODAY(),"VENCE HOY",IF(UDQ948&gt;TODAY(),"VIGENTE")))</f>
        <v>VIGENTE</v>
      </c>
      <c r="UDT948" s="6" t="s">
        <v>25</v>
      </c>
      <c r="UDU948" s="23" t="s">
        <v>138</v>
      </c>
      <c r="UDV948" s="2" t="s">
        <v>433</v>
      </c>
      <c r="UDW948" s="3" t="s">
        <v>22</v>
      </c>
      <c r="UDX948" s="3" t="s">
        <v>23</v>
      </c>
      <c r="UDY948" s="2" t="s">
        <v>24</v>
      </c>
      <c r="UDZ948" s="4">
        <v>0</v>
      </c>
      <c r="UEA948" s="8">
        <f t="shared" ref="UEA948" si="6405">IF(UDW948="Ionizador", 10, IF(UDW948="Mesa", 1000000000, IF(UDW948="Rack", 1000000000, IF(UDW948="Piso", 1000000000, IF(UDW948="Tapete", 1000000000, IF(UDW948="Carrito", 1000000000, IF(UDW948="Cautín", 10, 1)))))))</f>
        <v>1000000000</v>
      </c>
      <c r="UEB948" s="4" t="str">
        <f t="shared" ref="UEB948" si="6406">IF(UDW948="Ionizador", "Segundos", "Ohms")</f>
        <v>Ohms</v>
      </c>
      <c r="UEC948" s="6">
        <v>148000000</v>
      </c>
      <c r="UED948" s="6" t="str">
        <f t="shared" ref="UED948" si="6407">UEB948</f>
        <v>Ohms</v>
      </c>
      <c r="UEE948" s="2" t="str">
        <f t="shared" ref="UEE948" si="6408">IF(UDW948="Ionizador", "Plato de carga", IF(UDW948="Cautín", "PTG", "RTG"))</f>
        <v>RTG</v>
      </c>
      <c r="UEF948" s="7">
        <v>45992</v>
      </c>
      <c r="UEG948" s="7">
        <f t="shared" ref="UEG948" si="6409">IF(UEH948="Trimestral", UEF948+90, IF(UEH948="Semestral", UEF948+180, UEF948+365))</f>
        <v>46172</v>
      </c>
      <c r="UEH948" s="7" t="str">
        <f t="shared" ref="UEH948" si="6410">IF(UDW948="Ionizador", "Trimestral", IF(UDW948="Rack", "Semestral", IF(UDW948="Mesa", "Semestral", IF(UDW948="Tapete", "Semestral", IF(UDW948="Cautín", "Semestral", IF(UDW948="Silla", "Semestral", "Anual"))))))</f>
        <v>Semestral</v>
      </c>
      <c r="UEI948" s="2" t="str">
        <f t="shared" ref="UEI948" ca="1" si="6411">IF(UEG948&lt;TODAY(),"VENCIDO",IF(UEG948=TODAY(),"VENCE HOY",IF(UEG948&gt;TODAY(),"VIGENTE")))</f>
        <v>VIGENTE</v>
      </c>
      <c r="UEJ948" s="6" t="s">
        <v>25</v>
      </c>
      <c r="UEK948" s="23" t="s">
        <v>138</v>
      </c>
      <c r="UEL948" s="2" t="s">
        <v>433</v>
      </c>
      <c r="UEM948" s="3" t="s">
        <v>22</v>
      </c>
      <c r="UEN948" s="3" t="s">
        <v>23</v>
      </c>
      <c r="UEO948" s="2" t="s">
        <v>24</v>
      </c>
      <c r="UEP948" s="4">
        <v>0</v>
      </c>
      <c r="UEQ948" s="8">
        <f t="shared" ref="UEQ948" si="6412">IF(UEM948="Ionizador", 10, IF(UEM948="Mesa", 1000000000, IF(UEM948="Rack", 1000000000, IF(UEM948="Piso", 1000000000, IF(UEM948="Tapete", 1000000000, IF(UEM948="Carrito", 1000000000, IF(UEM948="Cautín", 10, 1)))))))</f>
        <v>1000000000</v>
      </c>
      <c r="UER948" s="4" t="str">
        <f t="shared" ref="UER948" si="6413">IF(UEM948="Ionizador", "Segundos", "Ohms")</f>
        <v>Ohms</v>
      </c>
      <c r="UES948" s="6">
        <v>148000000</v>
      </c>
      <c r="UET948" s="6" t="str">
        <f t="shared" ref="UET948" si="6414">UER948</f>
        <v>Ohms</v>
      </c>
      <c r="UEU948" s="2" t="str">
        <f t="shared" ref="UEU948" si="6415">IF(UEM948="Ionizador", "Plato de carga", IF(UEM948="Cautín", "PTG", "RTG"))</f>
        <v>RTG</v>
      </c>
      <c r="UEV948" s="7">
        <v>45992</v>
      </c>
      <c r="UEW948" s="7">
        <f t="shared" ref="UEW948" si="6416">IF(UEX948="Trimestral", UEV948+90, IF(UEX948="Semestral", UEV948+180, UEV948+365))</f>
        <v>46172</v>
      </c>
      <c r="UEX948" s="7" t="str">
        <f t="shared" ref="UEX948" si="6417">IF(UEM948="Ionizador", "Trimestral", IF(UEM948="Rack", "Semestral", IF(UEM948="Mesa", "Semestral", IF(UEM948="Tapete", "Semestral", IF(UEM948="Cautín", "Semestral", IF(UEM948="Silla", "Semestral", "Anual"))))))</f>
        <v>Semestral</v>
      </c>
      <c r="UEY948" s="2" t="str">
        <f t="shared" ref="UEY948" ca="1" si="6418">IF(UEW948&lt;TODAY(),"VENCIDO",IF(UEW948=TODAY(),"VENCE HOY",IF(UEW948&gt;TODAY(),"VIGENTE")))</f>
        <v>VIGENTE</v>
      </c>
      <c r="UEZ948" s="6" t="s">
        <v>25</v>
      </c>
      <c r="UFA948" s="23" t="s">
        <v>138</v>
      </c>
      <c r="UFB948" s="2" t="s">
        <v>433</v>
      </c>
      <c r="UFC948" s="3" t="s">
        <v>22</v>
      </c>
      <c r="UFD948" s="3" t="s">
        <v>23</v>
      </c>
      <c r="UFE948" s="2" t="s">
        <v>24</v>
      </c>
      <c r="UFF948" s="4">
        <v>0</v>
      </c>
      <c r="UFG948" s="8">
        <f t="shared" ref="UFG948" si="6419">IF(UFC948="Ionizador", 10, IF(UFC948="Mesa", 1000000000, IF(UFC948="Rack", 1000000000, IF(UFC948="Piso", 1000000000, IF(UFC948="Tapete", 1000000000, IF(UFC948="Carrito", 1000000000, IF(UFC948="Cautín", 10, 1)))))))</f>
        <v>1000000000</v>
      </c>
      <c r="UFH948" s="4" t="str">
        <f t="shared" ref="UFH948" si="6420">IF(UFC948="Ionizador", "Segundos", "Ohms")</f>
        <v>Ohms</v>
      </c>
      <c r="UFI948" s="6">
        <v>148000000</v>
      </c>
      <c r="UFJ948" s="6" t="str">
        <f t="shared" ref="UFJ948" si="6421">UFH948</f>
        <v>Ohms</v>
      </c>
      <c r="UFK948" s="2" t="str">
        <f t="shared" ref="UFK948" si="6422">IF(UFC948="Ionizador", "Plato de carga", IF(UFC948="Cautín", "PTG", "RTG"))</f>
        <v>RTG</v>
      </c>
      <c r="UFL948" s="7">
        <v>45992</v>
      </c>
      <c r="UFM948" s="7">
        <f t="shared" ref="UFM948" si="6423">IF(UFN948="Trimestral", UFL948+90, IF(UFN948="Semestral", UFL948+180, UFL948+365))</f>
        <v>46172</v>
      </c>
      <c r="UFN948" s="7" t="str">
        <f t="shared" ref="UFN948" si="6424">IF(UFC948="Ionizador", "Trimestral", IF(UFC948="Rack", "Semestral", IF(UFC948="Mesa", "Semestral", IF(UFC948="Tapete", "Semestral", IF(UFC948="Cautín", "Semestral", IF(UFC948="Silla", "Semestral", "Anual"))))))</f>
        <v>Semestral</v>
      </c>
      <c r="UFO948" s="2" t="str">
        <f t="shared" ref="UFO948" ca="1" si="6425">IF(UFM948&lt;TODAY(),"VENCIDO",IF(UFM948=TODAY(),"VENCE HOY",IF(UFM948&gt;TODAY(),"VIGENTE")))</f>
        <v>VIGENTE</v>
      </c>
      <c r="UFP948" s="6" t="s">
        <v>25</v>
      </c>
      <c r="UFQ948" s="23" t="s">
        <v>138</v>
      </c>
      <c r="UFR948" s="2" t="s">
        <v>433</v>
      </c>
      <c r="UFS948" s="3" t="s">
        <v>22</v>
      </c>
      <c r="UFT948" s="3" t="s">
        <v>23</v>
      </c>
      <c r="UFU948" s="2" t="s">
        <v>24</v>
      </c>
      <c r="UFV948" s="4">
        <v>0</v>
      </c>
      <c r="UFW948" s="8">
        <f t="shared" ref="UFW948" si="6426">IF(UFS948="Ionizador", 10, IF(UFS948="Mesa", 1000000000, IF(UFS948="Rack", 1000000000, IF(UFS948="Piso", 1000000000, IF(UFS948="Tapete", 1000000000, IF(UFS948="Carrito", 1000000000, IF(UFS948="Cautín", 10, 1)))))))</f>
        <v>1000000000</v>
      </c>
      <c r="UFX948" s="4" t="str">
        <f t="shared" ref="UFX948" si="6427">IF(UFS948="Ionizador", "Segundos", "Ohms")</f>
        <v>Ohms</v>
      </c>
      <c r="UFY948" s="6">
        <v>148000000</v>
      </c>
      <c r="UFZ948" s="6" t="str">
        <f t="shared" ref="UFZ948" si="6428">UFX948</f>
        <v>Ohms</v>
      </c>
      <c r="UGA948" s="2" t="str">
        <f t="shared" ref="UGA948" si="6429">IF(UFS948="Ionizador", "Plato de carga", IF(UFS948="Cautín", "PTG", "RTG"))</f>
        <v>RTG</v>
      </c>
      <c r="UGB948" s="7">
        <v>45992</v>
      </c>
      <c r="UGC948" s="7">
        <f t="shared" ref="UGC948" si="6430">IF(UGD948="Trimestral", UGB948+90, IF(UGD948="Semestral", UGB948+180, UGB948+365))</f>
        <v>46172</v>
      </c>
      <c r="UGD948" s="7" t="str">
        <f t="shared" ref="UGD948" si="6431">IF(UFS948="Ionizador", "Trimestral", IF(UFS948="Rack", "Semestral", IF(UFS948="Mesa", "Semestral", IF(UFS948="Tapete", "Semestral", IF(UFS948="Cautín", "Semestral", IF(UFS948="Silla", "Semestral", "Anual"))))))</f>
        <v>Semestral</v>
      </c>
      <c r="UGE948" s="2" t="str">
        <f t="shared" ref="UGE948" ca="1" si="6432">IF(UGC948&lt;TODAY(),"VENCIDO",IF(UGC948=TODAY(),"VENCE HOY",IF(UGC948&gt;TODAY(),"VIGENTE")))</f>
        <v>VIGENTE</v>
      </c>
      <c r="UGF948" s="6" t="s">
        <v>25</v>
      </c>
      <c r="UGG948" s="23" t="s">
        <v>138</v>
      </c>
      <c r="UGH948" s="2" t="s">
        <v>433</v>
      </c>
      <c r="UGI948" s="3" t="s">
        <v>22</v>
      </c>
      <c r="UGJ948" s="3" t="s">
        <v>23</v>
      </c>
      <c r="UGK948" s="2" t="s">
        <v>24</v>
      </c>
      <c r="UGL948" s="4">
        <v>0</v>
      </c>
      <c r="UGM948" s="8">
        <f t="shared" ref="UGM948" si="6433">IF(UGI948="Ionizador", 10, IF(UGI948="Mesa", 1000000000, IF(UGI948="Rack", 1000000000, IF(UGI948="Piso", 1000000000, IF(UGI948="Tapete", 1000000000, IF(UGI948="Carrito", 1000000000, IF(UGI948="Cautín", 10, 1)))))))</f>
        <v>1000000000</v>
      </c>
      <c r="UGN948" s="4" t="str">
        <f t="shared" ref="UGN948" si="6434">IF(UGI948="Ionizador", "Segundos", "Ohms")</f>
        <v>Ohms</v>
      </c>
      <c r="UGO948" s="6">
        <v>148000000</v>
      </c>
      <c r="UGP948" s="6" t="str">
        <f t="shared" ref="UGP948" si="6435">UGN948</f>
        <v>Ohms</v>
      </c>
      <c r="UGQ948" s="2" t="str">
        <f t="shared" ref="UGQ948" si="6436">IF(UGI948="Ionizador", "Plato de carga", IF(UGI948="Cautín", "PTG", "RTG"))</f>
        <v>RTG</v>
      </c>
      <c r="UGR948" s="7">
        <v>45992</v>
      </c>
      <c r="UGS948" s="7">
        <f t="shared" ref="UGS948" si="6437">IF(UGT948="Trimestral", UGR948+90, IF(UGT948="Semestral", UGR948+180, UGR948+365))</f>
        <v>46172</v>
      </c>
      <c r="UGT948" s="7" t="str">
        <f t="shared" ref="UGT948" si="6438">IF(UGI948="Ionizador", "Trimestral", IF(UGI948="Rack", "Semestral", IF(UGI948="Mesa", "Semestral", IF(UGI948="Tapete", "Semestral", IF(UGI948="Cautín", "Semestral", IF(UGI948="Silla", "Semestral", "Anual"))))))</f>
        <v>Semestral</v>
      </c>
      <c r="UGU948" s="2" t="str">
        <f t="shared" ref="UGU948" ca="1" si="6439">IF(UGS948&lt;TODAY(),"VENCIDO",IF(UGS948=TODAY(),"VENCE HOY",IF(UGS948&gt;TODAY(),"VIGENTE")))</f>
        <v>VIGENTE</v>
      </c>
      <c r="UGV948" s="6" t="s">
        <v>25</v>
      </c>
      <c r="UGW948" s="23" t="s">
        <v>138</v>
      </c>
      <c r="UGX948" s="2" t="s">
        <v>433</v>
      </c>
      <c r="UGY948" s="3" t="s">
        <v>22</v>
      </c>
      <c r="UGZ948" s="3" t="s">
        <v>23</v>
      </c>
      <c r="UHA948" s="2" t="s">
        <v>24</v>
      </c>
      <c r="UHB948" s="4">
        <v>0</v>
      </c>
      <c r="UHC948" s="8">
        <f t="shared" ref="UHC948" si="6440">IF(UGY948="Ionizador", 10, IF(UGY948="Mesa", 1000000000, IF(UGY948="Rack", 1000000000, IF(UGY948="Piso", 1000000000, IF(UGY948="Tapete", 1000000000, IF(UGY948="Carrito", 1000000000, IF(UGY948="Cautín", 10, 1)))))))</f>
        <v>1000000000</v>
      </c>
      <c r="UHD948" s="4" t="str">
        <f t="shared" ref="UHD948" si="6441">IF(UGY948="Ionizador", "Segundos", "Ohms")</f>
        <v>Ohms</v>
      </c>
      <c r="UHE948" s="6">
        <v>148000000</v>
      </c>
      <c r="UHF948" s="6" t="str">
        <f t="shared" ref="UHF948" si="6442">UHD948</f>
        <v>Ohms</v>
      </c>
      <c r="UHG948" s="2" t="str">
        <f t="shared" ref="UHG948" si="6443">IF(UGY948="Ionizador", "Plato de carga", IF(UGY948="Cautín", "PTG", "RTG"))</f>
        <v>RTG</v>
      </c>
      <c r="UHH948" s="7">
        <v>45992</v>
      </c>
      <c r="UHI948" s="7">
        <f t="shared" ref="UHI948" si="6444">IF(UHJ948="Trimestral", UHH948+90, IF(UHJ948="Semestral", UHH948+180, UHH948+365))</f>
        <v>46172</v>
      </c>
      <c r="UHJ948" s="7" t="str">
        <f t="shared" ref="UHJ948" si="6445">IF(UGY948="Ionizador", "Trimestral", IF(UGY948="Rack", "Semestral", IF(UGY948="Mesa", "Semestral", IF(UGY948="Tapete", "Semestral", IF(UGY948="Cautín", "Semestral", IF(UGY948="Silla", "Semestral", "Anual"))))))</f>
        <v>Semestral</v>
      </c>
      <c r="UHK948" s="2" t="str">
        <f t="shared" ref="UHK948" ca="1" si="6446">IF(UHI948&lt;TODAY(),"VENCIDO",IF(UHI948=TODAY(),"VENCE HOY",IF(UHI948&gt;TODAY(),"VIGENTE")))</f>
        <v>VIGENTE</v>
      </c>
      <c r="UHL948" s="6" t="s">
        <v>25</v>
      </c>
      <c r="UHM948" s="23" t="s">
        <v>138</v>
      </c>
      <c r="UHN948" s="2" t="s">
        <v>433</v>
      </c>
      <c r="UHO948" s="3" t="s">
        <v>22</v>
      </c>
      <c r="UHP948" s="3" t="s">
        <v>23</v>
      </c>
      <c r="UHQ948" s="2" t="s">
        <v>24</v>
      </c>
      <c r="UHR948" s="4">
        <v>0</v>
      </c>
      <c r="UHS948" s="8">
        <f t="shared" ref="UHS948" si="6447">IF(UHO948="Ionizador", 10, IF(UHO948="Mesa", 1000000000, IF(UHO948="Rack", 1000000000, IF(UHO948="Piso", 1000000000, IF(UHO948="Tapete", 1000000000, IF(UHO948="Carrito", 1000000000, IF(UHO948="Cautín", 10, 1)))))))</f>
        <v>1000000000</v>
      </c>
      <c r="UHT948" s="4" t="str">
        <f t="shared" ref="UHT948" si="6448">IF(UHO948="Ionizador", "Segundos", "Ohms")</f>
        <v>Ohms</v>
      </c>
      <c r="UHU948" s="6">
        <v>148000000</v>
      </c>
      <c r="UHV948" s="6" t="str">
        <f t="shared" ref="UHV948" si="6449">UHT948</f>
        <v>Ohms</v>
      </c>
      <c r="UHW948" s="2" t="str">
        <f t="shared" ref="UHW948" si="6450">IF(UHO948="Ionizador", "Plato de carga", IF(UHO948="Cautín", "PTG", "RTG"))</f>
        <v>RTG</v>
      </c>
      <c r="UHX948" s="7">
        <v>45992</v>
      </c>
      <c r="UHY948" s="7">
        <f t="shared" ref="UHY948" si="6451">IF(UHZ948="Trimestral", UHX948+90, IF(UHZ948="Semestral", UHX948+180, UHX948+365))</f>
        <v>46172</v>
      </c>
      <c r="UHZ948" s="7" t="str">
        <f t="shared" ref="UHZ948" si="6452">IF(UHO948="Ionizador", "Trimestral", IF(UHO948="Rack", "Semestral", IF(UHO948="Mesa", "Semestral", IF(UHO948="Tapete", "Semestral", IF(UHO948="Cautín", "Semestral", IF(UHO948="Silla", "Semestral", "Anual"))))))</f>
        <v>Semestral</v>
      </c>
      <c r="UIA948" s="2" t="str">
        <f t="shared" ref="UIA948" ca="1" si="6453">IF(UHY948&lt;TODAY(),"VENCIDO",IF(UHY948=TODAY(),"VENCE HOY",IF(UHY948&gt;TODAY(),"VIGENTE")))</f>
        <v>VIGENTE</v>
      </c>
      <c r="UIB948" s="6" t="s">
        <v>25</v>
      </c>
      <c r="UIC948" s="23" t="s">
        <v>138</v>
      </c>
      <c r="UID948" s="2" t="s">
        <v>433</v>
      </c>
      <c r="UIE948" s="3" t="s">
        <v>22</v>
      </c>
      <c r="UIF948" s="3" t="s">
        <v>23</v>
      </c>
      <c r="UIG948" s="2" t="s">
        <v>24</v>
      </c>
      <c r="UIH948" s="4">
        <v>0</v>
      </c>
      <c r="UII948" s="8">
        <f t="shared" ref="UII948" si="6454">IF(UIE948="Ionizador", 10, IF(UIE948="Mesa", 1000000000, IF(UIE948="Rack", 1000000000, IF(UIE948="Piso", 1000000000, IF(UIE948="Tapete", 1000000000, IF(UIE948="Carrito", 1000000000, IF(UIE948="Cautín", 10, 1)))))))</f>
        <v>1000000000</v>
      </c>
      <c r="UIJ948" s="4" t="str">
        <f t="shared" ref="UIJ948" si="6455">IF(UIE948="Ionizador", "Segundos", "Ohms")</f>
        <v>Ohms</v>
      </c>
      <c r="UIK948" s="6">
        <v>148000000</v>
      </c>
      <c r="UIL948" s="6" t="str">
        <f t="shared" ref="UIL948" si="6456">UIJ948</f>
        <v>Ohms</v>
      </c>
      <c r="UIM948" s="2" t="str">
        <f t="shared" ref="UIM948" si="6457">IF(UIE948="Ionizador", "Plato de carga", IF(UIE948="Cautín", "PTG", "RTG"))</f>
        <v>RTG</v>
      </c>
      <c r="UIN948" s="7">
        <v>45992</v>
      </c>
      <c r="UIO948" s="7">
        <f t="shared" ref="UIO948" si="6458">IF(UIP948="Trimestral", UIN948+90, IF(UIP948="Semestral", UIN948+180, UIN948+365))</f>
        <v>46172</v>
      </c>
      <c r="UIP948" s="7" t="str">
        <f t="shared" ref="UIP948" si="6459">IF(UIE948="Ionizador", "Trimestral", IF(UIE948="Rack", "Semestral", IF(UIE948="Mesa", "Semestral", IF(UIE948="Tapete", "Semestral", IF(UIE948="Cautín", "Semestral", IF(UIE948="Silla", "Semestral", "Anual"))))))</f>
        <v>Semestral</v>
      </c>
      <c r="UIQ948" s="2" t="str">
        <f t="shared" ref="UIQ948" ca="1" si="6460">IF(UIO948&lt;TODAY(),"VENCIDO",IF(UIO948=TODAY(),"VENCE HOY",IF(UIO948&gt;TODAY(),"VIGENTE")))</f>
        <v>VIGENTE</v>
      </c>
      <c r="UIR948" s="6" t="s">
        <v>25</v>
      </c>
      <c r="UIS948" s="23" t="s">
        <v>138</v>
      </c>
      <c r="UIT948" s="2" t="s">
        <v>433</v>
      </c>
      <c r="UIU948" s="3" t="s">
        <v>22</v>
      </c>
      <c r="UIV948" s="3" t="s">
        <v>23</v>
      </c>
      <c r="UIW948" s="2" t="s">
        <v>24</v>
      </c>
      <c r="UIX948" s="4">
        <v>0</v>
      </c>
      <c r="UIY948" s="8">
        <f t="shared" ref="UIY948" si="6461">IF(UIU948="Ionizador", 10, IF(UIU948="Mesa", 1000000000, IF(UIU948="Rack", 1000000000, IF(UIU948="Piso", 1000000000, IF(UIU948="Tapete", 1000000000, IF(UIU948="Carrito", 1000000000, IF(UIU948="Cautín", 10, 1)))))))</f>
        <v>1000000000</v>
      </c>
      <c r="UIZ948" s="4" t="str">
        <f t="shared" ref="UIZ948" si="6462">IF(UIU948="Ionizador", "Segundos", "Ohms")</f>
        <v>Ohms</v>
      </c>
      <c r="UJA948" s="6">
        <v>148000000</v>
      </c>
      <c r="UJB948" s="6" t="str">
        <f t="shared" ref="UJB948" si="6463">UIZ948</f>
        <v>Ohms</v>
      </c>
      <c r="UJC948" s="2" t="str">
        <f t="shared" ref="UJC948" si="6464">IF(UIU948="Ionizador", "Plato de carga", IF(UIU948="Cautín", "PTG", "RTG"))</f>
        <v>RTG</v>
      </c>
      <c r="UJD948" s="7">
        <v>45992</v>
      </c>
      <c r="UJE948" s="7">
        <f t="shared" ref="UJE948" si="6465">IF(UJF948="Trimestral", UJD948+90, IF(UJF948="Semestral", UJD948+180, UJD948+365))</f>
        <v>46172</v>
      </c>
      <c r="UJF948" s="7" t="str">
        <f t="shared" ref="UJF948" si="6466">IF(UIU948="Ionizador", "Trimestral", IF(UIU948="Rack", "Semestral", IF(UIU948="Mesa", "Semestral", IF(UIU948="Tapete", "Semestral", IF(UIU948="Cautín", "Semestral", IF(UIU948="Silla", "Semestral", "Anual"))))))</f>
        <v>Semestral</v>
      </c>
      <c r="UJG948" s="2" t="str">
        <f t="shared" ref="UJG948" ca="1" si="6467">IF(UJE948&lt;TODAY(),"VENCIDO",IF(UJE948=TODAY(),"VENCE HOY",IF(UJE948&gt;TODAY(),"VIGENTE")))</f>
        <v>VIGENTE</v>
      </c>
      <c r="UJH948" s="6" t="s">
        <v>25</v>
      </c>
      <c r="UJI948" s="23" t="s">
        <v>138</v>
      </c>
      <c r="UJJ948" s="2" t="s">
        <v>433</v>
      </c>
      <c r="UJK948" s="3" t="s">
        <v>22</v>
      </c>
      <c r="UJL948" s="3" t="s">
        <v>23</v>
      </c>
      <c r="UJM948" s="2" t="s">
        <v>24</v>
      </c>
      <c r="UJN948" s="4">
        <v>0</v>
      </c>
      <c r="UJO948" s="8">
        <f t="shared" ref="UJO948" si="6468">IF(UJK948="Ionizador", 10, IF(UJK948="Mesa", 1000000000, IF(UJK948="Rack", 1000000000, IF(UJK948="Piso", 1000000000, IF(UJK948="Tapete", 1000000000, IF(UJK948="Carrito", 1000000000, IF(UJK948="Cautín", 10, 1)))))))</f>
        <v>1000000000</v>
      </c>
      <c r="UJP948" s="4" t="str">
        <f t="shared" ref="UJP948" si="6469">IF(UJK948="Ionizador", "Segundos", "Ohms")</f>
        <v>Ohms</v>
      </c>
      <c r="UJQ948" s="6">
        <v>148000000</v>
      </c>
      <c r="UJR948" s="6" t="str">
        <f t="shared" ref="UJR948" si="6470">UJP948</f>
        <v>Ohms</v>
      </c>
      <c r="UJS948" s="2" t="str">
        <f t="shared" ref="UJS948" si="6471">IF(UJK948="Ionizador", "Plato de carga", IF(UJK948="Cautín", "PTG", "RTG"))</f>
        <v>RTG</v>
      </c>
      <c r="UJT948" s="7">
        <v>45992</v>
      </c>
      <c r="UJU948" s="7">
        <f t="shared" ref="UJU948" si="6472">IF(UJV948="Trimestral", UJT948+90, IF(UJV948="Semestral", UJT948+180, UJT948+365))</f>
        <v>46172</v>
      </c>
      <c r="UJV948" s="7" t="str">
        <f t="shared" ref="UJV948" si="6473">IF(UJK948="Ionizador", "Trimestral", IF(UJK948="Rack", "Semestral", IF(UJK948="Mesa", "Semestral", IF(UJK948="Tapete", "Semestral", IF(UJK948="Cautín", "Semestral", IF(UJK948="Silla", "Semestral", "Anual"))))))</f>
        <v>Semestral</v>
      </c>
      <c r="UJW948" s="2" t="str">
        <f t="shared" ref="UJW948" ca="1" si="6474">IF(UJU948&lt;TODAY(),"VENCIDO",IF(UJU948=TODAY(),"VENCE HOY",IF(UJU948&gt;TODAY(),"VIGENTE")))</f>
        <v>VIGENTE</v>
      </c>
      <c r="UJX948" s="6" t="s">
        <v>25</v>
      </c>
      <c r="UJY948" s="23" t="s">
        <v>138</v>
      </c>
      <c r="UJZ948" s="2" t="s">
        <v>433</v>
      </c>
      <c r="UKA948" s="3" t="s">
        <v>22</v>
      </c>
      <c r="UKB948" s="3" t="s">
        <v>23</v>
      </c>
      <c r="UKC948" s="2" t="s">
        <v>24</v>
      </c>
      <c r="UKD948" s="4">
        <v>0</v>
      </c>
      <c r="UKE948" s="8">
        <f t="shared" ref="UKE948" si="6475">IF(UKA948="Ionizador", 10, IF(UKA948="Mesa", 1000000000, IF(UKA948="Rack", 1000000000, IF(UKA948="Piso", 1000000000, IF(UKA948="Tapete", 1000000000, IF(UKA948="Carrito", 1000000000, IF(UKA948="Cautín", 10, 1)))))))</f>
        <v>1000000000</v>
      </c>
      <c r="UKF948" s="4" t="str">
        <f t="shared" ref="UKF948" si="6476">IF(UKA948="Ionizador", "Segundos", "Ohms")</f>
        <v>Ohms</v>
      </c>
      <c r="UKG948" s="6">
        <v>148000000</v>
      </c>
      <c r="UKH948" s="6" t="str">
        <f t="shared" ref="UKH948" si="6477">UKF948</f>
        <v>Ohms</v>
      </c>
      <c r="UKI948" s="2" t="str">
        <f t="shared" ref="UKI948" si="6478">IF(UKA948="Ionizador", "Plato de carga", IF(UKA948="Cautín", "PTG", "RTG"))</f>
        <v>RTG</v>
      </c>
      <c r="UKJ948" s="7">
        <v>45992</v>
      </c>
      <c r="UKK948" s="7">
        <f t="shared" ref="UKK948" si="6479">IF(UKL948="Trimestral", UKJ948+90, IF(UKL948="Semestral", UKJ948+180, UKJ948+365))</f>
        <v>46172</v>
      </c>
      <c r="UKL948" s="7" t="str">
        <f t="shared" ref="UKL948" si="6480">IF(UKA948="Ionizador", "Trimestral", IF(UKA948="Rack", "Semestral", IF(UKA948="Mesa", "Semestral", IF(UKA948="Tapete", "Semestral", IF(UKA948="Cautín", "Semestral", IF(UKA948="Silla", "Semestral", "Anual"))))))</f>
        <v>Semestral</v>
      </c>
      <c r="UKM948" s="2" t="str">
        <f t="shared" ref="UKM948" ca="1" si="6481">IF(UKK948&lt;TODAY(),"VENCIDO",IF(UKK948=TODAY(),"VENCE HOY",IF(UKK948&gt;TODAY(),"VIGENTE")))</f>
        <v>VIGENTE</v>
      </c>
      <c r="UKN948" s="6" t="s">
        <v>25</v>
      </c>
      <c r="UKO948" s="23" t="s">
        <v>138</v>
      </c>
      <c r="UKP948" s="2" t="s">
        <v>433</v>
      </c>
      <c r="UKQ948" s="3" t="s">
        <v>22</v>
      </c>
      <c r="UKR948" s="3" t="s">
        <v>23</v>
      </c>
      <c r="UKS948" s="2" t="s">
        <v>24</v>
      </c>
      <c r="UKT948" s="4">
        <v>0</v>
      </c>
      <c r="UKU948" s="8">
        <f t="shared" ref="UKU948" si="6482">IF(UKQ948="Ionizador", 10, IF(UKQ948="Mesa", 1000000000, IF(UKQ948="Rack", 1000000000, IF(UKQ948="Piso", 1000000000, IF(UKQ948="Tapete", 1000000000, IF(UKQ948="Carrito", 1000000000, IF(UKQ948="Cautín", 10, 1)))))))</f>
        <v>1000000000</v>
      </c>
      <c r="UKV948" s="4" t="str">
        <f t="shared" ref="UKV948" si="6483">IF(UKQ948="Ionizador", "Segundos", "Ohms")</f>
        <v>Ohms</v>
      </c>
      <c r="UKW948" s="6">
        <v>148000000</v>
      </c>
      <c r="UKX948" s="6" t="str">
        <f t="shared" ref="UKX948" si="6484">UKV948</f>
        <v>Ohms</v>
      </c>
      <c r="UKY948" s="2" t="str">
        <f t="shared" ref="UKY948" si="6485">IF(UKQ948="Ionizador", "Plato de carga", IF(UKQ948="Cautín", "PTG", "RTG"))</f>
        <v>RTG</v>
      </c>
      <c r="UKZ948" s="7">
        <v>45992</v>
      </c>
      <c r="ULA948" s="7">
        <f t="shared" ref="ULA948" si="6486">IF(ULB948="Trimestral", UKZ948+90, IF(ULB948="Semestral", UKZ948+180, UKZ948+365))</f>
        <v>46172</v>
      </c>
      <c r="ULB948" s="7" t="str">
        <f t="shared" ref="ULB948" si="6487">IF(UKQ948="Ionizador", "Trimestral", IF(UKQ948="Rack", "Semestral", IF(UKQ948="Mesa", "Semestral", IF(UKQ948="Tapete", "Semestral", IF(UKQ948="Cautín", "Semestral", IF(UKQ948="Silla", "Semestral", "Anual"))))))</f>
        <v>Semestral</v>
      </c>
      <c r="ULC948" s="2" t="str">
        <f t="shared" ref="ULC948" ca="1" si="6488">IF(ULA948&lt;TODAY(),"VENCIDO",IF(ULA948=TODAY(),"VENCE HOY",IF(ULA948&gt;TODAY(),"VIGENTE")))</f>
        <v>VIGENTE</v>
      </c>
      <c r="ULD948" s="6" t="s">
        <v>25</v>
      </c>
      <c r="ULE948" s="23" t="s">
        <v>138</v>
      </c>
      <c r="ULF948" s="2" t="s">
        <v>433</v>
      </c>
      <c r="ULG948" s="3" t="s">
        <v>22</v>
      </c>
      <c r="ULH948" s="3" t="s">
        <v>23</v>
      </c>
      <c r="ULI948" s="2" t="s">
        <v>24</v>
      </c>
      <c r="ULJ948" s="4">
        <v>0</v>
      </c>
      <c r="ULK948" s="8">
        <f t="shared" ref="ULK948" si="6489">IF(ULG948="Ionizador", 10, IF(ULG948="Mesa", 1000000000, IF(ULG948="Rack", 1000000000, IF(ULG948="Piso", 1000000000, IF(ULG948="Tapete", 1000000000, IF(ULG948="Carrito", 1000000000, IF(ULG948="Cautín", 10, 1)))))))</f>
        <v>1000000000</v>
      </c>
      <c r="ULL948" s="4" t="str">
        <f t="shared" ref="ULL948" si="6490">IF(ULG948="Ionizador", "Segundos", "Ohms")</f>
        <v>Ohms</v>
      </c>
      <c r="ULM948" s="6">
        <v>148000000</v>
      </c>
      <c r="ULN948" s="6" t="str">
        <f t="shared" ref="ULN948" si="6491">ULL948</f>
        <v>Ohms</v>
      </c>
      <c r="ULO948" s="2" t="str">
        <f t="shared" ref="ULO948" si="6492">IF(ULG948="Ionizador", "Plato de carga", IF(ULG948="Cautín", "PTG", "RTG"))</f>
        <v>RTG</v>
      </c>
      <c r="ULP948" s="7">
        <v>45992</v>
      </c>
      <c r="ULQ948" s="7">
        <f t="shared" ref="ULQ948" si="6493">IF(ULR948="Trimestral", ULP948+90, IF(ULR948="Semestral", ULP948+180, ULP948+365))</f>
        <v>46172</v>
      </c>
      <c r="ULR948" s="7" t="str">
        <f t="shared" ref="ULR948" si="6494">IF(ULG948="Ionizador", "Trimestral", IF(ULG948="Rack", "Semestral", IF(ULG948="Mesa", "Semestral", IF(ULG948="Tapete", "Semestral", IF(ULG948="Cautín", "Semestral", IF(ULG948="Silla", "Semestral", "Anual"))))))</f>
        <v>Semestral</v>
      </c>
      <c r="ULS948" s="2" t="str">
        <f t="shared" ref="ULS948" ca="1" si="6495">IF(ULQ948&lt;TODAY(),"VENCIDO",IF(ULQ948=TODAY(),"VENCE HOY",IF(ULQ948&gt;TODAY(),"VIGENTE")))</f>
        <v>VIGENTE</v>
      </c>
      <c r="ULT948" s="6" t="s">
        <v>25</v>
      </c>
      <c r="ULU948" s="23" t="s">
        <v>138</v>
      </c>
      <c r="ULV948" s="2" t="s">
        <v>433</v>
      </c>
      <c r="ULW948" s="3" t="s">
        <v>22</v>
      </c>
      <c r="ULX948" s="3" t="s">
        <v>23</v>
      </c>
      <c r="ULY948" s="2" t="s">
        <v>24</v>
      </c>
      <c r="ULZ948" s="4">
        <v>0</v>
      </c>
      <c r="UMA948" s="8">
        <f t="shared" ref="UMA948" si="6496">IF(ULW948="Ionizador", 10, IF(ULW948="Mesa", 1000000000, IF(ULW948="Rack", 1000000000, IF(ULW948="Piso", 1000000000, IF(ULW948="Tapete", 1000000000, IF(ULW948="Carrito", 1000000000, IF(ULW948="Cautín", 10, 1)))))))</f>
        <v>1000000000</v>
      </c>
      <c r="UMB948" s="4" t="str">
        <f t="shared" ref="UMB948" si="6497">IF(ULW948="Ionizador", "Segundos", "Ohms")</f>
        <v>Ohms</v>
      </c>
      <c r="UMC948" s="6">
        <v>148000000</v>
      </c>
      <c r="UMD948" s="6" t="str">
        <f t="shared" ref="UMD948" si="6498">UMB948</f>
        <v>Ohms</v>
      </c>
      <c r="UME948" s="2" t="str">
        <f t="shared" ref="UME948" si="6499">IF(ULW948="Ionizador", "Plato de carga", IF(ULW948="Cautín", "PTG", "RTG"))</f>
        <v>RTG</v>
      </c>
      <c r="UMF948" s="7">
        <v>45992</v>
      </c>
      <c r="UMG948" s="7">
        <f t="shared" ref="UMG948" si="6500">IF(UMH948="Trimestral", UMF948+90, IF(UMH948="Semestral", UMF948+180, UMF948+365))</f>
        <v>46172</v>
      </c>
      <c r="UMH948" s="7" t="str">
        <f t="shared" ref="UMH948" si="6501">IF(ULW948="Ionizador", "Trimestral", IF(ULW948="Rack", "Semestral", IF(ULW948="Mesa", "Semestral", IF(ULW948="Tapete", "Semestral", IF(ULW948="Cautín", "Semestral", IF(ULW948="Silla", "Semestral", "Anual"))))))</f>
        <v>Semestral</v>
      </c>
      <c r="UMI948" s="2" t="str">
        <f t="shared" ref="UMI948" ca="1" si="6502">IF(UMG948&lt;TODAY(),"VENCIDO",IF(UMG948=TODAY(),"VENCE HOY",IF(UMG948&gt;TODAY(),"VIGENTE")))</f>
        <v>VIGENTE</v>
      </c>
      <c r="UMJ948" s="6" t="s">
        <v>25</v>
      </c>
      <c r="UMK948" s="23" t="s">
        <v>138</v>
      </c>
      <c r="UML948" s="2" t="s">
        <v>433</v>
      </c>
      <c r="UMM948" s="3" t="s">
        <v>22</v>
      </c>
      <c r="UMN948" s="3" t="s">
        <v>23</v>
      </c>
      <c r="UMO948" s="2" t="s">
        <v>24</v>
      </c>
      <c r="UMP948" s="4">
        <v>0</v>
      </c>
      <c r="UMQ948" s="8">
        <f t="shared" ref="UMQ948" si="6503">IF(UMM948="Ionizador", 10, IF(UMM948="Mesa", 1000000000, IF(UMM948="Rack", 1000000000, IF(UMM948="Piso", 1000000000, IF(UMM948="Tapete", 1000000000, IF(UMM948="Carrito", 1000000000, IF(UMM948="Cautín", 10, 1)))))))</f>
        <v>1000000000</v>
      </c>
      <c r="UMR948" s="4" t="str">
        <f t="shared" ref="UMR948" si="6504">IF(UMM948="Ionizador", "Segundos", "Ohms")</f>
        <v>Ohms</v>
      </c>
      <c r="UMS948" s="6">
        <v>148000000</v>
      </c>
      <c r="UMT948" s="6" t="str">
        <f t="shared" ref="UMT948" si="6505">UMR948</f>
        <v>Ohms</v>
      </c>
      <c r="UMU948" s="2" t="str">
        <f t="shared" ref="UMU948" si="6506">IF(UMM948="Ionizador", "Plato de carga", IF(UMM948="Cautín", "PTG", "RTG"))</f>
        <v>RTG</v>
      </c>
      <c r="UMV948" s="7">
        <v>45992</v>
      </c>
      <c r="UMW948" s="7">
        <f t="shared" ref="UMW948" si="6507">IF(UMX948="Trimestral", UMV948+90, IF(UMX948="Semestral", UMV948+180, UMV948+365))</f>
        <v>46172</v>
      </c>
      <c r="UMX948" s="7" t="str">
        <f t="shared" ref="UMX948" si="6508">IF(UMM948="Ionizador", "Trimestral", IF(UMM948="Rack", "Semestral", IF(UMM948="Mesa", "Semestral", IF(UMM948="Tapete", "Semestral", IF(UMM948="Cautín", "Semestral", IF(UMM948="Silla", "Semestral", "Anual"))))))</f>
        <v>Semestral</v>
      </c>
      <c r="UMY948" s="2" t="str">
        <f t="shared" ref="UMY948" ca="1" si="6509">IF(UMW948&lt;TODAY(),"VENCIDO",IF(UMW948=TODAY(),"VENCE HOY",IF(UMW948&gt;TODAY(),"VIGENTE")))</f>
        <v>VIGENTE</v>
      </c>
      <c r="UMZ948" s="6" t="s">
        <v>25</v>
      </c>
      <c r="UNA948" s="23" t="s">
        <v>138</v>
      </c>
      <c r="UNB948" s="2" t="s">
        <v>433</v>
      </c>
      <c r="UNC948" s="3" t="s">
        <v>22</v>
      </c>
      <c r="UND948" s="3" t="s">
        <v>23</v>
      </c>
      <c r="UNE948" s="2" t="s">
        <v>24</v>
      </c>
      <c r="UNF948" s="4">
        <v>0</v>
      </c>
      <c r="UNG948" s="8">
        <f t="shared" ref="UNG948" si="6510">IF(UNC948="Ionizador", 10, IF(UNC948="Mesa", 1000000000, IF(UNC948="Rack", 1000000000, IF(UNC948="Piso", 1000000000, IF(UNC948="Tapete", 1000000000, IF(UNC948="Carrito", 1000000000, IF(UNC948="Cautín", 10, 1)))))))</f>
        <v>1000000000</v>
      </c>
      <c r="UNH948" s="4" t="str">
        <f t="shared" ref="UNH948" si="6511">IF(UNC948="Ionizador", "Segundos", "Ohms")</f>
        <v>Ohms</v>
      </c>
      <c r="UNI948" s="6">
        <v>148000000</v>
      </c>
      <c r="UNJ948" s="6" t="str">
        <f t="shared" ref="UNJ948" si="6512">UNH948</f>
        <v>Ohms</v>
      </c>
      <c r="UNK948" s="2" t="str">
        <f t="shared" ref="UNK948" si="6513">IF(UNC948="Ionizador", "Plato de carga", IF(UNC948="Cautín", "PTG", "RTG"))</f>
        <v>RTG</v>
      </c>
      <c r="UNL948" s="7">
        <v>45992</v>
      </c>
      <c r="UNM948" s="7">
        <f t="shared" ref="UNM948" si="6514">IF(UNN948="Trimestral", UNL948+90, IF(UNN948="Semestral", UNL948+180, UNL948+365))</f>
        <v>46172</v>
      </c>
      <c r="UNN948" s="7" t="str">
        <f t="shared" ref="UNN948" si="6515">IF(UNC948="Ionizador", "Trimestral", IF(UNC948="Rack", "Semestral", IF(UNC948="Mesa", "Semestral", IF(UNC948="Tapete", "Semestral", IF(UNC948="Cautín", "Semestral", IF(UNC948="Silla", "Semestral", "Anual"))))))</f>
        <v>Semestral</v>
      </c>
      <c r="UNO948" s="2" t="str">
        <f t="shared" ref="UNO948" ca="1" si="6516">IF(UNM948&lt;TODAY(),"VENCIDO",IF(UNM948=TODAY(),"VENCE HOY",IF(UNM948&gt;TODAY(),"VIGENTE")))</f>
        <v>VIGENTE</v>
      </c>
      <c r="UNP948" s="6" t="s">
        <v>25</v>
      </c>
      <c r="UNQ948" s="23" t="s">
        <v>138</v>
      </c>
      <c r="UNR948" s="2" t="s">
        <v>433</v>
      </c>
      <c r="UNS948" s="3" t="s">
        <v>22</v>
      </c>
      <c r="UNT948" s="3" t="s">
        <v>23</v>
      </c>
      <c r="UNU948" s="2" t="s">
        <v>24</v>
      </c>
      <c r="UNV948" s="4">
        <v>0</v>
      </c>
      <c r="UNW948" s="8">
        <f t="shared" ref="UNW948" si="6517">IF(UNS948="Ionizador", 10, IF(UNS948="Mesa", 1000000000, IF(UNS948="Rack", 1000000000, IF(UNS948="Piso", 1000000000, IF(UNS948="Tapete", 1000000000, IF(UNS948="Carrito", 1000000000, IF(UNS948="Cautín", 10, 1)))))))</f>
        <v>1000000000</v>
      </c>
      <c r="UNX948" s="4" t="str">
        <f t="shared" ref="UNX948" si="6518">IF(UNS948="Ionizador", "Segundos", "Ohms")</f>
        <v>Ohms</v>
      </c>
      <c r="UNY948" s="6">
        <v>148000000</v>
      </c>
      <c r="UNZ948" s="6" t="str">
        <f t="shared" ref="UNZ948" si="6519">UNX948</f>
        <v>Ohms</v>
      </c>
      <c r="UOA948" s="2" t="str">
        <f t="shared" ref="UOA948" si="6520">IF(UNS948="Ionizador", "Plato de carga", IF(UNS948="Cautín", "PTG", "RTG"))</f>
        <v>RTG</v>
      </c>
      <c r="UOB948" s="7">
        <v>45992</v>
      </c>
      <c r="UOC948" s="7">
        <f t="shared" ref="UOC948" si="6521">IF(UOD948="Trimestral", UOB948+90, IF(UOD948="Semestral", UOB948+180, UOB948+365))</f>
        <v>46172</v>
      </c>
      <c r="UOD948" s="7" t="str">
        <f t="shared" ref="UOD948" si="6522">IF(UNS948="Ionizador", "Trimestral", IF(UNS948="Rack", "Semestral", IF(UNS948="Mesa", "Semestral", IF(UNS948="Tapete", "Semestral", IF(UNS948="Cautín", "Semestral", IF(UNS948="Silla", "Semestral", "Anual"))))))</f>
        <v>Semestral</v>
      </c>
      <c r="UOE948" s="2" t="str">
        <f t="shared" ref="UOE948" ca="1" si="6523">IF(UOC948&lt;TODAY(),"VENCIDO",IF(UOC948=TODAY(),"VENCE HOY",IF(UOC948&gt;TODAY(),"VIGENTE")))</f>
        <v>VIGENTE</v>
      </c>
      <c r="UOF948" s="6" t="s">
        <v>25</v>
      </c>
      <c r="UOG948" s="23" t="s">
        <v>138</v>
      </c>
      <c r="UOH948" s="2" t="s">
        <v>433</v>
      </c>
      <c r="UOI948" s="3" t="s">
        <v>22</v>
      </c>
      <c r="UOJ948" s="3" t="s">
        <v>23</v>
      </c>
      <c r="UOK948" s="2" t="s">
        <v>24</v>
      </c>
      <c r="UOL948" s="4">
        <v>0</v>
      </c>
      <c r="UOM948" s="8">
        <f t="shared" ref="UOM948" si="6524">IF(UOI948="Ionizador", 10, IF(UOI948="Mesa", 1000000000, IF(UOI948="Rack", 1000000000, IF(UOI948="Piso", 1000000000, IF(UOI948="Tapete", 1000000000, IF(UOI948="Carrito", 1000000000, IF(UOI948="Cautín", 10, 1)))))))</f>
        <v>1000000000</v>
      </c>
      <c r="UON948" s="4" t="str">
        <f t="shared" ref="UON948" si="6525">IF(UOI948="Ionizador", "Segundos", "Ohms")</f>
        <v>Ohms</v>
      </c>
      <c r="UOO948" s="6">
        <v>148000000</v>
      </c>
      <c r="UOP948" s="6" t="str">
        <f t="shared" ref="UOP948" si="6526">UON948</f>
        <v>Ohms</v>
      </c>
      <c r="UOQ948" s="2" t="str">
        <f t="shared" ref="UOQ948" si="6527">IF(UOI948="Ionizador", "Plato de carga", IF(UOI948="Cautín", "PTG", "RTG"))</f>
        <v>RTG</v>
      </c>
      <c r="UOR948" s="7">
        <v>45992</v>
      </c>
      <c r="UOS948" s="7">
        <f t="shared" ref="UOS948" si="6528">IF(UOT948="Trimestral", UOR948+90, IF(UOT948="Semestral", UOR948+180, UOR948+365))</f>
        <v>46172</v>
      </c>
      <c r="UOT948" s="7" t="str">
        <f t="shared" ref="UOT948" si="6529">IF(UOI948="Ionizador", "Trimestral", IF(UOI948="Rack", "Semestral", IF(UOI948="Mesa", "Semestral", IF(UOI948="Tapete", "Semestral", IF(UOI948="Cautín", "Semestral", IF(UOI948="Silla", "Semestral", "Anual"))))))</f>
        <v>Semestral</v>
      </c>
      <c r="UOU948" s="2" t="str">
        <f t="shared" ref="UOU948" ca="1" si="6530">IF(UOS948&lt;TODAY(),"VENCIDO",IF(UOS948=TODAY(),"VENCE HOY",IF(UOS948&gt;TODAY(),"VIGENTE")))</f>
        <v>VIGENTE</v>
      </c>
      <c r="UOV948" s="6" t="s">
        <v>25</v>
      </c>
      <c r="UOW948" s="23" t="s">
        <v>138</v>
      </c>
      <c r="UOX948" s="2" t="s">
        <v>433</v>
      </c>
      <c r="UOY948" s="3" t="s">
        <v>22</v>
      </c>
      <c r="UOZ948" s="3" t="s">
        <v>23</v>
      </c>
      <c r="UPA948" s="2" t="s">
        <v>24</v>
      </c>
      <c r="UPB948" s="4">
        <v>0</v>
      </c>
      <c r="UPC948" s="8">
        <f t="shared" ref="UPC948" si="6531">IF(UOY948="Ionizador", 10, IF(UOY948="Mesa", 1000000000, IF(UOY948="Rack", 1000000000, IF(UOY948="Piso", 1000000000, IF(UOY948="Tapete", 1000000000, IF(UOY948="Carrito", 1000000000, IF(UOY948="Cautín", 10, 1)))))))</f>
        <v>1000000000</v>
      </c>
      <c r="UPD948" s="4" t="str">
        <f t="shared" ref="UPD948" si="6532">IF(UOY948="Ionizador", "Segundos", "Ohms")</f>
        <v>Ohms</v>
      </c>
      <c r="UPE948" s="6">
        <v>148000000</v>
      </c>
      <c r="UPF948" s="6" t="str">
        <f t="shared" ref="UPF948" si="6533">UPD948</f>
        <v>Ohms</v>
      </c>
      <c r="UPG948" s="2" t="str">
        <f t="shared" ref="UPG948" si="6534">IF(UOY948="Ionizador", "Plato de carga", IF(UOY948="Cautín", "PTG", "RTG"))</f>
        <v>RTG</v>
      </c>
      <c r="UPH948" s="7">
        <v>45992</v>
      </c>
      <c r="UPI948" s="7">
        <f t="shared" ref="UPI948" si="6535">IF(UPJ948="Trimestral", UPH948+90, IF(UPJ948="Semestral", UPH948+180, UPH948+365))</f>
        <v>46172</v>
      </c>
      <c r="UPJ948" s="7" t="str">
        <f t="shared" ref="UPJ948" si="6536">IF(UOY948="Ionizador", "Trimestral", IF(UOY948="Rack", "Semestral", IF(UOY948="Mesa", "Semestral", IF(UOY948="Tapete", "Semestral", IF(UOY948="Cautín", "Semestral", IF(UOY948="Silla", "Semestral", "Anual"))))))</f>
        <v>Semestral</v>
      </c>
      <c r="UPK948" s="2" t="str">
        <f t="shared" ref="UPK948" ca="1" si="6537">IF(UPI948&lt;TODAY(),"VENCIDO",IF(UPI948=TODAY(),"VENCE HOY",IF(UPI948&gt;TODAY(),"VIGENTE")))</f>
        <v>VIGENTE</v>
      </c>
      <c r="UPL948" s="6" t="s">
        <v>25</v>
      </c>
      <c r="UPM948" s="23" t="s">
        <v>138</v>
      </c>
      <c r="UPN948" s="2" t="s">
        <v>433</v>
      </c>
      <c r="UPO948" s="3" t="s">
        <v>22</v>
      </c>
      <c r="UPP948" s="3" t="s">
        <v>23</v>
      </c>
      <c r="UPQ948" s="2" t="s">
        <v>24</v>
      </c>
      <c r="UPR948" s="4">
        <v>0</v>
      </c>
      <c r="UPS948" s="8">
        <f t="shared" ref="UPS948" si="6538">IF(UPO948="Ionizador", 10, IF(UPO948="Mesa", 1000000000, IF(UPO948="Rack", 1000000000, IF(UPO948="Piso", 1000000000, IF(UPO948="Tapete", 1000000000, IF(UPO948="Carrito", 1000000000, IF(UPO948="Cautín", 10, 1)))))))</f>
        <v>1000000000</v>
      </c>
      <c r="UPT948" s="4" t="str">
        <f t="shared" ref="UPT948" si="6539">IF(UPO948="Ionizador", "Segundos", "Ohms")</f>
        <v>Ohms</v>
      </c>
      <c r="UPU948" s="6">
        <v>148000000</v>
      </c>
      <c r="UPV948" s="6" t="str">
        <f t="shared" ref="UPV948" si="6540">UPT948</f>
        <v>Ohms</v>
      </c>
      <c r="UPW948" s="2" t="str">
        <f t="shared" ref="UPW948" si="6541">IF(UPO948="Ionizador", "Plato de carga", IF(UPO948="Cautín", "PTG", "RTG"))</f>
        <v>RTG</v>
      </c>
      <c r="UPX948" s="7">
        <v>45992</v>
      </c>
      <c r="UPY948" s="7">
        <f t="shared" ref="UPY948" si="6542">IF(UPZ948="Trimestral", UPX948+90, IF(UPZ948="Semestral", UPX948+180, UPX948+365))</f>
        <v>46172</v>
      </c>
      <c r="UPZ948" s="7" t="str">
        <f t="shared" ref="UPZ948" si="6543">IF(UPO948="Ionizador", "Trimestral", IF(UPO948="Rack", "Semestral", IF(UPO948="Mesa", "Semestral", IF(UPO948="Tapete", "Semestral", IF(UPO948="Cautín", "Semestral", IF(UPO948="Silla", "Semestral", "Anual"))))))</f>
        <v>Semestral</v>
      </c>
      <c r="UQA948" s="2" t="str">
        <f t="shared" ref="UQA948" ca="1" si="6544">IF(UPY948&lt;TODAY(),"VENCIDO",IF(UPY948=TODAY(),"VENCE HOY",IF(UPY948&gt;TODAY(),"VIGENTE")))</f>
        <v>VIGENTE</v>
      </c>
      <c r="UQB948" s="6" t="s">
        <v>25</v>
      </c>
      <c r="UQC948" s="23" t="s">
        <v>138</v>
      </c>
      <c r="UQD948" s="2" t="s">
        <v>433</v>
      </c>
      <c r="UQE948" s="3" t="s">
        <v>22</v>
      </c>
      <c r="UQF948" s="3" t="s">
        <v>23</v>
      </c>
      <c r="UQG948" s="2" t="s">
        <v>24</v>
      </c>
      <c r="UQH948" s="4">
        <v>0</v>
      </c>
      <c r="UQI948" s="8">
        <f t="shared" ref="UQI948" si="6545">IF(UQE948="Ionizador", 10, IF(UQE948="Mesa", 1000000000, IF(UQE948="Rack", 1000000000, IF(UQE948="Piso", 1000000000, IF(UQE948="Tapete", 1000000000, IF(UQE948="Carrito", 1000000000, IF(UQE948="Cautín", 10, 1)))))))</f>
        <v>1000000000</v>
      </c>
      <c r="UQJ948" s="4" t="str">
        <f t="shared" ref="UQJ948" si="6546">IF(UQE948="Ionizador", "Segundos", "Ohms")</f>
        <v>Ohms</v>
      </c>
      <c r="UQK948" s="6">
        <v>148000000</v>
      </c>
      <c r="UQL948" s="6" t="str">
        <f t="shared" ref="UQL948" si="6547">UQJ948</f>
        <v>Ohms</v>
      </c>
      <c r="UQM948" s="2" t="str">
        <f t="shared" ref="UQM948" si="6548">IF(UQE948="Ionizador", "Plato de carga", IF(UQE948="Cautín", "PTG", "RTG"))</f>
        <v>RTG</v>
      </c>
      <c r="UQN948" s="7">
        <v>45992</v>
      </c>
      <c r="UQO948" s="7">
        <f t="shared" ref="UQO948" si="6549">IF(UQP948="Trimestral", UQN948+90, IF(UQP948="Semestral", UQN948+180, UQN948+365))</f>
        <v>46172</v>
      </c>
      <c r="UQP948" s="7" t="str">
        <f t="shared" ref="UQP948" si="6550">IF(UQE948="Ionizador", "Trimestral", IF(UQE948="Rack", "Semestral", IF(UQE948="Mesa", "Semestral", IF(UQE948="Tapete", "Semestral", IF(UQE948="Cautín", "Semestral", IF(UQE948="Silla", "Semestral", "Anual"))))))</f>
        <v>Semestral</v>
      </c>
      <c r="UQQ948" s="2" t="str">
        <f t="shared" ref="UQQ948" ca="1" si="6551">IF(UQO948&lt;TODAY(),"VENCIDO",IF(UQO948=TODAY(),"VENCE HOY",IF(UQO948&gt;TODAY(),"VIGENTE")))</f>
        <v>VIGENTE</v>
      </c>
      <c r="UQR948" s="6" t="s">
        <v>25</v>
      </c>
      <c r="UQS948" s="23" t="s">
        <v>138</v>
      </c>
      <c r="UQT948" s="2" t="s">
        <v>433</v>
      </c>
      <c r="UQU948" s="3" t="s">
        <v>22</v>
      </c>
      <c r="UQV948" s="3" t="s">
        <v>23</v>
      </c>
      <c r="UQW948" s="2" t="s">
        <v>24</v>
      </c>
      <c r="UQX948" s="4">
        <v>0</v>
      </c>
      <c r="UQY948" s="8">
        <f t="shared" ref="UQY948" si="6552">IF(UQU948="Ionizador", 10, IF(UQU948="Mesa", 1000000000, IF(UQU948="Rack", 1000000000, IF(UQU948="Piso", 1000000000, IF(UQU948="Tapete", 1000000000, IF(UQU948="Carrito", 1000000000, IF(UQU948="Cautín", 10, 1)))))))</f>
        <v>1000000000</v>
      </c>
      <c r="UQZ948" s="4" t="str">
        <f t="shared" ref="UQZ948" si="6553">IF(UQU948="Ionizador", "Segundos", "Ohms")</f>
        <v>Ohms</v>
      </c>
      <c r="URA948" s="6">
        <v>148000000</v>
      </c>
      <c r="URB948" s="6" t="str">
        <f t="shared" ref="URB948" si="6554">UQZ948</f>
        <v>Ohms</v>
      </c>
      <c r="URC948" s="2" t="str">
        <f t="shared" ref="URC948" si="6555">IF(UQU948="Ionizador", "Plato de carga", IF(UQU948="Cautín", "PTG", "RTG"))</f>
        <v>RTG</v>
      </c>
      <c r="URD948" s="7">
        <v>45992</v>
      </c>
      <c r="URE948" s="7">
        <f t="shared" ref="URE948" si="6556">IF(URF948="Trimestral", URD948+90, IF(URF948="Semestral", URD948+180, URD948+365))</f>
        <v>46172</v>
      </c>
      <c r="URF948" s="7" t="str">
        <f t="shared" ref="URF948" si="6557">IF(UQU948="Ionizador", "Trimestral", IF(UQU948="Rack", "Semestral", IF(UQU948="Mesa", "Semestral", IF(UQU948="Tapete", "Semestral", IF(UQU948="Cautín", "Semestral", IF(UQU948="Silla", "Semestral", "Anual"))))))</f>
        <v>Semestral</v>
      </c>
      <c r="URG948" s="2" t="str">
        <f t="shared" ref="URG948" ca="1" si="6558">IF(URE948&lt;TODAY(),"VENCIDO",IF(URE948=TODAY(),"VENCE HOY",IF(URE948&gt;TODAY(),"VIGENTE")))</f>
        <v>VIGENTE</v>
      </c>
      <c r="URH948" s="6" t="s">
        <v>25</v>
      </c>
      <c r="URI948" s="23" t="s">
        <v>138</v>
      </c>
      <c r="URJ948" s="2" t="s">
        <v>433</v>
      </c>
      <c r="URK948" s="3" t="s">
        <v>22</v>
      </c>
      <c r="URL948" s="3" t="s">
        <v>23</v>
      </c>
      <c r="URM948" s="2" t="s">
        <v>24</v>
      </c>
      <c r="URN948" s="4">
        <v>0</v>
      </c>
      <c r="URO948" s="8">
        <f t="shared" ref="URO948" si="6559">IF(URK948="Ionizador", 10, IF(URK948="Mesa", 1000000000, IF(URK948="Rack", 1000000000, IF(URK948="Piso", 1000000000, IF(URK948="Tapete", 1000000000, IF(URK948="Carrito", 1000000000, IF(URK948="Cautín", 10, 1)))))))</f>
        <v>1000000000</v>
      </c>
      <c r="URP948" s="4" t="str">
        <f t="shared" ref="URP948" si="6560">IF(URK948="Ionizador", "Segundos", "Ohms")</f>
        <v>Ohms</v>
      </c>
      <c r="URQ948" s="6">
        <v>148000000</v>
      </c>
      <c r="URR948" s="6" t="str">
        <f t="shared" ref="URR948" si="6561">URP948</f>
        <v>Ohms</v>
      </c>
      <c r="URS948" s="2" t="str">
        <f t="shared" ref="URS948" si="6562">IF(URK948="Ionizador", "Plato de carga", IF(URK948="Cautín", "PTG", "RTG"))</f>
        <v>RTG</v>
      </c>
      <c r="URT948" s="7">
        <v>45992</v>
      </c>
      <c r="URU948" s="7">
        <f t="shared" ref="URU948" si="6563">IF(URV948="Trimestral", URT948+90, IF(URV948="Semestral", URT948+180, URT948+365))</f>
        <v>46172</v>
      </c>
      <c r="URV948" s="7" t="str">
        <f t="shared" ref="URV948" si="6564">IF(URK948="Ionizador", "Trimestral", IF(URK948="Rack", "Semestral", IF(URK948="Mesa", "Semestral", IF(URK948="Tapete", "Semestral", IF(URK948="Cautín", "Semestral", IF(URK948="Silla", "Semestral", "Anual"))))))</f>
        <v>Semestral</v>
      </c>
      <c r="URW948" s="2" t="str">
        <f t="shared" ref="URW948" ca="1" si="6565">IF(URU948&lt;TODAY(),"VENCIDO",IF(URU948=TODAY(),"VENCE HOY",IF(URU948&gt;TODAY(),"VIGENTE")))</f>
        <v>VIGENTE</v>
      </c>
      <c r="URX948" s="6" t="s">
        <v>25</v>
      </c>
      <c r="URY948" s="23" t="s">
        <v>138</v>
      </c>
      <c r="URZ948" s="2" t="s">
        <v>433</v>
      </c>
      <c r="USA948" s="3" t="s">
        <v>22</v>
      </c>
      <c r="USB948" s="3" t="s">
        <v>23</v>
      </c>
      <c r="USC948" s="2" t="s">
        <v>24</v>
      </c>
      <c r="USD948" s="4">
        <v>0</v>
      </c>
      <c r="USE948" s="8">
        <f t="shared" ref="USE948" si="6566">IF(USA948="Ionizador", 10, IF(USA948="Mesa", 1000000000, IF(USA948="Rack", 1000000000, IF(USA948="Piso", 1000000000, IF(USA948="Tapete", 1000000000, IF(USA948="Carrito", 1000000000, IF(USA948="Cautín", 10, 1)))))))</f>
        <v>1000000000</v>
      </c>
      <c r="USF948" s="4" t="str">
        <f t="shared" ref="USF948" si="6567">IF(USA948="Ionizador", "Segundos", "Ohms")</f>
        <v>Ohms</v>
      </c>
      <c r="USG948" s="6">
        <v>148000000</v>
      </c>
      <c r="USH948" s="6" t="str">
        <f t="shared" ref="USH948" si="6568">USF948</f>
        <v>Ohms</v>
      </c>
      <c r="USI948" s="2" t="str">
        <f t="shared" ref="USI948" si="6569">IF(USA948="Ionizador", "Plato de carga", IF(USA948="Cautín", "PTG", "RTG"))</f>
        <v>RTG</v>
      </c>
      <c r="USJ948" s="7">
        <v>45992</v>
      </c>
      <c r="USK948" s="7">
        <f t="shared" ref="USK948" si="6570">IF(USL948="Trimestral", USJ948+90, IF(USL948="Semestral", USJ948+180, USJ948+365))</f>
        <v>46172</v>
      </c>
      <c r="USL948" s="7" t="str">
        <f t="shared" ref="USL948" si="6571">IF(USA948="Ionizador", "Trimestral", IF(USA948="Rack", "Semestral", IF(USA948="Mesa", "Semestral", IF(USA948="Tapete", "Semestral", IF(USA948="Cautín", "Semestral", IF(USA948="Silla", "Semestral", "Anual"))))))</f>
        <v>Semestral</v>
      </c>
      <c r="USM948" s="2" t="str">
        <f t="shared" ref="USM948" ca="1" si="6572">IF(USK948&lt;TODAY(),"VENCIDO",IF(USK948=TODAY(),"VENCE HOY",IF(USK948&gt;TODAY(),"VIGENTE")))</f>
        <v>VIGENTE</v>
      </c>
      <c r="USN948" s="6" t="s">
        <v>25</v>
      </c>
      <c r="USO948" s="23" t="s">
        <v>138</v>
      </c>
      <c r="USP948" s="2" t="s">
        <v>433</v>
      </c>
      <c r="USQ948" s="3" t="s">
        <v>22</v>
      </c>
      <c r="USR948" s="3" t="s">
        <v>23</v>
      </c>
      <c r="USS948" s="2" t="s">
        <v>24</v>
      </c>
      <c r="UST948" s="4">
        <v>0</v>
      </c>
      <c r="USU948" s="8">
        <f t="shared" ref="USU948" si="6573">IF(USQ948="Ionizador", 10, IF(USQ948="Mesa", 1000000000, IF(USQ948="Rack", 1000000000, IF(USQ948="Piso", 1000000000, IF(USQ948="Tapete", 1000000000, IF(USQ948="Carrito", 1000000000, IF(USQ948="Cautín", 10, 1)))))))</f>
        <v>1000000000</v>
      </c>
      <c r="USV948" s="4" t="str">
        <f t="shared" ref="USV948" si="6574">IF(USQ948="Ionizador", "Segundos", "Ohms")</f>
        <v>Ohms</v>
      </c>
      <c r="USW948" s="6">
        <v>148000000</v>
      </c>
      <c r="USX948" s="6" t="str">
        <f t="shared" ref="USX948" si="6575">USV948</f>
        <v>Ohms</v>
      </c>
      <c r="USY948" s="2" t="str">
        <f t="shared" ref="USY948" si="6576">IF(USQ948="Ionizador", "Plato de carga", IF(USQ948="Cautín", "PTG", "RTG"))</f>
        <v>RTG</v>
      </c>
      <c r="USZ948" s="7">
        <v>45992</v>
      </c>
      <c r="UTA948" s="7">
        <f t="shared" ref="UTA948" si="6577">IF(UTB948="Trimestral", USZ948+90, IF(UTB948="Semestral", USZ948+180, USZ948+365))</f>
        <v>46172</v>
      </c>
      <c r="UTB948" s="7" t="str">
        <f t="shared" ref="UTB948" si="6578">IF(USQ948="Ionizador", "Trimestral", IF(USQ948="Rack", "Semestral", IF(USQ948="Mesa", "Semestral", IF(USQ948="Tapete", "Semestral", IF(USQ948="Cautín", "Semestral", IF(USQ948="Silla", "Semestral", "Anual"))))))</f>
        <v>Semestral</v>
      </c>
      <c r="UTC948" s="2" t="str">
        <f t="shared" ref="UTC948" ca="1" si="6579">IF(UTA948&lt;TODAY(),"VENCIDO",IF(UTA948=TODAY(),"VENCE HOY",IF(UTA948&gt;TODAY(),"VIGENTE")))</f>
        <v>VIGENTE</v>
      </c>
      <c r="UTD948" s="6" t="s">
        <v>25</v>
      </c>
      <c r="UTE948" s="23" t="s">
        <v>138</v>
      </c>
      <c r="UTF948" s="2" t="s">
        <v>433</v>
      </c>
      <c r="UTG948" s="3" t="s">
        <v>22</v>
      </c>
      <c r="UTH948" s="3" t="s">
        <v>23</v>
      </c>
      <c r="UTI948" s="2" t="s">
        <v>24</v>
      </c>
      <c r="UTJ948" s="4">
        <v>0</v>
      </c>
      <c r="UTK948" s="8">
        <f t="shared" ref="UTK948" si="6580">IF(UTG948="Ionizador", 10, IF(UTG948="Mesa", 1000000000, IF(UTG948="Rack", 1000000000, IF(UTG948="Piso", 1000000000, IF(UTG948="Tapete", 1000000000, IF(UTG948="Carrito", 1000000000, IF(UTG948="Cautín", 10, 1)))))))</f>
        <v>1000000000</v>
      </c>
      <c r="UTL948" s="4" t="str">
        <f t="shared" ref="UTL948" si="6581">IF(UTG948="Ionizador", "Segundos", "Ohms")</f>
        <v>Ohms</v>
      </c>
      <c r="UTM948" s="6">
        <v>148000000</v>
      </c>
      <c r="UTN948" s="6" t="str">
        <f t="shared" ref="UTN948" si="6582">UTL948</f>
        <v>Ohms</v>
      </c>
      <c r="UTO948" s="2" t="str">
        <f t="shared" ref="UTO948" si="6583">IF(UTG948="Ionizador", "Plato de carga", IF(UTG948="Cautín", "PTG", "RTG"))</f>
        <v>RTG</v>
      </c>
      <c r="UTP948" s="7">
        <v>45992</v>
      </c>
      <c r="UTQ948" s="7">
        <f t="shared" ref="UTQ948" si="6584">IF(UTR948="Trimestral", UTP948+90, IF(UTR948="Semestral", UTP948+180, UTP948+365))</f>
        <v>46172</v>
      </c>
      <c r="UTR948" s="7" t="str">
        <f t="shared" ref="UTR948" si="6585">IF(UTG948="Ionizador", "Trimestral", IF(UTG948="Rack", "Semestral", IF(UTG948="Mesa", "Semestral", IF(UTG948="Tapete", "Semestral", IF(UTG948="Cautín", "Semestral", IF(UTG948="Silla", "Semestral", "Anual"))))))</f>
        <v>Semestral</v>
      </c>
      <c r="UTS948" s="2" t="str">
        <f t="shared" ref="UTS948" ca="1" si="6586">IF(UTQ948&lt;TODAY(),"VENCIDO",IF(UTQ948=TODAY(),"VENCE HOY",IF(UTQ948&gt;TODAY(),"VIGENTE")))</f>
        <v>VIGENTE</v>
      </c>
      <c r="UTT948" s="6" t="s">
        <v>25</v>
      </c>
      <c r="UTU948" s="23" t="s">
        <v>138</v>
      </c>
      <c r="UTV948" s="2" t="s">
        <v>433</v>
      </c>
      <c r="UTW948" s="3" t="s">
        <v>22</v>
      </c>
      <c r="UTX948" s="3" t="s">
        <v>23</v>
      </c>
      <c r="UTY948" s="2" t="s">
        <v>24</v>
      </c>
      <c r="UTZ948" s="4">
        <v>0</v>
      </c>
      <c r="UUA948" s="8">
        <f t="shared" ref="UUA948" si="6587">IF(UTW948="Ionizador", 10, IF(UTW948="Mesa", 1000000000, IF(UTW948="Rack", 1000000000, IF(UTW948="Piso", 1000000000, IF(UTW948="Tapete", 1000000000, IF(UTW948="Carrito", 1000000000, IF(UTW948="Cautín", 10, 1)))))))</f>
        <v>1000000000</v>
      </c>
      <c r="UUB948" s="4" t="str">
        <f t="shared" ref="UUB948" si="6588">IF(UTW948="Ionizador", "Segundos", "Ohms")</f>
        <v>Ohms</v>
      </c>
      <c r="UUC948" s="6">
        <v>148000000</v>
      </c>
      <c r="UUD948" s="6" t="str">
        <f t="shared" ref="UUD948" si="6589">UUB948</f>
        <v>Ohms</v>
      </c>
      <c r="UUE948" s="2" t="str">
        <f t="shared" ref="UUE948" si="6590">IF(UTW948="Ionizador", "Plato de carga", IF(UTW948="Cautín", "PTG", "RTG"))</f>
        <v>RTG</v>
      </c>
      <c r="UUF948" s="7">
        <v>45992</v>
      </c>
      <c r="UUG948" s="7">
        <f t="shared" ref="UUG948" si="6591">IF(UUH948="Trimestral", UUF948+90, IF(UUH948="Semestral", UUF948+180, UUF948+365))</f>
        <v>46172</v>
      </c>
      <c r="UUH948" s="7" t="str">
        <f t="shared" ref="UUH948" si="6592">IF(UTW948="Ionizador", "Trimestral", IF(UTW948="Rack", "Semestral", IF(UTW948="Mesa", "Semestral", IF(UTW948="Tapete", "Semestral", IF(UTW948="Cautín", "Semestral", IF(UTW948="Silla", "Semestral", "Anual"))))))</f>
        <v>Semestral</v>
      </c>
      <c r="UUI948" s="2" t="str">
        <f t="shared" ref="UUI948" ca="1" si="6593">IF(UUG948&lt;TODAY(),"VENCIDO",IF(UUG948=TODAY(),"VENCE HOY",IF(UUG948&gt;TODAY(),"VIGENTE")))</f>
        <v>VIGENTE</v>
      </c>
      <c r="UUJ948" s="6" t="s">
        <v>25</v>
      </c>
      <c r="UUK948" s="23" t="s">
        <v>138</v>
      </c>
      <c r="UUL948" s="2" t="s">
        <v>433</v>
      </c>
      <c r="UUM948" s="3" t="s">
        <v>22</v>
      </c>
      <c r="UUN948" s="3" t="s">
        <v>23</v>
      </c>
      <c r="UUO948" s="2" t="s">
        <v>24</v>
      </c>
      <c r="UUP948" s="4">
        <v>0</v>
      </c>
      <c r="UUQ948" s="8">
        <f t="shared" ref="UUQ948" si="6594">IF(UUM948="Ionizador", 10, IF(UUM948="Mesa", 1000000000, IF(UUM948="Rack", 1000000000, IF(UUM948="Piso", 1000000000, IF(UUM948="Tapete", 1000000000, IF(UUM948="Carrito", 1000000000, IF(UUM948="Cautín", 10, 1)))))))</f>
        <v>1000000000</v>
      </c>
      <c r="UUR948" s="4" t="str">
        <f t="shared" ref="UUR948" si="6595">IF(UUM948="Ionizador", "Segundos", "Ohms")</f>
        <v>Ohms</v>
      </c>
      <c r="UUS948" s="6">
        <v>148000000</v>
      </c>
      <c r="UUT948" s="6" t="str">
        <f t="shared" ref="UUT948" si="6596">UUR948</f>
        <v>Ohms</v>
      </c>
      <c r="UUU948" s="2" t="str">
        <f t="shared" ref="UUU948" si="6597">IF(UUM948="Ionizador", "Plato de carga", IF(UUM948="Cautín", "PTG", "RTG"))</f>
        <v>RTG</v>
      </c>
      <c r="UUV948" s="7">
        <v>45992</v>
      </c>
      <c r="UUW948" s="7">
        <f t="shared" ref="UUW948" si="6598">IF(UUX948="Trimestral", UUV948+90, IF(UUX948="Semestral", UUV948+180, UUV948+365))</f>
        <v>46172</v>
      </c>
      <c r="UUX948" s="7" t="str">
        <f t="shared" ref="UUX948" si="6599">IF(UUM948="Ionizador", "Trimestral", IF(UUM948="Rack", "Semestral", IF(UUM948="Mesa", "Semestral", IF(UUM948="Tapete", "Semestral", IF(UUM948="Cautín", "Semestral", IF(UUM948="Silla", "Semestral", "Anual"))))))</f>
        <v>Semestral</v>
      </c>
      <c r="UUY948" s="2" t="str">
        <f t="shared" ref="UUY948" ca="1" si="6600">IF(UUW948&lt;TODAY(),"VENCIDO",IF(UUW948=TODAY(),"VENCE HOY",IF(UUW948&gt;TODAY(),"VIGENTE")))</f>
        <v>VIGENTE</v>
      </c>
      <c r="UUZ948" s="6" t="s">
        <v>25</v>
      </c>
      <c r="UVA948" s="23" t="s">
        <v>138</v>
      </c>
      <c r="UVB948" s="2" t="s">
        <v>433</v>
      </c>
      <c r="UVC948" s="3" t="s">
        <v>22</v>
      </c>
      <c r="UVD948" s="3" t="s">
        <v>23</v>
      </c>
      <c r="UVE948" s="2" t="s">
        <v>24</v>
      </c>
      <c r="UVF948" s="4">
        <v>0</v>
      </c>
      <c r="UVG948" s="8">
        <f t="shared" ref="UVG948" si="6601">IF(UVC948="Ionizador", 10, IF(UVC948="Mesa", 1000000000, IF(UVC948="Rack", 1000000000, IF(UVC948="Piso", 1000000000, IF(UVC948="Tapete", 1000000000, IF(UVC948="Carrito", 1000000000, IF(UVC948="Cautín", 10, 1)))))))</f>
        <v>1000000000</v>
      </c>
      <c r="UVH948" s="4" t="str">
        <f t="shared" ref="UVH948" si="6602">IF(UVC948="Ionizador", "Segundos", "Ohms")</f>
        <v>Ohms</v>
      </c>
      <c r="UVI948" s="6">
        <v>148000000</v>
      </c>
      <c r="UVJ948" s="6" t="str">
        <f t="shared" ref="UVJ948" si="6603">UVH948</f>
        <v>Ohms</v>
      </c>
      <c r="UVK948" s="2" t="str">
        <f t="shared" ref="UVK948" si="6604">IF(UVC948="Ionizador", "Plato de carga", IF(UVC948="Cautín", "PTG", "RTG"))</f>
        <v>RTG</v>
      </c>
      <c r="UVL948" s="7">
        <v>45992</v>
      </c>
      <c r="UVM948" s="7">
        <f t="shared" ref="UVM948" si="6605">IF(UVN948="Trimestral", UVL948+90, IF(UVN948="Semestral", UVL948+180, UVL948+365))</f>
        <v>46172</v>
      </c>
      <c r="UVN948" s="7" t="str">
        <f t="shared" ref="UVN948" si="6606">IF(UVC948="Ionizador", "Trimestral", IF(UVC948="Rack", "Semestral", IF(UVC948="Mesa", "Semestral", IF(UVC948="Tapete", "Semestral", IF(UVC948="Cautín", "Semestral", IF(UVC948="Silla", "Semestral", "Anual"))))))</f>
        <v>Semestral</v>
      </c>
      <c r="UVO948" s="2" t="str">
        <f t="shared" ref="UVO948" ca="1" si="6607">IF(UVM948&lt;TODAY(),"VENCIDO",IF(UVM948=TODAY(),"VENCE HOY",IF(UVM948&gt;TODAY(),"VIGENTE")))</f>
        <v>VIGENTE</v>
      </c>
      <c r="UVP948" s="6" t="s">
        <v>25</v>
      </c>
      <c r="UVQ948" s="23" t="s">
        <v>138</v>
      </c>
      <c r="UVR948" s="2" t="s">
        <v>433</v>
      </c>
      <c r="UVS948" s="3" t="s">
        <v>22</v>
      </c>
      <c r="UVT948" s="3" t="s">
        <v>23</v>
      </c>
      <c r="UVU948" s="2" t="s">
        <v>24</v>
      </c>
      <c r="UVV948" s="4">
        <v>0</v>
      </c>
      <c r="UVW948" s="8">
        <f t="shared" ref="UVW948" si="6608">IF(UVS948="Ionizador", 10, IF(UVS948="Mesa", 1000000000, IF(UVS948="Rack", 1000000000, IF(UVS948="Piso", 1000000000, IF(UVS948="Tapete", 1000000000, IF(UVS948="Carrito", 1000000000, IF(UVS948="Cautín", 10, 1)))))))</f>
        <v>1000000000</v>
      </c>
      <c r="UVX948" s="4" t="str">
        <f t="shared" ref="UVX948" si="6609">IF(UVS948="Ionizador", "Segundos", "Ohms")</f>
        <v>Ohms</v>
      </c>
      <c r="UVY948" s="6">
        <v>148000000</v>
      </c>
      <c r="UVZ948" s="6" t="str">
        <f t="shared" ref="UVZ948" si="6610">UVX948</f>
        <v>Ohms</v>
      </c>
      <c r="UWA948" s="2" t="str">
        <f t="shared" ref="UWA948" si="6611">IF(UVS948="Ionizador", "Plato de carga", IF(UVS948="Cautín", "PTG", "RTG"))</f>
        <v>RTG</v>
      </c>
      <c r="UWB948" s="7">
        <v>45992</v>
      </c>
      <c r="UWC948" s="7">
        <f t="shared" ref="UWC948" si="6612">IF(UWD948="Trimestral", UWB948+90, IF(UWD948="Semestral", UWB948+180, UWB948+365))</f>
        <v>46172</v>
      </c>
      <c r="UWD948" s="7" t="str">
        <f t="shared" ref="UWD948" si="6613">IF(UVS948="Ionizador", "Trimestral", IF(UVS948="Rack", "Semestral", IF(UVS948="Mesa", "Semestral", IF(UVS948="Tapete", "Semestral", IF(UVS948="Cautín", "Semestral", IF(UVS948="Silla", "Semestral", "Anual"))))))</f>
        <v>Semestral</v>
      </c>
      <c r="UWE948" s="2" t="str">
        <f t="shared" ref="UWE948" ca="1" si="6614">IF(UWC948&lt;TODAY(),"VENCIDO",IF(UWC948=TODAY(),"VENCE HOY",IF(UWC948&gt;TODAY(),"VIGENTE")))</f>
        <v>VIGENTE</v>
      </c>
      <c r="UWF948" s="6" t="s">
        <v>25</v>
      </c>
      <c r="UWG948" s="23" t="s">
        <v>138</v>
      </c>
      <c r="UWH948" s="2" t="s">
        <v>433</v>
      </c>
      <c r="UWI948" s="3" t="s">
        <v>22</v>
      </c>
      <c r="UWJ948" s="3" t="s">
        <v>23</v>
      </c>
      <c r="UWK948" s="2" t="s">
        <v>24</v>
      </c>
      <c r="UWL948" s="4">
        <v>0</v>
      </c>
      <c r="UWM948" s="8">
        <f t="shared" ref="UWM948" si="6615">IF(UWI948="Ionizador", 10, IF(UWI948="Mesa", 1000000000, IF(UWI948="Rack", 1000000000, IF(UWI948="Piso", 1000000000, IF(UWI948="Tapete", 1000000000, IF(UWI948="Carrito", 1000000000, IF(UWI948="Cautín", 10, 1)))))))</f>
        <v>1000000000</v>
      </c>
      <c r="UWN948" s="4" t="str">
        <f t="shared" ref="UWN948" si="6616">IF(UWI948="Ionizador", "Segundos", "Ohms")</f>
        <v>Ohms</v>
      </c>
      <c r="UWO948" s="6">
        <v>148000000</v>
      </c>
      <c r="UWP948" s="6" t="str">
        <f t="shared" ref="UWP948" si="6617">UWN948</f>
        <v>Ohms</v>
      </c>
      <c r="UWQ948" s="2" t="str">
        <f t="shared" ref="UWQ948" si="6618">IF(UWI948="Ionizador", "Plato de carga", IF(UWI948="Cautín", "PTG", "RTG"))</f>
        <v>RTG</v>
      </c>
      <c r="UWR948" s="7">
        <v>45992</v>
      </c>
      <c r="UWS948" s="7">
        <f t="shared" ref="UWS948" si="6619">IF(UWT948="Trimestral", UWR948+90, IF(UWT948="Semestral", UWR948+180, UWR948+365))</f>
        <v>46172</v>
      </c>
      <c r="UWT948" s="7" t="str">
        <f t="shared" ref="UWT948" si="6620">IF(UWI948="Ionizador", "Trimestral", IF(UWI948="Rack", "Semestral", IF(UWI948="Mesa", "Semestral", IF(UWI948="Tapete", "Semestral", IF(UWI948="Cautín", "Semestral", IF(UWI948="Silla", "Semestral", "Anual"))))))</f>
        <v>Semestral</v>
      </c>
      <c r="UWU948" s="2" t="str">
        <f t="shared" ref="UWU948" ca="1" si="6621">IF(UWS948&lt;TODAY(),"VENCIDO",IF(UWS948=TODAY(),"VENCE HOY",IF(UWS948&gt;TODAY(),"VIGENTE")))</f>
        <v>VIGENTE</v>
      </c>
      <c r="UWV948" s="6" t="s">
        <v>25</v>
      </c>
      <c r="UWW948" s="23" t="s">
        <v>138</v>
      </c>
      <c r="UWX948" s="2" t="s">
        <v>433</v>
      </c>
      <c r="UWY948" s="3" t="s">
        <v>22</v>
      </c>
      <c r="UWZ948" s="3" t="s">
        <v>23</v>
      </c>
      <c r="UXA948" s="2" t="s">
        <v>24</v>
      </c>
      <c r="UXB948" s="4">
        <v>0</v>
      </c>
      <c r="UXC948" s="8">
        <f t="shared" ref="UXC948" si="6622">IF(UWY948="Ionizador", 10, IF(UWY948="Mesa", 1000000000, IF(UWY948="Rack", 1000000000, IF(UWY948="Piso", 1000000000, IF(UWY948="Tapete", 1000000000, IF(UWY948="Carrito", 1000000000, IF(UWY948="Cautín", 10, 1)))))))</f>
        <v>1000000000</v>
      </c>
      <c r="UXD948" s="4" t="str">
        <f t="shared" ref="UXD948" si="6623">IF(UWY948="Ionizador", "Segundos", "Ohms")</f>
        <v>Ohms</v>
      </c>
      <c r="UXE948" s="6">
        <v>148000000</v>
      </c>
      <c r="UXF948" s="6" t="str">
        <f t="shared" ref="UXF948" si="6624">UXD948</f>
        <v>Ohms</v>
      </c>
      <c r="UXG948" s="2" t="str">
        <f t="shared" ref="UXG948" si="6625">IF(UWY948="Ionizador", "Plato de carga", IF(UWY948="Cautín", "PTG", "RTG"))</f>
        <v>RTG</v>
      </c>
      <c r="UXH948" s="7">
        <v>45992</v>
      </c>
      <c r="UXI948" s="7">
        <f t="shared" ref="UXI948" si="6626">IF(UXJ948="Trimestral", UXH948+90, IF(UXJ948="Semestral", UXH948+180, UXH948+365))</f>
        <v>46172</v>
      </c>
      <c r="UXJ948" s="7" t="str">
        <f t="shared" ref="UXJ948" si="6627">IF(UWY948="Ionizador", "Trimestral", IF(UWY948="Rack", "Semestral", IF(UWY948="Mesa", "Semestral", IF(UWY948="Tapete", "Semestral", IF(UWY948="Cautín", "Semestral", IF(UWY948="Silla", "Semestral", "Anual"))))))</f>
        <v>Semestral</v>
      </c>
      <c r="UXK948" s="2" t="str">
        <f t="shared" ref="UXK948" ca="1" si="6628">IF(UXI948&lt;TODAY(),"VENCIDO",IF(UXI948=TODAY(),"VENCE HOY",IF(UXI948&gt;TODAY(),"VIGENTE")))</f>
        <v>VIGENTE</v>
      </c>
      <c r="UXL948" s="6" t="s">
        <v>25</v>
      </c>
      <c r="UXM948" s="23" t="s">
        <v>138</v>
      </c>
      <c r="UXN948" s="2" t="s">
        <v>433</v>
      </c>
      <c r="UXO948" s="3" t="s">
        <v>22</v>
      </c>
      <c r="UXP948" s="3" t="s">
        <v>23</v>
      </c>
      <c r="UXQ948" s="2" t="s">
        <v>24</v>
      </c>
      <c r="UXR948" s="4">
        <v>0</v>
      </c>
      <c r="UXS948" s="8">
        <f t="shared" ref="UXS948" si="6629">IF(UXO948="Ionizador", 10, IF(UXO948="Mesa", 1000000000, IF(UXO948="Rack", 1000000000, IF(UXO948="Piso", 1000000000, IF(UXO948="Tapete", 1000000000, IF(UXO948="Carrito", 1000000000, IF(UXO948="Cautín", 10, 1)))))))</f>
        <v>1000000000</v>
      </c>
      <c r="UXT948" s="4" t="str">
        <f t="shared" ref="UXT948" si="6630">IF(UXO948="Ionizador", "Segundos", "Ohms")</f>
        <v>Ohms</v>
      </c>
      <c r="UXU948" s="6">
        <v>148000000</v>
      </c>
      <c r="UXV948" s="6" t="str">
        <f t="shared" ref="UXV948" si="6631">UXT948</f>
        <v>Ohms</v>
      </c>
      <c r="UXW948" s="2" t="str">
        <f t="shared" ref="UXW948" si="6632">IF(UXO948="Ionizador", "Plato de carga", IF(UXO948="Cautín", "PTG", "RTG"))</f>
        <v>RTG</v>
      </c>
      <c r="UXX948" s="7">
        <v>45992</v>
      </c>
      <c r="UXY948" s="7">
        <f t="shared" ref="UXY948" si="6633">IF(UXZ948="Trimestral", UXX948+90, IF(UXZ948="Semestral", UXX948+180, UXX948+365))</f>
        <v>46172</v>
      </c>
      <c r="UXZ948" s="7" t="str">
        <f t="shared" ref="UXZ948" si="6634">IF(UXO948="Ionizador", "Trimestral", IF(UXO948="Rack", "Semestral", IF(UXO948="Mesa", "Semestral", IF(UXO948="Tapete", "Semestral", IF(UXO948="Cautín", "Semestral", IF(UXO948="Silla", "Semestral", "Anual"))))))</f>
        <v>Semestral</v>
      </c>
      <c r="UYA948" s="2" t="str">
        <f t="shared" ref="UYA948" ca="1" si="6635">IF(UXY948&lt;TODAY(),"VENCIDO",IF(UXY948=TODAY(),"VENCE HOY",IF(UXY948&gt;TODAY(),"VIGENTE")))</f>
        <v>VIGENTE</v>
      </c>
      <c r="UYB948" s="6" t="s">
        <v>25</v>
      </c>
      <c r="UYC948" s="23" t="s">
        <v>138</v>
      </c>
      <c r="UYD948" s="2" t="s">
        <v>433</v>
      </c>
      <c r="UYE948" s="3" t="s">
        <v>22</v>
      </c>
      <c r="UYF948" s="3" t="s">
        <v>23</v>
      </c>
      <c r="UYG948" s="2" t="s">
        <v>24</v>
      </c>
      <c r="UYH948" s="4">
        <v>0</v>
      </c>
      <c r="UYI948" s="8">
        <f t="shared" ref="UYI948" si="6636">IF(UYE948="Ionizador", 10, IF(UYE948="Mesa", 1000000000, IF(UYE948="Rack", 1000000000, IF(UYE948="Piso", 1000000000, IF(UYE948="Tapete", 1000000000, IF(UYE948="Carrito", 1000000000, IF(UYE948="Cautín", 10, 1)))))))</f>
        <v>1000000000</v>
      </c>
      <c r="UYJ948" s="4" t="str">
        <f t="shared" ref="UYJ948" si="6637">IF(UYE948="Ionizador", "Segundos", "Ohms")</f>
        <v>Ohms</v>
      </c>
      <c r="UYK948" s="6">
        <v>148000000</v>
      </c>
      <c r="UYL948" s="6" t="str">
        <f t="shared" ref="UYL948" si="6638">UYJ948</f>
        <v>Ohms</v>
      </c>
      <c r="UYM948" s="2" t="str">
        <f t="shared" ref="UYM948" si="6639">IF(UYE948="Ionizador", "Plato de carga", IF(UYE948="Cautín", "PTG", "RTG"))</f>
        <v>RTG</v>
      </c>
      <c r="UYN948" s="7">
        <v>45992</v>
      </c>
      <c r="UYO948" s="7">
        <f t="shared" ref="UYO948" si="6640">IF(UYP948="Trimestral", UYN948+90, IF(UYP948="Semestral", UYN948+180, UYN948+365))</f>
        <v>46172</v>
      </c>
      <c r="UYP948" s="7" t="str">
        <f t="shared" ref="UYP948" si="6641">IF(UYE948="Ionizador", "Trimestral", IF(UYE948="Rack", "Semestral", IF(UYE948="Mesa", "Semestral", IF(UYE948="Tapete", "Semestral", IF(UYE948="Cautín", "Semestral", IF(UYE948="Silla", "Semestral", "Anual"))))))</f>
        <v>Semestral</v>
      </c>
      <c r="UYQ948" s="2" t="str">
        <f t="shared" ref="UYQ948" ca="1" si="6642">IF(UYO948&lt;TODAY(),"VENCIDO",IF(UYO948=TODAY(),"VENCE HOY",IF(UYO948&gt;TODAY(),"VIGENTE")))</f>
        <v>VIGENTE</v>
      </c>
      <c r="UYR948" s="6" t="s">
        <v>25</v>
      </c>
      <c r="UYS948" s="23" t="s">
        <v>138</v>
      </c>
      <c r="UYT948" s="2" t="s">
        <v>433</v>
      </c>
      <c r="UYU948" s="3" t="s">
        <v>22</v>
      </c>
      <c r="UYV948" s="3" t="s">
        <v>23</v>
      </c>
      <c r="UYW948" s="2" t="s">
        <v>24</v>
      </c>
      <c r="UYX948" s="4">
        <v>0</v>
      </c>
      <c r="UYY948" s="8">
        <f t="shared" ref="UYY948" si="6643">IF(UYU948="Ionizador", 10, IF(UYU948="Mesa", 1000000000, IF(UYU948="Rack", 1000000000, IF(UYU948="Piso", 1000000000, IF(UYU948="Tapete", 1000000000, IF(UYU948="Carrito", 1000000000, IF(UYU948="Cautín", 10, 1)))))))</f>
        <v>1000000000</v>
      </c>
      <c r="UYZ948" s="4" t="str">
        <f t="shared" ref="UYZ948" si="6644">IF(UYU948="Ionizador", "Segundos", "Ohms")</f>
        <v>Ohms</v>
      </c>
      <c r="UZA948" s="6">
        <v>148000000</v>
      </c>
      <c r="UZB948" s="6" t="str">
        <f t="shared" ref="UZB948" si="6645">UYZ948</f>
        <v>Ohms</v>
      </c>
      <c r="UZC948" s="2" t="str">
        <f t="shared" ref="UZC948" si="6646">IF(UYU948="Ionizador", "Plato de carga", IF(UYU948="Cautín", "PTG", "RTG"))</f>
        <v>RTG</v>
      </c>
      <c r="UZD948" s="7">
        <v>45992</v>
      </c>
      <c r="UZE948" s="7">
        <f t="shared" ref="UZE948" si="6647">IF(UZF948="Trimestral", UZD948+90, IF(UZF948="Semestral", UZD948+180, UZD948+365))</f>
        <v>46172</v>
      </c>
      <c r="UZF948" s="7" t="str">
        <f t="shared" ref="UZF948" si="6648">IF(UYU948="Ionizador", "Trimestral", IF(UYU948="Rack", "Semestral", IF(UYU948="Mesa", "Semestral", IF(UYU948="Tapete", "Semestral", IF(UYU948="Cautín", "Semestral", IF(UYU948="Silla", "Semestral", "Anual"))))))</f>
        <v>Semestral</v>
      </c>
      <c r="UZG948" s="2" t="str">
        <f t="shared" ref="UZG948" ca="1" si="6649">IF(UZE948&lt;TODAY(),"VENCIDO",IF(UZE948=TODAY(),"VENCE HOY",IF(UZE948&gt;TODAY(),"VIGENTE")))</f>
        <v>VIGENTE</v>
      </c>
      <c r="UZH948" s="6" t="s">
        <v>25</v>
      </c>
      <c r="UZI948" s="23" t="s">
        <v>138</v>
      </c>
      <c r="UZJ948" s="2" t="s">
        <v>433</v>
      </c>
      <c r="UZK948" s="3" t="s">
        <v>22</v>
      </c>
      <c r="UZL948" s="3" t="s">
        <v>23</v>
      </c>
      <c r="UZM948" s="2" t="s">
        <v>24</v>
      </c>
      <c r="UZN948" s="4">
        <v>0</v>
      </c>
      <c r="UZO948" s="8">
        <f t="shared" ref="UZO948" si="6650">IF(UZK948="Ionizador", 10, IF(UZK948="Mesa", 1000000000, IF(UZK948="Rack", 1000000000, IF(UZK948="Piso", 1000000000, IF(UZK948="Tapete", 1000000000, IF(UZK948="Carrito", 1000000000, IF(UZK948="Cautín", 10, 1)))))))</f>
        <v>1000000000</v>
      </c>
      <c r="UZP948" s="4" t="str">
        <f t="shared" ref="UZP948" si="6651">IF(UZK948="Ionizador", "Segundos", "Ohms")</f>
        <v>Ohms</v>
      </c>
      <c r="UZQ948" s="6">
        <v>148000000</v>
      </c>
      <c r="UZR948" s="6" t="str">
        <f t="shared" ref="UZR948" si="6652">UZP948</f>
        <v>Ohms</v>
      </c>
      <c r="UZS948" s="2" t="str">
        <f t="shared" ref="UZS948" si="6653">IF(UZK948="Ionizador", "Plato de carga", IF(UZK948="Cautín", "PTG", "RTG"))</f>
        <v>RTG</v>
      </c>
      <c r="UZT948" s="7">
        <v>45992</v>
      </c>
      <c r="UZU948" s="7">
        <f t="shared" ref="UZU948" si="6654">IF(UZV948="Trimestral", UZT948+90, IF(UZV948="Semestral", UZT948+180, UZT948+365))</f>
        <v>46172</v>
      </c>
      <c r="UZV948" s="7" t="str">
        <f t="shared" ref="UZV948" si="6655">IF(UZK948="Ionizador", "Trimestral", IF(UZK948="Rack", "Semestral", IF(UZK948="Mesa", "Semestral", IF(UZK948="Tapete", "Semestral", IF(UZK948="Cautín", "Semestral", IF(UZK948="Silla", "Semestral", "Anual"))))))</f>
        <v>Semestral</v>
      </c>
      <c r="UZW948" s="2" t="str">
        <f t="shared" ref="UZW948" ca="1" si="6656">IF(UZU948&lt;TODAY(),"VENCIDO",IF(UZU948=TODAY(),"VENCE HOY",IF(UZU948&gt;TODAY(),"VIGENTE")))</f>
        <v>VIGENTE</v>
      </c>
      <c r="UZX948" s="6" t="s">
        <v>25</v>
      </c>
      <c r="UZY948" s="23" t="s">
        <v>138</v>
      </c>
      <c r="UZZ948" s="2" t="s">
        <v>433</v>
      </c>
      <c r="VAA948" s="3" t="s">
        <v>22</v>
      </c>
      <c r="VAB948" s="3" t="s">
        <v>23</v>
      </c>
      <c r="VAC948" s="2" t="s">
        <v>24</v>
      </c>
      <c r="VAD948" s="4">
        <v>0</v>
      </c>
      <c r="VAE948" s="8">
        <f t="shared" ref="VAE948" si="6657">IF(VAA948="Ionizador", 10, IF(VAA948="Mesa", 1000000000, IF(VAA948="Rack", 1000000000, IF(VAA948="Piso", 1000000000, IF(VAA948="Tapete", 1000000000, IF(VAA948="Carrito", 1000000000, IF(VAA948="Cautín", 10, 1)))))))</f>
        <v>1000000000</v>
      </c>
      <c r="VAF948" s="4" t="str">
        <f t="shared" ref="VAF948" si="6658">IF(VAA948="Ionizador", "Segundos", "Ohms")</f>
        <v>Ohms</v>
      </c>
      <c r="VAG948" s="6">
        <v>148000000</v>
      </c>
      <c r="VAH948" s="6" t="str">
        <f t="shared" ref="VAH948" si="6659">VAF948</f>
        <v>Ohms</v>
      </c>
      <c r="VAI948" s="2" t="str">
        <f t="shared" ref="VAI948" si="6660">IF(VAA948="Ionizador", "Plato de carga", IF(VAA948="Cautín", "PTG", "RTG"))</f>
        <v>RTG</v>
      </c>
      <c r="VAJ948" s="7">
        <v>45992</v>
      </c>
      <c r="VAK948" s="7">
        <f t="shared" ref="VAK948" si="6661">IF(VAL948="Trimestral", VAJ948+90, IF(VAL948="Semestral", VAJ948+180, VAJ948+365))</f>
        <v>46172</v>
      </c>
      <c r="VAL948" s="7" t="str">
        <f t="shared" ref="VAL948" si="6662">IF(VAA948="Ionizador", "Trimestral", IF(VAA948="Rack", "Semestral", IF(VAA948="Mesa", "Semestral", IF(VAA948="Tapete", "Semestral", IF(VAA948="Cautín", "Semestral", IF(VAA948="Silla", "Semestral", "Anual"))))))</f>
        <v>Semestral</v>
      </c>
      <c r="VAM948" s="2" t="str">
        <f t="shared" ref="VAM948" ca="1" si="6663">IF(VAK948&lt;TODAY(),"VENCIDO",IF(VAK948=TODAY(),"VENCE HOY",IF(VAK948&gt;TODAY(),"VIGENTE")))</f>
        <v>VIGENTE</v>
      </c>
      <c r="VAN948" s="6" t="s">
        <v>25</v>
      </c>
      <c r="VAO948" s="23" t="s">
        <v>138</v>
      </c>
      <c r="VAP948" s="2" t="s">
        <v>433</v>
      </c>
      <c r="VAQ948" s="3" t="s">
        <v>22</v>
      </c>
      <c r="VAR948" s="3" t="s">
        <v>23</v>
      </c>
      <c r="VAS948" s="2" t="s">
        <v>24</v>
      </c>
      <c r="VAT948" s="4">
        <v>0</v>
      </c>
      <c r="VAU948" s="8">
        <f t="shared" ref="VAU948" si="6664">IF(VAQ948="Ionizador", 10, IF(VAQ948="Mesa", 1000000000, IF(VAQ948="Rack", 1000000000, IF(VAQ948="Piso", 1000000000, IF(VAQ948="Tapete", 1000000000, IF(VAQ948="Carrito", 1000000000, IF(VAQ948="Cautín", 10, 1)))))))</f>
        <v>1000000000</v>
      </c>
      <c r="VAV948" s="4" t="str">
        <f t="shared" ref="VAV948" si="6665">IF(VAQ948="Ionizador", "Segundos", "Ohms")</f>
        <v>Ohms</v>
      </c>
      <c r="VAW948" s="6">
        <v>148000000</v>
      </c>
      <c r="VAX948" s="6" t="str">
        <f t="shared" ref="VAX948" si="6666">VAV948</f>
        <v>Ohms</v>
      </c>
      <c r="VAY948" s="2" t="str">
        <f t="shared" ref="VAY948" si="6667">IF(VAQ948="Ionizador", "Plato de carga", IF(VAQ948="Cautín", "PTG", "RTG"))</f>
        <v>RTG</v>
      </c>
      <c r="VAZ948" s="7">
        <v>45992</v>
      </c>
      <c r="VBA948" s="7">
        <f t="shared" ref="VBA948" si="6668">IF(VBB948="Trimestral", VAZ948+90, IF(VBB948="Semestral", VAZ948+180, VAZ948+365))</f>
        <v>46172</v>
      </c>
      <c r="VBB948" s="7" t="str">
        <f t="shared" ref="VBB948" si="6669">IF(VAQ948="Ionizador", "Trimestral", IF(VAQ948="Rack", "Semestral", IF(VAQ948="Mesa", "Semestral", IF(VAQ948="Tapete", "Semestral", IF(VAQ948="Cautín", "Semestral", IF(VAQ948="Silla", "Semestral", "Anual"))))))</f>
        <v>Semestral</v>
      </c>
      <c r="VBC948" s="2" t="str">
        <f t="shared" ref="VBC948" ca="1" si="6670">IF(VBA948&lt;TODAY(),"VENCIDO",IF(VBA948=TODAY(),"VENCE HOY",IF(VBA948&gt;TODAY(),"VIGENTE")))</f>
        <v>VIGENTE</v>
      </c>
      <c r="VBD948" s="6" t="s">
        <v>25</v>
      </c>
      <c r="VBE948" s="23" t="s">
        <v>138</v>
      </c>
      <c r="VBF948" s="2" t="s">
        <v>433</v>
      </c>
      <c r="VBG948" s="3" t="s">
        <v>22</v>
      </c>
      <c r="VBH948" s="3" t="s">
        <v>23</v>
      </c>
      <c r="VBI948" s="2" t="s">
        <v>24</v>
      </c>
      <c r="VBJ948" s="4">
        <v>0</v>
      </c>
      <c r="VBK948" s="8">
        <f t="shared" ref="VBK948" si="6671">IF(VBG948="Ionizador", 10, IF(VBG948="Mesa", 1000000000, IF(VBG948="Rack", 1000000000, IF(VBG948="Piso", 1000000000, IF(VBG948="Tapete", 1000000000, IF(VBG948="Carrito", 1000000000, IF(VBG948="Cautín", 10, 1)))))))</f>
        <v>1000000000</v>
      </c>
      <c r="VBL948" s="4" t="str">
        <f t="shared" ref="VBL948" si="6672">IF(VBG948="Ionizador", "Segundos", "Ohms")</f>
        <v>Ohms</v>
      </c>
      <c r="VBM948" s="6">
        <v>148000000</v>
      </c>
      <c r="VBN948" s="6" t="str">
        <f t="shared" ref="VBN948" si="6673">VBL948</f>
        <v>Ohms</v>
      </c>
      <c r="VBO948" s="2" t="str">
        <f t="shared" ref="VBO948" si="6674">IF(VBG948="Ionizador", "Plato de carga", IF(VBG948="Cautín", "PTG", "RTG"))</f>
        <v>RTG</v>
      </c>
      <c r="VBP948" s="7">
        <v>45992</v>
      </c>
      <c r="VBQ948" s="7">
        <f t="shared" ref="VBQ948" si="6675">IF(VBR948="Trimestral", VBP948+90, IF(VBR948="Semestral", VBP948+180, VBP948+365))</f>
        <v>46172</v>
      </c>
      <c r="VBR948" s="7" t="str">
        <f t="shared" ref="VBR948" si="6676">IF(VBG948="Ionizador", "Trimestral", IF(VBG948="Rack", "Semestral", IF(VBG948="Mesa", "Semestral", IF(VBG948="Tapete", "Semestral", IF(VBG948="Cautín", "Semestral", IF(VBG948="Silla", "Semestral", "Anual"))))))</f>
        <v>Semestral</v>
      </c>
      <c r="VBS948" s="2" t="str">
        <f t="shared" ref="VBS948" ca="1" si="6677">IF(VBQ948&lt;TODAY(),"VENCIDO",IF(VBQ948=TODAY(),"VENCE HOY",IF(VBQ948&gt;TODAY(),"VIGENTE")))</f>
        <v>VIGENTE</v>
      </c>
      <c r="VBT948" s="6" t="s">
        <v>25</v>
      </c>
      <c r="VBU948" s="23" t="s">
        <v>138</v>
      </c>
      <c r="VBV948" s="2" t="s">
        <v>433</v>
      </c>
      <c r="VBW948" s="3" t="s">
        <v>22</v>
      </c>
      <c r="VBX948" s="3" t="s">
        <v>23</v>
      </c>
      <c r="VBY948" s="2" t="s">
        <v>24</v>
      </c>
      <c r="VBZ948" s="4">
        <v>0</v>
      </c>
      <c r="VCA948" s="8">
        <f t="shared" ref="VCA948" si="6678">IF(VBW948="Ionizador", 10, IF(VBW948="Mesa", 1000000000, IF(VBW948="Rack", 1000000000, IF(VBW948="Piso", 1000000000, IF(VBW948="Tapete", 1000000000, IF(VBW948="Carrito", 1000000000, IF(VBW948="Cautín", 10, 1)))))))</f>
        <v>1000000000</v>
      </c>
      <c r="VCB948" s="4" t="str">
        <f t="shared" ref="VCB948" si="6679">IF(VBW948="Ionizador", "Segundos", "Ohms")</f>
        <v>Ohms</v>
      </c>
      <c r="VCC948" s="6">
        <v>148000000</v>
      </c>
      <c r="VCD948" s="6" t="str">
        <f t="shared" ref="VCD948" si="6680">VCB948</f>
        <v>Ohms</v>
      </c>
      <c r="VCE948" s="2" t="str">
        <f t="shared" ref="VCE948" si="6681">IF(VBW948="Ionizador", "Plato de carga", IF(VBW948="Cautín", "PTG", "RTG"))</f>
        <v>RTG</v>
      </c>
      <c r="VCF948" s="7">
        <v>45992</v>
      </c>
      <c r="VCG948" s="7">
        <f t="shared" ref="VCG948" si="6682">IF(VCH948="Trimestral", VCF948+90, IF(VCH948="Semestral", VCF948+180, VCF948+365))</f>
        <v>46172</v>
      </c>
      <c r="VCH948" s="7" t="str">
        <f t="shared" ref="VCH948" si="6683">IF(VBW948="Ionizador", "Trimestral", IF(VBW948="Rack", "Semestral", IF(VBW948="Mesa", "Semestral", IF(VBW948="Tapete", "Semestral", IF(VBW948="Cautín", "Semestral", IF(VBW948="Silla", "Semestral", "Anual"))))))</f>
        <v>Semestral</v>
      </c>
      <c r="VCI948" s="2" t="str">
        <f t="shared" ref="VCI948" ca="1" si="6684">IF(VCG948&lt;TODAY(),"VENCIDO",IF(VCG948=TODAY(),"VENCE HOY",IF(VCG948&gt;TODAY(),"VIGENTE")))</f>
        <v>VIGENTE</v>
      </c>
      <c r="VCJ948" s="6" t="s">
        <v>25</v>
      </c>
      <c r="VCK948" s="23" t="s">
        <v>138</v>
      </c>
      <c r="VCL948" s="2" t="s">
        <v>433</v>
      </c>
      <c r="VCM948" s="3" t="s">
        <v>22</v>
      </c>
      <c r="VCN948" s="3" t="s">
        <v>23</v>
      </c>
      <c r="VCO948" s="2" t="s">
        <v>24</v>
      </c>
      <c r="VCP948" s="4">
        <v>0</v>
      </c>
      <c r="VCQ948" s="8">
        <f t="shared" ref="VCQ948" si="6685">IF(VCM948="Ionizador", 10, IF(VCM948="Mesa", 1000000000, IF(VCM948="Rack", 1000000000, IF(VCM948="Piso", 1000000000, IF(VCM948="Tapete", 1000000000, IF(VCM948="Carrito", 1000000000, IF(VCM948="Cautín", 10, 1)))))))</f>
        <v>1000000000</v>
      </c>
      <c r="VCR948" s="4" t="str">
        <f t="shared" ref="VCR948" si="6686">IF(VCM948="Ionizador", "Segundos", "Ohms")</f>
        <v>Ohms</v>
      </c>
      <c r="VCS948" s="6">
        <v>148000000</v>
      </c>
      <c r="VCT948" s="6" t="str">
        <f t="shared" ref="VCT948" si="6687">VCR948</f>
        <v>Ohms</v>
      </c>
      <c r="VCU948" s="2" t="str">
        <f t="shared" ref="VCU948" si="6688">IF(VCM948="Ionizador", "Plato de carga", IF(VCM948="Cautín", "PTG", "RTG"))</f>
        <v>RTG</v>
      </c>
      <c r="VCV948" s="7">
        <v>45992</v>
      </c>
      <c r="VCW948" s="7">
        <f t="shared" ref="VCW948" si="6689">IF(VCX948="Trimestral", VCV948+90, IF(VCX948="Semestral", VCV948+180, VCV948+365))</f>
        <v>46172</v>
      </c>
      <c r="VCX948" s="7" t="str">
        <f t="shared" ref="VCX948" si="6690">IF(VCM948="Ionizador", "Trimestral", IF(VCM948="Rack", "Semestral", IF(VCM948="Mesa", "Semestral", IF(VCM948="Tapete", "Semestral", IF(VCM948="Cautín", "Semestral", IF(VCM948="Silla", "Semestral", "Anual"))))))</f>
        <v>Semestral</v>
      </c>
      <c r="VCY948" s="2" t="str">
        <f t="shared" ref="VCY948" ca="1" si="6691">IF(VCW948&lt;TODAY(),"VENCIDO",IF(VCW948=TODAY(),"VENCE HOY",IF(VCW948&gt;TODAY(),"VIGENTE")))</f>
        <v>VIGENTE</v>
      </c>
      <c r="VCZ948" s="6" t="s">
        <v>25</v>
      </c>
      <c r="VDA948" s="23" t="s">
        <v>138</v>
      </c>
      <c r="VDB948" s="2" t="s">
        <v>433</v>
      </c>
      <c r="VDC948" s="3" t="s">
        <v>22</v>
      </c>
      <c r="VDD948" s="3" t="s">
        <v>23</v>
      </c>
      <c r="VDE948" s="2" t="s">
        <v>24</v>
      </c>
      <c r="VDF948" s="4">
        <v>0</v>
      </c>
      <c r="VDG948" s="8">
        <f t="shared" ref="VDG948" si="6692">IF(VDC948="Ionizador", 10, IF(VDC948="Mesa", 1000000000, IF(VDC948="Rack", 1000000000, IF(VDC948="Piso", 1000000000, IF(VDC948="Tapete", 1000000000, IF(VDC948="Carrito", 1000000000, IF(VDC948="Cautín", 10, 1)))))))</f>
        <v>1000000000</v>
      </c>
      <c r="VDH948" s="4" t="str">
        <f t="shared" ref="VDH948" si="6693">IF(VDC948="Ionizador", "Segundos", "Ohms")</f>
        <v>Ohms</v>
      </c>
      <c r="VDI948" s="6">
        <v>148000000</v>
      </c>
      <c r="VDJ948" s="6" t="str">
        <f t="shared" ref="VDJ948" si="6694">VDH948</f>
        <v>Ohms</v>
      </c>
      <c r="VDK948" s="2" t="str">
        <f t="shared" ref="VDK948" si="6695">IF(VDC948="Ionizador", "Plato de carga", IF(VDC948="Cautín", "PTG", "RTG"))</f>
        <v>RTG</v>
      </c>
      <c r="VDL948" s="7">
        <v>45992</v>
      </c>
      <c r="VDM948" s="7">
        <f t="shared" ref="VDM948" si="6696">IF(VDN948="Trimestral", VDL948+90, IF(VDN948="Semestral", VDL948+180, VDL948+365))</f>
        <v>46172</v>
      </c>
      <c r="VDN948" s="7" t="str">
        <f t="shared" ref="VDN948" si="6697">IF(VDC948="Ionizador", "Trimestral", IF(VDC948="Rack", "Semestral", IF(VDC948="Mesa", "Semestral", IF(VDC948="Tapete", "Semestral", IF(VDC948="Cautín", "Semestral", IF(VDC948="Silla", "Semestral", "Anual"))))))</f>
        <v>Semestral</v>
      </c>
      <c r="VDO948" s="2" t="str">
        <f t="shared" ref="VDO948" ca="1" si="6698">IF(VDM948&lt;TODAY(),"VENCIDO",IF(VDM948=TODAY(),"VENCE HOY",IF(VDM948&gt;TODAY(),"VIGENTE")))</f>
        <v>VIGENTE</v>
      </c>
      <c r="VDP948" s="6" t="s">
        <v>25</v>
      </c>
      <c r="VDQ948" s="23" t="s">
        <v>138</v>
      </c>
      <c r="VDR948" s="2" t="s">
        <v>433</v>
      </c>
      <c r="VDS948" s="3" t="s">
        <v>22</v>
      </c>
      <c r="VDT948" s="3" t="s">
        <v>23</v>
      </c>
      <c r="VDU948" s="2" t="s">
        <v>24</v>
      </c>
      <c r="VDV948" s="4">
        <v>0</v>
      </c>
      <c r="VDW948" s="8">
        <f t="shared" ref="VDW948" si="6699">IF(VDS948="Ionizador", 10, IF(VDS948="Mesa", 1000000000, IF(VDS948="Rack", 1000000000, IF(VDS948="Piso", 1000000000, IF(VDS948="Tapete", 1000000000, IF(VDS948="Carrito", 1000000000, IF(VDS948="Cautín", 10, 1)))))))</f>
        <v>1000000000</v>
      </c>
      <c r="VDX948" s="4" t="str">
        <f t="shared" ref="VDX948" si="6700">IF(VDS948="Ionizador", "Segundos", "Ohms")</f>
        <v>Ohms</v>
      </c>
      <c r="VDY948" s="6">
        <v>148000000</v>
      </c>
      <c r="VDZ948" s="6" t="str">
        <f t="shared" ref="VDZ948" si="6701">VDX948</f>
        <v>Ohms</v>
      </c>
      <c r="VEA948" s="2" t="str">
        <f t="shared" ref="VEA948" si="6702">IF(VDS948="Ionizador", "Plato de carga", IF(VDS948="Cautín", "PTG", "RTG"))</f>
        <v>RTG</v>
      </c>
      <c r="VEB948" s="7">
        <v>45992</v>
      </c>
      <c r="VEC948" s="7">
        <f t="shared" ref="VEC948" si="6703">IF(VED948="Trimestral", VEB948+90, IF(VED948="Semestral", VEB948+180, VEB948+365))</f>
        <v>46172</v>
      </c>
      <c r="VED948" s="7" t="str">
        <f t="shared" ref="VED948" si="6704">IF(VDS948="Ionizador", "Trimestral", IF(VDS948="Rack", "Semestral", IF(VDS948="Mesa", "Semestral", IF(VDS948="Tapete", "Semestral", IF(VDS948="Cautín", "Semestral", IF(VDS948="Silla", "Semestral", "Anual"))))))</f>
        <v>Semestral</v>
      </c>
      <c r="VEE948" s="2" t="str">
        <f t="shared" ref="VEE948" ca="1" si="6705">IF(VEC948&lt;TODAY(),"VENCIDO",IF(VEC948=TODAY(),"VENCE HOY",IF(VEC948&gt;TODAY(),"VIGENTE")))</f>
        <v>VIGENTE</v>
      </c>
      <c r="VEF948" s="6" t="s">
        <v>25</v>
      </c>
      <c r="VEG948" s="23" t="s">
        <v>138</v>
      </c>
      <c r="VEH948" s="2" t="s">
        <v>433</v>
      </c>
      <c r="VEI948" s="3" t="s">
        <v>22</v>
      </c>
      <c r="VEJ948" s="3" t="s">
        <v>23</v>
      </c>
      <c r="VEK948" s="2" t="s">
        <v>24</v>
      </c>
      <c r="VEL948" s="4">
        <v>0</v>
      </c>
      <c r="VEM948" s="8">
        <f t="shared" ref="VEM948" si="6706">IF(VEI948="Ionizador", 10, IF(VEI948="Mesa", 1000000000, IF(VEI948="Rack", 1000000000, IF(VEI948="Piso", 1000000000, IF(VEI948="Tapete", 1000000000, IF(VEI948="Carrito", 1000000000, IF(VEI948="Cautín", 10, 1)))))))</f>
        <v>1000000000</v>
      </c>
      <c r="VEN948" s="4" t="str">
        <f t="shared" ref="VEN948" si="6707">IF(VEI948="Ionizador", "Segundos", "Ohms")</f>
        <v>Ohms</v>
      </c>
      <c r="VEO948" s="6">
        <v>148000000</v>
      </c>
      <c r="VEP948" s="6" t="str">
        <f t="shared" ref="VEP948" si="6708">VEN948</f>
        <v>Ohms</v>
      </c>
      <c r="VEQ948" s="2" t="str">
        <f t="shared" ref="VEQ948" si="6709">IF(VEI948="Ionizador", "Plato de carga", IF(VEI948="Cautín", "PTG", "RTG"))</f>
        <v>RTG</v>
      </c>
      <c r="VER948" s="7">
        <v>45992</v>
      </c>
      <c r="VES948" s="7">
        <f t="shared" ref="VES948" si="6710">IF(VET948="Trimestral", VER948+90, IF(VET948="Semestral", VER948+180, VER948+365))</f>
        <v>46172</v>
      </c>
      <c r="VET948" s="7" t="str">
        <f t="shared" ref="VET948" si="6711">IF(VEI948="Ionizador", "Trimestral", IF(VEI948="Rack", "Semestral", IF(VEI948="Mesa", "Semestral", IF(VEI948="Tapete", "Semestral", IF(VEI948="Cautín", "Semestral", IF(VEI948="Silla", "Semestral", "Anual"))))))</f>
        <v>Semestral</v>
      </c>
      <c r="VEU948" s="2" t="str">
        <f t="shared" ref="VEU948" ca="1" si="6712">IF(VES948&lt;TODAY(),"VENCIDO",IF(VES948=TODAY(),"VENCE HOY",IF(VES948&gt;TODAY(),"VIGENTE")))</f>
        <v>VIGENTE</v>
      </c>
      <c r="VEV948" s="6" t="s">
        <v>25</v>
      </c>
      <c r="VEW948" s="23" t="s">
        <v>138</v>
      </c>
      <c r="VEX948" s="2" t="s">
        <v>433</v>
      </c>
      <c r="VEY948" s="3" t="s">
        <v>22</v>
      </c>
      <c r="VEZ948" s="3" t="s">
        <v>23</v>
      </c>
      <c r="VFA948" s="2" t="s">
        <v>24</v>
      </c>
      <c r="VFB948" s="4">
        <v>0</v>
      </c>
      <c r="VFC948" s="8">
        <f t="shared" ref="VFC948" si="6713">IF(VEY948="Ionizador", 10, IF(VEY948="Mesa", 1000000000, IF(VEY948="Rack", 1000000000, IF(VEY948="Piso", 1000000000, IF(VEY948="Tapete", 1000000000, IF(VEY948="Carrito", 1000000000, IF(VEY948="Cautín", 10, 1)))))))</f>
        <v>1000000000</v>
      </c>
      <c r="VFD948" s="4" t="str">
        <f t="shared" ref="VFD948" si="6714">IF(VEY948="Ionizador", "Segundos", "Ohms")</f>
        <v>Ohms</v>
      </c>
      <c r="VFE948" s="6">
        <v>148000000</v>
      </c>
      <c r="VFF948" s="6" t="str">
        <f t="shared" ref="VFF948" si="6715">VFD948</f>
        <v>Ohms</v>
      </c>
      <c r="VFG948" s="2" t="str">
        <f t="shared" ref="VFG948" si="6716">IF(VEY948="Ionizador", "Plato de carga", IF(VEY948="Cautín", "PTG", "RTG"))</f>
        <v>RTG</v>
      </c>
      <c r="VFH948" s="7">
        <v>45992</v>
      </c>
      <c r="VFI948" s="7">
        <f t="shared" ref="VFI948" si="6717">IF(VFJ948="Trimestral", VFH948+90, IF(VFJ948="Semestral", VFH948+180, VFH948+365))</f>
        <v>46172</v>
      </c>
      <c r="VFJ948" s="7" t="str">
        <f t="shared" ref="VFJ948" si="6718">IF(VEY948="Ionizador", "Trimestral", IF(VEY948="Rack", "Semestral", IF(VEY948="Mesa", "Semestral", IF(VEY948="Tapete", "Semestral", IF(VEY948="Cautín", "Semestral", IF(VEY948="Silla", "Semestral", "Anual"))))))</f>
        <v>Semestral</v>
      </c>
      <c r="VFK948" s="2" t="str">
        <f t="shared" ref="VFK948" ca="1" si="6719">IF(VFI948&lt;TODAY(),"VENCIDO",IF(VFI948=TODAY(),"VENCE HOY",IF(VFI948&gt;TODAY(),"VIGENTE")))</f>
        <v>VIGENTE</v>
      </c>
      <c r="VFL948" s="6" t="s">
        <v>25</v>
      </c>
      <c r="VFM948" s="23" t="s">
        <v>138</v>
      </c>
      <c r="VFN948" s="2" t="s">
        <v>433</v>
      </c>
      <c r="VFO948" s="3" t="s">
        <v>22</v>
      </c>
      <c r="VFP948" s="3" t="s">
        <v>23</v>
      </c>
      <c r="VFQ948" s="2" t="s">
        <v>24</v>
      </c>
      <c r="VFR948" s="4">
        <v>0</v>
      </c>
      <c r="VFS948" s="8">
        <f t="shared" ref="VFS948" si="6720">IF(VFO948="Ionizador", 10, IF(VFO948="Mesa", 1000000000, IF(VFO948="Rack", 1000000000, IF(VFO948="Piso", 1000000000, IF(VFO948="Tapete", 1000000000, IF(VFO948="Carrito", 1000000000, IF(VFO948="Cautín", 10, 1)))))))</f>
        <v>1000000000</v>
      </c>
      <c r="VFT948" s="4" t="str">
        <f t="shared" ref="VFT948" si="6721">IF(VFO948="Ionizador", "Segundos", "Ohms")</f>
        <v>Ohms</v>
      </c>
      <c r="VFU948" s="6">
        <v>148000000</v>
      </c>
      <c r="VFV948" s="6" t="str">
        <f t="shared" ref="VFV948" si="6722">VFT948</f>
        <v>Ohms</v>
      </c>
      <c r="VFW948" s="2" t="str">
        <f t="shared" ref="VFW948" si="6723">IF(VFO948="Ionizador", "Plato de carga", IF(VFO948="Cautín", "PTG", "RTG"))</f>
        <v>RTG</v>
      </c>
      <c r="VFX948" s="7">
        <v>45992</v>
      </c>
      <c r="VFY948" s="7">
        <f t="shared" ref="VFY948" si="6724">IF(VFZ948="Trimestral", VFX948+90, IF(VFZ948="Semestral", VFX948+180, VFX948+365))</f>
        <v>46172</v>
      </c>
      <c r="VFZ948" s="7" t="str">
        <f t="shared" ref="VFZ948" si="6725">IF(VFO948="Ionizador", "Trimestral", IF(VFO948="Rack", "Semestral", IF(VFO948="Mesa", "Semestral", IF(VFO948="Tapete", "Semestral", IF(VFO948="Cautín", "Semestral", IF(VFO948="Silla", "Semestral", "Anual"))))))</f>
        <v>Semestral</v>
      </c>
      <c r="VGA948" s="2" t="str">
        <f t="shared" ref="VGA948" ca="1" si="6726">IF(VFY948&lt;TODAY(),"VENCIDO",IF(VFY948=TODAY(),"VENCE HOY",IF(VFY948&gt;TODAY(),"VIGENTE")))</f>
        <v>VIGENTE</v>
      </c>
      <c r="VGB948" s="6" t="s">
        <v>25</v>
      </c>
      <c r="VGC948" s="23" t="s">
        <v>138</v>
      </c>
      <c r="VGD948" s="2" t="s">
        <v>433</v>
      </c>
      <c r="VGE948" s="3" t="s">
        <v>22</v>
      </c>
      <c r="VGF948" s="3" t="s">
        <v>23</v>
      </c>
      <c r="VGG948" s="2" t="s">
        <v>24</v>
      </c>
      <c r="VGH948" s="4">
        <v>0</v>
      </c>
      <c r="VGI948" s="8">
        <f t="shared" ref="VGI948" si="6727">IF(VGE948="Ionizador", 10, IF(VGE948="Mesa", 1000000000, IF(VGE948="Rack", 1000000000, IF(VGE948="Piso", 1000000000, IF(VGE948="Tapete", 1000000000, IF(VGE948="Carrito", 1000000000, IF(VGE948="Cautín", 10, 1)))))))</f>
        <v>1000000000</v>
      </c>
      <c r="VGJ948" s="4" t="str">
        <f t="shared" ref="VGJ948" si="6728">IF(VGE948="Ionizador", "Segundos", "Ohms")</f>
        <v>Ohms</v>
      </c>
      <c r="VGK948" s="6">
        <v>148000000</v>
      </c>
      <c r="VGL948" s="6" t="str">
        <f t="shared" ref="VGL948" si="6729">VGJ948</f>
        <v>Ohms</v>
      </c>
      <c r="VGM948" s="2" t="str">
        <f t="shared" ref="VGM948" si="6730">IF(VGE948="Ionizador", "Plato de carga", IF(VGE948="Cautín", "PTG", "RTG"))</f>
        <v>RTG</v>
      </c>
      <c r="VGN948" s="7">
        <v>45992</v>
      </c>
      <c r="VGO948" s="7">
        <f t="shared" ref="VGO948" si="6731">IF(VGP948="Trimestral", VGN948+90, IF(VGP948="Semestral", VGN948+180, VGN948+365))</f>
        <v>46172</v>
      </c>
      <c r="VGP948" s="7" t="str">
        <f t="shared" ref="VGP948" si="6732">IF(VGE948="Ionizador", "Trimestral", IF(VGE948="Rack", "Semestral", IF(VGE948="Mesa", "Semestral", IF(VGE948="Tapete", "Semestral", IF(VGE948="Cautín", "Semestral", IF(VGE948="Silla", "Semestral", "Anual"))))))</f>
        <v>Semestral</v>
      </c>
      <c r="VGQ948" s="2" t="str">
        <f t="shared" ref="VGQ948" ca="1" si="6733">IF(VGO948&lt;TODAY(),"VENCIDO",IF(VGO948=TODAY(),"VENCE HOY",IF(VGO948&gt;TODAY(),"VIGENTE")))</f>
        <v>VIGENTE</v>
      </c>
      <c r="VGR948" s="6" t="s">
        <v>25</v>
      </c>
      <c r="VGS948" s="23" t="s">
        <v>138</v>
      </c>
      <c r="VGT948" s="2" t="s">
        <v>433</v>
      </c>
      <c r="VGU948" s="3" t="s">
        <v>22</v>
      </c>
      <c r="VGV948" s="3" t="s">
        <v>23</v>
      </c>
      <c r="VGW948" s="2" t="s">
        <v>24</v>
      </c>
      <c r="VGX948" s="4">
        <v>0</v>
      </c>
      <c r="VGY948" s="8">
        <f t="shared" ref="VGY948" si="6734">IF(VGU948="Ionizador", 10, IF(VGU948="Mesa", 1000000000, IF(VGU948="Rack", 1000000000, IF(VGU948="Piso", 1000000000, IF(VGU948="Tapete", 1000000000, IF(VGU948="Carrito", 1000000000, IF(VGU948="Cautín", 10, 1)))))))</f>
        <v>1000000000</v>
      </c>
      <c r="VGZ948" s="4" t="str">
        <f t="shared" ref="VGZ948" si="6735">IF(VGU948="Ionizador", "Segundos", "Ohms")</f>
        <v>Ohms</v>
      </c>
      <c r="VHA948" s="6">
        <v>148000000</v>
      </c>
      <c r="VHB948" s="6" t="str">
        <f t="shared" ref="VHB948" si="6736">VGZ948</f>
        <v>Ohms</v>
      </c>
      <c r="VHC948" s="2" t="str">
        <f t="shared" ref="VHC948" si="6737">IF(VGU948="Ionizador", "Plato de carga", IF(VGU948="Cautín", "PTG", "RTG"))</f>
        <v>RTG</v>
      </c>
      <c r="VHD948" s="7">
        <v>45992</v>
      </c>
      <c r="VHE948" s="7">
        <f t="shared" ref="VHE948" si="6738">IF(VHF948="Trimestral", VHD948+90, IF(VHF948="Semestral", VHD948+180, VHD948+365))</f>
        <v>46172</v>
      </c>
      <c r="VHF948" s="7" t="str">
        <f t="shared" ref="VHF948" si="6739">IF(VGU948="Ionizador", "Trimestral", IF(VGU948="Rack", "Semestral", IF(VGU948="Mesa", "Semestral", IF(VGU948="Tapete", "Semestral", IF(VGU948="Cautín", "Semestral", IF(VGU948="Silla", "Semestral", "Anual"))))))</f>
        <v>Semestral</v>
      </c>
      <c r="VHG948" s="2" t="str">
        <f t="shared" ref="VHG948" ca="1" si="6740">IF(VHE948&lt;TODAY(),"VENCIDO",IF(VHE948=TODAY(),"VENCE HOY",IF(VHE948&gt;TODAY(),"VIGENTE")))</f>
        <v>VIGENTE</v>
      </c>
      <c r="VHH948" s="6" t="s">
        <v>25</v>
      </c>
      <c r="VHI948" s="23" t="s">
        <v>138</v>
      </c>
      <c r="VHJ948" s="2" t="s">
        <v>433</v>
      </c>
      <c r="VHK948" s="3" t="s">
        <v>22</v>
      </c>
      <c r="VHL948" s="3" t="s">
        <v>23</v>
      </c>
      <c r="VHM948" s="2" t="s">
        <v>24</v>
      </c>
      <c r="VHN948" s="4">
        <v>0</v>
      </c>
      <c r="VHO948" s="8">
        <f t="shared" ref="VHO948" si="6741">IF(VHK948="Ionizador", 10, IF(VHK948="Mesa", 1000000000, IF(VHK948="Rack", 1000000000, IF(VHK948="Piso", 1000000000, IF(VHK948="Tapete", 1000000000, IF(VHK948="Carrito", 1000000000, IF(VHK948="Cautín", 10, 1)))))))</f>
        <v>1000000000</v>
      </c>
      <c r="VHP948" s="4" t="str">
        <f t="shared" ref="VHP948" si="6742">IF(VHK948="Ionizador", "Segundos", "Ohms")</f>
        <v>Ohms</v>
      </c>
      <c r="VHQ948" s="6">
        <v>148000000</v>
      </c>
      <c r="VHR948" s="6" t="str">
        <f t="shared" ref="VHR948" si="6743">VHP948</f>
        <v>Ohms</v>
      </c>
      <c r="VHS948" s="2" t="str">
        <f t="shared" ref="VHS948" si="6744">IF(VHK948="Ionizador", "Plato de carga", IF(VHK948="Cautín", "PTG", "RTG"))</f>
        <v>RTG</v>
      </c>
      <c r="VHT948" s="7">
        <v>45992</v>
      </c>
      <c r="VHU948" s="7">
        <f t="shared" ref="VHU948" si="6745">IF(VHV948="Trimestral", VHT948+90, IF(VHV948="Semestral", VHT948+180, VHT948+365))</f>
        <v>46172</v>
      </c>
      <c r="VHV948" s="7" t="str">
        <f t="shared" ref="VHV948" si="6746">IF(VHK948="Ionizador", "Trimestral", IF(VHK948="Rack", "Semestral", IF(VHK948="Mesa", "Semestral", IF(VHK948="Tapete", "Semestral", IF(VHK948="Cautín", "Semestral", IF(VHK948="Silla", "Semestral", "Anual"))))))</f>
        <v>Semestral</v>
      </c>
      <c r="VHW948" s="2" t="str">
        <f t="shared" ref="VHW948" ca="1" si="6747">IF(VHU948&lt;TODAY(),"VENCIDO",IF(VHU948=TODAY(),"VENCE HOY",IF(VHU948&gt;TODAY(),"VIGENTE")))</f>
        <v>VIGENTE</v>
      </c>
      <c r="VHX948" s="6" t="s">
        <v>25</v>
      </c>
      <c r="VHY948" s="23" t="s">
        <v>138</v>
      </c>
      <c r="VHZ948" s="2" t="s">
        <v>433</v>
      </c>
      <c r="VIA948" s="3" t="s">
        <v>22</v>
      </c>
      <c r="VIB948" s="3" t="s">
        <v>23</v>
      </c>
      <c r="VIC948" s="2" t="s">
        <v>24</v>
      </c>
      <c r="VID948" s="4">
        <v>0</v>
      </c>
      <c r="VIE948" s="8">
        <f t="shared" ref="VIE948" si="6748">IF(VIA948="Ionizador", 10, IF(VIA948="Mesa", 1000000000, IF(VIA948="Rack", 1000000000, IF(VIA948="Piso", 1000000000, IF(VIA948="Tapete", 1000000000, IF(VIA948="Carrito", 1000000000, IF(VIA948="Cautín", 10, 1)))))))</f>
        <v>1000000000</v>
      </c>
      <c r="VIF948" s="4" t="str">
        <f t="shared" ref="VIF948" si="6749">IF(VIA948="Ionizador", "Segundos", "Ohms")</f>
        <v>Ohms</v>
      </c>
      <c r="VIG948" s="6">
        <v>148000000</v>
      </c>
      <c r="VIH948" s="6" t="str">
        <f t="shared" ref="VIH948" si="6750">VIF948</f>
        <v>Ohms</v>
      </c>
      <c r="VII948" s="2" t="str">
        <f t="shared" ref="VII948" si="6751">IF(VIA948="Ionizador", "Plato de carga", IF(VIA948="Cautín", "PTG", "RTG"))</f>
        <v>RTG</v>
      </c>
      <c r="VIJ948" s="7">
        <v>45992</v>
      </c>
      <c r="VIK948" s="7">
        <f t="shared" ref="VIK948" si="6752">IF(VIL948="Trimestral", VIJ948+90, IF(VIL948="Semestral", VIJ948+180, VIJ948+365))</f>
        <v>46172</v>
      </c>
      <c r="VIL948" s="7" t="str">
        <f t="shared" ref="VIL948" si="6753">IF(VIA948="Ionizador", "Trimestral", IF(VIA948="Rack", "Semestral", IF(VIA948="Mesa", "Semestral", IF(VIA948="Tapete", "Semestral", IF(VIA948="Cautín", "Semestral", IF(VIA948="Silla", "Semestral", "Anual"))))))</f>
        <v>Semestral</v>
      </c>
      <c r="VIM948" s="2" t="str">
        <f t="shared" ref="VIM948" ca="1" si="6754">IF(VIK948&lt;TODAY(),"VENCIDO",IF(VIK948=TODAY(),"VENCE HOY",IF(VIK948&gt;TODAY(),"VIGENTE")))</f>
        <v>VIGENTE</v>
      </c>
      <c r="VIN948" s="6" t="s">
        <v>25</v>
      </c>
      <c r="VIO948" s="23" t="s">
        <v>138</v>
      </c>
      <c r="VIP948" s="2" t="s">
        <v>433</v>
      </c>
      <c r="VIQ948" s="3" t="s">
        <v>22</v>
      </c>
      <c r="VIR948" s="3" t="s">
        <v>23</v>
      </c>
      <c r="VIS948" s="2" t="s">
        <v>24</v>
      </c>
      <c r="VIT948" s="4">
        <v>0</v>
      </c>
      <c r="VIU948" s="8">
        <f t="shared" ref="VIU948" si="6755">IF(VIQ948="Ionizador", 10, IF(VIQ948="Mesa", 1000000000, IF(VIQ948="Rack", 1000000000, IF(VIQ948="Piso", 1000000000, IF(VIQ948="Tapete", 1000000000, IF(VIQ948="Carrito", 1000000000, IF(VIQ948="Cautín", 10, 1)))))))</f>
        <v>1000000000</v>
      </c>
      <c r="VIV948" s="4" t="str">
        <f t="shared" ref="VIV948" si="6756">IF(VIQ948="Ionizador", "Segundos", "Ohms")</f>
        <v>Ohms</v>
      </c>
      <c r="VIW948" s="6">
        <v>148000000</v>
      </c>
      <c r="VIX948" s="6" t="str">
        <f t="shared" ref="VIX948" si="6757">VIV948</f>
        <v>Ohms</v>
      </c>
      <c r="VIY948" s="2" t="str">
        <f t="shared" ref="VIY948" si="6758">IF(VIQ948="Ionizador", "Plato de carga", IF(VIQ948="Cautín", "PTG", "RTG"))</f>
        <v>RTG</v>
      </c>
      <c r="VIZ948" s="7">
        <v>45992</v>
      </c>
      <c r="VJA948" s="7">
        <f t="shared" ref="VJA948" si="6759">IF(VJB948="Trimestral", VIZ948+90, IF(VJB948="Semestral", VIZ948+180, VIZ948+365))</f>
        <v>46172</v>
      </c>
      <c r="VJB948" s="7" t="str">
        <f t="shared" ref="VJB948" si="6760">IF(VIQ948="Ionizador", "Trimestral", IF(VIQ948="Rack", "Semestral", IF(VIQ948="Mesa", "Semestral", IF(VIQ948="Tapete", "Semestral", IF(VIQ948="Cautín", "Semestral", IF(VIQ948="Silla", "Semestral", "Anual"))))))</f>
        <v>Semestral</v>
      </c>
      <c r="VJC948" s="2" t="str">
        <f t="shared" ref="VJC948" ca="1" si="6761">IF(VJA948&lt;TODAY(),"VENCIDO",IF(VJA948=TODAY(),"VENCE HOY",IF(VJA948&gt;TODAY(),"VIGENTE")))</f>
        <v>VIGENTE</v>
      </c>
      <c r="VJD948" s="6" t="s">
        <v>25</v>
      </c>
      <c r="VJE948" s="23" t="s">
        <v>138</v>
      </c>
      <c r="VJF948" s="2" t="s">
        <v>433</v>
      </c>
      <c r="VJG948" s="3" t="s">
        <v>22</v>
      </c>
      <c r="VJH948" s="3" t="s">
        <v>23</v>
      </c>
      <c r="VJI948" s="2" t="s">
        <v>24</v>
      </c>
      <c r="VJJ948" s="4">
        <v>0</v>
      </c>
      <c r="VJK948" s="8">
        <f t="shared" ref="VJK948" si="6762">IF(VJG948="Ionizador", 10, IF(VJG948="Mesa", 1000000000, IF(VJG948="Rack", 1000000000, IF(VJG948="Piso", 1000000000, IF(VJG948="Tapete", 1000000000, IF(VJG948="Carrito", 1000000000, IF(VJG948="Cautín", 10, 1)))))))</f>
        <v>1000000000</v>
      </c>
      <c r="VJL948" s="4" t="str">
        <f t="shared" ref="VJL948" si="6763">IF(VJG948="Ionizador", "Segundos", "Ohms")</f>
        <v>Ohms</v>
      </c>
      <c r="VJM948" s="6">
        <v>148000000</v>
      </c>
      <c r="VJN948" s="6" t="str">
        <f t="shared" ref="VJN948" si="6764">VJL948</f>
        <v>Ohms</v>
      </c>
      <c r="VJO948" s="2" t="str">
        <f t="shared" ref="VJO948" si="6765">IF(VJG948="Ionizador", "Plato de carga", IF(VJG948="Cautín", "PTG", "RTG"))</f>
        <v>RTG</v>
      </c>
      <c r="VJP948" s="7">
        <v>45992</v>
      </c>
      <c r="VJQ948" s="7">
        <f t="shared" ref="VJQ948" si="6766">IF(VJR948="Trimestral", VJP948+90, IF(VJR948="Semestral", VJP948+180, VJP948+365))</f>
        <v>46172</v>
      </c>
      <c r="VJR948" s="7" t="str">
        <f t="shared" ref="VJR948" si="6767">IF(VJG948="Ionizador", "Trimestral", IF(VJG948="Rack", "Semestral", IF(VJG948="Mesa", "Semestral", IF(VJG948="Tapete", "Semestral", IF(VJG948="Cautín", "Semestral", IF(VJG948="Silla", "Semestral", "Anual"))))))</f>
        <v>Semestral</v>
      </c>
      <c r="VJS948" s="2" t="str">
        <f t="shared" ref="VJS948" ca="1" si="6768">IF(VJQ948&lt;TODAY(),"VENCIDO",IF(VJQ948=TODAY(),"VENCE HOY",IF(VJQ948&gt;TODAY(),"VIGENTE")))</f>
        <v>VIGENTE</v>
      </c>
      <c r="VJT948" s="6" t="s">
        <v>25</v>
      </c>
      <c r="VJU948" s="23" t="s">
        <v>138</v>
      </c>
      <c r="VJV948" s="2" t="s">
        <v>433</v>
      </c>
      <c r="VJW948" s="3" t="s">
        <v>22</v>
      </c>
      <c r="VJX948" s="3" t="s">
        <v>23</v>
      </c>
      <c r="VJY948" s="2" t="s">
        <v>24</v>
      </c>
      <c r="VJZ948" s="4">
        <v>0</v>
      </c>
      <c r="VKA948" s="8">
        <f t="shared" ref="VKA948" si="6769">IF(VJW948="Ionizador", 10, IF(VJW948="Mesa", 1000000000, IF(VJW948="Rack", 1000000000, IF(VJW948="Piso", 1000000000, IF(VJW948="Tapete", 1000000000, IF(VJW948="Carrito", 1000000000, IF(VJW948="Cautín", 10, 1)))))))</f>
        <v>1000000000</v>
      </c>
      <c r="VKB948" s="4" t="str">
        <f t="shared" ref="VKB948" si="6770">IF(VJW948="Ionizador", "Segundos", "Ohms")</f>
        <v>Ohms</v>
      </c>
      <c r="VKC948" s="6">
        <v>148000000</v>
      </c>
      <c r="VKD948" s="6" t="str">
        <f t="shared" ref="VKD948" si="6771">VKB948</f>
        <v>Ohms</v>
      </c>
      <c r="VKE948" s="2" t="str">
        <f t="shared" ref="VKE948" si="6772">IF(VJW948="Ionizador", "Plato de carga", IF(VJW948="Cautín", "PTG", "RTG"))</f>
        <v>RTG</v>
      </c>
      <c r="VKF948" s="7">
        <v>45992</v>
      </c>
      <c r="VKG948" s="7">
        <f t="shared" ref="VKG948" si="6773">IF(VKH948="Trimestral", VKF948+90, IF(VKH948="Semestral", VKF948+180, VKF948+365))</f>
        <v>46172</v>
      </c>
      <c r="VKH948" s="7" t="str">
        <f t="shared" ref="VKH948" si="6774">IF(VJW948="Ionizador", "Trimestral", IF(VJW948="Rack", "Semestral", IF(VJW948="Mesa", "Semestral", IF(VJW948="Tapete", "Semestral", IF(VJW948="Cautín", "Semestral", IF(VJW948="Silla", "Semestral", "Anual"))))))</f>
        <v>Semestral</v>
      </c>
      <c r="VKI948" s="2" t="str">
        <f t="shared" ref="VKI948" ca="1" si="6775">IF(VKG948&lt;TODAY(),"VENCIDO",IF(VKG948=TODAY(),"VENCE HOY",IF(VKG948&gt;TODAY(),"VIGENTE")))</f>
        <v>VIGENTE</v>
      </c>
      <c r="VKJ948" s="6" t="s">
        <v>25</v>
      </c>
      <c r="VKK948" s="23" t="s">
        <v>138</v>
      </c>
      <c r="VKL948" s="2" t="s">
        <v>433</v>
      </c>
      <c r="VKM948" s="3" t="s">
        <v>22</v>
      </c>
      <c r="VKN948" s="3" t="s">
        <v>23</v>
      </c>
      <c r="VKO948" s="2" t="s">
        <v>24</v>
      </c>
      <c r="VKP948" s="4">
        <v>0</v>
      </c>
      <c r="VKQ948" s="8">
        <f t="shared" ref="VKQ948" si="6776">IF(VKM948="Ionizador", 10, IF(VKM948="Mesa", 1000000000, IF(VKM948="Rack", 1000000000, IF(VKM948="Piso", 1000000000, IF(VKM948="Tapete", 1000000000, IF(VKM948="Carrito", 1000000000, IF(VKM948="Cautín", 10, 1)))))))</f>
        <v>1000000000</v>
      </c>
      <c r="VKR948" s="4" t="str">
        <f t="shared" ref="VKR948" si="6777">IF(VKM948="Ionizador", "Segundos", "Ohms")</f>
        <v>Ohms</v>
      </c>
      <c r="VKS948" s="6">
        <v>148000000</v>
      </c>
      <c r="VKT948" s="6" t="str">
        <f t="shared" ref="VKT948" si="6778">VKR948</f>
        <v>Ohms</v>
      </c>
      <c r="VKU948" s="2" t="str">
        <f t="shared" ref="VKU948" si="6779">IF(VKM948="Ionizador", "Plato de carga", IF(VKM948="Cautín", "PTG", "RTG"))</f>
        <v>RTG</v>
      </c>
      <c r="VKV948" s="7">
        <v>45992</v>
      </c>
      <c r="VKW948" s="7">
        <f t="shared" ref="VKW948" si="6780">IF(VKX948="Trimestral", VKV948+90, IF(VKX948="Semestral", VKV948+180, VKV948+365))</f>
        <v>46172</v>
      </c>
      <c r="VKX948" s="7" t="str">
        <f t="shared" ref="VKX948" si="6781">IF(VKM948="Ionizador", "Trimestral", IF(VKM948="Rack", "Semestral", IF(VKM948="Mesa", "Semestral", IF(VKM948="Tapete", "Semestral", IF(VKM948="Cautín", "Semestral", IF(VKM948="Silla", "Semestral", "Anual"))))))</f>
        <v>Semestral</v>
      </c>
      <c r="VKY948" s="2" t="str">
        <f t="shared" ref="VKY948" ca="1" si="6782">IF(VKW948&lt;TODAY(),"VENCIDO",IF(VKW948=TODAY(),"VENCE HOY",IF(VKW948&gt;TODAY(),"VIGENTE")))</f>
        <v>VIGENTE</v>
      </c>
      <c r="VKZ948" s="6" t="s">
        <v>25</v>
      </c>
      <c r="VLA948" s="23" t="s">
        <v>138</v>
      </c>
      <c r="VLB948" s="2" t="s">
        <v>433</v>
      </c>
      <c r="VLC948" s="3" t="s">
        <v>22</v>
      </c>
      <c r="VLD948" s="3" t="s">
        <v>23</v>
      </c>
      <c r="VLE948" s="2" t="s">
        <v>24</v>
      </c>
      <c r="VLF948" s="4">
        <v>0</v>
      </c>
      <c r="VLG948" s="8">
        <f t="shared" ref="VLG948" si="6783">IF(VLC948="Ionizador", 10, IF(VLC948="Mesa", 1000000000, IF(VLC948="Rack", 1000000000, IF(VLC948="Piso", 1000000000, IF(VLC948="Tapete", 1000000000, IF(VLC948="Carrito", 1000000000, IF(VLC948="Cautín", 10, 1)))))))</f>
        <v>1000000000</v>
      </c>
      <c r="VLH948" s="4" t="str">
        <f t="shared" ref="VLH948" si="6784">IF(VLC948="Ionizador", "Segundos", "Ohms")</f>
        <v>Ohms</v>
      </c>
      <c r="VLI948" s="6">
        <v>148000000</v>
      </c>
      <c r="VLJ948" s="6" t="str">
        <f t="shared" ref="VLJ948" si="6785">VLH948</f>
        <v>Ohms</v>
      </c>
      <c r="VLK948" s="2" t="str">
        <f t="shared" ref="VLK948" si="6786">IF(VLC948="Ionizador", "Plato de carga", IF(VLC948="Cautín", "PTG", "RTG"))</f>
        <v>RTG</v>
      </c>
      <c r="VLL948" s="7">
        <v>45992</v>
      </c>
      <c r="VLM948" s="7">
        <f t="shared" ref="VLM948" si="6787">IF(VLN948="Trimestral", VLL948+90, IF(VLN948="Semestral", VLL948+180, VLL948+365))</f>
        <v>46172</v>
      </c>
      <c r="VLN948" s="7" t="str">
        <f t="shared" ref="VLN948" si="6788">IF(VLC948="Ionizador", "Trimestral", IF(VLC948="Rack", "Semestral", IF(VLC948="Mesa", "Semestral", IF(VLC948="Tapete", "Semestral", IF(VLC948="Cautín", "Semestral", IF(VLC948="Silla", "Semestral", "Anual"))))))</f>
        <v>Semestral</v>
      </c>
      <c r="VLO948" s="2" t="str">
        <f t="shared" ref="VLO948" ca="1" si="6789">IF(VLM948&lt;TODAY(),"VENCIDO",IF(VLM948=TODAY(),"VENCE HOY",IF(VLM948&gt;TODAY(),"VIGENTE")))</f>
        <v>VIGENTE</v>
      </c>
      <c r="VLP948" s="6" t="s">
        <v>25</v>
      </c>
      <c r="VLQ948" s="23" t="s">
        <v>138</v>
      </c>
      <c r="VLR948" s="2" t="s">
        <v>433</v>
      </c>
      <c r="VLS948" s="3" t="s">
        <v>22</v>
      </c>
      <c r="VLT948" s="3" t="s">
        <v>23</v>
      </c>
      <c r="VLU948" s="2" t="s">
        <v>24</v>
      </c>
      <c r="VLV948" s="4">
        <v>0</v>
      </c>
      <c r="VLW948" s="8">
        <f t="shared" ref="VLW948" si="6790">IF(VLS948="Ionizador", 10, IF(VLS948="Mesa", 1000000000, IF(VLS948="Rack", 1000000000, IF(VLS948="Piso", 1000000000, IF(VLS948="Tapete", 1000000000, IF(VLS948="Carrito", 1000000000, IF(VLS948="Cautín", 10, 1)))))))</f>
        <v>1000000000</v>
      </c>
      <c r="VLX948" s="4" t="str">
        <f t="shared" ref="VLX948" si="6791">IF(VLS948="Ionizador", "Segundos", "Ohms")</f>
        <v>Ohms</v>
      </c>
      <c r="VLY948" s="6">
        <v>148000000</v>
      </c>
      <c r="VLZ948" s="6" t="str">
        <f t="shared" ref="VLZ948" si="6792">VLX948</f>
        <v>Ohms</v>
      </c>
      <c r="VMA948" s="2" t="str">
        <f t="shared" ref="VMA948" si="6793">IF(VLS948="Ionizador", "Plato de carga", IF(VLS948="Cautín", "PTG", "RTG"))</f>
        <v>RTG</v>
      </c>
      <c r="VMB948" s="7">
        <v>45992</v>
      </c>
      <c r="VMC948" s="7">
        <f t="shared" ref="VMC948" si="6794">IF(VMD948="Trimestral", VMB948+90, IF(VMD948="Semestral", VMB948+180, VMB948+365))</f>
        <v>46172</v>
      </c>
      <c r="VMD948" s="7" t="str">
        <f t="shared" ref="VMD948" si="6795">IF(VLS948="Ionizador", "Trimestral", IF(VLS948="Rack", "Semestral", IF(VLS948="Mesa", "Semestral", IF(VLS948="Tapete", "Semestral", IF(VLS948="Cautín", "Semestral", IF(VLS948="Silla", "Semestral", "Anual"))))))</f>
        <v>Semestral</v>
      </c>
      <c r="VME948" s="2" t="str">
        <f t="shared" ref="VME948" ca="1" si="6796">IF(VMC948&lt;TODAY(),"VENCIDO",IF(VMC948=TODAY(),"VENCE HOY",IF(VMC948&gt;TODAY(),"VIGENTE")))</f>
        <v>VIGENTE</v>
      </c>
      <c r="VMF948" s="6" t="s">
        <v>25</v>
      </c>
      <c r="VMG948" s="23" t="s">
        <v>138</v>
      </c>
      <c r="VMH948" s="2" t="s">
        <v>433</v>
      </c>
      <c r="VMI948" s="3" t="s">
        <v>22</v>
      </c>
      <c r="VMJ948" s="3" t="s">
        <v>23</v>
      </c>
      <c r="VMK948" s="2" t="s">
        <v>24</v>
      </c>
      <c r="VML948" s="4">
        <v>0</v>
      </c>
      <c r="VMM948" s="8">
        <f t="shared" ref="VMM948" si="6797">IF(VMI948="Ionizador", 10, IF(VMI948="Mesa", 1000000000, IF(VMI948="Rack", 1000000000, IF(VMI948="Piso", 1000000000, IF(VMI948="Tapete", 1000000000, IF(VMI948="Carrito", 1000000000, IF(VMI948="Cautín", 10, 1)))))))</f>
        <v>1000000000</v>
      </c>
      <c r="VMN948" s="4" t="str">
        <f t="shared" ref="VMN948" si="6798">IF(VMI948="Ionizador", "Segundos", "Ohms")</f>
        <v>Ohms</v>
      </c>
      <c r="VMO948" s="6">
        <v>148000000</v>
      </c>
      <c r="VMP948" s="6" t="str">
        <f t="shared" ref="VMP948" si="6799">VMN948</f>
        <v>Ohms</v>
      </c>
      <c r="VMQ948" s="2" t="str">
        <f t="shared" ref="VMQ948" si="6800">IF(VMI948="Ionizador", "Plato de carga", IF(VMI948="Cautín", "PTG", "RTG"))</f>
        <v>RTG</v>
      </c>
      <c r="VMR948" s="7">
        <v>45992</v>
      </c>
      <c r="VMS948" s="7">
        <f t="shared" ref="VMS948" si="6801">IF(VMT948="Trimestral", VMR948+90, IF(VMT948="Semestral", VMR948+180, VMR948+365))</f>
        <v>46172</v>
      </c>
      <c r="VMT948" s="7" t="str">
        <f t="shared" ref="VMT948" si="6802">IF(VMI948="Ionizador", "Trimestral", IF(VMI948="Rack", "Semestral", IF(VMI948="Mesa", "Semestral", IF(VMI948="Tapete", "Semestral", IF(VMI948="Cautín", "Semestral", IF(VMI948="Silla", "Semestral", "Anual"))))))</f>
        <v>Semestral</v>
      </c>
      <c r="VMU948" s="2" t="str">
        <f t="shared" ref="VMU948" ca="1" si="6803">IF(VMS948&lt;TODAY(),"VENCIDO",IF(VMS948=TODAY(),"VENCE HOY",IF(VMS948&gt;TODAY(),"VIGENTE")))</f>
        <v>VIGENTE</v>
      </c>
      <c r="VMV948" s="6" t="s">
        <v>25</v>
      </c>
      <c r="VMW948" s="23" t="s">
        <v>138</v>
      </c>
      <c r="VMX948" s="2" t="s">
        <v>433</v>
      </c>
      <c r="VMY948" s="3" t="s">
        <v>22</v>
      </c>
      <c r="VMZ948" s="3" t="s">
        <v>23</v>
      </c>
      <c r="VNA948" s="2" t="s">
        <v>24</v>
      </c>
      <c r="VNB948" s="4">
        <v>0</v>
      </c>
      <c r="VNC948" s="8">
        <f t="shared" ref="VNC948" si="6804">IF(VMY948="Ionizador", 10, IF(VMY948="Mesa", 1000000000, IF(VMY948="Rack", 1000000000, IF(VMY948="Piso", 1000000000, IF(VMY948="Tapete", 1000000000, IF(VMY948="Carrito", 1000000000, IF(VMY948="Cautín", 10, 1)))))))</f>
        <v>1000000000</v>
      </c>
      <c r="VND948" s="4" t="str">
        <f t="shared" ref="VND948" si="6805">IF(VMY948="Ionizador", "Segundos", "Ohms")</f>
        <v>Ohms</v>
      </c>
      <c r="VNE948" s="6">
        <v>148000000</v>
      </c>
      <c r="VNF948" s="6" t="str">
        <f t="shared" ref="VNF948" si="6806">VND948</f>
        <v>Ohms</v>
      </c>
      <c r="VNG948" s="2" t="str">
        <f t="shared" ref="VNG948" si="6807">IF(VMY948="Ionizador", "Plato de carga", IF(VMY948="Cautín", "PTG", "RTG"))</f>
        <v>RTG</v>
      </c>
      <c r="VNH948" s="7">
        <v>45992</v>
      </c>
      <c r="VNI948" s="7">
        <f t="shared" ref="VNI948" si="6808">IF(VNJ948="Trimestral", VNH948+90, IF(VNJ948="Semestral", VNH948+180, VNH948+365))</f>
        <v>46172</v>
      </c>
      <c r="VNJ948" s="7" t="str">
        <f t="shared" ref="VNJ948" si="6809">IF(VMY948="Ionizador", "Trimestral", IF(VMY948="Rack", "Semestral", IF(VMY948="Mesa", "Semestral", IF(VMY948="Tapete", "Semestral", IF(VMY948="Cautín", "Semestral", IF(VMY948="Silla", "Semestral", "Anual"))))))</f>
        <v>Semestral</v>
      </c>
      <c r="VNK948" s="2" t="str">
        <f t="shared" ref="VNK948" ca="1" si="6810">IF(VNI948&lt;TODAY(),"VENCIDO",IF(VNI948=TODAY(),"VENCE HOY",IF(VNI948&gt;TODAY(),"VIGENTE")))</f>
        <v>VIGENTE</v>
      </c>
      <c r="VNL948" s="6" t="s">
        <v>25</v>
      </c>
      <c r="VNM948" s="23" t="s">
        <v>138</v>
      </c>
      <c r="VNN948" s="2" t="s">
        <v>433</v>
      </c>
      <c r="VNO948" s="3" t="s">
        <v>22</v>
      </c>
      <c r="VNP948" s="3" t="s">
        <v>23</v>
      </c>
      <c r="VNQ948" s="2" t="s">
        <v>24</v>
      </c>
      <c r="VNR948" s="4">
        <v>0</v>
      </c>
      <c r="VNS948" s="8">
        <f t="shared" ref="VNS948" si="6811">IF(VNO948="Ionizador", 10, IF(VNO948="Mesa", 1000000000, IF(VNO948="Rack", 1000000000, IF(VNO948="Piso", 1000000000, IF(VNO948="Tapete", 1000000000, IF(VNO948="Carrito", 1000000000, IF(VNO948="Cautín", 10, 1)))))))</f>
        <v>1000000000</v>
      </c>
      <c r="VNT948" s="4" t="str">
        <f t="shared" ref="VNT948" si="6812">IF(VNO948="Ionizador", "Segundos", "Ohms")</f>
        <v>Ohms</v>
      </c>
      <c r="VNU948" s="6">
        <v>148000000</v>
      </c>
      <c r="VNV948" s="6" t="str">
        <f t="shared" ref="VNV948" si="6813">VNT948</f>
        <v>Ohms</v>
      </c>
      <c r="VNW948" s="2" t="str">
        <f t="shared" ref="VNW948" si="6814">IF(VNO948="Ionizador", "Plato de carga", IF(VNO948="Cautín", "PTG", "RTG"))</f>
        <v>RTG</v>
      </c>
      <c r="VNX948" s="7">
        <v>45992</v>
      </c>
      <c r="VNY948" s="7">
        <f t="shared" ref="VNY948" si="6815">IF(VNZ948="Trimestral", VNX948+90, IF(VNZ948="Semestral", VNX948+180, VNX948+365))</f>
        <v>46172</v>
      </c>
      <c r="VNZ948" s="7" t="str">
        <f t="shared" ref="VNZ948" si="6816">IF(VNO948="Ionizador", "Trimestral", IF(VNO948="Rack", "Semestral", IF(VNO948="Mesa", "Semestral", IF(VNO948="Tapete", "Semestral", IF(VNO948="Cautín", "Semestral", IF(VNO948="Silla", "Semestral", "Anual"))))))</f>
        <v>Semestral</v>
      </c>
      <c r="VOA948" s="2" t="str">
        <f t="shared" ref="VOA948" ca="1" si="6817">IF(VNY948&lt;TODAY(),"VENCIDO",IF(VNY948=TODAY(),"VENCE HOY",IF(VNY948&gt;TODAY(),"VIGENTE")))</f>
        <v>VIGENTE</v>
      </c>
      <c r="VOB948" s="6" t="s">
        <v>25</v>
      </c>
      <c r="VOC948" s="23" t="s">
        <v>138</v>
      </c>
      <c r="VOD948" s="2" t="s">
        <v>433</v>
      </c>
      <c r="VOE948" s="3" t="s">
        <v>22</v>
      </c>
      <c r="VOF948" s="3" t="s">
        <v>23</v>
      </c>
      <c r="VOG948" s="2" t="s">
        <v>24</v>
      </c>
      <c r="VOH948" s="4">
        <v>0</v>
      </c>
      <c r="VOI948" s="8">
        <f t="shared" ref="VOI948" si="6818">IF(VOE948="Ionizador", 10, IF(VOE948="Mesa", 1000000000, IF(VOE948="Rack", 1000000000, IF(VOE948="Piso", 1000000000, IF(VOE948="Tapete", 1000000000, IF(VOE948="Carrito", 1000000000, IF(VOE948="Cautín", 10, 1)))))))</f>
        <v>1000000000</v>
      </c>
      <c r="VOJ948" s="4" t="str">
        <f t="shared" ref="VOJ948" si="6819">IF(VOE948="Ionizador", "Segundos", "Ohms")</f>
        <v>Ohms</v>
      </c>
      <c r="VOK948" s="6">
        <v>148000000</v>
      </c>
      <c r="VOL948" s="6" t="str">
        <f t="shared" ref="VOL948" si="6820">VOJ948</f>
        <v>Ohms</v>
      </c>
      <c r="VOM948" s="2" t="str">
        <f t="shared" ref="VOM948" si="6821">IF(VOE948="Ionizador", "Plato de carga", IF(VOE948="Cautín", "PTG", "RTG"))</f>
        <v>RTG</v>
      </c>
      <c r="VON948" s="7">
        <v>45992</v>
      </c>
      <c r="VOO948" s="7">
        <f t="shared" ref="VOO948" si="6822">IF(VOP948="Trimestral", VON948+90, IF(VOP948="Semestral", VON948+180, VON948+365))</f>
        <v>46172</v>
      </c>
      <c r="VOP948" s="7" t="str">
        <f t="shared" ref="VOP948" si="6823">IF(VOE948="Ionizador", "Trimestral", IF(VOE948="Rack", "Semestral", IF(VOE948="Mesa", "Semestral", IF(VOE948="Tapete", "Semestral", IF(VOE948="Cautín", "Semestral", IF(VOE948="Silla", "Semestral", "Anual"))))))</f>
        <v>Semestral</v>
      </c>
      <c r="VOQ948" s="2" t="str">
        <f t="shared" ref="VOQ948" ca="1" si="6824">IF(VOO948&lt;TODAY(),"VENCIDO",IF(VOO948=TODAY(),"VENCE HOY",IF(VOO948&gt;TODAY(),"VIGENTE")))</f>
        <v>VIGENTE</v>
      </c>
      <c r="VOR948" s="6" t="s">
        <v>25</v>
      </c>
      <c r="VOS948" s="23" t="s">
        <v>138</v>
      </c>
      <c r="VOT948" s="2" t="s">
        <v>433</v>
      </c>
      <c r="VOU948" s="3" t="s">
        <v>22</v>
      </c>
      <c r="VOV948" s="3" t="s">
        <v>23</v>
      </c>
      <c r="VOW948" s="2" t="s">
        <v>24</v>
      </c>
      <c r="VOX948" s="4">
        <v>0</v>
      </c>
      <c r="VOY948" s="8">
        <f t="shared" ref="VOY948" si="6825">IF(VOU948="Ionizador", 10, IF(VOU948="Mesa", 1000000000, IF(VOU948="Rack", 1000000000, IF(VOU948="Piso", 1000000000, IF(VOU948="Tapete", 1000000000, IF(VOU948="Carrito", 1000000000, IF(VOU948="Cautín", 10, 1)))))))</f>
        <v>1000000000</v>
      </c>
      <c r="VOZ948" s="4" t="str">
        <f t="shared" ref="VOZ948" si="6826">IF(VOU948="Ionizador", "Segundos", "Ohms")</f>
        <v>Ohms</v>
      </c>
      <c r="VPA948" s="6">
        <v>148000000</v>
      </c>
      <c r="VPB948" s="6" t="str">
        <f t="shared" ref="VPB948" si="6827">VOZ948</f>
        <v>Ohms</v>
      </c>
      <c r="VPC948" s="2" t="str">
        <f t="shared" ref="VPC948" si="6828">IF(VOU948="Ionizador", "Plato de carga", IF(VOU948="Cautín", "PTG", "RTG"))</f>
        <v>RTG</v>
      </c>
      <c r="VPD948" s="7">
        <v>45992</v>
      </c>
      <c r="VPE948" s="7">
        <f t="shared" ref="VPE948" si="6829">IF(VPF948="Trimestral", VPD948+90, IF(VPF948="Semestral", VPD948+180, VPD948+365))</f>
        <v>46172</v>
      </c>
      <c r="VPF948" s="7" t="str">
        <f t="shared" ref="VPF948" si="6830">IF(VOU948="Ionizador", "Trimestral", IF(VOU948="Rack", "Semestral", IF(VOU948="Mesa", "Semestral", IF(VOU948="Tapete", "Semestral", IF(VOU948="Cautín", "Semestral", IF(VOU948="Silla", "Semestral", "Anual"))))))</f>
        <v>Semestral</v>
      </c>
      <c r="VPG948" s="2" t="str">
        <f t="shared" ref="VPG948" ca="1" si="6831">IF(VPE948&lt;TODAY(),"VENCIDO",IF(VPE948=TODAY(),"VENCE HOY",IF(VPE948&gt;TODAY(),"VIGENTE")))</f>
        <v>VIGENTE</v>
      </c>
      <c r="VPH948" s="6" t="s">
        <v>25</v>
      </c>
      <c r="VPI948" s="23" t="s">
        <v>138</v>
      </c>
      <c r="VPJ948" s="2" t="s">
        <v>433</v>
      </c>
      <c r="VPK948" s="3" t="s">
        <v>22</v>
      </c>
      <c r="VPL948" s="3" t="s">
        <v>23</v>
      </c>
      <c r="VPM948" s="2" t="s">
        <v>24</v>
      </c>
      <c r="VPN948" s="4">
        <v>0</v>
      </c>
      <c r="VPO948" s="8">
        <f t="shared" ref="VPO948" si="6832">IF(VPK948="Ionizador", 10, IF(VPK948="Mesa", 1000000000, IF(VPK948="Rack", 1000000000, IF(VPK948="Piso", 1000000000, IF(VPK948="Tapete", 1000000000, IF(VPK948="Carrito", 1000000000, IF(VPK948="Cautín", 10, 1)))))))</f>
        <v>1000000000</v>
      </c>
      <c r="VPP948" s="4" t="str">
        <f t="shared" ref="VPP948" si="6833">IF(VPK948="Ionizador", "Segundos", "Ohms")</f>
        <v>Ohms</v>
      </c>
      <c r="VPQ948" s="6">
        <v>148000000</v>
      </c>
      <c r="VPR948" s="6" t="str">
        <f t="shared" ref="VPR948" si="6834">VPP948</f>
        <v>Ohms</v>
      </c>
      <c r="VPS948" s="2" t="str">
        <f t="shared" ref="VPS948" si="6835">IF(VPK948="Ionizador", "Plato de carga", IF(VPK948="Cautín", "PTG", "RTG"))</f>
        <v>RTG</v>
      </c>
      <c r="VPT948" s="7">
        <v>45992</v>
      </c>
      <c r="VPU948" s="7">
        <f t="shared" ref="VPU948" si="6836">IF(VPV948="Trimestral", VPT948+90, IF(VPV948="Semestral", VPT948+180, VPT948+365))</f>
        <v>46172</v>
      </c>
      <c r="VPV948" s="7" t="str">
        <f t="shared" ref="VPV948" si="6837">IF(VPK948="Ionizador", "Trimestral", IF(VPK948="Rack", "Semestral", IF(VPK948="Mesa", "Semestral", IF(VPK948="Tapete", "Semestral", IF(VPK948="Cautín", "Semestral", IF(VPK948="Silla", "Semestral", "Anual"))))))</f>
        <v>Semestral</v>
      </c>
      <c r="VPW948" s="2" t="str">
        <f t="shared" ref="VPW948" ca="1" si="6838">IF(VPU948&lt;TODAY(),"VENCIDO",IF(VPU948=TODAY(),"VENCE HOY",IF(VPU948&gt;TODAY(),"VIGENTE")))</f>
        <v>VIGENTE</v>
      </c>
      <c r="VPX948" s="6" t="s">
        <v>25</v>
      </c>
      <c r="VPY948" s="23" t="s">
        <v>138</v>
      </c>
      <c r="VPZ948" s="2" t="s">
        <v>433</v>
      </c>
      <c r="VQA948" s="3" t="s">
        <v>22</v>
      </c>
      <c r="VQB948" s="3" t="s">
        <v>23</v>
      </c>
      <c r="VQC948" s="2" t="s">
        <v>24</v>
      </c>
      <c r="VQD948" s="4">
        <v>0</v>
      </c>
      <c r="VQE948" s="8">
        <f t="shared" ref="VQE948" si="6839">IF(VQA948="Ionizador", 10, IF(VQA948="Mesa", 1000000000, IF(VQA948="Rack", 1000000000, IF(VQA948="Piso", 1000000000, IF(VQA948="Tapete", 1000000000, IF(VQA948="Carrito", 1000000000, IF(VQA948="Cautín", 10, 1)))))))</f>
        <v>1000000000</v>
      </c>
      <c r="VQF948" s="4" t="str">
        <f t="shared" ref="VQF948" si="6840">IF(VQA948="Ionizador", "Segundos", "Ohms")</f>
        <v>Ohms</v>
      </c>
      <c r="VQG948" s="6">
        <v>148000000</v>
      </c>
      <c r="VQH948" s="6" t="str">
        <f t="shared" ref="VQH948" si="6841">VQF948</f>
        <v>Ohms</v>
      </c>
      <c r="VQI948" s="2" t="str">
        <f t="shared" ref="VQI948" si="6842">IF(VQA948="Ionizador", "Plato de carga", IF(VQA948="Cautín", "PTG", "RTG"))</f>
        <v>RTG</v>
      </c>
      <c r="VQJ948" s="7">
        <v>45992</v>
      </c>
      <c r="VQK948" s="7">
        <f t="shared" ref="VQK948" si="6843">IF(VQL948="Trimestral", VQJ948+90, IF(VQL948="Semestral", VQJ948+180, VQJ948+365))</f>
        <v>46172</v>
      </c>
      <c r="VQL948" s="7" t="str">
        <f t="shared" ref="VQL948" si="6844">IF(VQA948="Ionizador", "Trimestral", IF(VQA948="Rack", "Semestral", IF(VQA948="Mesa", "Semestral", IF(VQA948="Tapete", "Semestral", IF(VQA948="Cautín", "Semestral", IF(VQA948="Silla", "Semestral", "Anual"))))))</f>
        <v>Semestral</v>
      </c>
      <c r="VQM948" s="2" t="str">
        <f t="shared" ref="VQM948" ca="1" si="6845">IF(VQK948&lt;TODAY(),"VENCIDO",IF(VQK948=TODAY(),"VENCE HOY",IF(VQK948&gt;TODAY(),"VIGENTE")))</f>
        <v>VIGENTE</v>
      </c>
      <c r="VQN948" s="6" t="s">
        <v>25</v>
      </c>
      <c r="VQO948" s="23" t="s">
        <v>138</v>
      </c>
      <c r="VQP948" s="2" t="s">
        <v>433</v>
      </c>
      <c r="VQQ948" s="3" t="s">
        <v>22</v>
      </c>
      <c r="VQR948" s="3" t="s">
        <v>23</v>
      </c>
      <c r="VQS948" s="2" t="s">
        <v>24</v>
      </c>
      <c r="VQT948" s="4">
        <v>0</v>
      </c>
      <c r="VQU948" s="8">
        <f t="shared" ref="VQU948" si="6846">IF(VQQ948="Ionizador", 10, IF(VQQ948="Mesa", 1000000000, IF(VQQ948="Rack", 1000000000, IF(VQQ948="Piso", 1000000000, IF(VQQ948="Tapete", 1000000000, IF(VQQ948="Carrito", 1000000000, IF(VQQ948="Cautín", 10, 1)))))))</f>
        <v>1000000000</v>
      </c>
      <c r="VQV948" s="4" t="str">
        <f t="shared" ref="VQV948" si="6847">IF(VQQ948="Ionizador", "Segundos", "Ohms")</f>
        <v>Ohms</v>
      </c>
      <c r="VQW948" s="6">
        <v>148000000</v>
      </c>
      <c r="VQX948" s="6" t="str">
        <f t="shared" ref="VQX948" si="6848">VQV948</f>
        <v>Ohms</v>
      </c>
      <c r="VQY948" s="2" t="str">
        <f t="shared" ref="VQY948" si="6849">IF(VQQ948="Ionizador", "Plato de carga", IF(VQQ948="Cautín", "PTG", "RTG"))</f>
        <v>RTG</v>
      </c>
      <c r="VQZ948" s="7">
        <v>45992</v>
      </c>
      <c r="VRA948" s="7">
        <f t="shared" ref="VRA948" si="6850">IF(VRB948="Trimestral", VQZ948+90, IF(VRB948="Semestral", VQZ948+180, VQZ948+365))</f>
        <v>46172</v>
      </c>
      <c r="VRB948" s="7" t="str">
        <f t="shared" ref="VRB948" si="6851">IF(VQQ948="Ionizador", "Trimestral", IF(VQQ948="Rack", "Semestral", IF(VQQ948="Mesa", "Semestral", IF(VQQ948="Tapete", "Semestral", IF(VQQ948="Cautín", "Semestral", IF(VQQ948="Silla", "Semestral", "Anual"))))))</f>
        <v>Semestral</v>
      </c>
      <c r="VRC948" s="2" t="str">
        <f t="shared" ref="VRC948" ca="1" si="6852">IF(VRA948&lt;TODAY(),"VENCIDO",IF(VRA948=TODAY(),"VENCE HOY",IF(VRA948&gt;TODAY(),"VIGENTE")))</f>
        <v>VIGENTE</v>
      </c>
      <c r="VRD948" s="6" t="s">
        <v>25</v>
      </c>
      <c r="VRE948" s="23" t="s">
        <v>138</v>
      </c>
      <c r="VRF948" s="2" t="s">
        <v>433</v>
      </c>
      <c r="VRG948" s="3" t="s">
        <v>22</v>
      </c>
      <c r="VRH948" s="3" t="s">
        <v>23</v>
      </c>
      <c r="VRI948" s="2" t="s">
        <v>24</v>
      </c>
      <c r="VRJ948" s="4">
        <v>0</v>
      </c>
      <c r="VRK948" s="8">
        <f t="shared" ref="VRK948" si="6853">IF(VRG948="Ionizador", 10, IF(VRG948="Mesa", 1000000000, IF(VRG948="Rack", 1000000000, IF(VRG948="Piso", 1000000000, IF(VRG948="Tapete", 1000000000, IF(VRG948="Carrito", 1000000000, IF(VRG948="Cautín", 10, 1)))))))</f>
        <v>1000000000</v>
      </c>
      <c r="VRL948" s="4" t="str">
        <f t="shared" ref="VRL948" si="6854">IF(VRG948="Ionizador", "Segundos", "Ohms")</f>
        <v>Ohms</v>
      </c>
      <c r="VRM948" s="6">
        <v>148000000</v>
      </c>
      <c r="VRN948" s="6" t="str">
        <f t="shared" ref="VRN948" si="6855">VRL948</f>
        <v>Ohms</v>
      </c>
      <c r="VRO948" s="2" t="str">
        <f t="shared" ref="VRO948" si="6856">IF(VRG948="Ionizador", "Plato de carga", IF(VRG948="Cautín", "PTG", "RTG"))</f>
        <v>RTG</v>
      </c>
      <c r="VRP948" s="7">
        <v>45992</v>
      </c>
      <c r="VRQ948" s="7">
        <f t="shared" ref="VRQ948" si="6857">IF(VRR948="Trimestral", VRP948+90, IF(VRR948="Semestral", VRP948+180, VRP948+365))</f>
        <v>46172</v>
      </c>
      <c r="VRR948" s="7" t="str">
        <f t="shared" ref="VRR948" si="6858">IF(VRG948="Ionizador", "Trimestral", IF(VRG948="Rack", "Semestral", IF(VRG948="Mesa", "Semestral", IF(VRG948="Tapete", "Semestral", IF(VRG948="Cautín", "Semestral", IF(VRG948="Silla", "Semestral", "Anual"))))))</f>
        <v>Semestral</v>
      </c>
      <c r="VRS948" s="2" t="str">
        <f t="shared" ref="VRS948" ca="1" si="6859">IF(VRQ948&lt;TODAY(),"VENCIDO",IF(VRQ948=TODAY(),"VENCE HOY",IF(VRQ948&gt;TODAY(),"VIGENTE")))</f>
        <v>VIGENTE</v>
      </c>
      <c r="VRT948" s="6" t="s">
        <v>25</v>
      </c>
      <c r="VRU948" s="23" t="s">
        <v>138</v>
      </c>
      <c r="VRV948" s="2" t="s">
        <v>433</v>
      </c>
      <c r="VRW948" s="3" t="s">
        <v>22</v>
      </c>
      <c r="VRX948" s="3" t="s">
        <v>23</v>
      </c>
      <c r="VRY948" s="2" t="s">
        <v>24</v>
      </c>
      <c r="VRZ948" s="4">
        <v>0</v>
      </c>
      <c r="VSA948" s="8">
        <f t="shared" ref="VSA948" si="6860">IF(VRW948="Ionizador", 10, IF(VRW948="Mesa", 1000000000, IF(VRW948="Rack", 1000000000, IF(VRW948="Piso", 1000000000, IF(VRW948="Tapete", 1000000000, IF(VRW948="Carrito", 1000000000, IF(VRW948="Cautín", 10, 1)))))))</f>
        <v>1000000000</v>
      </c>
      <c r="VSB948" s="4" t="str">
        <f t="shared" ref="VSB948" si="6861">IF(VRW948="Ionizador", "Segundos", "Ohms")</f>
        <v>Ohms</v>
      </c>
      <c r="VSC948" s="6">
        <v>148000000</v>
      </c>
      <c r="VSD948" s="6" t="str">
        <f t="shared" ref="VSD948" si="6862">VSB948</f>
        <v>Ohms</v>
      </c>
      <c r="VSE948" s="2" t="str">
        <f t="shared" ref="VSE948" si="6863">IF(VRW948="Ionizador", "Plato de carga", IF(VRW948="Cautín", "PTG", "RTG"))</f>
        <v>RTG</v>
      </c>
      <c r="VSF948" s="7">
        <v>45992</v>
      </c>
      <c r="VSG948" s="7">
        <f t="shared" ref="VSG948" si="6864">IF(VSH948="Trimestral", VSF948+90, IF(VSH948="Semestral", VSF948+180, VSF948+365))</f>
        <v>46172</v>
      </c>
      <c r="VSH948" s="7" t="str">
        <f t="shared" ref="VSH948" si="6865">IF(VRW948="Ionizador", "Trimestral", IF(VRW948="Rack", "Semestral", IF(VRW948="Mesa", "Semestral", IF(VRW948="Tapete", "Semestral", IF(VRW948="Cautín", "Semestral", IF(VRW948="Silla", "Semestral", "Anual"))))))</f>
        <v>Semestral</v>
      </c>
      <c r="VSI948" s="2" t="str">
        <f t="shared" ref="VSI948" ca="1" si="6866">IF(VSG948&lt;TODAY(),"VENCIDO",IF(VSG948=TODAY(),"VENCE HOY",IF(VSG948&gt;TODAY(),"VIGENTE")))</f>
        <v>VIGENTE</v>
      </c>
      <c r="VSJ948" s="6" t="s">
        <v>25</v>
      </c>
      <c r="VSK948" s="23" t="s">
        <v>138</v>
      </c>
      <c r="VSL948" s="2" t="s">
        <v>433</v>
      </c>
      <c r="VSM948" s="3" t="s">
        <v>22</v>
      </c>
      <c r="VSN948" s="3" t="s">
        <v>23</v>
      </c>
      <c r="VSO948" s="2" t="s">
        <v>24</v>
      </c>
      <c r="VSP948" s="4">
        <v>0</v>
      </c>
      <c r="VSQ948" s="8">
        <f t="shared" ref="VSQ948" si="6867">IF(VSM948="Ionizador", 10, IF(VSM948="Mesa", 1000000000, IF(VSM948="Rack", 1000000000, IF(VSM948="Piso", 1000000000, IF(VSM948="Tapete", 1000000000, IF(VSM948="Carrito", 1000000000, IF(VSM948="Cautín", 10, 1)))))))</f>
        <v>1000000000</v>
      </c>
      <c r="VSR948" s="4" t="str">
        <f t="shared" ref="VSR948" si="6868">IF(VSM948="Ionizador", "Segundos", "Ohms")</f>
        <v>Ohms</v>
      </c>
      <c r="VSS948" s="6">
        <v>148000000</v>
      </c>
      <c r="VST948" s="6" t="str">
        <f t="shared" ref="VST948" si="6869">VSR948</f>
        <v>Ohms</v>
      </c>
      <c r="VSU948" s="2" t="str">
        <f t="shared" ref="VSU948" si="6870">IF(VSM948="Ionizador", "Plato de carga", IF(VSM948="Cautín", "PTG", "RTG"))</f>
        <v>RTG</v>
      </c>
      <c r="VSV948" s="7">
        <v>45992</v>
      </c>
      <c r="VSW948" s="7">
        <f t="shared" ref="VSW948" si="6871">IF(VSX948="Trimestral", VSV948+90, IF(VSX948="Semestral", VSV948+180, VSV948+365))</f>
        <v>46172</v>
      </c>
      <c r="VSX948" s="7" t="str">
        <f t="shared" ref="VSX948" si="6872">IF(VSM948="Ionizador", "Trimestral", IF(VSM948="Rack", "Semestral", IF(VSM948="Mesa", "Semestral", IF(VSM948="Tapete", "Semestral", IF(VSM948="Cautín", "Semestral", IF(VSM948="Silla", "Semestral", "Anual"))))))</f>
        <v>Semestral</v>
      </c>
      <c r="VSY948" s="2" t="str">
        <f t="shared" ref="VSY948" ca="1" si="6873">IF(VSW948&lt;TODAY(),"VENCIDO",IF(VSW948=TODAY(),"VENCE HOY",IF(VSW948&gt;TODAY(),"VIGENTE")))</f>
        <v>VIGENTE</v>
      </c>
      <c r="VSZ948" s="6" t="s">
        <v>25</v>
      </c>
      <c r="VTA948" s="23" t="s">
        <v>138</v>
      </c>
      <c r="VTB948" s="2" t="s">
        <v>433</v>
      </c>
      <c r="VTC948" s="3" t="s">
        <v>22</v>
      </c>
      <c r="VTD948" s="3" t="s">
        <v>23</v>
      </c>
      <c r="VTE948" s="2" t="s">
        <v>24</v>
      </c>
      <c r="VTF948" s="4">
        <v>0</v>
      </c>
      <c r="VTG948" s="8">
        <f t="shared" ref="VTG948" si="6874">IF(VTC948="Ionizador", 10, IF(VTC948="Mesa", 1000000000, IF(VTC948="Rack", 1000000000, IF(VTC948="Piso", 1000000000, IF(VTC948="Tapete", 1000000000, IF(VTC948="Carrito", 1000000000, IF(VTC948="Cautín", 10, 1)))))))</f>
        <v>1000000000</v>
      </c>
      <c r="VTH948" s="4" t="str">
        <f t="shared" ref="VTH948" si="6875">IF(VTC948="Ionizador", "Segundos", "Ohms")</f>
        <v>Ohms</v>
      </c>
      <c r="VTI948" s="6">
        <v>148000000</v>
      </c>
      <c r="VTJ948" s="6" t="str">
        <f t="shared" ref="VTJ948" si="6876">VTH948</f>
        <v>Ohms</v>
      </c>
      <c r="VTK948" s="2" t="str">
        <f t="shared" ref="VTK948" si="6877">IF(VTC948="Ionizador", "Plato de carga", IF(VTC948="Cautín", "PTG", "RTG"))</f>
        <v>RTG</v>
      </c>
      <c r="VTL948" s="7">
        <v>45992</v>
      </c>
      <c r="VTM948" s="7">
        <f t="shared" ref="VTM948" si="6878">IF(VTN948="Trimestral", VTL948+90, IF(VTN948="Semestral", VTL948+180, VTL948+365))</f>
        <v>46172</v>
      </c>
      <c r="VTN948" s="7" t="str">
        <f t="shared" ref="VTN948" si="6879">IF(VTC948="Ionizador", "Trimestral", IF(VTC948="Rack", "Semestral", IF(VTC948="Mesa", "Semestral", IF(VTC948="Tapete", "Semestral", IF(VTC948="Cautín", "Semestral", IF(VTC948="Silla", "Semestral", "Anual"))))))</f>
        <v>Semestral</v>
      </c>
      <c r="VTO948" s="2" t="str">
        <f t="shared" ref="VTO948" ca="1" si="6880">IF(VTM948&lt;TODAY(),"VENCIDO",IF(VTM948=TODAY(),"VENCE HOY",IF(VTM948&gt;TODAY(),"VIGENTE")))</f>
        <v>VIGENTE</v>
      </c>
      <c r="VTP948" s="6" t="s">
        <v>25</v>
      </c>
      <c r="VTQ948" s="23" t="s">
        <v>138</v>
      </c>
      <c r="VTR948" s="2" t="s">
        <v>433</v>
      </c>
      <c r="VTS948" s="3" t="s">
        <v>22</v>
      </c>
      <c r="VTT948" s="3" t="s">
        <v>23</v>
      </c>
      <c r="VTU948" s="2" t="s">
        <v>24</v>
      </c>
      <c r="VTV948" s="4">
        <v>0</v>
      </c>
      <c r="VTW948" s="8">
        <f t="shared" ref="VTW948" si="6881">IF(VTS948="Ionizador", 10, IF(VTS948="Mesa", 1000000000, IF(VTS948="Rack", 1000000000, IF(VTS948="Piso", 1000000000, IF(VTS948="Tapete", 1000000000, IF(VTS948="Carrito", 1000000000, IF(VTS948="Cautín", 10, 1)))))))</f>
        <v>1000000000</v>
      </c>
      <c r="VTX948" s="4" t="str">
        <f t="shared" ref="VTX948" si="6882">IF(VTS948="Ionizador", "Segundos", "Ohms")</f>
        <v>Ohms</v>
      </c>
      <c r="VTY948" s="6">
        <v>148000000</v>
      </c>
      <c r="VTZ948" s="6" t="str">
        <f t="shared" ref="VTZ948" si="6883">VTX948</f>
        <v>Ohms</v>
      </c>
      <c r="VUA948" s="2" t="str">
        <f t="shared" ref="VUA948" si="6884">IF(VTS948="Ionizador", "Plato de carga", IF(VTS948="Cautín", "PTG", "RTG"))</f>
        <v>RTG</v>
      </c>
      <c r="VUB948" s="7">
        <v>45992</v>
      </c>
      <c r="VUC948" s="7">
        <f t="shared" ref="VUC948" si="6885">IF(VUD948="Trimestral", VUB948+90, IF(VUD948="Semestral", VUB948+180, VUB948+365))</f>
        <v>46172</v>
      </c>
      <c r="VUD948" s="7" t="str">
        <f t="shared" ref="VUD948" si="6886">IF(VTS948="Ionizador", "Trimestral", IF(VTS948="Rack", "Semestral", IF(VTS948="Mesa", "Semestral", IF(VTS948="Tapete", "Semestral", IF(VTS948="Cautín", "Semestral", IF(VTS948="Silla", "Semestral", "Anual"))))))</f>
        <v>Semestral</v>
      </c>
      <c r="VUE948" s="2" t="str">
        <f t="shared" ref="VUE948" ca="1" si="6887">IF(VUC948&lt;TODAY(),"VENCIDO",IF(VUC948=TODAY(),"VENCE HOY",IF(VUC948&gt;TODAY(),"VIGENTE")))</f>
        <v>VIGENTE</v>
      </c>
      <c r="VUF948" s="6" t="s">
        <v>25</v>
      </c>
      <c r="VUG948" s="23" t="s">
        <v>138</v>
      </c>
      <c r="VUH948" s="2" t="s">
        <v>433</v>
      </c>
      <c r="VUI948" s="3" t="s">
        <v>22</v>
      </c>
      <c r="VUJ948" s="3" t="s">
        <v>23</v>
      </c>
      <c r="VUK948" s="2" t="s">
        <v>24</v>
      </c>
      <c r="VUL948" s="4">
        <v>0</v>
      </c>
      <c r="VUM948" s="8">
        <f t="shared" ref="VUM948" si="6888">IF(VUI948="Ionizador", 10, IF(VUI948="Mesa", 1000000000, IF(VUI948="Rack", 1000000000, IF(VUI948="Piso", 1000000000, IF(VUI948="Tapete", 1000000000, IF(VUI948="Carrito", 1000000000, IF(VUI948="Cautín", 10, 1)))))))</f>
        <v>1000000000</v>
      </c>
      <c r="VUN948" s="4" t="str">
        <f t="shared" ref="VUN948" si="6889">IF(VUI948="Ionizador", "Segundos", "Ohms")</f>
        <v>Ohms</v>
      </c>
      <c r="VUO948" s="6">
        <v>148000000</v>
      </c>
      <c r="VUP948" s="6" t="str">
        <f t="shared" ref="VUP948" si="6890">VUN948</f>
        <v>Ohms</v>
      </c>
      <c r="VUQ948" s="2" t="str">
        <f t="shared" ref="VUQ948" si="6891">IF(VUI948="Ionizador", "Plato de carga", IF(VUI948="Cautín", "PTG", "RTG"))</f>
        <v>RTG</v>
      </c>
      <c r="VUR948" s="7">
        <v>45992</v>
      </c>
      <c r="VUS948" s="7">
        <f t="shared" ref="VUS948" si="6892">IF(VUT948="Trimestral", VUR948+90, IF(VUT948="Semestral", VUR948+180, VUR948+365))</f>
        <v>46172</v>
      </c>
      <c r="VUT948" s="7" t="str">
        <f t="shared" ref="VUT948" si="6893">IF(VUI948="Ionizador", "Trimestral", IF(VUI948="Rack", "Semestral", IF(VUI948="Mesa", "Semestral", IF(VUI948="Tapete", "Semestral", IF(VUI948="Cautín", "Semestral", IF(VUI948="Silla", "Semestral", "Anual"))))))</f>
        <v>Semestral</v>
      </c>
      <c r="VUU948" s="2" t="str">
        <f t="shared" ref="VUU948" ca="1" si="6894">IF(VUS948&lt;TODAY(),"VENCIDO",IF(VUS948=TODAY(),"VENCE HOY",IF(VUS948&gt;TODAY(),"VIGENTE")))</f>
        <v>VIGENTE</v>
      </c>
      <c r="VUV948" s="6" t="s">
        <v>25</v>
      </c>
      <c r="VUW948" s="23" t="s">
        <v>138</v>
      </c>
      <c r="VUX948" s="2" t="s">
        <v>433</v>
      </c>
      <c r="VUY948" s="3" t="s">
        <v>22</v>
      </c>
      <c r="VUZ948" s="3" t="s">
        <v>23</v>
      </c>
      <c r="VVA948" s="2" t="s">
        <v>24</v>
      </c>
      <c r="VVB948" s="4">
        <v>0</v>
      </c>
      <c r="VVC948" s="8">
        <f t="shared" ref="VVC948" si="6895">IF(VUY948="Ionizador", 10, IF(VUY948="Mesa", 1000000000, IF(VUY948="Rack", 1000000000, IF(VUY948="Piso", 1000000000, IF(VUY948="Tapete", 1000000000, IF(VUY948="Carrito", 1000000000, IF(VUY948="Cautín", 10, 1)))))))</f>
        <v>1000000000</v>
      </c>
      <c r="VVD948" s="4" t="str">
        <f t="shared" ref="VVD948" si="6896">IF(VUY948="Ionizador", "Segundos", "Ohms")</f>
        <v>Ohms</v>
      </c>
      <c r="VVE948" s="6">
        <v>148000000</v>
      </c>
      <c r="VVF948" s="6" t="str">
        <f t="shared" ref="VVF948" si="6897">VVD948</f>
        <v>Ohms</v>
      </c>
      <c r="VVG948" s="2" t="str">
        <f t="shared" ref="VVG948" si="6898">IF(VUY948="Ionizador", "Plato de carga", IF(VUY948="Cautín", "PTG", "RTG"))</f>
        <v>RTG</v>
      </c>
      <c r="VVH948" s="7">
        <v>45992</v>
      </c>
      <c r="VVI948" s="7">
        <f t="shared" ref="VVI948" si="6899">IF(VVJ948="Trimestral", VVH948+90, IF(VVJ948="Semestral", VVH948+180, VVH948+365))</f>
        <v>46172</v>
      </c>
      <c r="VVJ948" s="7" t="str">
        <f t="shared" ref="VVJ948" si="6900">IF(VUY948="Ionizador", "Trimestral", IF(VUY948="Rack", "Semestral", IF(VUY948="Mesa", "Semestral", IF(VUY948="Tapete", "Semestral", IF(VUY948="Cautín", "Semestral", IF(VUY948="Silla", "Semestral", "Anual"))))))</f>
        <v>Semestral</v>
      </c>
      <c r="VVK948" s="2" t="str">
        <f t="shared" ref="VVK948" ca="1" si="6901">IF(VVI948&lt;TODAY(),"VENCIDO",IF(VVI948=TODAY(),"VENCE HOY",IF(VVI948&gt;TODAY(),"VIGENTE")))</f>
        <v>VIGENTE</v>
      </c>
      <c r="VVL948" s="6" t="s">
        <v>25</v>
      </c>
      <c r="VVM948" s="23" t="s">
        <v>138</v>
      </c>
      <c r="VVN948" s="2" t="s">
        <v>433</v>
      </c>
      <c r="VVO948" s="3" t="s">
        <v>22</v>
      </c>
      <c r="VVP948" s="3" t="s">
        <v>23</v>
      </c>
      <c r="VVQ948" s="2" t="s">
        <v>24</v>
      </c>
      <c r="VVR948" s="4">
        <v>0</v>
      </c>
      <c r="VVS948" s="8">
        <f t="shared" ref="VVS948" si="6902">IF(VVO948="Ionizador", 10, IF(VVO948="Mesa", 1000000000, IF(VVO948="Rack", 1000000000, IF(VVO948="Piso", 1000000000, IF(VVO948="Tapete", 1000000000, IF(VVO948="Carrito", 1000000000, IF(VVO948="Cautín", 10, 1)))))))</f>
        <v>1000000000</v>
      </c>
      <c r="VVT948" s="4" t="str">
        <f t="shared" ref="VVT948" si="6903">IF(VVO948="Ionizador", "Segundos", "Ohms")</f>
        <v>Ohms</v>
      </c>
      <c r="VVU948" s="6">
        <v>148000000</v>
      </c>
      <c r="VVV948" s="6" t="str">
        <f t="shared" ref="VVV948" si="6904">VVT948</f>
        <v>Ohms</v>
      </c>
      <c r="VVW948" s="2" t="str">
        <f t="shared" ref="VVW948" si="6905">IF(VVO948="Ionizador", "Plato de carga", IF(VVO948="Cautín", "PTG", "RTG"))</f>
        <v>RTG</v>
      </c>
      <c r="VVX948" s="7">
        <v>45992</v>
      </c>
      <c r="VVY948" s="7">
        <f t="shared" ref="VVY948" si="6906">IF(VVZ948="Trimestral", VVX948+90, IF(VVZ948="Semestral", VVX948+180, VVX948+365))</f>
        <v>46172</v>
      </c>
      <c r="VVZ948" s="7" t="str">
        <f t="shared" ref="VVZ948" si="6907">IF(VVO948="Ionizador", "Trimestral", IF(VVO948="Rack", "Semestral", IF(VVO948="Mesa", "Semestral", IF(VVO948="Tapete", "Semestral", IF(VVO948="Cautín", "Semestral", IF(VVO948="Silla", "Semestral", "Anual"))))))</f>
        <v>Semestral</v>
      </c>
      <c r="VWA948" s="2" t="str">
        <f t="shared" ref="VWA948" ca="1" si="6908">IF(VVY948&lt;TODAY(),"VENCIDO",IF(VVY948=TODAY(),"VENCE HOY",IF(VVY948&gt;TODAY(),"VIGENTE")))</f>
        <v>VIGENTE</v>
      </c>
      <c r="VWB948" s="6" t="s">
        <v>25</v>
      </c>
      <c r="VWC948" s="23" t="s">
        <v>138</v>
      </c>
      <c r="VWD948" s="2" t="s">
        <v>433</v>
      </c>
      <c r="VWE948" s="3" t="s">
        <v>22</v>
      </c>
      <c r="VWF948" s="3" t="s">
        <v>23</v>
      </c>
      <c r="VWG948" s="2" t="s">
        <v>24</v>
      </c>
      <c r="VWH948" s="4">
        <v>0</v>
      </c>
      <c r="VWI948" s="8">
        <f t="shared" ref="VWI948" si="6909">IF(VWE948="Ionizador", 10, IF(VWE948="Mesa", 1000000000, IF(VWE948="Rack", 1000000000, IF(VWE948="Piso", 1000000000, IF(VWE948="Tapete", 1000000000, IF(VWE948="Carrito", 1000000000, IF(VWE948="Cautín", 10, 1)))))))</f>
        <v>1000000000</v>
      </c>
      <c r="VWJ948" s="4" t="str">
        <f t="shared" ref="VWJ948" si="6910">IF(VWE948="Ionizador", "Segundos", "Ohms")</f>
        <v>Ohms</v>
      </c>
      <c r="VWK948" s="6">
        <v>148000000</v>
      </c>
      <c r="VWL948" s="6" t="str">
        <f t="shared" ref="VWL948" si="6911">VWJ948</f>
        <v>Ohms</v>
      </c>
      <c r="VWM948" s="2" t="str">
        <f t="shared" ref="VWM948" si="6912">IF(VWE948="Ionizador", "Plato de carga", IF(VWE948="Cautín", "PTG", "RTG"))</f>
        <v>RTG</v>
      </c>
      <c r="VWN948" s="7">
        <v>45992</v>
      </c>
      <c r="VWO948" s="7">
        <f t="shared" ref="VWO948" si="6913">IF(VWP948="Trimestral", VWN948+90, IF(VWP948="Semestral", VWN948+180, VWN948+365))</f>
        <v>46172</v>
      </c>
      <c r="VWP948" s="7" t="str">
        <f t="shared" ref="VWP948" si="6914">IF(VWE948="Ionizador", "Trimestral", IF(VWE948="Rack", "Semestral", IF(VWE948="Mesa", "Semestral", IF(VWE948="Tapete", "Semestral", IF(VWE948="Cautín", "Semestral", IF(VWE948="Silla", "Semestral", "Anual"))))))</f>
        <v>Semestral</v>
      </c>
      <c r="VWQ948" s="2" t="str">
        <f t="shared" ref="VWQ948" ca="1" si="6915">IF(VWO948&lt;TODAY(),"VENCIDO",IF(VWO948=TODAY(),"VENCE HOY",IF(VWO948&gt;TODAY(),"VIGENTE")))</f>
        <v>VIGENTE</v>
      </c>
      <c r="VWR948" s="6" t="s">
        <v>25</v>
      </c>
      <c r="VWS948" s="23" t="s">
        <v>138</v>
      </c>
      <c r="VWT948" s="2" t="s">
        <v>433</v>
      </c>
      <c r="VWU948" s="3" t="s">
        <v>22</v>
      </c>
      <c r="VWV948" s="3" t="s">
        <v>23</v>
      </c>
      <c r="VWW948" s="2" t="s">
        <v>24</v>
      </c>
      <c r="VWX948" s="4">
        <v>0</v>
      </c>
      <c r="VWY948" s="8">
        <f t="shared" ref="VWY948" si="6916">IF(VWU948="Ionizador", 10, IF(VWU948="Mesa", 1000000000, IF(VWU948="Rack", 1000000000, IF(VWU948="Piso", 1000000000, IF(VWU948="Tapete", 1000000000, IF(VWU948="Carrito", 1000000000, IF(VWU948="Cautín", 10, 1)))))))</f>
        <v>1000000000</v>
      </c>
      <c r="VWZ948" s="4" t="str">
        <f t="shared" ref="VWZ948" si="6917">IF(VWU948="Ionizador", "Segundos", "Ohms")</f>
        <v>Ohms</v>
      </c>
      <c r="VXA948" s="6">
        <v>148000000</v>
      </c>
      <c r="VXB948" s="6" t="str">
        <f t="shared" ref="VXB948" si="6918">VWZ948</f>
        <v>Ohms</v>
      </c>
      <c r="VXC948" s="2" t="str">
        <f t="shared" ref="VXC948" si="6919">IF(VWU948="Ionizador", "Plato de carga", IF(VWU948="Cautín", "PTG", "RTG"))</f>
        <v>RTG</v>
      </c>
      <c r="VXD948" s="7">
        <v>45992</v>
      </c>
      <c r="VXE948" s="7">
        <f t="shared" ref="VXE948" si="6920">IF(VXF948="Trimestral", VXD948+90, IF(VXF948="Semestral", VXD948+180, VXD948+365))</f>
        <v>46172</v>
      </c>
      <c r="VXF948" s="7" t="str">
        <f t="shared" ref="VXF948" si="6921">IF(VWU948="Ionizador", "Trimestral", IF(VWU948="Rack", "Semestral", IF(VWU948="Mesa", "Semestral", IF(VWU948="Tapete", "Semestral", IF(VWU948="Cautín", "Semestral", IF(VWU948="Silla", "Semestral", "Anual"))))))</f>
        <v>Semestral</v>
      </c>
      <c r="VXG948" s="2" t="str">
        <f t="shared" ref="VXG948" ca="1" si="6922">IF(VXE948&lt;TODAY(),"VENCIDO",IF(VXE948=TODAY(),"VENCE HOY",IF(VXE948&gt;TODAY(),"VIGENTE")))</f>
        <v>VIGENTE</v>
      </c>
      <c r="VXH948" s="6" t="s">
        <v>25</v>
      </c>
      <c r="VXI948" s="23" t="s">
        <v>138</v>
      </c>
      <c r="VXJ948" s="2" t="s">
        <v>433</v>
      </c>
      <c r="VXK948" s="3" t="s">
        <v>22</v>
      </c>
      <c r="VXL948" s="3" t="s">
        <v>23</v>
      </c>
      <c r="VXM948" s="2" t="s">
        <v>24</v>
      </c>
      <c r="VXN948" s="4">
        <v>0</v>
      </c>
      <c r="VXO948" s="8">
        <f t="shared" ref="VXO948" si="6923">IF(VXK948="Ionizador", 10, IF(VXK948="Mesa", 1000000000, IF(VXK948="Rack", 1000000000, IF(VXK948="Piso", 1000000000, IF(VXK948="Tapete", 1000000000, IF(VXK948="Carrito", 1000000000, IF(VXK948="Cautín", 10, 1)))))))</f>
        <v>1000000000</v>
      </c>
      <c r="VXP948" s="4" t="str">
        <f t="shared" ref="VXP948" si="6924">IF(VXK948="Ionizador", "Segundos", "Ohms")</f>
        <v>Ohms</v>
      </c>
      <c r="VXQ948" s="6">
        <v>148000000</v>
      </c>
      <c r="VXR948" s="6" t="str">
        <f t="shared" ref="VXR948" si="6925">VXP948</f>
        <v>Ohms</v>
      </c>
      <c r="VXS948" s="2" t="str">
        <f t="shared" ref="VXS948" si="6926">IF(VXK948="Ionizador", "Plato de carga", IF(VXK948="Cautín", "PTG", "RTG"))</f>
        <v>RTG</v>
      </c>
      <c r="VXT948" s="7">
        <v>45992</v>
      </c>
      <c r="VXU948" s="7">
        <f t="shared" ref="VXU948" si="6927">IF(VXV948="Trimestral", VXT948+90, IF(VXV948="Semestral", VXT948+180, VXT948+365))</f>
        <v>46172</v>
      </c>
      <c r="VXV948" s="7" t="str">
        <f t="shared" ref="VXV948" si="6928">IF(VXK948="Ionizador", "Trimestral", IF(VXK948="Rack", "Semestral", IF(VXK948="Mesa", "Semestral", IF(VXK948="Tapete", "Semestral", IF(VXK948="Cautín", "Semestral", IF(VXK948="Silla", "Semestral", "Anual"))))))</f>
        <v>Semestral</v>
      </c>
      <c r="VXW948" s="2" t="str">
        <f t="shared" ref="VXW948" ca="1" si="6929">IF(VXU948&lt;TODAY(),"VENCIDO",IF(VXU948=TODAY(),"VENCE HOY",IF(VXU948&gt;TODAY(),"VIGENTE")))</f>
        <v>VIGENTE</v>
      </c>
      <c r="VXX948" s="6" t="s">
        <v>25</v>
      </c>
      <c r="VXY948" s="23" t="s">
        <v>138</v>
      </c>
      <c r="VXZ948" s="2" t="s">
        <v>433</v>
      </c>
      <c r="VYA948" s="3" t="s">
        <v>22</v>
      </c>
      <c r="VYB948" s="3" t="s">
        <v>23</v>
      </c>
      <c r="VYC948" s="2" t="s">
        <v>24</v>
      </c>
      <c r="VYD948" s="4">
        <v>0</v>
      </c>
      <c r="VYE948" s="8">
        <f t="shared" ref="VYE948" si="6930">IF(VYA948="Ionizador", 10, IF(VYA948="Mesa", 1000000000, IF(VYA948="Rack", 1000000000, IF(VYA948="Piso", 1000000000, IF(VYA948="Tapete", 1000000000, IF(VYA948="Carrito", 1000000000, IF(VYA948="Cautín", 10, 1)))))))</f>
        <v>1000000000</v>
      </c>
      <c r="VYF948" s="4" t="str">
        <f t="shared" ref="VYF948" si="6931">IF(VYA948="Ionizador", "Segundos", "Ohms")</f>
        <v>Ohms</v>
      </c>
      <c r="VYG948" s="6">
        <v>148000000</v>
      </c>
      <c r="VYH948" s="6" t="str">
        <f t="shared" ref="VYH948" si="6932">VYF948</f>
        <v>Ohms</v>
      </c>
      <c r="VYI948" s="2" t="str">
        <f t="shared" ref="VYI948" si="6933">IF(VYA948="Ionizador", "Plato de carga", IF(VYA948="Cautín", "PTG", "RTG"))</f>
        <v>RTG</v>
      </c>
      <c r="VYJ948" s="7">
        <v>45992</v>
      </c>
      <c r="VYK948" s="7">
        <f t="shared" ref="VYK948" si="6934">IF(VYL948="Trimestral", VYJ948+90, IF(VYL948="Semestral", VYJ948+180, VYJ948+365))</f>
        <v>46172</v>
      </c>
      <c r="VYL948" s="7" t="str">
        <f t="shared" ref="VYL948" si="6935">IF(VYA948="Ionizador", "Trimestral", IF(VYA948="Rack", "Semestral", IF(VYA948="Mesa", "Semestral", IF(VYA948="Tapete", "Semestral", IF(VYA948="Cautín", "Semestral", IF(VYA948="Silla", "Semestral", "Anual"))))))</f>
        <v>Semestral</v>
      </c>
      <c r="VYM948" s="2" t="str">
        <f t="shared" ref="VYM948" ca="1" si="6936">IF(VYK948&lt;TODAY(),"VENCIDO",IF(VYK948=TODAY(),"VENCE HOY",IF(VYK948&gt;TODAY(),"VIGENTE")))</f>
        <v>VIGENTE</v>
      </c>
      <c r="VYN948" s="6" t="s">
        <v>25</v>
      </c>
      <c r="VYO948" s="23" t="s">
        <v>138</v>
      </c>
      <c r="VYP948" s="2" t="s">
        <v>433</v>
      </c>
      <c r="VYQ948" s="3" t="s">
        <v>22</v>
      </c>
      <c r="VYR948" s="3" t="s">
        <v>23</v>
      </c>
      <c r="VYS948" s="2" t="s">
        <v>24</v>
      </c>
      <c r="VYT948" s="4">
        <v>0</v>
      </c>
      <c r="VYU948" s="8">
        <f t="shared" ref="VYU948" si="6937">IF(VYQ948="Ionizador", 10, IF(VYQ948="Mesa", 1000000000, IF(VYQ948="Rack", 1000000000, IF(VYQ948="Piso", 1000000000, IF(VYQ948="Tapete", 1000000000, IF(VYQ948="Carrito", 1000000000, IF(VYQ948="Cautín", 10, 1)))))))</f>
        <v>1000000000</v>
      </c>
      <c r="VYV948" s="4" t="str">
        <f t="shared" ref="VYV948" si="6938">IF(VYQ948="Ionizador", "Segundos", "Ohms")</f>
        <v>Ohms</v>
      </c>
      <c r="VYW948" s="6">
        <v>148000000</v>
      </c>
      <c r="VYX948" s="6" t="str">
        <f t="shared" ref="VYX948" si="6939">VYV948</f>
        <v>Ohms</v>
      </c>
      <c r="VYY948" s="2" t="str">
        <f t="shared" ref="VYY948" si="6940">IF(VYQ948="Ionizador", "Plato de carga", IF(VYQ948="Cautín", "PTG", "RTG"))</f>
        <v>RTG</v>
      </c>
      <c r="VYZ948" s="7">
        <v>45992</v>
      </c>
      <c r="VZA948" s="7">
        <f t="shared" ref="VZA948" si="6941">IF(VZB948="Trimestral", VYZ948+90, IF(VZB948="Semestral", VYZ948+180, VYZ948+365))</f>
        <v>46172</v>
      </c>
      <c r="VZB948" s="7" t="str">
        <f t="shared" ref="VZB948" si="6942">IF(VYQ948="Ionizador", "Trimestral", IF(VYQ948="Rack", "Semestral", IF(VYQ948="Mesa", "Semestral", IF(VYQ948="Tapete", "Semestral", IF(VYQ948="Cautín", "Semestral", IF(VYQ948="Silla", "Semestral", "Anual"))))))</f>
        <v>Semestral</v>
      </c>
      <c r="VZC948" s="2" t="str">
        <f t="shared" ref="VZC948" ca="1" si="6943">IF(VZA948&lt;TODAY(),"VENCIDO",IF(VZA948=TODAY(),"VENCE HOY",IF(VZA948&gt;TODAY(),"VIGENTE")))</f>
        <v>VIGENTE</v>
      </c>
      <c r="VZD948" s="6" t="s">
        <v>25</v>
      </c>
      <c r="VZE948" s="23" t="s">
        <v>138</v>
      </c>
      <c r="VZF948" s="2" t="s">
        <v>433</v>
      </c>
      <c r="VZG948" s="3" t="s">
        <v>22</v>
      </c>
      <c r="VZH948" s="3" t="s">
        <v>23</v>
      </c>
      <c r="VZI948" s="2" t="s">
        <v>24</v>
      </c>
      <c r="VZJ948" s="4">
        <v>0</v>
      </c>
      <c r="VZK948" s="8">
        <f t="shared" ref="VZK948" si="6944">IF(VZG948="Ionizador", 10, IF(VZG948="Mesa", 1000000000, IF(VZG948="Rack", 1000000000, IF(VZG948="Piso", 1000000000, IF(VZG948="Tapete", 1000000000, IF(VZG948="Carrito", 1000000000, IF(VZG948="Cautín", 10, 1)))))))</f>
        <v>1000000000</v>
      </c>
      <c r="VZL948" s="4" t="str">
        <f t="shared" ref="VZL948" si="6945">IF(VZG948="Ionizador", "Segundos", "Ohms")</f>
        <v>Ohms</v>
      </c>
      <c r="VZM948" s="6">
        <v>148000000</v>
      </c>
      <c r="VZN948" s="6" t="str">
        <f t="shared" ref="VZN948" si="6946">VZL948</f>
        <v>Ohms</v>
      </c>
      <c r="VZO948" s="2" t="str">
        <f t="shared" ref="VZO948" si="6947">IF(VZG948="Ionizador", "Plato de carga", IF(VZG948="Cautín", "PTG", "RTG"))</f>
        <v>RTG</v>
      </c>
      <c r="VZP948" s="7">
        <v>45992</v>
      </c>
      <c r="VZQ948" s="7">
        <f t="shared" ref="VZQ948" si="6948">IF(VZR948="Trimestral", VZP948+90, IF(VZR948="Semestral", VZP948+180, VZP948+365))</f>
        <v>46172</v>
      </c>
      <c r="VZR948" s="7" t="str">
        <f t="shared" ref="VZR948" si="6949">IF(VZG948="Ionizador", "Trimestral", IF(VZG948="Rack", "Semestral", IF(VZG948="Mesa", "Semestral", IF(VZG948="Tapete", "Semestral", IF(VZG948="Cautín", "Semestral", IF(VZG948="Silla", "Semestral", "Anual"))))))</f>
        <v>Semestral</v>
      </c>
      <c r="VZS948" s="2" t="str">
        <f t="shared" ref="VZS948" ca="1" si="6950">IF(VZQ948&lt;TODAY(),"VENCIDO",IF(VZQ948=TODAY(),"VENCE HOY",IF(VZQ948&gt;TODAY(),"VIGENTE")))</f>
        <v>VIGENTE</v>
      </c>
      <c r="VZT948" s="6" t="s">
        <v>25</v>
      </c>
      <c r="VZU948" s="23" t="s">
        <v>138</v>
      </c>
      <c r="VZV948" s="2" t="s">
        <v>433</v>
      </c>
      <c r="VZW948" s="3" t="s">
        <v>22</v>
      </c>
      <c r="VZX948" s="3" t="s">
        <v>23</v>
      </c>
      <c r="VZY948" s="2" t="s">
        <v>24</v>
      </c>
      <c r="VZZ948" s="4">
        <v>0</v>
      </c>
      <c r="WAA948" s="8">
        <f t="shared" ref="WAA948" si="6951">IF(VZW948="Ionizador", 10, IF(VZW948="Mesa", 1000000000, IF(VZW948="Rack", 1000000000, IF(VZW948="Piso", 1000000000, IF(VZW948="Tapete", 1000000000, IF(VZW948="Carrito", 1000000000, IF(VZW948="Cautín", 10, 1)))))))</f>
        <v>1000000000</v>
      </c>
      <c r="WAB948" s="4" t="str">
        <f t="shared" ref="WAB948" si="6952">IF(VZW948="Ionizador", "Segundos", "Ohms")</f>
        <v>Ohms</v>
      </c>
      <c r="WAC948" s="6">
        <v>148000000</v>
      </c>
      <c r="WAD948" s="6" t="str">
        <f t="shared" ref="WAD948" si="6953">WAB948</f>
        <v>Ohms</v>
      </c>
      <c r="WAE948" s="2" t="str">
        <f t="shared" ref="WAE948" si="6954">IF(VZW948="Ionizador", "Plato de carga", IF(VZW948="Cautín", "PTG", "RTG"))</f>
        <v>RTG</v>
      </c>
      <c r="WAF948" s="7">
        <v>45992</v>
      </c>
      <c r="WAG948" s="7">
        <f t="shared" ref="WAG948" si="6955">IF(WAH948="Trimestral", WAF948+90, IF(WAH948="Semestral", WAF948+180, WAF948+365))</f>
        <v>46172</v>
      </c>
      <c r="WAH948" s="7" t="str">
        <f t="shared" ref="WAH948" si="6956">IF(VZW948="Ionizador", "Trimestral", IF(VZW948="Rack", "Semestral", IF(VZW948="Mesa", "Semestral", IF(VZW948="Tapete", "Semestral", IF(VZW948="Cautín", "Semestral", IF(VZW948="Silla", "Semestral", "Anual"))))))</f>
        <v>Semestral</v>
      </c>
      <c r="WAI948" s="2" t="str">
        <f t="shared" ref="WAI948" ca="1" si="6957">IF(WAG948&lt;TODAY(),"VENCIDO",IF(WAG948=TODAY(),"VENCE HOY",IF(WAG948&gt;TODAY(),"VIGENTE")))</f>
        <v>VIGENTE</v>
      </c>
      <c r="WAJ948" s="6" t="s">
        <v>25</v>
      </c>
      <c r="WAK948" s="23" t="s">
        <v>138</v>
      </c>
      <c r="WAL948" s="2" t="s">
        <v>433</v>
      </c>
      <c r="WAM948" s="3" t="s">
        <v>22</v>
      </c>
      <c r="WAN948" s="3" t="s">
        <v>23</v>
      </c>
      <c r="WAO948" s="2" t="s">
        <v>24</v>
      </c>
      <c r="WAP948" s="4">
        <v>0</v>
      </c>
      <c r="WAQ948" s="8">
        <f t="shared" ref="WAQ948" si="6958">IF(WAM948="Ionizador", 10, IF(WAM948="Mesa", 1000000000, IF(WAM948="Rack", 1000000000, IF(WAM948="Piso", 1000000000, IF(WAM948="Tapete", 1000000000, IF(WAM948="Carrito", 1000000000, IF(WAM948="Cautín", 10, 1)))))))</f>
        <v>1000000000</v>
      </c>
      <c r="WAR948" s="4" t="str">
        <f t="shared" ref="WAR948" si="6959">IF(WAM948="Ionizador", "Segundos", "Ohms")</f>
        <v>Ohms</v>
      </c>
      <c r="WAS948" s="6">
        <v>148000000</v>
      </c>
      <c r="WAT948" s="6" t="str">
        <f t="shared" ref="WAT948" si="6960">WAR948</f>
        <v>Ohms</v>
      </c>
      <c r="WAU948" s="2" t="str">
        <f t="shared" ref="WAU948" si="6961">IF(WAM948="Ionizador", "Plato de carga", IF(WAM948="Cautín", "PTG", "RTG"))</f>
        <v>RTG</v>
      </c>
      <c r="WAV948" s="7">
        <v>45992</v>
      </c>
      <c r="WAW948" s="7">
        <f t="shared" ref="WAW948" si="6962">IF(WAX948="Trimestral", WAV948+90, IF(WAX948="Semestral", WAV948+180, WAV948+365))</f>
        <v>46172</v>
      </c>
      <c r="WAX948" s="7" t="str">
        <f t="shared" ref="WAX948" si="6963">IF(WAM948="Ionizador", "Trimestral", IF(WAM948="Rack", "Semestral", IF(WAM948="Mesa", "Semestral", IF(WAM948="Tapete", "Semestral", IF(WAM948="Cautín", "Semestral", IF(WAM948="Silla", "Semestral", "Anual"))))))</f>
        <v>Semestral</v>
      </c>
      <c r="WAY948" s="2" t="str">
        <f t="shared" ref="WAY948" ca="1" si="6964">IF(WAW948&lt;TODAY(),"VENCIDO",IF(WAW948=TODAY(),"VENCE HOY",IF(WAW948&gt;TODAY(),"VIGENTE")))</f>
        <v>VIGENTE</v>
      </c>
      <c r="WAZ948" s="6" t="s">
        <v>25</v>
      </c>
      <c r="WBA948" s="23" t="s">
        <v>138</v>
      </c>
      <c r="WBB948" s="2" t="s">
        <v>433</v>
      </c>
      <c r="WBC948" s="3" t="s">
        <v>22</v>
      </c>
      <c r="WBD948" s="3" t="s">
        <v>23</v>
      </c>
      <c r="WBE948" s="2" t="s">
        <v>24</v>
      </c>
      <c r="WBF948" s="4">
        <v>0</v>
      </c>
      <c r="WBG948" s="8">
        <f t="shared" ref="WBG948" si="6965">IF(WBC948="Ionizador", 10, IF(WBC948="Mesa", 1000000000, IF(WBC948="Rack", 1000000000, IF(WBC948="Piso", 1000000000, IF(WBC948="Tapete", 1000000000, IF(WBC948="Carrito", 1000000000, IF(WBC948="Cautín", 10, 1)))))))</f>
        <v>1000000000</v>
      </c>
      <c r="WBH948" s="4" t="str">
        <f t="shared" ref="WBH948" si="6966">IF(WBC948="Ionizador", "Segundos", "Ohms")</f>
        <v>Ohms</v>
      </c>
      <c r="WBI948" s="6">
        <v>148000000</v>
      </c>
      <c r="WBJ948" s="6" t="str">
        <f t="shared" ref="WBJ948" si="6967">WBH948</f>
        <v>Ohms</v>
      </c>
      <c r="WBK948" s="2" t="str">
        <f t="shared" ref="WBK948" si="6968">IF(WBC948="Ionizador", "Plato de carga", IF(WBC948="Cautín", "PTG", "RTG"))</f>
        <v>RTG</v>
      </c>
      <c r="WBL948" s="7">
        <v>45992</v>
      </c>
      <c r="WBM948" s="7">
        <f t="shared" ref="WBM948" si="6969">IF(WBN948="Trimestral", WBL948+90, IF(WBN948="Semestral", WBL948+180, WBL948+365))</f>
        <v>46172</v>
      </c>
      <c r="WBN948" s="7" t="str">
        <f t="shared" ref="WBN948" si="6970">IF(WBC948="Ionizador", "Trimestral", IF(WBC948="Rack", "Semestral", IF(WBC948="Mesa", "Semestral", IF(WBC948="Tapete", "Semestral", IF(WBC948="Cautín", "Semestral", IF(WBC948="Silla", "Semestral", "Anual"))))))</f>
        <v>Semestral</v>
      </c>
      <c r="WBO948" s="2" t="str">
        <f t="shared" ref="WBO948" ca="1" si="6971">IF(WBM948&lt;TODAY(),"VENCIDO",IF(WBM948=TODAY(),"VENCE HOY",IF(WBM948&gt;TODAY(),"VIGENTE")))</f>
        <v>VIGENTE</v>
      </c>
      <c r="WBP948" s="6" t="s">
        <v>25</v>
      </c>
      <c r="WBQ948" s="23" t="s">
        <v>138</v>
      </c>
      <c r="WBR948" s="2" t="s">
        <v>433</v>
      </c>
      <c r="WBS948" s="3" t="s">
        <v>22</v>
      </c>
      <c r="WBT948" s="3" t="s">
        <v>23</v>
      </c>
      <c r="WBU948" s="2" t="s">
        <v>24</v>
      </c>
      <c r="WBV948" s="4">
        <v>0</v>
      </c>
      <c r="WBW948" s="8">
        <f t="shared" ref="WBW948" si="6972">IF(WBS948="Ionizador", 10, IF(WBS948="Mesa", 1000000000, IF(WBS948="Rack", 1000000000, IF(WBS948="Piso", 1000000000, IF(WBS948="Tapete", 1000000000, IF(WBS948="Carrito", 1000000000, IF(WBS948="Cautín", 10, 1)))))))</f>
        <v>1000000000</v>
      </c>
      <c r="WBX948" s="4" t="str">
        <f t="shared" ref="WBX948" si="6973">IF(WBS948="Ionizador", "Segundos", "Ohms")</f>
        <v>Ohms</v>
      </c>
      <c r="WBY948" s="6">
        <v>148000000</v>
      </c>
      <c r="WBZ948" s="6" t="str">
        <f t="shared" ref="WBZ948" si="6974">WBX948</f>
        <v>Ohms</v>
      </c>
      <c r="WCA948" s="2" t="str">
        <f t="shared" ref="WCA948" si="6975">IF(WBS948="Ionizador", "Plato de carga", IF(WBS948="Cautín", "PTG", "RTG"))</f>
        <v>RTG</v>
      </c>
      <c r="WCB948" s="7">
        <v>45992</v>
      </c>
      <c r="WCC948" s="7">
        <f t="shared" ref="WCC948" si="6976">IF(WCD948="Trimestral", WCB948+90, IF(WCD948="Semestral", WCB948+180, WCB948+365))</f>
        <v>46172</v>
      </c>
      <c r="WCD948" s="7" t="str">
        <f t="shared" ref="WCD948" si="6977">IF(WBS948="Ionizador", "Trimestral", IF(WBS948="Rack", "Semestral", IF(WBS948="Mesa", "Semestral", IF(WBS948="Tapete", "Semestral", IF(WBS948="Cautín", "Semestral", IF(WBS948="Silla", "Semestral", "Anual"))))))</f>
        <v>Semestral</v>
      </c>
      <c r="WCE948" s="2" t="str">
        <f t="shared" ref="WCE948" ca="1" si="6978">IF(WCC948&lt;TODAY(),"VENCIDO",IF(WCC948=TODAY(),"VENCE HOY",IF(WCC948&gt;TODAY(),"VIGENTE")))</f>
        <v>VIGENTE</v>
      </c>
      <c r="WCF948" s="6" t="s">
        <v>25</v>
      </c>
      <c r="WCG948" s="23" t="s">
        <v>138</v>
      </c>
      <c r="WCH948" s="2" t="s">
        <v>433</v>
      </c>
      <c r="WCI948" s="3" t="s">
        <v>22</v>
      </c>
      <c r="WCJ948" s="3" t="s">
        <v>23</v>
      </c>
      <c r="WCK948" s="2" t="s">
        <v>24</v>
      </c>
      <c r="WCL948" s="4">
        <v>0</v>
      </c>
      <c r="WCM948" s="8">
        <f t="shared" ref="WCM948" si="6979">IF(WCI948="Ionizador", 10, IF(WCI948="Mesa", 1000000000, IF(WCI948="Rack", 1000000000, IF(WCI948="Piso", 1000000000, IF(WCI948="Tapete", 1000000000, IF(WCI948="Carrito", 1000000000, IF(WCI948="Cautín", 10, 1)))))))</f>
        <v>1000000000</v>
      </c>
      <c r="WCN948" s="4" t="str">
        <f t="shared" ref="WCN948" si="6980">IF(WCI948="Ionizador", "Segundos", "Ohms")</f>
        <v>Ohms</v>
      </c>
      <c r="WCO948" s="6">
        <v>148000000</v>
      </c>
      <c r="WCP948" s="6" t="str">
        <f t="shared" ref="WCP948" si="6981">WCN948</f>
        <v>Ohms</v>
      </c>
      <c r="WCQ948" s="2" t="str">
        <f t="shared" ref="WCQ948" si="6982">IF(WCI948="Ionizador", "Plato de carga", IF(WCI948="Cautín", "PTG", "RTG"))</f>
        <v>RTG</v>
      </c>
      <c r="WCR948" s="7">
        <v>45992</v>
      </c>
      <c r="WCS948" s="7">
        <f t="shared" ref="WCS948" si="6983">IF(WCT948="Trimestral", WCR948+90, IF(WCT948="Semestral", WCR948+180, WCR948+365))</f>
        <v>46172</v>
      </c>
      <c r="WCT948" s="7" t="str">
        <f t="shared" ref="WCT948" si="6984">IF(WCI948="Ionizador", "Trimestral", IF(WCI948="Rack", "Semestral", IF(WCI948="Mesa", "Semestral", IF(WCI948="Tapete", "Semestral", IF(WCI948="Cautín", "Semestral", IF(WCI948="Silla", "Semestral", "Anual"))))))</f>
        <v>Semestral</v>
      </c>
      <c r="WCU948" s="2" t="str">
        <f t="shared" ref="WCU948" ca="1" si="6985">IF(WCS948&lt;TODAY(),"VENCIDO",IF(WCS948=TODAY(),"VENCE HOY",IF(WCS948&gt;TODAY(),"VIGENTE")))</f>
        <v>VIGENTE</v>
      </c>
      <c r="WCV948" s="6" t="s">
        <v>25</v>
      </c>
      <c r="WCW948" s="23" t="s">
        <v>138</v>
      </c>
      <c r="WCX948" s="2" t="s">
        <v>433</v>
      </c>
      <c r="WCY948" s="3" t="s">
        <v>22</v>
      </c>
      <c r="WCZ948" s="3" t="s">
        <v>23</v>
      </c>
      <c r="WDA948" s="2" t="s">
        <v>24</v>
      </c>
      <c r="WDB948" s="4">
        <v>0</v>
      </c>
      <c r="WDC948" s="8">
        <f t="shared" ref="WDC948" si="6986">IF(WCY948="Ionizador", 10, IF(WCY948="Mesa", 1000000000, IF(WCY948="Rack", 1000000000, IF(WCY948="Piso", 1000000000, IF(WCY948="Tapete", 1000000000, IF(WCY948="Carrito", 1000000000, IF(WCY948="Cautín", 10, 1)))))))</f>
        <v>1000000000</v>
      </c>
      <c r="WDD948" s="4" t="str">
        <f t="shared" ref="WDD948" si="6987">IF(WCY948="Ionizador", "Segundos", "Ohms")</f>
        <v>Ohms</v>
      </c>
      <c r="WDE948" s="6">
        <v>148000000</v>
      </c>
      <c r="WDF948" s="6" t="str">
        <f t="shared" ref="WDF948" si="6988">WDD948</f>
        <v>Ohms</v>
      </c>
      <c r="WDG948" s="2" t="str">
        <f t="shared" ref="WDG948" si="6989">IF(WCY948="Ionizador", "Plato de carga", IF(WCY948="Cautín", "PTG", "RTG"))</f>
        <v>RTG</v>
      </c>
      <c r="WDH948" s="7">
        <v>45992</v>
      </c>
      <c r="WDI948" s="7">
        <f t="shared" ref="WDI948" si="6990">IF(WDJ948="Trimestral", WDH948+90, IF(WDJ948="Semestral", WDH948+180, WDH948+365))</f>
        <v>46172</v>
      </c>
      <c r="WDJ948" s="7" t="str">
        <f t="shared" ref="WDJ948" si="6991">IF(WCY948="Ionizador", "Trimestral", IF(WCY948="Rack", "Semestral", IF(WCY948="Mesa", "Semestral", IF(WCY948="Tapete", "Semestral", IF(WCY948="Cautín", "Semestral", IF(WCY948="Silla", "Semestral", "Anual"))))))</f>
        <v>Semestral</v>
      </c>
      <c r="WDK948" s="2" t="str">
        <f t="shared" ref="WDK948" ca="1" si="6992">IF(WDI948&lt;TODAY(),"VENCIDO",IF(WDI948=TODAY(),"VENCE HOY",IF(WDI948&gt;TODAY(),"VIGENTE")))</f>
        <v>VIGENTE</v>
      </c>
      <c r="WDL948" s="6" t="s">
        <v>25</v>
      </c>
      <c r="WDM948" s="23" t="s">
        <v>138</v>
      </c>
      <c r="WDN948" s="2" t="s">
        <v>433</v>
      </c>
      <c r="WDO948" s="3" t="s">
        <v>22</v>
      </c>
      <c r="WDP948" s="3" t="s">
        <v>23</v>
      </c>
      <c r="WDQ948" s="2" t="s">
        <v>24</v>
      </c>
      <c r="WDR948" s="4">
        <v>0</v>
      </c>
      <c r="WDS948" s="8">
        <f t="shared" ref="WDS948" si="6993">IF(WDO948="Ionizador", 10, IF(WDO948="Mesa", 1000000000, IF(WDO948="Rack", 1000000000, IF(WDO948="Piso", 1000000000, IF(WDO948="Tapete", 1000000000, IF(WDO948="Carrito", 1000000000, IF(WDO948="Cautín", 10, 1)))))))</f>
        <v>1000000000</v>
      </c>
      <c r="WDT948" s="4" t="str">
        <f t="shared" ref="WDT948" si="6994">IF(WDO948="Ionizador", "Segundos", "Ohms")</f>
        <v>Ohms</v>
      </c>
      <c r="WDU948" s="6">
        <v>148000000</v>
      </c>
      <c r="WDV948" s="6" t="str">
        <f t="shared" ref="WDV948" si="6995">WDT948</f>
        <v>Ohms</v>
      </c>
      <c r="WDW948" s="2" t="str">
        <f t="shared" ref="WDW948" si="6996">IF(WDO948="Ionizador", "Plato de carga", IF(WDO948="Cautín", "PTG", "RTG"))</f>
        <v>RTG</v>
      </c>
      <c r="WDX948" s="7">
        <v>45992</v>
      </c>
      <c r="WDY948" s="7">
        <f t="shared" ref="WDY948" si="6997">IF(WDZ948="Trimestral", WDX948+90, IF(WDZ948="Semestral", WDX948+180, WDX948+365))</f>
        <v>46172</v>
      </c>
      <c r="WDZ948" s="7" t="str">
        <f t="shared" ref="WDZ948" si="6998">IF(WDO948="Ionizador", "Trimestral", IF(WDO948="Rack", "Semestral", IF(WDO948="Mesa", "Semestral", IF(WDO948="Tapete", "Semestral", IF(WDO948="Cautín", "Semestral", IF(WDO948="Silla", "Semestral", "Anual"))))))</f>
        <v>Semestral</v>
      </c>
      <c r="WEA948" s="2" t="str">
        <f t="shared" ref="WEA948" ca="1" si="6999">IF(WDY948&lt;TODAY(),"VENCIDO",IF(WDY948=TODAY(),"VENCE HOY",IF(WDY948&gt;TODAY(),"VIGENTE")))</f>
        <v>VIGENTE</v>
      </c>
      <c r="WEB948" s="6" t="s">
        <v>25</v>
      </c>
      <c r="WEC948" s="23" t="s">
        <v>138</v>
      </c>
      <c r="WED948" s="2" t="s">
        <v>433</v>
      </c>
      <c r="WEE948" s="3" t="s">
        <v>22</v>
      </c>
      <c r="WEF948" s="3" t="s">
        <v>23</v>
      </c>
      <c r="WEG948" s="2" t="s">
        <v>24</v>
      </c>
      <c r="WEH948" s="4">
        <v>0</v>
      </c>
      <c r="WEI948" s="8">
        <f t="shared" ref="WEI948" si="7000">IF(WEE948="Ionizador", 10, IF(WEE948="Mesa", 1000000000, IF(WEE948="Rack", 1000000000, IF(WEE948="Piso", 1000000000, IF(WEE948="Tapete", 1000000000, IF(WEE948="Carrito", 1000000000, IF(WEE948="Cautín", 10, 1)))))))</f>
        <v>1000000000</v>
      </c>
      <c r="WEJ948" s="4" t="str">
        <f t="shared" ref="WEJ948" si="7001">IF(WEE948="Ionizador", "Segundos", "Ohms")</f>
        <v>Ohms</v>
      </c>
      <c r="WEK948" s="6">
        <v>148000000</v>
      </c>
      <c r="WEL948" s="6" t="str">
        <f t="shared" ref="WEL948" si="7002">WEJ948</f>
        <v>Ohms</v>
      </c>
      <c r="WEM948" s="2" t="str">
        <f t="shared" ref="WEM948" si="7003">IF(WEE948="Ionizador", "Plato de carga", IF(WEE948="Cautín", "PTG", "RTG"))</f>
        <v>RTG</v>
      </c>
      <c r="WEN948" s="7">
        <v>45992</v>
      </c>
      <c r="WEO948" s="7">
        <f t="shared" ref="WEO948" si="7004">IF(WEP948="Trimestral", WEN948+90, IF(WEP948="Semestral", WEN948+180, WEN948+365))</f>
        <v>46172</v>
      </c>
      <c r="WEP948" s="7" t="str">
        <f t="shared" ref="WEP948" si="7005">IF(WEE948="Ionizador", "Trimestral", IF(WEE948="Rack", "Semestral", IF(WEE948="Mesa", "Semestral", IF(WEE948="Tapete", "Semestral", IF(WEE948="Cautín", "Semestral", IF(WEE948="Silla", "Semestral", "Anual"))))))</f>
        <v>Semestral</v>
      </c>
      <c r="WEQ948" s="2" t="str">
        <f t="shared" ref="WEQ948" ca="1" si="7006">IF(WEO948&lt;TODAY(),"VENCIDO",IF(WEO948=TODAY(),"VENCE HOY",IF(WEO948&gt;TODAY(),"VIGENTE")))</f>
        <v>VIGENTE</v>
      </c>
      <c r="WER948" s="6" t="s">
        <v>25</v>
      </c>
      <c r="WES948" s="23" t="s">
        <v>138</v>
      </c>
      <c r="WET948" s="2" t="s">
        <v>433</v>
      </c>
      <c r="WEU948" s="3" t="s">
        <v>22</v>
      </c>
      <c r="WEV948" s="3" t="s">
        <v>23</v>
      </c>
      <c r="WEW948" s="2" t="s">
        <v>24</v>
      </c>
      <c r="WEX948" s="4">
        <v>0</v>
      </c>
      <c r="WEY948" s="8">
        <f t="shared" ref="WEY948" si="7007">IF(WEU948="Ionizador", 10, IF(WEU948="Mesa", 1000000000, IF(WEU948="Rack", 1000000000, IF(WEU948="Piso", 1000000000, IF(WEU948="Tapete", 1000000000, IF(WEU948="Carrito", 1000000000, IF(WEU948="Cautín", 10, 1)))))))</f>
        <v>1000000000</v>
      </c>
      <c r="WEZ948" s="4" t="str">
        <f t="shared" ref="WEZ948" si="7008">IF(WEU948="Ionizador", "Segundos", "Ohms")</f>
        <v>Ohms</v>
      </c>
      <c r="WFA948" s="6">
        <v>148000000</v>
      </c>
      <c r="WFB948" s="6" t="str">
        <f t="shared" ref="WFB948" si="7009">WEZ948</f>
        <v>Ohms</v>
      </c>
      <c r="WFC948" s="2" t="str">
        <f t="shared" ref="WFC948" si="7010">IF(WEU948="Ionizador", "Plato de carga", IF(WEU948="Cautín", "PTG", "RTG"))</f>
        <v>RTG</v>
      </c>
      <c r="WFD948" s="7">
        <v>45992</v>
      </c>
      <c r="WFE948" s="7">
        <f t="shared" ref="WFE948" si="7011">IF(WFF948="Trimestral", WFD948+90, IF(WFF948="Semestral", WFD948+180, WFD948+365))</f>
        <v>46172</v>
      </c>
      <c r="WFF948" s="7" t="str">
        <f t="shared" ref="WFF948" si="7012">IF(WEU948="Ionizador", "Trimestral", IF(WEU948="Rack", "Semestral", IF(WEU948="Mesa", "Semestral", IF(WEU948="Tapete", "Semestral", IF(WEU948="Cautín", "Semestral", IF(WEU948="Silla", "Semestral", "Anual"))))))</f>
        <v>Semestral</v>
      </c>
      <c r="WFG948" s="2" t="str">
        <f t="shared" ref="WFG948" ca="1" si="7013">IF(WFE948&lt;TODAY(),"VENCIDO",IF(WFE948=TODAY(),"VENCE HOY",IF(WFE948&gt;TODAY(),"VIGENTE")))</f>
        <v>VIGENTE</v>
      </c>
      <c r="WFH948" s="6" t="s">
        <v>25</v>
      </c>
      <c r="WFI948" s="23" t="s">
        <v>138</v>
      </c>
      <c r="WFJ948" s="2" t="s">
        <v>433</v>
      </c>
      <c r="WFK948" s="3" t="s">
        <v>22</v>
      </c>
      <c r="WFL948" s="3" t="s">
        <v>23</v>
      </c>
      <c r="WFM948" s="2" t="s">
        <v>24</v>
      </c>
      <c r="WFN948" s="4">
        <v>0</v>
      </c>
      <c r="WFO948" s="8">
        <f t="shared" ref="WFO948" si="7014">IF(WFK948="Ionizador", 10, IF(WFK948="Mesa", 1000000000, IF(WFK948="Rack", 1000000000, IF(WFK948="Piso", 1000000000, IF(WFK948="Tapete", 1000000000, IF(WFK948="Carrito", 1000000000, IF(WFK948="Cautín", 10, 1)))))))</f>
        <v>1000000000</v>
      </c>
      <c r="WFP948" s="4" t="str">
        <f t="shared" ref="WFP948" si="7015">IF(WFK948="Ionizador", "Segundos", "Ohms")</f>
        <v>Ohms</v>
      </c>
      <c r="WFQ948" s="6">
        <v>148000000</v>
      </c>
      <c r="WFR948" s="6" t="str">
        <f t="shared" ref="WFR948" si="7016">WFP948</f>
        <v>Ohms</v>
      </c>
      <c r="WFS948" s="2" t="str">
        <f t="shared" ref="WFS948" si="7017">IF(WFK948="Ionizador", "Plato de carga", IF(WFK948="Cautín", "PTG", "RTG"))</f>
        <v>RTG</v>
      </c>
      <c r="WFT948" s="7">
        <v>45992</v>
      </c>
      <c r="WFU948" s="7">
        <f t="shared" ref="WFU948" si="7018">IF(WFV948="Trimestral", WFT948+90, IF(WFV948="Semestral", WFT948+180, WFT948+365))</f>
        <v>46172</v>
      </c>
      <c r="WFV948" s="7" t="str">
        <f t="shared" ref="WFV948" si="7019">IF(WFK948="Ionizador", "Trimestral", IF(WFK948="Rack", "Semestral", IF(WFK948="Mesa", "Semestral", IF(WFK948="Tapete", "Semestral", IF(WFK948="Cautín", "Semestral", IF(WFK948="Silla", "Semestral", "Anual"))))))</f>
        <v>Semestral</v>
      </c>
      <c r="WFW948" s="2" t="str">
        <f t="shared" ref="WFW948" ca="1" si="7020">IF(WFU948&lt;TODAY(),"VENCIDO",IF(WFU948=TODAY(),"VENCE HOY",IF(WFU948&gt;TODAY(),"VIGENTE")))</f>
        <v>VIGENTE</v>
      </c>
      <c r="WFX948" s="6" t="s">
        <v>25</v>
      </c>
      <c r="WFY948" s="23" t="s">
        <v>138</v>
      </c>
      <c r="WFZ948" s="2" t="s">
        <v>433</v>
      </c>
      <c r="WGA948" s="3" t="s">
        <v>22</v>
      </c>
      <c r="WGB948" s="3" t="s">
        <v>23</v>
      </c>
      <c r="WGC948" s="2" t="s">
        <v>24</v>
      </c>
      <c r="WGD948" s="4">
        <v>0</v>
      </c>
      <c r="WGE948" s="8">
        <f t="shared" ref="WGE948" si="7021">IF(WGA948="Ionizador", 10, IF(WGA948="Mesa", 1000000000, IF(WGA948="Rack", 1000000000, IF(WGA948="Piso", 1000000000, IF(WGA948="Tapete", 1000000000, IF(WGA948="Carrito", 1000000000, IF(WGA948="Cautín", 10, 1)))))))</f>
        <v>1000000000</v>
      </c>
      <c r="WGF948" s="4" t="str">
        <f t="shared" ref="WGF948" si="7022">IF(WGA948="Ionizador", "Segundos", "Ohms")</f>
        <v>Ohms</v>
      </c>
      <c r="WGG948" s="6">
        <v>148000000</v>
      </c>
      <c r="WGH948" s="6" t="str">
        <f t="shared" ref="WGH948" si="7023">WGF948</f>
        <v>Ohms</v>
      </c>
      <c r="WGI948" s="2" t="str">
        <f t="shared" ref="WGI948" si="7024">IF(WGA948="Ionizador", "Plato de carga", IF(WGA948="Cautín", "PTG", "RTG"))</f>
        <v>RTG</v>
      </c>
      <c r="WGJ948" s="7">
        <v>45992</v>
      </c>
      <c r="WGK948" s="7">
        <f t="shared" ref="WGK948" si="7025">IF(WGL948="Trimestral", WGJ948+90, IF(WGL948="Semestral", WGJ948+180, WGJ948+365))</f>
        <v>46172</v>
      </c>
      <c r="WGL948" s="7" t="str">
        <f t="shared" ref="WGL948" si="7026">IF(WGA948="Ionizador", "Trimestral", IF(WGA948="Rack", "Semestral", IF(WGA948="Mesa", "Semestral", IF(WGA948="Tapete", "Semestral", IF(WGA948="Cautín", "Semestral", IF(WGA948="Silla", "Semestral", "Anual"))))))</f>
        <v>Semestral</v>
      </c>
      <c r="WGM948" s="2" t="str">
        <f t="shared" ref="WGM948" ca="1" si="7027">IF(WGK948&lt;TODAY(),"VENCIDO",IF(WGK948=TODAY(),"VENCE HOY",IF(WGK948&gt;TODAY(),"VIGENTE")))</f>
        <v>VIGENTE</v>
      </c>
      <c r="WGN948" s="6" t="s">
        <v>25</v>
      </c>
      <c r="WGO948" s="23" t="s">
        <v>138</v>
      </c>
      <c r="WGP948" s="2" t="s">
        <v>433</v>
      </c>
      <c r="WGQ948" s="3" t="s">
        <v>22</v>
      </c>
      <c r="WGR948" s="3" t="s">
        <v>23</v>
      </c>
      <c r="WGS948" s="2" t="s">
        <v>24</v>
      </c>
      <c r="WGT948" s="4">
        <v>0</v>
      </c>
      <c r="WGU948" s="8">
        <f t="shared" ref="WGU948" si="7028">IF(WGQ948="Ionizador", 10, IF(WGQ948="Mesa", 1000000000, IF(WGQ948="Rack", 1000000000, IF(WGQ948="Piso", 1000000000, IF(WGQ948="Tapete", 1000000000, IF(WGQ948="Carrito", 1000000000, IF(WGQ948="Cautín", 10, 1)))))))</f>
        <v>1000000000</v>
      </c>
      <c r="WGV948" s="4" t="str">
        <f t="shared" ref="WGV948" si="7029">IF(WGQ948="Ionizador", "Segundos", "Ohms")</f>
        <v>Ohms</v>
      </c>
      <c r="WGW948" s="6">
        <v>148000000</v>
      </c>
      <c r="WGX948" s="6" t="str">
        <f t="shared" ref="WGX948" si="7030">WGV948</f>
        <v>Ohms</v>
      </c>
      <c r="WGY948" s="2" t="str">
        <f t="shared" ref="WGY948" si="7031">IF(WGQ948="Ionizador", "Plato de carga", IF(WGQ948="Cautín", "PTG", "RTG"))</f>
        <v>RTG</v>
      </c>
      <c r="WGZ948" s="7">
        <v>45992</v>
      </c>
      <c r="WHA948" s="7">
        <f t="shared" ref="WHA948" si="7032">IF(WHB948="Trimestral", WGZ948+90, IF(WHB948="Semestral", WGZ948+180, WGZ948+365))</f>
        <v>46172</v>
      </c>
      <c r="WHB948" s="7" t="str">
        <f t="shared" ref="WHB948" si="7033">IF(WGQ948="Ionizador", "Trimestral", IF(WGQ948="Rack", "Semestral", IF(WGQ948="Mesa", "Semestral", IF(WGQ948="Tapete", "Semestral", IF(WGQ948="Cautín", "Semestral", IF(WGQ948="Silla", "Semestral", "Anual"))))))</f>
        <v>Semestral</v>
      </c>
      <c r="WHC948" s="2" t="str">
        <f t="shared" ref="WHC948" ca="1" si="7034">IF(WHA948&lt;TODAY(),"VENCIDO",IF(WHA948=TODAY(),"VENCE HOY",IF(WHA948&gt;TODAY(),"VIGENTE")))</f>
        <v>VIGENTE</v>
      </c>
      <c r="WHD948" s="6" t="s">
        <v>25</v>
      </c>
      <c r="WHE948" s="23" t="s">
        <v>138</v>
      </c>
      <c r="WHF948" s="2" t="s">
        <v>433</v>
      </c>
      <c r="WHG948" s="3" t="s">
        <v>22</v>
      </c>
      <c r="WHH948" s="3" t="s">
        <v>23</v>
      </c>
      <c r="WHI948" s="2" t="s">
        <v>24</v>
      </c>
      <c r="WHJ948" s="4">
        <v>0</v>
      </c>
      <c r="WHK948" s="8">
        <f t="shared" ref="WHK948" si="7035">IF(WHG948="Ionizador", 10, IF(WHG948="Mesa", 1000000000, IF(WHG948="Rack", 1000000000, IF(WHG948="Piso", 1000000000, IF(WHG948="Tapete", 1000000000, IF(WHG948="Carrito", 1000000000, IF(WHG948="Cautín", 10, 1)))))))</f>
        <v>1000000000</v>
      </c>
      <c r="WHL948" s="4" t="str">
        <f t="shared" ref="WHL948" si="7036">IF(WHG948="Ionizador", "Segundos", "Ohms")</f>
        <v>Ohms</v>
      </c>
      <c r="WHM948" s="6">
        <v>148000000</v>
      </c>
      <c r="WHN948" s="6" t="str">
        <f t="shared" ref="WHN948" si="7037">WHL948</f>
        <v>Ohms</v>
      </c>
      <c r="WHO948" s="2" t="str">
        <f t="shared" ref="WHO948" si="7038">IF(WHG948="Ionizador", "Plato de carga", IF(WHG948="Cautín", "PTG", "RTG"))</f>
        <v>RTG</v>
      </c>
      <c r="WHP948" s="7">
        <v>45992</v>
      </c>
      <c r="WHQ948" s="7">
        <f t="shared" ref="WHQ948" si="7039">IF(WHR948="Trimestral", WHP948+90, IF(WHR948="Semestral", WHP948+180, WHP948+365))</f>
        <v>46172</v>
      </c>
      <c r="WHR948" s="7" t="str">
        <f t="shared" ref="WHR948" si="7040">IF(WHG948="Ionizador", "Trimestral", IF(WHG948="Rack", "Semestral", IF(WHG948="Mesa", "Semestral", IF(WHG948="Tapete", "Semestral", IF(WHG948="Cautín", "Semestral", IF(WHG948="Silla", "Semestral", "Anual"))))))</f>
        <v>Semestral</v>
      </c>
      <c r="WHS948" s="2" t="str">
        <f t="shared" ref="WHS948" ca="1" si="7041">IF(WHQ948&lt;TODAY(),"VENCIDO",IF(WHQ948=TODAY(),"VENCE HOY",IF(WHQ948&gt;TODAY(),"VIGENTE")))</f>
        <v>VIGENTE</v>
      </c>
      <c r="WHT948" s="6" t="s">
        <v>25</v>
      </c>
      <c r="WHU948" s="23" t="s">
        <v>138</v>
      </c>
      <c r="WHV948" s="2" t="s">
        <v>433</v>
      </c>
      <c r="WHW948" s="3" t="s">
        <v>22</v>
      </c>
      <c r="WHX948" s="3" t="s">
        <v>23</v>
      </c>
      <c r="WHY948" s="2" t="s">
        <v>24</v>
      </c>
      <c r="WHZ948" s="4">
        <v>0</v>
      </c>
      <c r="WIA948" s="8">
        <f t="shared" ref="WIA948" si="7042">IF(WHW948="Ionizador", 10, IF(WHW948="Mesa", 1000000000, IF(WHW948="Rack", 1000000000, IF(WHW948="Piso", 1000000000, IF(WHW948="Tapete", 1000000000, IF(WHW948="Carrito", 1000000000, IF(WHW948="Cautín", 10, 1)))))))</f>
        <v>1000000000</v>
      </c>
      <c r="WIB948" s="4" t="str">
        <f t="shared" ref="WIB948" si="7043">IF(WHW948="Ionizador", "Segundos", "Ohms")</f>
        <v>Ohms</v>
      </c>
      <c r="WIC948" s="6">
        <v>148000000</v>
      </c>
      <c r="WID948" s="6" t="str">
        <f t="shared" ref="WID948" si="7044">WIB948</f>
        <v>Ohms</v>
      </c>
      <c r="WIE948" s="2" t="str">
        <f t="shared" ref="WIE948" si="7045">IF(WHW948="Ionizador", "Plato de carga", IF(WHW948="Cautín", "PTG", "RTG"))</f>
        <v>RTG</v>
      </c>
      <c r="WIF948" s="7">
        <v>45992</v>
      </c>
      <c r="WIG948" s="7">
        <f t="shared" ref="WIG948" si="7046">IF(WIH948="Trimestral", WIF948+90, IF(WIH948="Semestral", WIF948+180, WIF948+365))</f>
        <v>46172</v>
      </c>
      <c r="WIH948" s="7" t="str">
        <f t="shared" ref="WIH948" si="7047">IF(WHW948="Ionizador", "Trimestral", IF(WHW948="Rack", "Semestral", IF(WHW948="Mesa", "Semestral", IF(WHW948="Tapete", "Semestral", IF(WHW948="Cautín", "Semestral", IF(WHW948="Silla", "Semestral", "Anual"))))))</f>
        <v>Semestral</v>
      </c>
      <c r="WII948" s="2" t="str">
        <f t="shared" ref="WII948" ca="1" si="7048">IF(WIG948&lt;TODAY(),"VENCIDO",IF(WIG948=TODAY(),"VENCE HOY",IF(WIG948&gt;TODAY(),"VIGENTE")))</f>
        <v>VIGENTE</v>
      </c>
      <c r="WIJ948" s="6" t="s">
        <v>25</v>
      </c>
      <c r="WIK948" s="23" t="s">
        <v>138</v>
      </c>
      <c r="WIL948" s="2" t="s">
        <v>433</v>
      </c>
      <c r="WIM948" s="3" t="s">
        <v>22</v>
      </c>
      <c r="WIN948" s="3" t="s">
        <v>23</v>
      </c>
      <c r="WIO948" s="2" t="s">
        <v>24</v>
      </c>
      <c r="WIP948" s="4">
        <v>0</v>
      </c>
      <c r="WIQ948" s="8">
        <f t="shared" ref="WIQ948" si="7049">IF(WIM948="Ionizador", 10, IF(WIM948="Mesa", 1000000000, IF(WIM948="Rack", 1000000000, IF(WIM948="Piso", 1000000000, IF(WIM948="Tapete", 1000000000, IF(WIM948="Carrito", 1000000000, IF(WIM948="Cautín", 10, 1)))))))</f>
        <v>1000000000</v>
      </c>
      <c r="WIR948" s="4" t="str">
        <f t="shared" ref="WIR948" si="7050">IF(WIM948="Ionizador", "Segundos", "Ohms")</f>
        <v>Ohms</v>
      </c>
      <c r="WIS948" s="6">
        <v>148000000</v>
      </c>
      <c r="WIT948" s="6" t="str">
        <f t="shared" ref="WIT948" si="7051">WIR948</f>
        <v>Ohms</v>
      </c>
      <c r="WIU948" s="2" t="str">
        <f t="shared" ref="WIU948" si="7052">IF(WIM948="Ionizador", "Plato de carga", IF(WIM948="Cautín", "PTG", "RTG"))</f>
        <v>RTG</v>
      </c>
      <c r="WIV948" s="7">
        <v>45992</v>
      </c>
      <c r="WIW948" s="7">
        <f t="shared" ref="WIW948" si="7053">IF(WIX948="Trimestral", WIV948+90, IF(WIX948="Semestral", WIV948+180, WIV948+365))</f>
        <v>46172</v>
      </c>
      <c r="WIX948" s="7" t="str">
        <f t="shared" ref="WIX948" si="7054">IF(WIM948="Ionizador", "Trimestral", IF(WIM948="Rack", "Semestral", IF(WIM948="Mesa", "Semestral", IF(WIM948="Tapete", "Semestral", IF(WIM948="Cautín", "Semestral", IF(WIM948="Silla", "Semestral", "Anual"))))))</f>
        <v>Semestral</v>
      </c>
      <c r="WIY948" s="2" t="str">
        <f t="shared" ref="WIY948" ca="1" si="7055">IF(WIW948&lt;TODAY(),"VENCIDO",IF(WIW948=TODAY(),"VENCE HOY",IF(WIW948&gt;TODAY(),"VIGENTE")))</f>
        <v>VIGENTE</v>
      </c>
      <c r="WIZ948" s="6" t="s">
        <v>25</v>
      </c>
      <c r="WJA948" s="23" t="s">
        <v>138</v>
      </c>
      <c r="WJB948" s="2" t="s">
        <v>433</v>
      </c>
      <c r="WJC948" s="3" t="s">
        <v>22</v>
      </c>
      <c r="WJD948" s="3" t="s">
        <v>23</v>
      </c>
      <c r="WJE948" s="2" t="s">
        <v>24</v>
      </c>
      <c r="WJF948" s="4">
        <v>0</v>
      </c>
      <c r="WJG948" s="8">
        <f t="shared" ref="WJG948" si="7056">IF(WJC948="Ionizador", 10, IF(WJC948="Mesa", 1000000000, IF(WJC948="Rack", 1000000000, IF(WJC948="Piso", 1000000000, IF(WJC948="Tapete", 1000000000, IF(WJC948="Carrito", 1000000000, IF(WJC948="Cautín", 10, 1)))))))</f>
        <v>1000000000</v>
      </c>
      <c r="WJH948" s="4" t="str">
        <f t="shared" ref="WJH948" si="7057">IF(WJC948="Ionizador", "Segundos", "Ohms")</f>
        <v>Ohms</v>
      </c>
      <c r="WJI948" s="6">
        <v>148000000</v>
      </c>
      <c r="WJJ948" s="6" t="str">
        <f t="shared" ref="WJJ948" si="7058">WJH948</f>
        <v>Ohms</v>
      </c>
      <c r="WJK948" s="2" t="str">
        <f t="shared" ref="WJK948" si="7059">IF(WJC948="Ionizador", "Plato de carga", IF(WJC948="Cautín", "PTG", "RTG"))</f>
        <v>RTG</v>
      </c>
      <c r="WJL948" s="7">
        <v>45992</v>
      </c>
      <c r="WJM948" s="7">
        <f t="shared" ref="WJM948" si="7060">IF(WJN948="Trimestral", WJL948+90, IF(WJN948="Semestral", WJL948+180, WJL948+365))</f>
        <v>46172</v>
      </c>
      <c r="WJN948" s="7" t="str">
        <f t="shared" ref="WJN948" si="7061">IF(WJC948="Ionizador", "Trimestral", IF(WJC948="Rack", "Semestral", IF(WJC948="Mesa", "Semestral", IF(WJC948="Tapete", "Semestral", IF(WJC948="Cautín", "Semestral", IF(WJC948="Silla", "Semestral", "Anual"))))))</f>
        <v>Semestral</v>
      </c>
      <c r="WJO948" s="2" t="str">
        <f t="shared" ref="WJO948" ca="1" si="7062">IF(WJM948&lt;TODAY(),"VENCIDO",IF(WJM948=TODAY(),"VENCE HOY",IF(WJM948&gt;TODAY(),"VIGENTE")))</f>
        <v>VIGENTE</v>
      </c>
      <c r="WJP948" s="6" t="s">
        <v>25</v>
      </c>
      <c r="WJQ948" s="23" t="s">
        <v>138</v>
      </c>
      <c r="WJR948" s="2" t="s">
        <v>433</v>
      </c>
      <c r="WJS948" s="3" t="s">
        <v>22</v>
      </c>
      <c r="WJT948" s="3" t="s">
        <v>23</v>
      </c>
      <c r="WJU948" s="2" t="s">
        <v>24</v>
      </c>
      <c r="WJV948" s="4">
        <v>0</v>
      </c>
      <c r="WJW948" s="8">
        <f t="shared" ref="WJW948" si="7063">IF(WJS948="Ionizador", 10, IF(WJS948="Mesa", 1000000000, IF(WJS948="Rack", 1000000000, IF(WJS948="Piso", 1000000000, IF(WJS948="Tapete", 1000000000, IF(WJS948="Carrito", 1000000000, IF(WJS948="Cautín", 10, 1)))))))</f>
        <v>1000000000</v>
      </c>
      <c r="WJX948" s="4" t="str">
        <f t="shared" ref="WJX948" si="7064">IF(WJS948="Ionizador", "Segundos", "Ohms")</f>
        <v>Ohms</v>
      </c>
      <c r="WJY948" s="6">
        <v>148000000</v>
      </c>
      <c r="WJZ948" s="6" t="str">
        <f t="shared" ref="WJZ948" si="7065">WJX948</f>
        <v>Ohms</v>
      </c>
      <c r="WKA948" s="2" t="str">
        <f t="shared" ref="WKA948" si="7066">IF(WJS948="Ionizador", "Plato de carga", IF(WJS948="Cautín", "PTG", "RTG"))</f>
        <v>RTG</v>
      </c>
      <c r="WKB948" s="7">
        <v>45992</v>
      </c>
      <c r="WKC948" s="7">
        <f t="shared" ref="WKC948" si="7067">IF(WKD948="Trimestral", WKB948+90, IF(WKD948="Semestral", WKB948+180, WKB948+365))</f>
        <v>46172</v>
      </c>
      <c r="WKD948" s="7" t="str">
        <f t="shared" ref="WKD948" si="7068">IF(WJS948="Ionizador", "Trimestral", IF(WJS948="Rack", "Semestral", IF(WJS948="Mesa", "Semestral", IF(WJS948="Tapete", "Semestral", IF(WJS948="Cautín", "Semestral", IF(WJS948="Silla", "Semestral", "Anual"))))))</f>
        <v>Semestral</v>
      </c>
      <c r="WKE948" s="2" t="str">
        <f t="shared" ref="WKE948" ca="1" si="7069">IF(WKC948&lt;TODAY(),"VENCIDO",IF(WKC948=TODAY(),"VENCE HOY",IF(WKC948&gt;TODAY(),"VIGENTE")))</f>
        <v>VIGENTE</v>
      </c>
      <c r="WKF948" s="6" t="s">
        <v>25</v>
      </c>
      <c r="WKG948" s="23" t="s">
        <v>138</v>
      </c>
      <c r="WKH948" s="2" t="s">
        <v>433</v>
      </c>
      <c r="WKI948" s="3" t="s">
        <v>22</v>
      </c>
      <c r="WKJ948" s="3" t="s">
        <v>23</v>
      </c>
      <c r="WKK948" s="2" t="s">
        <v>24</v>
      </c>
      <c r="WKL948" s="4">
        <v>0</v>
      </c>
      <c r="WKM948" s="8">
        <f t="shared" ref="WKM948" si="7070">IF(WKI948="Ionizador", 10, IF(WKI948="Mesa", 1000000000, IF(WKI948="Rack", 1000000000, IF(WKI948="Piso", 1000000000, IF(WKI948="Tapete", 1000000000, IF(WKI948="Carrito", 1000000000, IF(WKI948="Cautín", 10, 1)))))))</f>
        <v>1000000000</v>
      </c>
      <c r="WKN948" s="4" t="str">
        <f t="shared" ref="WKN948" si="7071">IF(WKI948="Ionizador", "Segundos", "Ohms")</f>
        <v>Ohms</v>
      </c>
      <c r="WKO948" s="6">
        <v>148000000</v>
      </c>
      <c r="WKP948" s="6" t="str">
        <f t="shared" ref="WKP948" si="7072">WKN948</f>
        <v>Ohms</v>
      </c>
      <c r="WKQ948" s="2" t="str">
        <f t="shared" ref="WKQ948" si="7073">IF(WKI948="Ionizador", "Plato de carga", IF(WKI948="Cautín", "PTG", "RTG"))</f>
        <v>RTG</v>
      </c>
      <c r="WKR948" s="7">
        <v>45992</v>
      </c>
      <c r="WKS948" s="7">
        <f t="shared" ref="WKS948" si="7074">IF(WKT948="Trimestral", WKR948+90, IF(WKT948="Semestral", WKR948+180, WKR948+365))</f>
        <v>46172</v>
      </c>
      <c r="WKT948" s="7" t="str">
        <f t="shared" ref="WKT948" si="7075">IF(WKI948="Ionizador", "Trimestral", IF(WKI948="Rack", "Semestral", IF(WKI948="Mesa", "Semestral", IF(WKI948="Tapete", "Semestral", IF(WKI948="Cautín", "Semestral", IF(WKI948="Silla", "Semestral", "Anual"))))))</f>
        <v>Semestral</v>
      </c>
      <c r="WKU948" s="2" t="str">
        <f t="shared" ref="WKU948" ca="1" si="7076">IF(WKS948&lt;TODAY(),"VENCIDO",IF(WKS948=TODAY(),"VENCE HOY",IF(WKS948&gt;TODAY(),"VIGENTE")))</f>
        <v>VIGENTE</v>
      </c>
      <c r="WKV948" s="6" t="s">
        <v>25</v>
      </c>
      <c r="WKW948" s="23" t="s">
        <v>138</v>
      </c>
      <c r="WKX948" s="2" t="s">
        <v>433</v>
      </c>
      <c r="WKY948" s="3" t="s">
        <v>22</v>
      </c>
      <c r="WKZ948" s="3" t="s">
        <v>23</v>
      </c>
      <c r="WLA948" s="2" t="s">
        <v>24</v>
      </c>
      <c r="WLB948" s="4">
        <v>0</v>
      </c>
      <c r="WLC948" s="8">
        <f t="shared" ref="WLC948" si="7077">IF(WKY948="Ionizador", 10, IF(WKY948="Mesa", 1000000000, IF(WKY948="Rack", 1000000000, IF(WKY948="Piso", 1000000000, IF(WKY948="Tapete", 1000000000, IF(WKY948="Carrito", 1000000000, IF(WKY948="Cautín", 10, 1)))))))</f>
        <v>1000000000</v>
      </c>
      <c r="WLD948" s="4" t="str">
        <f t="shared" ref="WLD948" si="7078">IF(WKY948="Ionizador", "Segundos", "Ohms")</f>
        <v>Ohms</v>
      </c>
      <c r="WLE948" s="6">
        <v>148000000</v>
      </c>
      <c r="WLF948" s="6" t="str">
        <f t="shared" ref="WLF948" si="7079">WLD948</f>
        <v>Ohms</v>
      </c>
      <c r="WLG948" s="2" t="str">
        <f t="shared" ref="WLG948" si="7080">IF(WKY948="Ionizador", "Plato de carga", IF(WKY948="Cautín", "PTG", "RTG"))</f>
        <v>RTG</v>
      </c>
      <c r="WLH948" s="7">
        <v>45992</v>
      </c>
      <c r="WLI948" s="7">
        <f t="shared" ref="WLI948" si="7081">IF(WLJ948="Trimestral", WLH948+90, IF(WLJ948="Semestral", WLH948+180, WLH948+365))</f>
        <v>46172</v>
      </c>
      <c r="WLJ948" s="7" t="str">
        <f t="shared" ref="WLJ948" si="7082">IF(WKY948="Ionizador", "Trimestral", IF(WKY948="Rack", "Semestral", IF(WKY948="Mesa", "Semestral", IF(WKY948="Tapete", "Semestral", IF(WKY948="Cautín", "Semestral", IF(WKY948="Silla", "Semestral", "Anual"))))))</f>
        <v>Semestral</v>
      </c>
      <c r="WLK948" s="2" t="str">
        <f t="shared" ref="WLK948" ca="1" si="7083">IF(WLI948&lt;TODAY(),"VENCIDO",IF(WLI948=TODAY(),"VENCE HOY",IF(WLI948&gt;TODAY(),"VIGENTE")))</f>
        <v>VIGENTE</v>
      </c>
      <c r="WLL948" s="6" t="s">
        <v>25</v>
      </c>
      <c r="WLM948" s="23" t="s">
        <v>138</v>
      </c>
      <c r="WLN948" s="2" t="s">
        <v>433</v>
      </c>
      <c r="WLO948" s="3" t="s">
        <v>22</v>
      </c>
      <c r="WLP948" s="3" t="s">
        <v>23</v>
      </c>
      <c r="WLQ948" s="2" t="s">
        <v>24</v>
      </c>
      <c r="WLR948" s="4">
        <v>0</v>
      </c>
      <c r="WLS948" s="8">
        <f t="shared" ref="WLS948" si="7084">IF(WLO948="Ionizador", 10, IF(WLO948="Mesa", 1000000000, IF(WLO948="Rack", 1000000000, IF(WLO948="Piso", 1000000000, IF(WLO948="Tapete", 1000000000, IF(WLO948="Carrito", 1000000000, IF(WLO948="Cautín", 10, 1)))))))</f>
        <v>1000000000</v>
      </c>
      <c r="WLT948" s="4" t="str">
        <f t="shared" ref="WLT948" si="7085">IF(WLO948="Ionizador", "Segundos", "Ohms")</f>
        <v>Ohms</v>
      </c>
      <c r="WLU948" s="6">
        <v>148000000</v>
      </c>
      <c r="WLV948" s="6" t="str">
        <f t="shared" ref="WLV948" si="7086">WLT948</f>
        <v>Ohms</v>
      </c>
      <c r="WLW948" s="2" t="str">
        <f t="shared" ref="WLW948" si="7087">IF(WLO948="Ionizador", "Plato de carga", IF(WLO948="Cautín", "PTG", "RTG"))</f>
        <v>RTG</v>
      </c>
      <c r="WLX948" s="7">
        <v>45992</v>
      </c>
      <c r="WLY948" s="7">
        <f t="shared" ref="WLY948" si="7088">IF(WLZ948="Trimestral", WLX948+90, IF(WLZ948="Semestral", WLX948+180, WLX948+365))</f>
        <v>46172</v>
      </c>
      <c r="WLZ948" s="7" t="str">
        <f t="shared" ref="WLZ948" si="7089">IF(WLO948="Ionizador", "Trimestral", IF(WLO948="Rack", "Semestral", IF(WLO948="Mesa", "Semestral", IF(WLO948="Tapete", "Semestral", IF(WLO948="Cautín", "Semestral", IF(WLO948="Silla", "Semestral", "Anual"))))))</f>
        <v>Semestral</v>
      </c>
      <c r="WMA948" s="2" t="str">
        <f t="shared" ref="WMA948" ca="1" si="7090">IF(WLY948&lt;TODAY(),"VENCIDO",IF(WLY948=TODAY(),"VENCE HOY",IF(WLY948&gt;TODAY(),"VIGENTE")))</f>
        <v>VIGENTE</v>
      </c>
      <c r="WMB948" s="6" t="s">
        <v>25</v>
      </c>
      <c r="WMC948" s="23" t="s">
        <v>138</v>
      </c>
      <c r="WMD948" s="2" t="s">
        <v>433</v>
      </c>
      <c r="WME948" s="3" t="s">
        <v>22</v>
      </c>
      <c r="WMF948" s="3" t="s">
        <v>23</v>
      </c>
      <c r="WMG948" s="2" t="s">
        <v>24</v>
      </c>
      <c r="WMH948" s="4">
        <v>0</v>
      </c>
      <c r="WMI948" s="8">
        <f t="shared" ref="WMI948" si="7091">IF(WME948="Ionizador", 10, IF(WME948="Mesa", 1000000000, IF(WME948="Rack", 1000000000, IF(WME948="Piso", 1000000000, IF(WME948="Tapete", 1000000000, IF(WME948="Carrito", 1000000000, IF(WME948="Cautín", 10, 1)))))))</f>
        <v>1000000000</v>
      </c>
      <c r="WMJ948" s="4" t="str">
        <f t="shared" ref="WMJ948" si="7092">IF(WME948="Ionizador", "Segundos", "Ohms")</f>
        <v>Ohms</v>
      </c>
      <c r="WMK948" s="6">
        <v>148000000</v>
      </c>
      <c r="WML948" s="6" t="str">
        <f t="shared" ref="WML948" si="7093">WMJ948</f>
        <v>Ohms</v>
      </c>
      <c r="WMM948" s="2" t="str">
        <f t="shared" ref="WMM948" si="7094">IF(WME948="Ionizador", "Plato de carga", IF(WME948="Cautín", "PTG", "RTG"))</f>
        <v>RTG</v>
      </c>
      <c r="WMN948" s="7">
        <v>45992</v>
      </c>
      <c r="WMO948" s="7">
        <f t="shared" ref="WMO948" si="7095">IF(WMP948="Trimestral", WMN948+90, IF(WMP948="Semestral", WMN948+180, WMN948+365))</f>
        <v>46172</v>
      </c>
      <c r="WMP948" s="7" t="str">
        <f t="shared" ref="WMP948" si="7096">IF(WME948="Ionizador", "Trimestral", IF(WME948="Rack", "Semestral", IF(WME948="Mesa", "Semestral", IF(WME948="Tapete", "Semestral", IF(WME948="Cautín", "Semestral", IF(WME948="Silla", "Semestral", "Anual"))))))</f>
        <v>Semestral</v>
      </c>
      <c r="WMQ948" s="2" t="str">
        <f t="shared" ref="WMQ948" ca="1" si="7097">IF(WMO948&lt;TODAY(),"VENCIDO",IF(WMO948=TODAY(),"VENCE HOY",IF(WMO948&gt;TODAY(),"VIGENTE")))</f>
        <v>VIGENTE</v>
      </c>
      <c r="WMR948" s="6" t="s">
        <v>25</v>
      </c>
      <c r="WMS948" s="23" t="s">
        <v>138</v>
      </c>
      <c r="WMT948" s="2" t="s">
        <v>433</v>
      </c>
      <c r="WMU948" s="3" t="s">
        <v>22</v>
      </c>
      <c r="WMV948" s="3" t="s">
        <v>23</v>
      </c>
      <c r="WMW948" s="2" t="s">
        <v>24</v>
      </c>
      <c r="WMX948" s="4">
        <v>0</v>
      </c>
      <c r="WMY948" s="8">
        <f t="shared" ref="WMY948" si="7098">IF(WMU948="Ionizador", 10, IF(WMU948="Mesa", 1000000000, IF(WMU948="Rack", 1000000000, IF(WMU948="Piso", 1000000000, IF(WMU948="Tapete", 1000000000, IF(WMU948="Carrito", 1000000000, IF(WMU948="Cautín", 10, 1)))))))</f>
        <v>1000000000</v>
      </c>
      <c r="WMZ948" s="4" t="str">
        <f t="shared" ref="WMZ948" si="7099">IF(WMU948="Ionizador", "Segundos", "Ohms")</f>
        <v>Ohms</v>
      </c>
      <c r="WNA948" s="6">
        <v>148000000</v>
      </c>
      <c r="WNB948" s="6" t="str">
        <f t="shared" ref="WNB948" si="7100">WMZ948</f>
        <v>Ohms</v>
      </c>
      <c r="WNC948" s="2" t="str">
        <f t="shared" ref="WNC948" si="7101">IF(WMU948="Ionizador", "Plato de carga", IF(WMU948="Cautín", "PTG", "RTG"))</f>
        <v>RTG</v>
      </c>
      <c r="WND948" s="7">
        <v>45992</v>
      </c>
      <c r="WNE948" s="7">
        <f t="shared" ref="WNE948" si="7102">IF(WNF948="Trimestral", WND948+90, IF(WNF948="Semestral", WND948+180, WND948+365))</f>
        <v>46172</v>
      </c>
      <c r="WNF948" s="7" t="str">
        <f t="shared" ref="WNF948" si="7103">IF(WMU948="Ionizador", "Trimestral", IF(WMU948="Rack", "Semestral", IF(WMU948="Mesa", "Semestral", IF(WMU948="Tapete", "Semestral", IF(WMU948="Cautín", "Semestral", IF(WMU948="Silla", "Semestral", "Anual"))))))</f>
        <v>Semestral</v>
      </c>
      <c r="WNG948" s="2" t="str">
        <f t="shared" ref="WNG948" ca="1" si="7104">IF(WNE948&lt;TODAY(),"VENCIDO",IF(WNE948=TODAY(),"VENCE HOY",IF(WNE948&gt;TODAY(),"VIGENTE")))</f>
        <v>VIGENTE</v>
      </c>
      <c r="WNH948" s="6" t="s">
        <v>25</v>
      </c>
      <c r="WNI948" s="23" t="s">
        <v>138</v>
      </c>
      <c r="WNJ948" s="2" t="s">
        <v>433</v>
      </c>
      <c r="WNK948" s="3" t="s">
        <v>22</v>
      </c>
      <c r="WNL948" s="3" t="s">
        <v>23</v>
      </c>
      <c r="WNM948" s="2" t="s">
        <v>24</v>
      </c>
      <c r="WNN948" s="4">
        <v>0</v>
      </c>
      <c r="WNO948" s="8">
        <f t="shared" ref="WNO948" si="7105">IF(WNK948="Ionizador", 10, IF(WNK948="Mesa", 1000000000, IF(WNK948="Rack", 1000000000, IF(WNK948="Piso", 1000000000, IF(WNK948="Tapete", 1000000000, IF(WNK948="Carrito", 1000000000, IF(WNK948="Cautín", 10, 1)))))))</f>
        <v>1000000000</v>
      </c>
      <c r="WNP948" s="4" t="str">
        <f t="shared" ref="WNP948" si="7106">IF(WNK948="Ionizador", "Segundos", "Ohms")</f>
        <v>Ohms</v>
      </c>
      <c r="WNQ948" s="6">
        <v>148000000</v>
      </c>
      <c r="WNR948" s="6" t="str">
        <f t="shared" ref="WNR948" si="7107">WNP948</f>
        <v>Ohms</v>
      </c>
      <c r="WNS948" s="2" t="str">
        <f t="shared" ref="WNS948" si="7108">IF(WNK948="Ionizador", "Plato de carga", IF(WNK948="Cautín", "PTG", "RTG"))</f>
        <v>RTG</v>
      </c>
      <c r="WNT948" s="7">
        <v>45992</v>
      </c>
      <c r="WNU948" s="7">
        <f t="shared" ref="WNU948" si="7109">IF(WNV948="Trimestral", WNT948+90, IF(WNV948="Semestral", WNT948+180, WNT948+365))</f>
        <v>46172</v>
      </c>
      <c r="WNV948" s="7" t="str">
        <f t="shared" ref="WNV948" si="7110">IF(WNK948="Ionizador", "Trimestral", IF(WNK948="Rack", "Semestral", IF(WNK948="Mesa", "Semestral", IF(WNK948="Tapete", "Semestral", IF(WNK948="Cautín", "Semestral", IF(WNK948="Silla", "Semestral", "Anual"))))))</f>
        <v>Semestral</v>
      </c>
      <c r="WNW948" s="2" t="str">
        <f t="shared" ref="WNW948" ca="1" si="7111">IF(WNU948&lt;TODAY(),"VENCIDO",IF(WNU948=TODAY(),"VENCE HOY",IF(WNU948&gt;TODAY(),"VIGENTE")))</f>
        <v>VIGENTE</v>
      </c>
      <c r="WNX948" s="6" t="s">
        <v>25</v>
      </c>
      <c r="WNY948" s="23" t="s">
        <v>138</v>
      </c>
      <c r="WNZ948" s="2" t="s">
        <v>433</v>
      </c>
      <c r="WOA948" s="3" t="s">
        <v>22</v>
      </c>
      <c r="WOB948" s="3" t="s">
        <v>23</v>
      </c>
      <c r="WOC948" s="2" t="s">
        <v>24</v>
      </c>
      <c r="WOD948" s="4">
        <v>0</v>
      </c>
      <c r="WOE948" s="8">
        <f t="shared" ref="WOE948" si="7112">IF(WOA948="Ionizador", 10, IF(WOA948="Mesa", 1000000000, IF(WOA948="Rack", 1000000000, IF(WOA948="Piso", 1000000000, IF(WOA948="Tapete", 1000000000, IF(WOA948="Carrito", 1000000000, IF(WOA948="Cautín", 10, 1)))))))</f>
        <v>1000000000</v>
      </c>
      <c r="WOF948" s="4" t="str">
        <f t="shared" ref="WOF948" si="7113">IF(WOA948="Ionizador", "Segundos", "Ohms")</f>
        <v>Ohms</v>
      </c>
      <c r="WOG948" s="6">
        <v>148000000</v>
      </c>
      <c r="WOH948" s="6" t="str">
        <f t="shared" ref="WOH948" si="7114">WOF948</f>
        <v>Ohms</v>
      </c>
      <c r="WOI948" s="2" t="str">
        <f t="shared" ref="WOI948" si="7115">IF(WOA948="Ionizador", "Plato de carga", IF(WOA948="Cautín", "PTG", "RTG"))</f>
        <v>RTG</v>
      </c>
      <c r="WOJ948" s="7">
        <v>45992</v>
      </c>
      <c r="WOK948" s="7">
        <f t="shared" ref="WOK948" si="7116">IF(WOL948="Trimestral", WOJ948+90, IF(WOL948="Semestral", WOJ948+180, WOJ948+365))</f>
        <v>46172</v>
      </c>
      <c r="WOL948" s="7" t="str">
        <f t="shared" ref="WOL948" si="7117">IF(WOA948="Ionizador", "Trimestral", IF(WOA948="Rack", "Semestral", IF(WOA948="Mesa", "Semestral", IF(WOA948="Tapete", "Semestral", IF(WOA948="Cautín", "Semestral", IF(WOA948="Silla", "Semestral", "Anual"))))))</f>
        <v>Semestral</v>
      </c>
      <c r="WOM948" s="2" t="str">
        <f t="shared" ref="WOM948" ca="1" si="7118">IF(WOK948&lt;TODAY(),"VENCIDO",IF(WOK948=TODAY(),"VENCE HOY",IF(WOK948&gt;TODAY(),"VIGENTE")))</f>
        <v>VIGENTE</v>
      </c>
      <c r="WON948" s="6" t="s">
        <v>25</v>
      </c>
      <c r="WOO948" s="23" t="s">
        <v>138</v>
      </c>
      <c r="WOP948" s="2" t="s">
        <v>433</v>
      </c>
      <c r="WOQ948" s="3" t="s">
        <v>22</v>
      </c>
      <c r="WOR948" s="3" t="s">
        <v>23</v>
      </c>
      <c r="WOS948" s="2" t="s">
        <v>24</v>
      </c>
      <c r="WOT948" s="4">
        <v>0</v>
      </c>
      <c r="WOU948" s="8">
        <f t="shared" ref="WOU948" si="7119">IF(WOQ948="Ionizador", 10, IF(WOQ948="Mesa", 1000000000, IF(WOQ948="Rack", 1000000000, IF(WOQ948="Piso", 1000000000, IF(WOQ948="Tapete", 1000000000, IF(WOQ948="Carrito", 1000000000, IF(WOQ948="Cautín", 10, 1)))))))</f>
        <v>1000000000</v>
      </c>
      <c r="WOV948" s="4" t="str">
        <f t="shared" ref="WOV948" si="7120">IF(WOQ948="Ionizador", "Segundos", "Ohms")</f>
        <v>Ohms</v>
      </c>
      <c r="WOW948" s="6">
        <v>148000000</v>
      </c>
      <c r="WOX948" s="6" t="str">
        <f t="shared" ref="WOX948" si="7121">WOV948</f>
        <v>Ohms</v>
      </c>
      <c r="WOY948" s="2" t="str">
        <f t="shared" ref="WOY948" si="7122">IF(WOQ948="Ionizador", "Plato de carga", IF(WOQ948="Cautín", "PTG", "RTG"))</f>
        <v>RTG</v>
      </c>
      <c r="WOZ948" s="7">
        <v>45992</v>
      </c>
      <c r="WPA948" s="7">
        <f t="shared" ref="WPA948" si="7123">IF(WPB948="Trimestral", WOZ948+90, IF(WPB948="Semestral", WOZ948+180, WOZ948+365))</f>
        <v>46172</v>
      </c>
      <c r="WPB948" s="7" t="str">
        <f t="shared" ref="WPB948" si="7124">IF(WOQ948="Ionizador", "Trimestral", IF(WOQ948="Rack", "Semestral", IF(WOQ948="Mesa", "Semestral", IF(WOQ948="Tapete", "Semestral", IF(WOQ948="Cautín", "Semestral", IF(WOQ948="Silla", "Semestral", "Anual"))))))</f>
        <v>Semestral</v>
      </c>
      <c r="WPC948" s="2" t="str">
        <f t="shared" ref="WPC948" ca="1" si="7125">IF(WPA948&lt;TODAY(),"VENCIDO",IF(WPA948=TODAY(),"VENCE HOY",IF(WPA948&gt;TODAY(),"VIGENTE")))</f>
        <v>VIGENTE</v>
      </c>
      <c r="WPD948" s="6" t="s">
        <v>25</v>
      </c>
      <c r="WPE948" s="23" t="s">
        <v>138</v>
      </c>
      <c r="WPF948" s="2" t="s">
        <v>433</v>
      </c>
      <c r="WPG948" s="3" t="s">
        <v>22</v>
      </c>
      <c r="WPH948" s="3" t="s">
        <v>23</v>
      </c>
      <c r="WPI948" s="2" t="s">
        <v>24</v>
      </c>
      <c r="WPJ948" s="4">
        <v>0</v>
      </c>
      <c r="WPK948" s="8">
        <f t="shared" ref="WPK948" si="7126">IF(WPG948="Ionizador", 10, IF(WPG948="Mesa", 1000000000, IF(WPG948="Rack", 1000000000, IF(WPG948="Piso", 1000000000, IF(WPG948="Tapete", 1000000000, IF(WPG948="Carrito", 1000000000, IF(WPG948="Cautín", 10, 1)))))))</f>
        <v>1000000000</v>
      </c>
      <c r="WPL948" s="4" t="str">
        <f t="shared" ref="WPL948" si="7127">IF(WPG948="Ionizador", "Segundos", "Ohms")</f>
        <v>Ohms</v>
      </c>
      <c r="WPM948" s="6">
        <v>148000000</v>
      </c>
      <c r="WPN948" s="6" t="str">
        <f t="shared" ref="WPN948" si="7128">WPL948</f>
        <v>Ohms</v>
      </c>
      <c r="WPO948" s="2" t="str">
        <f t="shared" ref="WPO948" si="7129">IF(WPG948="Ionizador", "Plato de carga", IF(WPG948="Cautín", "PTG", "RTG"))</f>
        <v>RTG</v>
      </c>
      <c r="WPP948" s="7">
        <v>45992</v>
      </c>
      <c r="WPQ948" s="7">
        <f t="shared" ref="WPQ948" si="7130">IF(WPR948="Trimestral", WPP948+90, IF(WPR948="Semestral", WPP948+180, WPP948+365))</f>
        <v>46172</v>
      </c>
      <c r="WPR948" s="7" t="str">
        <f t="shared" ref="WPR948" si="7131">IF(WPG948="Ionizador", "Trimestral", IF(WPG948="Rack", "Semestral", IF(WPG948="Mesa", "Semestral", IF(WPG948="Tapete", "Semestral", IF(WPG948="Cautín", "Semestral", IF(WPG948="Silla", "Semestral", "Anual"))))))</f>
        <v>Semestral</v>
      </c>
      <c r="WPS948" s="2" t="str">
        <f t="shared" ref="WPS948" ca="1" si="7132">IF(WPQ948&lt;TODAY(),"VENCIDO",IF(WPQ948=TODAY(),"VENCE HOY",IF(WPQ948&gt;TODAY(),"VIGENTE")))</f>
        <v>VIGENTE</v>
      </c>
      <c r="WPT948" s="6" t="s">
        <v>25</v>
      </c>
      <c r="WPU948" s="23" t="s">
        <v>138</v>
      </c>
      <c r="WPV948" s="2" t="s">
        <v>433</v>
      </c>
      <c r="WPW948" s="3" t="s">
        <v>22</v>
      </c>
      <c r="WPX948" s="3" t="s">
        <v>23</v>
      </c>
      <c r="WPY948" s="2" t="s">
        <v>24</v>
      </c>
      <c r="WPZ948" s="4">
        <v>0</v>
      </c>
      <c r="WQA948" s="8">
        <f t="shared" ref="WQA948" si="7133">IF(WPW948="Ionizador", 10, IF(WPW948="Mesa", 1000000000, IF(WPW948="Rack", 1000000000, IF(WPW948="Piso", 1000000000, IF(WPW948="Tapete", 1000000000, IF(WPW948="Carrito", 1000000000, IF(WPW948="Cautín", 10, 1)))))))</f>
        <v>1000000000</v>
      </c>
      <c r="WQB948" s="4" t="str">
        <f t="shared" ref="WQB948" si="7134">IF(WPW948="Ionizador", "Segundos", "Ohms")</f>
        <v>Ohms</v>
      </c>
      <c r="WQC948" s="6">
        <v>148000000</v>
      </c>
      <c r="WQD948" s="6" t="str">
        <f t="shared" ref="WQD948" si="7135">WQB948</f>
        <v>Ohms</v>
      </c>
      <c r="WQE948" s="2" t="str">
        <f t="shared" ref="WQE948" si="7136">IF(WPW948="Ionizador", "Plato de carga", IF(WPW948="Cautín", "PTG", "RTG"))</f>
        <v>RTG</v>
      </c>
      <c r="WQF948" s="7">
        <v>45992</v>
      </c>
      <c r="WQG948" s="7">
        <f t="shared" ref="WQG948" si="7137">IF(WQH948="Trimestral", WQF948+90, IF(WQH948="Semestral", WQF948+180, WQF948+365))</f>
        <v>46172</v>
      </c>
      <c r="WQH948" s="7" t="str">
        <f t="shared" ref="WQH948" si="7138">IF(WPW948="Ionizador", "Trimestral", IF(WPW948="Rack", "Semestral", IF(WPW948="Mesa", "Semestral", IF(WPW948="Tapete", "Semestral", IF(WPW948="Cautín", "Semestral", IF(WPW948="Silla", "Semestral", "Anual"))))))</f>
        <v>Semestral</v>
      </c>
      <c r="WQI948" s="2" t="str">
        <f t="shared" ref="WQI948" ca="1" si="7139">IF(WQG948&lt;TODAY(),"VENCIDO",IF(WQG948=TODAY(),"VENCE HOY",IF(WQG948&gt;TODAY(),"VIGENTE")))</f>
        <v>VIGENTE</v>
      </c>
      <c r="WQJ948" s="6" t="s">
        <v>25</v>
      </c>
      <c r="WQK948" s="23" t="s">
        <v>138</v>
      </c>
      <c r="WQL948" s="2" t="s">
        <v>433</v>
      </c>
      <c r="WQM948" s="3" t="s">
        <v>22</v>
      </c>
      <c r="WQN948" s="3" t="s">
        <v>23</v>
      </c>
      <c r="WQO948" s="2" t="s">
        <v>24</v>
      </c>
      <c r="WQP948" s="4">
        <v>0</v>
      </c>
      <c r="WQQ948" s="8">
        <f t="shared" ref="WQQ948" si="7140">IF(WQM948="Ionizador", 10, IF(WQM948="Mesa", 1000000000, IF(WQM948="Rack", 1000000000, IF(WQM948="Piso", 1000000000, IF(WQM948="Tapete", 1000000000, IF(WQM948="Carrito", 1000000000, IF(WQM948="Cautín", 10, 1)))))))</f>
        <v>1000000000</v>
      </c>
      <c r="WQR948" s="4" t="str">
        <f t="shared" ref="WQR948" si="7141">IF(WQM948="Ionizador", "Segundos", "Ohms")</f>
        <v>Ohms</v>
      </c>
      <c r="WQS948" s="6">
        <v>148000000</v>
      </c>
      <c r="WQT948" s="6" t="str">
        <f t="shared" ref="WQT948" si="7142">WQR948</f>
        <v>Ohms</v>
      </c>
      <c r="WQU948" s="2" t="str">
        <f t="shared" ref="WQU948" si="7143">IF(WQM948="Ionizador", "Plato de carga", IF(WQM948="Cautín", "PTG", "RTG"))</f>
        <v>RTG</v>
      </c>
      <c r="WQV948" s="7">
        <v>45992</v>
      </c>
      <c r="WQW948" s="7">
        <f t="shared" ref="WQW948" si="7144">IF(WQX948="Trimestral", WQV948+90, IF(WQX948="Semestral", WQV948+180, WQV948+365))</f>
        <v>46172</v>
      </c>
      <c r="WQX948" s="7" t="str">
        <f t="shared" ref="WQX948" si="7145">IF(WQM948="Ionizador", "Trimestral", IF(WQM948="Rack", "Semestral", IF(WQM948="Mesa", "Semestral", IF(WQM948="Tapete", "Semestral", IF(WQM948="Cautín", "Semestral", IF(WQM948="Silla", "Semestral", "Anual"))))))</f>
        <v>Semestral</v>
      </c>
      <c r="WQY948" s="2" t="str">
        <f t="shared" ref="WQY948" ca="1" si="7146">IF(WQW948&lt;TODAY(),"VENCIDO",IF(WQW948=TODAY(),"VENCE HOY",IF(WQW948&gt;TODAY(),"VIGENTE")))</f>
        <v>VIGENTE</v>
      </c>
      <c r="WQZ948" s="6" t="s">
        <v>25</v>
      </c>
      <c r="WRA948" s="23" t="s">
        <v>138</v>
      </c>
      <c r="WRB948" s="2" t="s">
        <v>433</v>
      </c>
      <c r="WRC948" s="3" t="s">
        <v>22</v>
      </c>
      <c r="WRD948" s="3" t="s">
        <v>23</v>
      </c>
      <c r="WRE948" s="2" t="s">
        <v>24</v>
      </c>
      <c r="WRF948" s="4">
        <v>0</v>
      </c>
      <c r="WRG948" s="8">
        <f t="shared" ref="WRG948" si="7147">IF(WRC948="Ionizador", 10, IF(WRC948="Mesa", 1000000000, IF(WRC948="Rack", 1000000000, IF(WRC948="Piso", 1000000000, IF(WRC948="Tapete", 1000000000, IF(WRC948="Carrito", 1000000000, IF(WRC948="Cautín", 10, 1)))))))</f>
        <v>1000000000</v>
      </c>
      <c r="WRH948" s="4" t="str">
        <f t="shared" ref="WRH948" si="7148">IF(WRC948="Ionizador", "Segundos", "Ohms")</f>
        <v>Ohms</v>
      </c>
      <c r="WRI948" s="6">
        <v>148000000</v>
      </c>
      <c r="WRJ948" s="6" t="str">
        <f t="shared" ref="WRJ948" si="7149">WRH948</f>
        <v>Ohms</v>
      </c>
      <c r="WRK948" s="2" t="str">
        <f t="shared" ref="WRK948" si="7150">IF(WRC948="Ionizador", "Plato de carga", IF(WRC948="Cautín", "PTG", "RTG"))</f>
        <v>RTG</v>
      </c>
      <c r="WRL948" s="7">
        <v>45992</v>
      </c>
      <c r="WRM948" s="7">
        <f t="shared" ref="WRM948" si="7151">IF(WRN948="Trimestral", WRL948+90, IF(WRN948="Semestral", WRL948+180, WRL948+365))</f>
        <v>46172</v>
      </c>
      <c r="WRN948" s="7" t="str">
        <f t="shared" ref="WRN948" si="7152">IF(WRC948="Ionizador", "Trimestral", IF(WRC948="Rack", "Semestral", IF(WRC948="Mesa", "Semestral", IF(WRC948="Tapete", "Semestral", IF(WRC948="Cautín", "Semestral", IF(WRC948="Silla", "Semestral", "Anual"))))))</f>
        <v>Semestral</v>
      </c>
      <c r="WRO948" s="2" t="str">
        <f t="shared" ref="WRO948" ca="1" si="7153">IF(WRM948&lt;TODAY(),"VENCIDO",IF(WRM948=TODAY(),"VENCE HOY",IF(WRM948&gt;TODAY(),"VIGENTE")))</f>
        <v>VIGENTE</v>
      </c>
      <c r="WRP948" s="6" t="s">
        <v>25</v>
      </c>
      <c r="WRQ948" s="23" t="s">
        <v>138</v>
      </c>
      <c r="WRR948" s="2" t="s">
        <v>433</v>
      </c>
      <c r="WRS948" s="3" t="s">
        <v>22</v>
      </c>
      <c r="WRT948" s="3" t="s">
        <v>23</v>
      </c>
      <c r="WRU948" s="2" t="s">
        <v>24</v>
      </c>
      <c r="WRV948" s="4">
        <v>0</v>
      </c>
      <c r="WRW948" s="8">
        <f t="shared" ref="WRW948" si="7154">IF(WRS948="Ionizador", 10, IF(WRS948="Mesa", 1000000000, IF(WRS948="Rack", 1000000000, IF(WRS948="Piso", 1000000000, IF(WRS948="Tapete", 1000000000, IF(WRS948="Carrito", 1000000000, IF(WRS948="Cautín", 10, 1)))))))</f>
        <v>1000000000</v>
      </c>
      <c r="WRX948" s="4" t="str">
        <f t="shared" ref="WRX948" si="7155">IF(WRS948="Ionizador", "Segundos", "Ohms")</f>
        <v>Ohms</v>
      </c>
      <c r="WRY948" s="6">
        <v>148000000</v>
      </c>
      <c r="WRZ948" s="6" t="str">
        <f t="shared" ref="WRZ948" si="7156">WRX948</f>
        <v>Ohms</v>
      </c>
      <c r="WSA948" s="2" t="str">
        <f t="shared" ref="WSA948" si="7157">IF(WRS948="Ionizador", "Plato de carga", IF(WRS948="Cautín", "PTG", "RTG"))</f>
        <v>RTG</v>
      </c>
      <c r="WSB948" s="7">
        <v>45992</v>
      </c>
      <c r="WSC948" s="7">
        <f t="shared" ref="WSC948" si="7158">IF(WSD948="Trimestral", WSB948+90, IF(WSD948="Semestral", WSB948+180, WSB948+365))</f>
        <v>46172</v>
      </c>
      <c r="WSD948" s="7" t="str">
        <f t="shared" ref="WSD948" si="7159">IF(WRS948="Ionizador", "Trimestral", IF(WRS948="Rack", "Semestral", IF(WRS948="Mesa", "Semestral", IF(WRS948="Tapete", "Semestral", IF(WRS948="Cautín", "Semestral", IF(WRS948="Silla", "Semestral", "Anual"))))))</f>
        <v>Semestral</v>
      </c>
      <c r="WSE948" s="2" t="str">
        <f t="shared" ref="WSE948" ca="1" si="7160">IF(WSC948&lt;TODAY(),"VENCIDO",IF(WSC948=TODAY(),"VENCE HOY",IF(WSC948&gt;TODAY(),"VIGENTE")))</f>
        <v>VIGENTE</v>
      </c>
      <c r="WSF948" s="6" t="s">
        <v>25</v>
      </c>
      <c r="WSG948" s="23" t="s">
        <v>138</v>
      </c>
      <c r="WSH948" s="2" t="s">
        <v>433</v>
      </c>
      <c r="WSI948" s="3" t="s">
        <v>22</v>
      </c>
      <c r="WSJ948" s="3" t="s">
        <v>23</v>
      </c>
      <c r="WSK948" s="2" t="s">
        <v>24</v>
      </c>
      <c r="WSL948" s="4">
        <v>0</v>
      </c>
      <c r="WSM948" s="8">
        <f t="shared" ref="WSM948" si="7161">IF(WSI948="Ionizador", 10, IF(WSI948="Mesa", 1000000000, IF(WSI948="Rack", 1000000000, IF(WSI948="Piso", 1000000000, IF(WSI948="Tapete", 1000000000, IF(WSI948="Carrito", 1000000000, IF(WSI948="Cautín", 10, 1)))))))</f>
        <v>1000000000</v>
      </c>
      <c r="WSN948" s="4" t="str">
        <f t="shared" ref="WSN948" si="7162">IF(WSI948="Ionizador", "Segundos", "Ohms")</f>
        <v>Ohms</v>
      </c>
      <c r="WSO948" s="6">
        <v>148000000</v>
      </c>
      <c r="WSP948" s="6" t="str">
        <f t="shared" ref="WSP948" si="7163">WSN948</f>
        <v>Ohms</v>
      </c>
      <c r="WSQ948" s="2" t="str">
        <f t="shared" ref="WSQ948" si="7164">IF(WSI948="Ionizador", "Plato de carga", IF(WSI948="Cautín", "PTG", "RTG"))</f>
        <v>RTG</v>
      </c>
      <c r="WSR948" s="7">
        <v>45992</v>
      </c>
      <c r="WSS948" s="7">
        <f t="shared" ref="WSS948" si="7165">IF(WST948="Trimestral", WSR948+90, IF(WST948="Semestral", WSR948+180, WSR948+365))</f>
        <v>46172</v>
      </c>
      <c r="WST948" s="7" t="str">
        <f t="shared" ref="WST948" si="7166">IF(WSI948="Ionizador", "Trimestral", IF(WSI948="Rack", "Semestral", IF(WSI948="Mesa", "Semestral", IF(WSI948="Tapete", "Semestral", IF(WSI948="Cautín", "Semestral", IF(WSI948="Silla", "Semestral", "Anual"))))))</f>
        <v>Semestral</v>
      </c>
      <c r="WSU948" s="2" t="str">
        <f t="shared" ref="WSU948" ca="1" si="7167">IF(WSS948&lt;TODAY(),"VENCIDO",IF(WSS948=TODAY(),"VENCE HOY",IF(WSS948&gt;TODAY(),"VIGENTE")))</f>
        <v>VIGENTE</v>
      </c>
      <c r="WSV948" s="6" t="s">
        <v>25</v>
      </c>
      <c r="WSW948" s="23" t="s">
        <v>138</v>
      </c>
      <c r="WSX948" s="2" t="s">
        <v>433</v>
      </c>
      <c r="WSY948" s="3" t="s">
        <v>22</v>
      </c>
      <c r="WSZ948" s="3" t="s">
        <v>23</v>
      </c>
      <c r="WTA948" s="2" t="s">
        <v>24</v>
      </c>
      <c r="WTB948" s="4">
        <v>0</v>
      </c>
      <c r="WTC948" s="8">
        <f t="shared" ref="WTC948" si="7168">IF(WSY948="Ionizador", 10, IF(WSY948="Mesa", 1000000000, IF(WSY948="Rack", 1000000000, IF(WSY948="Piso", 1000000000, IF(WSY948="Tapete", 1000000000, IF(WSY948="Carrito", 1000000000, IF(WSY948="Cautín", 10, 1)))))))</f>
        <v>1000000000</v>
      </c>
      <c r="WTD948" s="4" t="str">
        <f t="shared" ref="WTD948" si="7169">IF(WSY948="Ionizador", "Segundos", "Ohms")</f>
        <v>Ohms</v>
      </c>
      <c r="WTE948" s="6">
        <v>148000000</v>
      </c>
      <c r="WTF948" s="6" t="str">
        <f t="shared" ref="WTF948" si="7170">WTD948</f>
        <v>Ohms</v>
      </c>
      <c r="WTG948" s="2" t="str">
        <f t="shared" ref="WTG948" si="7171">IF(WSY948="Ionizador", "Plato de carga", IF(WSY948="Cautín", "PTG", "RTG"))</f>
        <v>RTG</v>
      </c>
      <c r="WTH948" s="7">
        <v>45992</v>
      </c>
      <c r="WTI948" s="7">
        <f t="shared" ref="WTI948" si="7172">IF(WTJ948="Trimestral", WTH948+90, IF(WTJ948="Semestral", WTH948+180, WTH948+365))</f>
        <v>46172</v>
      </c>
      <c r="WTJ948" s="7" t="str">
        <f t="shared" ref="WTJ948" si="7173">IF(WSY948="Ionizador", "Trimestral", IF(WSY948="Rack", "Semestral", IF(WSY948="Mesa", "Semestral", IF(WSY948="Tapete", "Semestral", IF(WSY948="Cautín", "Semestral", IF(WSY948="Silla", "Semestral", "Anual"))))))</f>
        <v>Semestral</v>
      </c>
      <c r="WTK948" s="2" t="str">
        <f t="shared" ref="WTK948" ca="1" si="7174">IF(WTI948&lt;TODAY(),"VENCIDO",IF(WTI948=TODAY(),"VENCE HOY",IF(WTI948&gt;TODAY(),"VIGENTE")))</f>
        <v>VIGENTE</v>
      </c>
      <c r="WTL948" s="6" t="s">
        <v>25</v>
      </c>
      <c r="WTM948" s="23" t="s">
        <v>138</v>
      </c>
      <c r="WTN948" s="2" t="s">
        <v>433</v>
      </c>
      <c r="WTO948" s="3" t="s">
        <v>22</v>
      </c>
      <c r="WTP948" s="3" t="s">
        <v>23</v>
      </c>
      <c r="WTQ948" s="2" t="s">
        <v>24</v>
      </c>
      <c r="WTR948" s="4">
        <v>0</v>
      </c>
      <c r="WTS948" s="8">
        <f t="shared" ref="WTS948" si="7175">IF(WTO948="Ionizador", 10, IF(WTO948="Mesa", 1000000000, IF(WTO948="Rack", 1000000000, IF(WTO948="Piso", 1000000000, IF(WTO948="Tapete", 1000000000, IF(WTO948="Carrito", 1000000000, IF(WTO948="Cautín", 10, 1)))))))</f>
        <v>1000000000</v>
      </c>
      <c r="WTT948" s="4" t="str">
        <f t="shared" ref="WTT948" si="7176">IF(WTO948="Ionizador", "Segundos", "Ohms")</f>
        <v>Ohms</v>
      </c>
      <c r="WTU948" s="6">
        <v>148000000</v>
      </c>
      <c r="WTV948" s="6" t="str">
        <f t="shared" ref="WTV948" si="7177">WTT948</f>
        <v>Ohms</v>
      </c>
      <c r="WTW948" s="2" t="str">
        <f t="shared" ref="WTW948" si="7178">IF(WTO948="Ionizador", "Plato de carga", IF(WTO948="Cautín", "PTG", "RTG"))</f>
        <v>RTG</v>
      </c>
      <c r="WTX948" s="7">
        <v>45992</v>
      </c>
      <c r="WTY948" s="7">
        <f t="shared" ref="WTY948" si="7179">IF(WTZ948="Trimestral", WTX948+90, IF(WTZ948="Semestral", WTX948+180, WTX948+365))</f>
        <v>46172</v>
      </c>
      <c r="WTZ948" s="7" t="str">
        <f t="shared" ref="WTZ948" si="7180">IF(WTO948="Ionizador", "Trimestral", IF(WTO948="Rack", "Semestral", IF(WTO948="Mesa", "Semestral", IF(WTO948="Tapete", "Semestral", IF(WTO948="Cautín", "Semestral", IF(WTO948="Silla", "Semestral", "Anual"))))))</f>
        <v>Semestral</v>
      </c>
      <c r="WUA948" s="2" t="str">
        <f t="shared" ref="WUA948" ca="1" si="7181">IF(WTY948&lt;TODAY(),"VENCIDO",IF(WTY948=TODAY(),"VENCE HOY",IF(WTY948&gt;TODAY(),"VIGENTE")))</f>
        <v>VIGENTE</v>
      </c>
      <c r="WUB948" s="6" t="s">
        <v>25</v>
      </c>
      <c r="WUC948" s="23" t="s">
        <v>138</v>
      </c>
      <c r="WUD948" s="2" t="s">
        <v>433</v>
      </c>
      <c r="WUE948" s="3" t="s">
        <v>22</v>
      </c>
      <c r="WUF948" s="3" t="s">
        <v>23</v>
      </c>
      <c r="WUG948" s="2" t="s">
        <v>24</v>
      </c>
      <c r="WUH948" s="4">
        <v>0</v>
      </c>
      <c r="WUI948" s="8">
        <f t="shared" ref="WUI948" si="7182">IF(WUE948="Ionizador", 10, IF(WUE948="Mesa", 1000000000, IF(WUE948="Rack", 1000000000, IF(WUE948="Piso", 1000000000, IF(WUE948="Tapete", 1000000000, IF(WUE948="Carrito", 1000000000, IF(WUE948="Cautín", 10, 1)))))))</f>
        <v>1000000000</v>
      </c>
      <c r="WUJ948" s="4" t="str">
        <f t="shared" ref="WUJ948" si="7183">IF(WUE948="Ionizador", "Segundos", "Ohms")</f>
        <v>Ohms</v>
      </c>
      <c r="WUK948" s="6">
        <v>148000000</v>
      </c>
      <c r="WUL948" s="6" t="str">
        <f t="shared" ref="WUL948" si="7184">WUJ948</f>
        <v>Ohms</v>
      </c>
      <c r="WUM948" s="2" t="str">
        <f t="shared" ref="WUM948" si="7185">IF(WUE948="Ionizador", "Plato de carga", IF(WUE948="Cautín", "PTG", "RTG"))</f>
        <v>RTG</v>
      </c>
      <c r="WUN948" s="7">
        <v>45992</v>
      </c>
      <c r="WUO948" s="7">
        <f t="shared" ref="WUO948" si="7186">IF(WUP948="Trimestral", WUN948+90, IF(WUP948="Semestral", WUN948+180, WUN948+365))</f>
        <v>46172</v>
      </c>
      <c r="WUP948" s="7" t="str">
        <f t="shared" ref="WUP948" si="7187">IF(WUE948="Ionizador", "Trimestral", IF(WUE948="Rack", "Semestral", IF(WUE948="Mesa", "Semestral", IF(WUE948="Tapete", "Semestral", IF(WUE948="Cautín", "Semestral", IF(WUE948="Silla", "Semestral", "Anual"))))))</f>
        <v>Semestral</v>
      </c>
      <c r="WUQ948" s="2" t="str">
        <f t="shared" ref="WUQ948" ca="1" si="7188">IF(WUO948&lt;TODAY(),"VENCIDO",IF(WUO948=TODAY(),"VENCE HOY",IF(WUO948&gt;TODAY(),"VIGENTE")))</f>
        <v>VIGENTE</v>
      </c>
      <c r="WUR948" s="6" t="s">
        <v>25</v>
      </c>
      <c r="WUS948" s="23" t="s">
        <v>138</v>
      </c>
      <c r="WUT948" s="2" t="s">
        <v>433</v>
      </c>
      <c r="WUU948" s="3" t="s">
        <v>22</v>
      </c>
      <c r="WUV948" s="3" t="s">
        <v>23</v>
      </c>
      <c r="WUW948" s="2" t="s">
        <v>24</v>
      </c>
      <c r="WUX948" s="4">
        <v>0</v>
      </c>
      <c r="WUY948" s="8">
        <f t="shared" ref="WUY948" si="7189">IF(WUU948="Ionizador", 10, IF(WUU948="Mesa", 1000000000, IF(WUU948="Rack", 1000000000, IF(WUU948="Piso", 1000000000, IF(WUU948="Tapete", 1000000000, IF(WUU948="Carrito", 1000000000, IF(WUU948="Cautín", 10, 1)))))))</f>
        <v>1000000000</v>
      </c>
      <c r="WUZ948" s="4" t="str">
        <f t="shared" ref="WUZ948" si="7190">IF(WUU948="Ionizador", "Segundos", "Ohms")</f>
        <v>Ohms</v>
      </c>
      <c r="WVA948" s="6">
        <v>148000000</v>
      </c>
      <c r="WVB948" s="6" t="str">
        <f t="shared" ref="WVB948" si="7191">WUZ948</f>
        <v>Ohms</v>
      </c>
      <c r="WVC948" s="2" t="str">
        <f t="shared" ref="WVC948" si="7192">IF(WUU948="Ionizador", "Plato de carga", IF(WUU948="Cautín", "PTG", "RTG"))</f>
        <v>RTG</v>
      </c>
      <c r="WVD948" s="7">
        <v>45992</v>
      </c>
      <c r="WVE948" s="7">
        <f t="shared" ref="WVE948" si="7193">IF(WVF948="Trimestral", WVD948+90, IF(WVF948="Semestral", WVD948+180, WVD948+365))</f>
        <v>46172</v>
      </c>
      <c r="WVF948" s="7" t="str">
        <f t="shared" ref="WVF948" si="7194">IF(WUU948="Ionizador", "Trimestral", IF(WUU948="Rack", "Semestral", IF(WUU948="Mesa", "Semestral", IF(WUU948="Tapete", "Semestral", IF(WUU948="Cautín", "Semestral", IF(WUU948="Silla", "Semestral", "Anual"))))))</f>
        <v>Semestral</v>
      </c>
      <c r="WVG948" s="2" t="str">
        <f t="shared" ref="WVG948" ca="1" si="7195">IF(WVE948&lt;TODAY(),"VENCIDO",IF(WVE948=TODAY(),"VENCE HOY",IF(WVE948&gt;TODAY(),"VIGENTE")))</f>
        <v>VIGENTE</v>
      </c>
      <c r="WVH948" s="6" t="s">
        <v>25</v>
      </c>
      <c r="WVI948" s="23" t="s">
        <v>138</v>
      </c>
      <c r="WVJ948" s="2" t="s">
        <v>433</v>
      </c>
      <c r="WVK948" s="3" t="s">
        <v>22</v>
      </c>
      <c r="WVL948" s="3" t="s">
        <v>23</v>
      </c>
      <c r="WVM948" s="2" t="s">
        <v>24</v>
      </c>
      <c r="WVN948" s="4">
        <v>0</v>
      </c>
      <c r="WVO948" s="8">
        <f t="shared" ref="WVO948" si="7196">IF(WVK948="Ionizador", 10, IF(WVK948="Mesa", 1000000000, IF(WVK948="Rack", 1000000000, IF(WVK948="Piso", 1000000000, IF(WVK948="Tapete", 1000000000, IF(WVK948="Carrito", 1000000000, IF(WVK948="Cautín", 10, 1)))))))</f>
        <v>1000000000</v>
      </c>
      <c r="WVP948" s="4" t="str">
        <f t="shared" ref="WVP948" si="7197">IF(WVK948="Ionizador", "Segundos", "Ohms")</f>
        <v>Ohms</v>
      </c>
      <c r="WVQ948" s="6">
        <v>148000000</v>
      </c>
      <c r="WVR948" s="6" t="str">
        <f t="shared" ref="WVR948" si="7198">WVP948</f>
        <v>Ohms</v>
      </c>
      <c r="WVS948" s="2" t="str">
        <f t="shared" ref="WVS948" si="7199">IF(WVK948="Ionizador", "Plato de carga", IF(WVK948="Cautín", "PTG", "RTG"))</f>
        <v>RTG</v>
      </c>
      <c r="WVT948" s="7">
        <v>45992</v>
      </c>
      <c r="WVU948" s="7">
        <f t="shared" ref="WVU948" si="7200">IF(WVV948="Trimestral", WVT948+90, IF(WVV948="Semestral", WVT948+180, WVT948+365))</f>
        <v>46172</v>
      </c>
      <c r="WVV948" s="7" t="str">
        <f t="shared" ref="WVV948" si="7201">IF(WVK948="Ionizador", "Trimestral", IF(WVK948="Rack", "Semestral", IF(WVK948="Mesa", "Semestral", IF(WVK948="Tapete", "Semestral", IF(WVK948="Cautín", "Semestral", IF(WVK948="Silla", "Semestral", "Anual"))))))</f>
        <v>Semestral</v>
      </c>
      <c r="WVW948" s="2" t="str">
        <f t="shared" ref="WVW948" ca="1" si="7202">IF(WVU948&lt;TODAY(),"VENCIDO",IF(WVU948=TODAY(),"VENCE HOY",IF(WVU948&gt;TODAY(),"VIGENTE")))</f>
        <v>VIGENTE</v>
      </c>
      <c r="WVX948" s="6" t="s">
        <v>25</v>
      </c>
      <c r="WVY948" s="23" t="s">
        <v>138</v>
      </c>
      <c r="WVZ948" s="2" t="s">
        <v>433</v>
      </c>
      <c r="WWA948" s="3" t="s">
        <v>22</v>
      </c>
      <c r="WWB948" s="3" t="s">
        <v>23</v>
      </c>
      <c r="WWC948" s="2" t="s">
        <v>24</v>
      </c>
      <c r="WWD948" s="4">
        <v>0</v>
      </c>
      <c r="WWE948" s="8">
        <f t="shared" ref="WWE948" si="7203">IF(WWA948="Ionizador", 10, IF(WWA948="Mesa", 1000000000, IF(WWA948="Rack", 1000000000, IF(WWA948="Piso", 1000000000, IF(WWA948="Tapete", 1000000000, IF(WWA948="Carrito", 1000000000, IF(WWA948="Cautín", 10, 1)))))))</f>
        <v>1000000000</v>
      </c>
      <c r="WWF948" s="4" t="str">
        <f t="shared" ref="WWF948" si="7204">IF(WWA948="Ionizador", "Segundos", "Ohms")</f>
        <v>Ohms</v>
      </c>
      <c r="WWG948" s="6">
        <v>148000000</v>
      </c>
      <c r="WWH948" s="6" t="str">
        <f t="shared" ref="WWH948" si="7205">WWF948</f>
        <v>Ohms</v>
      </c>
      <c r="WWI948" s="2" t="str">
        <f t="shared" ref="WWI948" si="7206">IF(WWA948="Ionizador", "Plato de carga", IF(WWA948="Cautín", "PTG", "RTG"))</f>
        <v>RTG</v>
      </c>
      <c r="WWJ948" s="7">
        <v>45992</v>
      </c>
      <c r="WWK948" s="7">
        <f t="shared" ref="WWK948" si="7207">IF(WWL948="Trimestral", WWJ948+90, IF(WWL948="Semestral", WWJ948+180, WWJ948+365))</f>
        <v>46172</v>
      </c>
      <c r="WWL948" s="7" t="str">
        <f t="shared" ref="WWL948" si="7208">IF(WWA948="Ionizador", "Trimestral", IF(WWA948="Rack", "Semestral", IF(WWA948="Mesa", "Semestral", IF(WWA948="Tapete", "Semestral", IF(WWA948="Cautín", "Semestral", IF(WWA948="Silla", "Semestral", "Anual"))))))</f>
        <v>Semestral</v>
      </c>
      <c r="WWM948" s="2" t="str">
        <f t="shared" ref="WWM948" ca="1" si="7209">IF(WWK948&lt;TODAY(),"VENCIDO",IF(WWK948=TODAY(),"VENCE HOY",IF(WWK948&gt;TODAY(),"VIGENTE")))</f>
        <v>VIGENTE</v>
      </c>
      <c r="WWN948" s="6" t="s">
        <v>25</v>
      </c>
      <c r="WWO948" s="23" t="s">
        <v>138</v>
      </c>
      <c r="WWP948" s="2" t="s">
        <v>433</v>
      </c>
      <c r="WWQ948" s="3" t="s">
        <v>22</v>
      </c>
      <c r="WWR948" s="3" t="s">
        <v>23</v>
      </c>
      <c r="WWS948" s="2" t="s">
        <v>24</v>
      </c>
      <c r="WWT948" s="4">
        <v>0</v>
      </c>
      <c r="WWU948" s="8">
        <f t="shared" ref="WWU948" si="7210">IF(WWQ948="Ionizador", 10, IF(WWQ948="Mesa", 1000000000, IF(WWQ948="Rack", 1000000000, IF(WWQ948="Piso", 1000000000, IF(WWQ948="Tapete", 1000000000, IF(WWQ948="Carrito", 1000000000, IF(WWQ948="Cautín", 10, 1)))))))</f>
        <v>1000000000</v>
      </c>
      <c r="WWV948" s="4" t="str">
        <f t="shared" ref="WWV948" si="7211">IF(WWQ948="Ionizador", "Segundos", "Ohms")</f>
        <v>Ohms</v>
      </c>
      <c r="WWW948" s="6">
        <v>148000000</v>
      </c>
      <c r="WWX948" s="6" t="str">
        <f t="shared" ref="WWX948" si="7212">WWV948</f>
        <v>Ohms</v>
      </c>
      <c r="WWY948" s="2" t="str">
        <f t="shared" ref="WWY948" si="7213">IF(WWQ948="Ionizador", "Plato de carga", IF(WWQ948="Cautín", "PTG", "RTG"))</f>
        <v>RTG</v>
      </c>
      <c r="WWZ948" s="7">
        <v>45992</v>
      </c>
      <c r="WXA948" s="7">
        <f t="shared" ref="WXA948" si="7214">IF(WXB948="Trimestral", WWZ948+90, IF(WXB948="Semestral", WWZ948+180, WWZ948+365))</f>
        <v>46172</v>
      </c>
      <c r="WXB948" s="7" t="str">
        <f t="shared" ref="WXB948" si="7215">IF(WWQ948="Ionizador", "Trimestral", IF(WWQ948="Rack", "Semestral", IF(WWQ948="Mesa", "Semestral", IF(WWQ948="Tapete", "Semestral", IF(WWQ948="Cautín", "Semestral", IF(WWQ948="Silla", "Semestral", "Anual"))))))</f>
        <v>Semestral</v>
      </c>
      <c r="WXC948" s="2" t="str">
        <f t="shared" ref="WXC948" ca="1" si="7216">IF(WXA948&lt;TODAY(),"VENCIDO",IF(WXA948=TODAY(),"VENCE HOY",IF(WXA948&gt;TODAY(),"VIGENTE")))</f>
        <v>VIGENTE</v>
      </c>
      <c r="WXD948" s="6" t="s">
        <v>25</v>
      </c>
      <c r="WXE948" s="23" t="s">
        <v>138</v>
      </c>
      <c r="WXF948" s="2" t="s">
        <v>433</v>
      </c>
      <c r="WXG948" s="3" t="s">
        <v>22</v>
      </c>
      <c r="WXH948" s="3" t="s">
        <v>23</v>
      </c>
      <c r="WXI948" s="2" t="s">
        <v>24</v>
      </c>
      <c r="WXJ948" s="4">
        <v>0</v>
      </c>
      <c r="WXK948" s="8">
        <f t="shared" ref="WXK948" si="7217">IF(WXG948="Ionizador", 10, IF(WXG948="Mesa", 1000000000, IF(WXG948="Rack", 1000000000, IF(WXG948="Piso", 1000000000, IF(WXG948="Tapete", 1000000000, IF(WXG948="Carrito", 1000000000, IF(WXG948="Cautín", 10, 1)))))))</f>
        <v>1000000000</v>
      </c>
      <c r="WXL948" s="4" t="str">
        <f t="shared" ref="WXL948" si="7218">IF(WXG948="Ionizador", "Segundos", "Ohms")</f>
        <v>Ohms</v>
      </c>
      <c r="WXM948" s="6">
        <v>148000000</v>
      </c>
      <c r="WXN948" s="6" t="str">
        <f t="shared" ref="WXN948" si="7219">WXL948</f>
        <v>Ohms</v>
      </c>
      <c r="WXO948" s="2" t="str">
        <f t="shared" ref="WXO948" si="7220">IF(WXG948="Ionizador", "Plato de carga", IF(WXG948="Cautín", "PTG", "RTG"))</f>
        <v>RTG</v>
      </c>
      <c r="WXP948" s="7">
        <v>45992</v>
      </c>
      <c r="WXQ948" s="7">
        <f t="shared" ref="WXQ948" si="7221">IF(WXR948="Trimestral", WXP948+90, IF(WXR948="Semestral", WXP948+180, WXP948+365))</f>
        <v>46172</v>
      </c>
      <c r="WXR948" s="7" t="str">
        <f t="shared" ref="WXR948" si="7222">IF(WXG948="Ionizador", "Trimestral", IF(WXG948="Rack", "Semestral", IF(WXG948="Mesa", "Semestral", IF(WXG948="Tapete", "Semestral", IF(WXG948="Cautín", "Semestral", IF(WXG948="Silla", "Semestral", "Anual"))))))</f>
        <v>Semestral</v>
      </c>
      <c r="WXS948" s="2" t="str">
        <f t="shared" ref="WXS948" ca="1" si="7223">IF(WXQ948&lt;TODAY(),"VENCIDO",IF(WXQ948=TODAY(),"VENCE HOY",IF(WXQ948&gt;TODAY(),"VIGENTE")))</f>
        <v>VIGENTE</v>
      </c>
      <c r="WXT948" s="6" t="s">
        <v>25</v>
      </c>
      <c r="WXU948" s="23" t="s">
        <v>138</v>
      </c>
      <c r="WXV948" s="2" t="s">
        <v>433</v>
      </c>
      <c r="WXW948" s="3" t="s">
        <v>22</v>
      </c>
      <c r="WXX948" s="3" t="s">
        <v>23</v>
      </c>
      <c r="WXY948" s="2" t="s">
        <v>24</v>
      </c>
      <c r="WXZ948" s="4">
        <v>0</v>
      </c>
      <c r="WYA948" s="8">
        <f t="shared" ref="WYA948" si="7224">IF(WXW948="Ionizador", 10, IF(WXW948="Mesa", 1000000000, IF(WXW948="Rack", 1000000000, IF(WXW948="Piso", 1000000000, IF(WXW948="Tapete", 1000000000, IF(WXW948="Carrito", 1000000000, IF(WXW948="Cautín", 10, 1)))))))</f>
        <v>1000000000</v>
      </c>
      <c r="WYB948" s="4" t="str">
        <f t="shared" ref="WYB948" si="7225">IF(WXW948="Ionizador", "Segundos", "Ohms")</f>
        <v>Ohms</v>
      </c>
      <c r="WYC948" s="6">
        <v>148000000</v>
      </c>
      <c r="WYD948" s="6" t="str">
        <f t="shared" ref="WYD948" si="7226">WYB948</f>
        <v>Ohms</v>
      </c>
      <c r="WYE948" s="2" t="str">
        <f t="shared" ref="WYE948" si="7227">IF(WXW948="Ionizador", "Plato de carga", IF(WXW948="Cautín", "PTG", "RTG"))</f>
        <v>RTG</v>
      </c>
      <c r="WYF948" s="7">
        <v>45992</v>
      </c>
      <c r="WYG948" s="7">
        <f t="shared" ref="WYG948" si="7228">IF(WYH948="Trimestral", WYF948+90, IF(WYH948="Semestral", WYF948+180, WYF948+365))</f>
        <v>46172</v>
      </c>
      <c r="WYH948" s="7" t="str">
        <f t="shared" ref="WYH948" si="7229">IF(WXW948="Ionizador", "Trimestral", IF(WXW948="Rack", "Semestral", IF(WXW948="Mesa", "Semestral", IF(WXW948="Tapete", "Semestral", IF(WXW948="Cautín", "Semestral", IF(WXW948="Silla", "Semestral", "Anual"))))))</f>
        <v>Semestral</v>
      </c>
      <c r="WYI948" s="2" t="str">
        <f t="shared" ref="WYI948" ca="1" si="7230">IF(WYG948&lt;TODAY(),"VENCIDO",IF(WYG948=TODAY(),"VENCE HOY",IF(WYG948&gt;TODAY(),"VIGENTE")))</f>
        <v>VIGENTE</v>
      </c>
      <c r="WYJ948" s="6" t="s">
        <v>25</v>
      </c>
      <c r="WYK948" s="23" t="s">
        <v>138</v>
      </c>
      <c r="WYL948" s="2" t="s">
        <v>433</v>
      </c>
      <c r="WYM948" s="3" t="s">
        <v>22</v>
      </c>
      <c r="WYN948" s="3" t="s">
        <v>23</v>
      </c>
      <c r="WYO948" s="2" t="s">
        <v>24</v>
      </c>
      <c r="WYP948" s="4">
        <v>0</v>
      </c>
      <c r="WYQ948" s="8">
        <f t="shared" ref="WYQ948" si="7231">IF(WYM948="Ionizador", 10, IF(WYM948="Mesa", 1000000000, IF(WYM948="Rack", 1000000000, IF(WYM948="Piso", 1000000000, IF(WYM948="Tapete", 1000000000, IF(WYM948="Carrito", 1000000000, IF(WYM948="Cautín", 10, 1)))))))</f>
        <v>1000000000</v>
      </c>
      <c r="WYR948" s="4" t="str">
        <f t="shared" ref="WYR948" si="7232">IF(WYM948="Ionizador", "Segundos", "Ohms")</f>
        <v>Ohms</v>
      </c>
      <c r="WYS948" s="6">
        <v>148000000</v>
      </c>
      <c r="WYT948" s="6" t="str">
        <f t="shared" ref="WYT948" si="7233">WYR948</f>
        <v>Ohms</v>
      </c>
      <c r="WYU948" s="2" t="str">
        <f t="shared" ref="WYU948" si="7234">IF(WYM948="Ionizador", "Plato de carga", IF(WYM948="Cautín", "PTG", "RTG"))</f>
        <v>RTG</v>
      </c>
      <c r="WYV948" s="7">
        <v>45992</v>
      </c>
      <c r="WYW948" s="7">
        <f t="shared" ref="WYW948" si="7235">IF(WYX948="Trimestral", WYV948+90, IF(WYX948="Semestral", WYV948+180, WYV948+365))</f>
        <v>46172</v>
      </c>
      <c r="WYX948" s="7" t="str">
        <f t="shared" ref="WYX948" si="7236">IF(WYM948="Ionizador", "Trimestral", IF(WYM948="Rack", "Semestral", IF(WYM948="Mesa", "Semestral", IF(WYM948="Tapete", "Semestral", IF(WYM948="Cautín", "Semestral", IF(WYM948="Silla", "Semestral", "Anual"))))))</f>
        <v>Semestral</v>
      </c>
      <c r="WYY948" s="2" t="str">
        <f t="shared" ref="WYY948" ca="1" si="7237">IF(WYW948&lt;TODAY(),"VENCIDO",IF(WYW948=TODAY(),"VENCE HOY",IF(WYW948&gt;TODAY(),"VIGENTE")))</f>
        <v>VIGENTE</v>
      </c>
      <c r="WYZ948" s="6" t="s">
        <v>25</v>
      </c>
      <c r="WZA948" s="23" t="s">
        <v>138</v>
      </c>
      <c r="WZB948" s="2" t="s">
        <v>433</v>
      </c>
      <c r="WZC948" s="3" t="s">
        <v>22</v>
      </c>
      <c r="WZD948" s="3" t="s">
        <v>23</v>
      </c>
      <c r="WZE948" s="2" t="s">
        <v>24</v>
      </c>
      <c r="WZF948" s="4">
        <v>0</v>
      </c>
      <c r="WZG948" s="8">
        <f t="shared" ref="WZG948" si="7238">IF(WZC948="Ionizador", 10, IF(WZC948="Mesa", 1000000000, IF(WZC948="Rack", 1000000000, IF(WZC948="Piso", 1000000000, IF(WZC948="Tapete", 1000000000, IF(WZC948="Carrito", 1000000000, IF(WZC948="Cautín", 10, 1)))))))</f>
        <v>1000000000</v>
      </c>
      <c r="WZH948" s="4" t="str">
        <f t="shared" ref="WZH948" si="7239">IF(WZC948="Ionizador", "Segundos", "Ohms")</f>
        <v>Ohms</v>
      </c>
      <c r="WZI948" s="6">
        <v>148000000</v>
      </c>
      <c r="WZJ948" s="6" t="str">
        <f t="shared" ref="WZJ948" si="7240">WZH948</f>
        <v>Ohms</v>
      </c>
      <c r="WZK948" s="2" t="str">
        <f t="shared" ref="WZK948" si="7241">IF(WZC948="Ionizador", "Plato de carga", IF(WZC948="Cautín", "PTG", "RTG"))</f>
        <v>RTG</v>
      </c>
      <c r="WZL948" s="7">
        <v>45992</v>
      </c>
      <c r="WZM948" s="7">
        <f t="shared" ref="WZM948" si="7242">IF(WZN948="Trimestral", WZL948+90, IF(WZN948="Semestral", WZL948+180, WZL948+365))</f>
        <v>46172</v>
      </c>
      <c r="WZN948" s="7" t="str">
        <f t="shared" ref="WZN948" si="7243">IF(WZC948="Ionizador", "Trimestral", IF(WZC948="Rack", "Semestral", IF(WZC948="Mesa", "Semestral", IF(WZC948="Tapete", "Semestral", IF(WZC948="Cautín", "Semestral", IF(WZC948="Silla", "Semestral", "Anual"))))))</f>
        <v>Semestral</v>
      </c>
      <c r="WZO948" s="2" t="str">
        <f t="shared" ref="WZO948" ca="1" si="7244">IF(WZM948&lt;TODAY(),"VENCIDO",IF(WZM948=TODAY(),"VENCE HOY",IF(WZM948&gt;TODAY(),"VIGENTE")))</f>
        <v>VIGENTE</v>
      </c>
      <c r="WZP948" s="6" t="s">
        <v>25</v>
      </c>
      <c r="WZQ948" s="23" t="s">
        <v>138</v>
      </c>
      <c r="WZR948" s="2" t="s">
        <v>433</v>
      </c>
      <c r="WZS948" s="3" t="s">
        <v>22</v>
      </c>
      <c r="WZT948" s="3" t="s">
        <v>23</v>
      </c>
      <c r="WZU948" s="2" t="s">
        <v>24</v>
      </c>
      <c r="WZV948" s="4">
        <v>0</v>
      </c>
      <c r="WZW948" s="8">
        <f t="shared" ref="WZW948" si="7245">IF(WZS948="Ionizador", 10, IF(WZS948="Mesa", 1000000000, IF(WZS948="Rack", 1000000000, IF(WZS948="Piso", 1000000000, IF(WZS948="Tapete", 1000000000, IF(WZS948="Carrito", 1000000000, IF(WZS948="Cautín", 10, 1)))))))</f>
        <v>1000000000</v>
      </c>
      <c r="WZX948" s="4" t="str">
        <f t="shared" ref="WZX948" si="7246">IF(WZS948="Ionizador", "Segundos", "Ohms")</f>
        <v>Ohms</v>
      </c>
      <c r="WZY948" s="6">
        <v>148000000</v>
      </c>
      <c r="WZZ948" s="6" t="str">
        <f t="shared" ref="WZZ948" si="7247">WZX948</f>
        <v>Ohms</v>
      </c>
      <c r="XAA948" s="2" t="str">
        <f t="shared" ref="XAA948" si="7248">IF(WZS948="Ionizador", "Plato de carga", IF(WZS948="Cautín", "PTG", "RTG"))</f>
        <v>RTG</v>
      </c>
      <c r="XAB948" s="7">
        <v>45992</v>
      </c>
      <c r="XAC948" s="7">
        <f t="shared" ref="XAC948" si="7249">IF(XAD948="Trimestral", XAB948+90, IF(XAD948="Semestral", XAB948+180, XAB948+365))</f>
        <v>46172</v>
      </c>
      <c r="XAD948" s="7" t="str">
        <f t="shared" ref="XAD948" si="7250">IF(WZS948="Ionizador", "Trimestral", IF(WZS948="Rack", "Semestral", IF(WZS948="Mesa", "Semestral", IF(WZS948="Tapete", "Semestral", IF(WZS948="Cautín", "Semestral", IF(WZS948="Silla", "Semestral", "Anual"))))))</f>
        <v>Semestral</v>
      </c>
      <c r="XAE948" s="2" t="str">
        <f t="shared" ref="XAE948" ca="1" si="7251">IF(XAC948&lt;TODAY(),"VENCIDO",IF(XAC948=TODAY(),"VENCE HOY",IF(XAC948&gt;TODAY(),"VIGENTE")))</f>
        <v>VIGENTE</v>
      </c>
      <c r="XAF948" s="6" t="s">
        <v>25</v>
      </c>
      <c r="XAG948" s="23" t="s">
        <v>138</v>
      </c>
      <c r="XAH948" s="2" t="s">
        <v>433</v>
      </c>
      <c r="XAI948" s="3" t="s">
        <v>22</v>
      </c>
      <c r="XAJ948" s="3" t="s">
        <v>23</v>
      </c>
      <c r="XAK948" s="2" t="s">
        <v>24</v>
      </c>
      <c r="XAL948" s="4">
        <v>0</v>
      </c>
      <c r="XAM948" s="8">
        <f t="shared" ref="XAM948" si="7252">IF(XAI948="Ionizador", 10, IF(XAI948="Mesa", 1000000000, IF(XAI948="Rack", 1000000000, IF(XAI948="Piso", 1000000000, IF(XAI948="Tapete", 1000000000, IF(XAI948="Carrito", 1000000000, IF(XAI948="Cautín", 10, 1)))))))</f>
        <v>1000000000</v>
      </c>
      <c r="XAN948" s="4" t="str">
        <f t="shared" ref="XAN948" si="7253">IF(XAI948="Ionizador", "Segundos", "Ohms")</f>
        <v>Ohms</v>
      </c>
      <c r="XAO948" s="6">
        <v>148000000</v>
      </c>
      <c r="XAP948" s="6" t="str">
        <f t="shared" ref="XAP948" si="7254">XAN948</f>
        <v>Ohms</v>
      </c>
      <c r="XAQ948" s="2" t="str">
        <f t="shared" ref="XAQ948" si="7255">IF(XAI948="Ionizador", "Plato de carga", IF(XAI948="Cautín", "PTG", "RTG"))</f>
        <v>RTG</v>
      </c>
      <c r="XAR948" s="7">
        <v>45992</v>
      </c>
      <c r="XAS948" s="7">
        <f t="shared" ref="XAS948" si="7256">IF(XAT948="Trimestral", XAR948+90, IF(XAT948="Semestral", XAR948+180, XAR948+365))</f>
        <v>46172</v>
      </c>
      <c r="XAT948" s="7" t="str">
        <f t="shared" ref="XAT948" si="7257">IF(XAI948="Ionizador", "Trimestral", IF(XAI948="Rack", "Semestral", IF(XAI948="Mesa", "Semestral", IF(XAI948="Tapete", "Semestral", IF(XAI948="Cautín", "Semestral", IF(XAI948="Silla", "Semestral", "Anual"))))))</f>
        <v>Semestral</v>
      </c>
      <c r="XAU948" s="2" t="str">
        <f t="shared" ref="XAU948" ca="1" si="7258">IF(XAS948&lt;TODAY(),"VENCIDO",IF(XAS948=TODAY(),"VENCE HOY",IF(XAS948&gt;TODAY(),"VIGENTE")))</f>
        <v>VIGENTE</v>
      </c>
      <c r="XAV948" s="6" t="s">
        <v>25</v>
      </c>
      <c r="XAW948" s="23" t="s">
        <v>138</v>
      </c>
      <c r="XAX948" s="2" t="s">
        <v>433</v>
      </c>
      <c r="XAY948" s="3" t="s">
        <v>22</v>
      </c>
      <c r="XAZ948" s="3" t="s">
        <v>23</v>
      </c>
      <c r="XBA948" s="2" t="s">
        <v>24</v>
      </c>
      <c r="XBB948" s="4">
        <v>0</v>
      </c>
      <c r="XBC948" s="8">
        <f t="shared" ref="XBC948" si="7259">IF(XAY948="Ionizador", 10, IF(XAY948="Mesa", 1000000000, IF(XAY948="Rack", 1000000000, IF(XAY948="Piso", 1000000000, IF(XAY948="Tapete", 1000000000, IF(XAY948="Carrito", 1000000000, IF(XAY948="Cautín", 10, 1)))))))</f>
        <v>1000000000</v>
      </c>
      <c r="XBD948" s="4" t="str">
        <f t="shared" ref="XBD948" si="7260">IF(XAY948="Ionizador", "Segundos", "Ohms")</f>
        <v>Ohms</v>
      </c>
      <c r="XBE948" s="6">
        <v>148000000</v>
      </c>
      <c r="XBF948" s="6" t="str">
        <f t="shared" ref="XBF948" si="7261">XBD948</f>
        <v>Ohms</v>
      </c>
      <c r="XBG948" s="2" t="str">
        <f t="shared" ref="XBG948" si="7262">IF(XAY948="Ionizador", "Plato de carga", IF(XAY948="Cautín", "PTG", "RTG"))</f>
        <v>RTG</v>
      </c>
      <c r="XBH948" s="7">
        <v>45992</v>
      </c>
      <c r="XBI948" s="7">
        <f t="shared" ref="XBI948" si="7263">IF(XBJ948="Trimestral", XBH948+90, IF(XBJ948="Semestral", XBH948+180, XBH948+365))</f>
        <v>46172</v>
      </c>
      <c r="XBJ948" s="7" t="str">
        <f t="shared" ref="XBJ948" si="7264">IF(XAY948="Ionizador", "Trimestral", IF(XAY948="Rack", "Semestral", IF(XAY948="Mesa", "Semestral", IF(XAY948="Tapete", "Semestral", IF(XAY948="Cautín", "Semestral", IF(XAY948="Silla", "Semestral", "Anual"))))))</f>
        <v>Semestral</v>
      </c>
      <c r="XBK948" s="2" t="str">
        <f t="shared" ref="XBK948" ca="1" si="7265">IF(XBI948&lt;TODAY(),"VENCIDO",IF(XBI948=TODAY(),"VENCE HOY",IF(XBI948&gt;TODAY(),"VIGENTE")))</f>
        <v>VIGENTE</v>
      </c>
      <c r="XBL948" s="6" t="s">
        <v>25</v>
      </c>
      <c r="XBM948" s="23" t="s">
        <v>138</v>
      </c>
      <c r="XBN948" s="2" t="s">
        <v>433</v>
      </c>
      <c r="XBO948" s="3" t="s">
        <v>22</v>
      </c>
      <c r="XBP948" s="3" t="s">
        <v>23</v>
      </c>
      <c r="XBQ948" s="2" t="s">
        <v>24</v>
      </c>
      <c r="XBR948" s="4">
        <v>0</v>
      </c>
      <c r="XBS948" s="8">
        <f t="shared" ref="XBS948" si="7266">IF(XBO948="Ionizador", 10, IF(XBO948="Mesa", 1000000000, IF(XBO948="Rack", 1000000000, IF(XBO948="Piso", 1000000000, IF(XBO948="Tapete", 1000000000, IF(XBO948="Carrito", 1000000000, IF(XBO948="Cautín", 10, 1)))))))</f>
        <v>1000000000</v>
      </c>
      <c r="XBT948" s="4" t="str">
        <f t="shared" ref="XBT948" si="7267">IF(XBO948="Ionizador", "Segundos", "Ohms")</f>
        <v>Ohms</v>
      </c>
      <c r="XBU948" s="6">
        <v>148000000</v>
      </c>
      <c r="XBV948" s="6" t="str">
        <f t="shared" ref="XBV948" si="7268">XBT948</f>
        <v>Ohms</v>
      </c>
      <c r="XBW948" s="2" t="str">
        <f t="shared" ref="XBW948" si="7269">IF(XBO948="Ionizador", "Plato de carga", IF(XBO948="Cautín", "PTG", "RTG"))</f>
        <v>RTG</v>
      </c>
      <c r="XBX948" s="7">
        <v>45992</v>
      </c>
      <c r="XBY948" s="7">
        <f t="shared" ref="XBY948" si="7270">IF(XBZ948="Trimestral", XBX948+90, IF(XBZ948="Semestral", XBX948+180, XBX948+365))</f>
        <v>46172</v>
      </c>
      <c r="XBZ948" s="7" t="str">
        <f t="shared" ref="XBZ948" si="7271">IF(XBO948="Ionizador", "Trimestral", IF(XBO948="Rack", "Semestral", IF(XBO948="Mesa", "Semestral", IF(XBO948="Tapete", "Semestral", IF(XBO948="Cautín", "Semestral", IF(XBO948="Silla", "Semestral", "Anual"))))))</f>
        <v>Semestral</v>
      </c>
      <c r="XCA948" s="2" t="str">
        <f t="shared" ref="XCA948" ca="1" si="7272">IF(XBY948&lt;TODAY(),"VENCIDO",IF(XBY948=TODAY(),"VENCE HOY",IF(XBY948&gt;TODAY(),"VIGENTE")))</f>
        <v>VIGENTE</v>
      </c>
      <c r="XCB948" s="6" t="s">
        <v>25</v>
      </c>
      <c r="XCC948" s="23" t="s">
        <v>138</v>
      </c>
      <c r="XCD948" s="2" t="s">
        <v>433</v>
      </c>
      <c r="XCE948" s="3" t="s">
        <v>22</v>
      </c>
      <c r="XCF948" s="3" t="s">
        <v>23</v>
      </c>
      <c r="XCG948" s="2" t="s">
        <v>24</v>
      </c>
      <c r="XCH948" s="4">
        <v>0</v>
      </c>
      <c r="XCI948" s="8">
        <f t="shared" ref="XCI948" si="7273">IF(XCE948="Ionizador", 10, IF(XCE948="Mesa", 1000000000, IF(XCE948="Rack", 1000000000, IF(XCE948="Piso", 1000000000, IF(XCE948="Tapete", 1000000000, IF(XCE948="Carrito", 1000000000, IF(XCE948="Cautín", 10, 1)))))))</f>
        <v>1000000000</v>
      </c>
      <c r="XCJ948" s="4" t="str">
        <f t="shared" ref="XCJ948" si="7274">IF(XCE948="Ionizador", "Segundos", "Ohms")</f>
        <v>Ohms</v>
      </c>
      <c r="XCK948" s="6">
        <v>148000000</v>
      </c>
      <c r="XCL948" s="6" t="str">
        <f t="shared" ref="XCL948" si="7275">XCJ948</f>
        <v>Ohms</v>
      </c>
      <c r="XCM948" s="2" t="str">
        <f t="shared" ref="XCM948" si="7276">IF(XCE948="Ionizador", "Plato de carga", IF(XCE948="Cautín", "PTG", "RTG"))</f>
        <v>RTG</v>
      </c>
      <c r="XCN948" s="7">
        <v>45992</v>
      </c>
      <c r="XCO948" s="7">
        <f t="shared" ref="XCO948" si="7277">IF(XCP948="Trimestral", XCN948+90, IF(XCP948="Semestral", XCN948+180, XCN948+365))</f>
        <v>46172</v>
      </c>
      <c r="XCP948" s="7" t="str">
        <f t="shared" ref="XCP948" si="7278">IF(XCE948="Ionizador", "Trimestral", IF(XCE948="Rack", "Semestral", IF(XCE948="Mesa", "Semestral", IF(XCE948="Tapete", "Semestral", IF(XCE948="Cautín", "Semestral", IF(XCE948="Silla", "Semestral", "Anual"))))))</f>
        <v>Semestral</v>
      </c>
      <c r="XCQ948" s="2" t="str">
        <f t="shared" ref="XCQ948" ca="1" si="7279">IF(XCO948&lt;TODAY(),"VENCIDO",IF(XCO948=TODAY(),"VENCE HOY",IF(XCO948&gt;TODAY(),"VIGENTE")))</f>
        <v>VIGENTE</v>
      </c>
      <c r="XCR948" s="6" t="s">
        <v>25</v>
      </c>
      <c r="XCS948" s="23" t="s">
        <v>138</v>
      </c>
      <c r="XCT948" s="2" t="s">
        <v>433</v>
      </c>
      <c r="XCU948" s="3" t="s">
        <v>22</v>
      </c>
      <c r="XCV948" s="3" t="s">
        <v>23</v>
      </c>
      <c r="XCW948" s="2" t="s">
        <v>24</v>
      </c>
      <c r="XCX948" s="4">
        <v>0</v>
      </c>
      <c r="XCY948" s="8">
        <f t="shared" ref="XCY948" si="7280">IF(XCU948="Ionizador", 10, IF(XCU948="Mesa", 1000000000, IF(XCU948="Rack", 1000000000, IF(XCU948="Piso", 1000000000, IF(XCU948="Tapete", 1000000000, IF(XCU948="Carrito", 1000000000, IF(XCU948="Cautín", 10, 1)))))))</f>
        <v>1000000000</v>
      </c>
      <c r="XCZ948" s="4" t="str">
        <f t="shared" ref="XCZ948" si="7281">IF(XCU948="Ionizador", "Segundos", "Ohms")</f>
        <v>Ohms</v>
      </c>
      <c r="XDA948" s="6">
        <v>148000000</v>
      </c>
      <c r="XDB948" s="6" t="str">
        <f t="shared" ref="XDB948" si="7282">XCZ948</f>
        <v>Ohms</v>
      </c>
      <c r="XDC948" s="2" t="str">
        <f t="shared" ref="XDC948" si="7283">IF(XCU948="Ionizador", "Plato de carga", IF(XCU948="Cautín", "PTG", "RTG"))</f>
        <v>RTG</v>
      </c>
      <c r="XDD948" s="7">
        <v>45992</v>
      </c>
      <c r="XDE948" s="7">
        <f t="shared" ref="XDE948" si="7284">IF(XDF948="Trimestral", XDD948+90, IF(XDF948="Semestral", XDD948+180, XDD948+365))</f>
        <v>46172</v>
      </c>
      <c r="XDF948" s="7" t="str">
        <f t="shared" ref="XDF948" si="7285">IF(XCU948="Ionizador", "Trimestral", IF(XCU948="Rack", "Semestral", IF(XCU948="Mesa", "Semestral", IF(XCU948="Tapete", "Semestral", IF(XCU948="Cautín", "Semestral", IF(XCU948="Silla", "Semestral", "Anual"))))))</f>
        <v>Semestral</v>
      </c>
      <c r="XDG948" s="2" t="str">
        <f t="shared" ref="XDG948" ca="1" si="7286">IF(XDE948&lt;TODAY(),"VENCIDO",IF(XDE948=TODAY(),"VENCE HOY",IF(XDE948&gt;TODAY(),"VIGENTE")))</f>
        <v>VIGENTE</v>
      </c>
      <c r="XDH948" s="6" t="s">
        <v>25</v>
      </c>
      <c r="XDI948" s="23" t="s">
        <v>138</v>
      </c>
      <c r="XDJ948" s="2" t="s">
        <v>433</v>
      </c>
      <c r="XDK948" s="3" t="s">
        <v>22</v>
      </c>
      <c r="XDL948" s="3" t="s">
        <v>23</v>
      </c>
      <c r="XDM948" s="2" t="s">
        <v>24</v>
      </c>
      <c r="XDN948" s="4">
        <v>0</v>
      </c>
      <c r="XDO948" s="8">
        <f t="shared" ref="XDO948" si="7287">IF(XDK948="Ionizador", 10, IF(XDK948="Mesa", 1000000000, IF(XDK948="Rack", 1000000000, IF(XDK948="Piso", 1000000000, IF(XDK948="Tapete", 1000000000, IF(XDK948="Carrito", 1000000000, IF(XDK948="Cautín", 10, 1)))))))</f>
        <v>1000000000</v>
      </c>
      <c r="XDP948" s="4" t="str">
        <f t="shared" ref="XDP948" si="7288">IF(XDK948="Ionizador", "Segundos", "Ohms")</f>
        <v>Ohms</v>
      </c>
      <c r="XDQ948" s="6">
        <v>148000000</v>
      </c>
      <c r="XDR948" s="6" t="str">
        <f t="shared" ref="XDR948" si="7289">XDP948</f>
        <v>Ohms</v>
      </c>
      <c r="XDS948" s="2" t="str">
        <f t="shared" ref="XDS948" si="7290">IF(XDK948="Ionizador", "Plato de carga", IF(XDK948="Cautín", "PTG", "RTG"))</f>
        <v>RTG</v>
      </c>
      <c r="XDT948" s="7">
        <v>45992</v>
      </c>
      <c r="XDU948" s="7">
        <f t="shared" ref="XDU948" si="7291">IF(XDV948="Trimestral", XDT948+90, IF(XDV948="Semestral", XDT948+180, XDT948+365))</f>
        <v>46172</v>
      </c>
      <c r="XDV948" s="7" t="str">
        <f t="shared" ref="XDV948" si="7292">IF(XDK948="Ionizador", "Trimestral", IF(XDK948="Rack", "Semestral", IF(XDK948="Mesa", "Semestral", IF(XDK948="Tapete", "Semestral", IF(XDK948="Cautín", "Semestral", IF(XDK948="Silla", "Semestral", "Anual"))))))</f>
        <v>Semestral</v>
      </c>
      <c r="XDW948" s="2" t="str">
        <f t="shared" ref="XDW948" ca="1" si="7293">IF(XDU948&lt;TODAY(),"VENCIDO",IF(XDU948=TODAY(),"VENCE HOY",IF(XDU948&gt;TODAY(),"VIGENTE")))</f>
        <v>VIGENTE</v>
      </c>
      <c r="XDX948" s="6" t="s">
        <v>25</v>
      </c>
      <c r="XDY948" s="23" t="s">
        <v>138</v>
      </c>
      <c r="XDZ948" s="2" t="s">
        <v>433</v>
      </c>
      <c r="XEA948" s="3" t="s">
        <v>22</v>
      </c>
      <c r="XEB948" s="3" t="s">
        <v>23</v>
      </c>
      <c r="XEC948" s="2" t="s">
        <v>24</v>
      </c>
      <c r="XED948" s="4">
        <v>0</v>
      </c>
      <c r="XEE948" s="8">
        <f t="shared" ref="XEE948" si="7294">IF(XEA948="Ionizador", 10, IF(XEA948="Mesa", 1000000000, IF(XEA948="Rack", 1000000000, IF(XEA948="Piso", 1000000000, IF(XEA948="Tapete", 1000000000, IF(XEA948="Carrito", 1000000000, IF(XEA948="Cautín", 10, 1)))))))</f>
        <v>1000000000</v>
      </c>
      <c r="XEF948" s="4" t="str">
        <f t="shared" ref="XEF948" si="7295">IF(XEA948="Ionizador", "Segundos", "Ohms")</f>
        <v>Ohms</v>
      </c>
      <c r="XEG948" s="6">
        <v>148000000</v>
      </c>
      <c r="XEH948" s="6" t="str">
        <f t="shared" ref="XEH948" si="7296">XEF948</f>
        <v>Ohms</v>
      </c>
      <c r="XEI948" s="2" t="str">
        <f t="shared" ref="XEI948" si="7297">IF(XEA948="Ionizador", "Plato de carga", IF(XEA948="Cautín", "PTG", "RTG"))</f>
        <v>RTG</v>
      </c>
      <c r="XEJ948" s="7">
        <v>45992</v>
      </c>
      <c r="XEK948" s="7">
        <f t="shared" ref="XEK948" si="7298">IF(XEL948="Trimestral", XEJ948+90, IF(XEL948="Semestral", XEJ948+180, XEJ948+365))</f>
        <v>46172</v>
      </c>
      <c r="XEL948" s="7" t="str">
        <f t="shared" ref="XEL948" si="7299">IF(XEA948="Ionizador", "Trimestral", IF(XEA948="Rack", "Semestral", IF(XEA948="Mesa", "Semestral", IF(XEA948="Tapete", "Semestral", IF(XEA948="Cautín", "Semestral", IF(XEA948="Silla", "Semestral", "Anual"))))))</f>
        <v>Semestral</v>
      </c>
      <c r="XEM948" s="2" t="str">
        <f t="shared" ref="XEM948" ca="1" si="7300">IF(XEK948&lt;TODAY(),"VENCIDO",IF(XEK948=TODAY(),"VENCE HOY",IF(XEK948&gt;TODAY(),"VIGENTE")))</f>
        <v>VIGENTE</v>
      </c>
      <c r="XEN948" s="6" t="s">
        <v>25</v>
      </c>
      <c r="XEO948" s="23" t="s">
        <v>138</v>
      </c>
      <c r="XEP948" s="2" t="s">
        <v>433</v>
      </c>
      <c r="XEQ948" s="3" t="s">
        <v>22</v>
      </c>
      <c r="XER948" s="3" t="s">
        <v>23</v>
      </c>
      <c r="XES948" s="2" t="s">
        <v>24</v>
      </c>
      <c r="XET948" s="4">
        <v>0</v>
      </c>
      <c r="XEU948" s="8">
        <f t="shared" ref="XEU948" si="7301">IF(XEQ948="Ionizador", 10, IF(XEQ948="Mesa", 1000000000, IF(XEQ948="Rack", 1000000000, IF(XEQ948="Piso", 1000000000, IF(XEQ948="Tapete", 1000000000, IF(XEQ948="Carrito", 1000000000, IF(XEQ948="Cautín", 10, 1)))))))</f>
        <v>1000000000</v>
      </c>
      <c r="XEV948" s="4" t="str">
        <f t="shared" ref="XEV948" si="7302">IF(XEQ948="Ionizador", "Segundos", "Ohms")</f>
        <v>Ohms</v>
      </c>
      <c r="XEW948" s="6">
        <v>148000000</v>
      </c>
      <c r="XEX948" s="6" t="str">
        <f t="shared" ref="XEX948" si="7303">XEV948</f>
        <v>Ohms</v>
      </c>
      <c r="XEY948" s="2" t="str">
        <f t="shared" ref="XEY948" si="7304">IF(XEQ948="Ionizador", "Plato de carga", IF(XEQ948="Cautín", "PTG", "RTG"))</f>
        <v>RTG</v>
      </c>
      <c r="XEZ948" s="7">
        <v>45992</v>
      </c>
      <c r="XFA948" s="7">
        <f t="shared" ref="XFA948" si="7305">IF(XFB948="Trimestral", XEZ948+90, IF(XFB948="Semestral", XEZ948+180, XEZ948+365))</f>
        <v>46172</v>
      </c>
      <c r="XFB948" s="7" t="str">
        <f t="shared" ref="XFB948" si="7306">IF(XEQ948="Ionizador", "Trimestral", IF(XEQ948="Rack", "Semestral", IF(XEQ948="Mesa", "Semestral", IF(XEQ948="Tapete", "Semestral", IF(XEQ948="Cautín", "Semestral", IF(XEQ948="Silla", "Semestral", "Anual"))))))</f>
        <v>Semestral</v>
      </c>
      <c r="XFC948" s="2" t="str">
        <f t="shared" ref="XFC948" ca="1" si="7307">IF(XFA948&lt;TODAY(),"VENCIDO",IF(XFA948=TODAY(),"VENCE HOY",IF(XFA948&gt;TODAY(),"VIGENTE")))</f>
        <v>VIGENTE</v>
      </c>
      <c r="XFD948" s="6" t="s">
        <v>25</v>
      </c>
    </row>
    <row r="949" spans="1:16384" s="1" customFormat="1" x14ac:dyDescent="0.25">
      <c r="A949" s="23" t="s">
        <v>155</v>
      </c>
      <c r="B949" s="2" t="s">
        <v>1041</v>
      </c>
      <c r="C949" s="3" t="s">
        <v>22</v>
      </c>
      <c r="D949" s="3" t="s">
        <v>23</v>
      </c>
      <c r="E949" s="2" t="s">
        <v>24</v>
      </c>
      <c r="F949" s="4">
        <v>0</v>
      </c>
      <c r="G949" s="8">
        <f t="shared" si="139"/>
        <v>1000000000</v>
      </c>
      <c r="H949" s="4" t="str">
        <f t="shared" si="140"/>
        <v>Ohms</v>
      </c>
      <c r="I949" s="6">
        <v>24100000</v>
      </c>
      <c r="J949" s="6" t="str">
        <f t="shared" si="141"/>
        <v>Ohms</v>
      </c>
      <c r="K949" s="2" t="str">
        <f t="shared" si="142"/>
        <v>RTG</v>
      </c>
      <c r="L949" s="7">
        <v>45838</v>
      </c>
      <c r="M949" s="7">
        <f t="shared" si="144"/>
        <v>46203</v>
      </c>
      <c r="N949" s="7" t="str">
        <f t="shared" si="145"/>
        <v>Anual</v>
      </c>
      <c r="O949" s="2" t="str">
        <f t="shared" ca="1" si="146"/>
        <v>VIGENTE</v>
      </c>
      <c r="P949" s="6" t="s">
        <v>25</v>
      </c>
      <c r="Q949" s="2"/>
    </row>
    <row r="950" spans="1:16384" s="1" customFormat="1" x14ac:dyDescent="0.25">
      <c r="A950" s="23" t="s">
        <v>155</v>
      </c>
      <c r="B950" s="2" t="s">
        <v>1126</v>
      </c>
      <c r="C950" s="3" t="s">
        <v>22</v>
      </c>
      <c r="D950" s="3" t="s">
        <v>23</v>
      </c>
      <c r="E950" s="2" t="s">
        <v>24</v>
      </c>
      <c r="F950" s="4">
        <v>0</v>
      </c>
      <c r="G950" s="8">
        <f t="shared" si="139"/>
        <v>1000000000</v>
      </c>
      <c r="H950" s="4" t="str">
        <f t="shared" si="140"/>
        <v>Ohms</v>
      </c>
      <c r="I950" s="14">
        <v>122000000</v>
      </c>
      <c r="J950" s="6" t="str">
        <f t="shared" si="141"/>
        <v>Ohms</v>
      </c>
      <c r="K950" s="2" t="str">
        <f t="shared" si="142"/>
        <v>RTG</v>
      </c>
      <c r="L950" s="7">
        <v>45843</v>
      </c>
      <c r="M950" s="7">
        <f t="shared" si="144"/>
        <v>46208</v>
      </c>
      <c r="N950" s="7" t="str">
        <f t="shared" si="145"/>
        <v>Anual</v>
      </c>
      <c r="O950" s="2" t="str">
        <f t="shared" ca="1" si="146"/>
        <v>VIGENTE</v>
      </c>
      <c r="P950" s="6" t="s">
        <v>25</v>
      </c>
      <c r="Q950" s="2"/>
    </row>
    <row r="951" spans="1:16384" s="1" customFormat="1" x14ac:dyDescent="0.25">
      <c r="A951" s="23" t="s">
        <v>155</v>
      </c>
      <c r="B951" s="2" t="s">
        <v>1127</v>
      </c>
      <c r="C951" s="3" t="s">
        <v>22</v>
      </c>
      <c r="D951" s="3" t="s">
        <v>23</v>
      </c>
      <c r="E951" s="2" t="s">
        <v>24</v>
      </c>
      <c r="F951" s="4">
        <v>0</v>
      </c>
      <c r="G951" s="8">
        <f t="shared" si="139"/>
        <v>1000000000</v>
      </c>
      <c r="H951" s="4" t="str">
        <f t="shared" si="140"/>
        <v>Ohms</v>
      </c>
      <c r="I951" s="14">
        <v>294000000</v>
      </c>
      <c r="J951" s="6" t="str">
        <f t="shared" si="141"/>
        <v>Ohms</v>
      </c>
      <c r="K951" s="2" t="str">
        <f t="shared" si="142"/>
        <v>RTG</v>
      </c>
      <c r="L951" s="7">
        <v>45843</v>
      </c>
      <c r="M951" s="7">
        <f t="shared" si="144"/>
        <v>46208</v>
      </c>
      <c r="N951" s="7" t="str">
        <f t="shared" si="145"/>
        <v>Anual</v>
      </c>
      <c r="O951" s="2" t="str">
        <f t="shared" ca="1" si="146"/>
        <v>VIGENTE</v>
      </c>
      <c r="P951" s="6" t="s">
        <v>25</v>
      </c>
      <c r="Q951" s="2"/>
    </row>
    <row r="952" spans="1:16384" s="1" customFormat="1" x14ac:dyDescent="0.25">
      <c r="A952" s="23" t="s">
        <v>155</v>
      </c>
      <c r="B952" s="2" t="s">
        <v>1128</v>
      </c>
      <c r="C952" s="3" t="s">
        <v>22</v>
      </c>
      <c r="D952" s="3" t="s">
        <v>23</v>
      </c>
      <c r="E952" s="2" t="s">
        <v>24</v>
      </c>
      <c r="F952" s="4">
        <v>0</v>
      </c>
      <c r="G952" s="8">
        <f t="shared" si="139"/>
        <v>1000000000</v>
      </c>
      <c r="H952" s="4" t="str">
        <f t="shared" si="140"/>
        <v>Ohms</v>
      </c>
      <c r="I952" s="14">
        <v>304000000</v>
      </c>
      <c r="J952" s="6" t="str">
        <f t="shared" si="141"/>
        <v>Ohms</v>
      </c>
      <c r="K952" s="2" t="str">
        <f t="shared" si="142"/>
        <v>RTG</v>
      </c>
      <c r="L952" s="7">
        <v>45843</v>
      </c>
      <c r="M952" s="7">
        <f t="shared" si="144"/>
        <v>46208</v>
      </c>
      <c r="N952" s="7" t="str">
        <f t="shared" si="145"/>
        <v>Anual</v>
      </c>
      <c r="O952" s="2" t="str">
        <f t="shared" ca="1" si="146"/>
        <v>VIGENTE</v>
      </c>
      <c r="P952" s="6" t="s">
        <v>25</v>
      </c>
      <c r="Q952" s="2"/>
    </row>
    <row r="953" spans="1:16384" s="1" customFormat="1" x14ac:dyDescent="0.25">
      <c r="A953" s="23" t="s">
        <v>155</v>
      </c>
      <c r="B953" s="2" t="s">
        <v>1129</v>
      </c>
      <c r="C953" s="3" t="s">
        <v>22</v>
      </c>
      <c r="D953" s="3" t="s">
        <v>23</v>
      </c>
      <c r="E953" s="2" t="s">
        <v>24</v>
      </c>
      <c r="F953" s="4">
        <v>0</v>
      </c>
      <c r="G953" s="8">
        <f t="shared" si="139"/>
        <v>1000000000</v>
      </c>
      <c r="H953" s="4" t="str">
        <f t="shared" si="140"/>
        <v>Ohms</v>
      </c>
      <c r="I953" s="14">
        <v>481000000</v>
      </c>
      <c r="J953" s="6" t="str">
        <f t="shared" si="141"/>
        <v>Ohms</v>
      </c>
      <c r="K953" s="2" t="str">
        <f t="shared" si="142"/>
        <v>RTG</v>
      </c>
      <c r="L953" s="7">
        <v>45843</v>
      </c>
      <c r="M953" s="7">
        <f t="shared" si="144"/>
        <v>46208</v>
      </c>
      <c r="N953" s="7" t="str">
        <f t="shared" si="145"/>
        <v>Anual</v>
      </c>
      <c r="O953" s="2" t="str">
        <f t="shared" ca="1" si="146"/>
        <v>VIGENTE</v>
      </c>
      <c r="P953" s="6" t="s">
        <v>25</v>
      </c>
      <c r="Q953" s="2"/>
    </row>
    <row r="954" spans="1:16384" s="1" customFormat="1" x14ac:dyDescent="0.25">
      <c r="A954" s="23" t="s">
        <v>155</v>
      </c>
      <c r="B954" s="2" t="s">
        <v>1130</v>
      </c>
      <c r="C954" s="3" t="s">
        <v>22</v>
      </c>
      <c r="D954" s="3" t="s">
        <v>23</v>
      </c>
      <c r="E954" s="2" t="s">
        <v>24</v>
      </c>
      <c r="F954" s="4">
        <v>0</v>
      </c>
      <c r="G954" s="8">
        <f t="shared" si="139"/>
        <v>1000000000</v>
      </c>
      <c r="H954" s="4" t="str">
        <f t="shared" si="140"/>
        <v>Ohms</v>
      </c>
      <c r="I954" s="14">
        <v>321000000</v>
      </c>
      <c r="J954" s="6" t="str">
        <f t="shared" si="141"/>
        <v>Ohms</v>
      </c>
      <c r="K954" s="2" t="str">
        <f t="shared" si="142"/>
        <v>RTG</v>
      </c>
      <c r="L954" s="7">
        <v>45843</v>
      </c>
      <c r="M954" s="7">
        <f t="shared" si="144"/>
        <v>46208</v>
      </c>
      <c r="N954" s="7" t="str">
        <f t="shared" si="145"/>
        <v>Anual</v>
      </c>
      <c r="O954" s="2" t="str">
        <f t="shared" ca="1" si="146"/>
        <v>VIGENTE</v>
      </c>
      <c r="P954" s="6" t="s">
        <v>25</v>
      </c>
      <c r="Q954" s="2"/>
    </row>
    <row r="955" spans="1:16384" s="1" customFormat="1" x14ac:dyDescent="0.25">
      <c r="A955" s="23" t="s">
        <v>155</v>
      </c>
      <c r="B955" s="2" t="s">
        <v>1131</v>
      </c>
      <c r="C955" s="3" t="s">
        <v>22</v>
      </c>
      <c r="D955" s="3" t="s">
        <v>23</v>
      </c>
      <c r="E955" s="2" t="s">
        <v>24</v>
      </c>
      <c r="F955" s="4">
        <v>0</v>
      </c>
      <c r="G955" s="8">
        <f t="shared" si="139"/>
        <v>1000000000</v>
      </c>
      <c r="H955" s="4" t="str">
        <f t="shared" si="140"/>
        <v>Ohms</v>
      </c>
      <c r="I955" s="14">
        <v>268000000</v>
      </c>
      <c r="J955" s="6" t="str">
        <f t="shared" si="141"/>
        <v>Ohms</v>
      </c>
      <c r="K955" s="2" t="str">
        <f t="shared" si="142"/>
        <v>RTG</v>
      </c>
      <c r="L955" s="7">
        <v>45843</v>
      </c>
      <c r="M955" s="7">
        <f t="shared" si="144"/>
        <v>46208</v>
      </c>
      <c r="N955" s="7" t="str">
        <f t="shared" si="145"/>
        <v>Anual</v>
      </c>
      <c r="O955" s="2" t="str">
        <f t="shared" ca="1" si="146"/>
        <v>VIGENTE</v>
      </c>
      <c r="P955" s="6" t="s">
        <v>25</v>
      </c>
      <c r="Q955" s="2"/>
    </row>
    <row r="956" spans="1:16384" s="1" customFormat="1" x14ac:dyDescent="0.25">
      <c r="A956" s="23" t="s">
        <v>155</v>
      </c>
      <c r="B956" s="2" t="s">
        <v>1132</v>
      </c>
      <c r="C956" s="3" t="s">
        <v>22</v>
      </c>
      <c r="D956" s="3" t="s">
        <v>23</v>
      </c>
      <c r="E956" s="2" t="s">
        <v>24</v>
      </c>
      <c r="F956" s="4">
        <v>0</v>
      </c>
      <c r="G956" s="8">
        <f t="shared" ref="G956:G987" si="7308">IF(C956="Ionizador", 10, IF(C956="Mesa", 1000000000, IF(C956="Rack", 1000000000, IF(C956="Piso", 1000000000, IF(C956="Tapete", 1000000000, IF(C956="Carrito", 1000000000, IF(C956="Cautín", 10, 1)))))))</f>
        <v>1000000000</v>
      </c>
      <c r="H956" s="4" t="str">
        <f t="shared" ref="H956:H987" si="7309">IF(C956="Ionizador", "Segundos", "Ohms")</f>
        <v>Ohms</v>
      </c>
      <c r="I956" s="14">
        <v>202000000</v>
      </c>
      <c r="J956" s="6" t="str">
        <f t="shared" ref="J956:J987" si="7310">H956</f>
        <v>Ohms</v>
      </c>
      <c r="K956" s="2" t="str">
        <f t="shared" ref="K956:K987" si="7311">IF(C956="Ionizador", "Plato de carga", IF(C956="Cautín", "PTG", IF(C956="ESD Tester", "PTP Deviation", "RTG")))</f>
        <v>RTG</v>
      </c>
      <c r="L956" s="7">
        <v>45843</v>
      </c>
      <c r="M956" s="7">
        <f t="shared" si="144"/>
        <v>46208</v>
      </c>
      <c r="N956" s="7" t="str">
        <f t="shared" si="145"/>
        <v>Anual</v>
      </c>
      <c r="O956" s="2" t="str">
        <f t="shared" ca="1" si="146"/>
        <v>VIGENTE</v>
      </c>
      <c r="P956" s="6" t="s">
        <v>25</v>
      </c>
      <c r="Q956" s="2"/>
    </row>
    <row r="957" spans="1:16384" s="1" customFormat="1" x14ac:dyDescent="0.25">
      <c r="A957" s="23" t="s">
        <v>155</v>
      </c>
      <c r="B957" s="2" t="s">
        <v>1133</v>
      </c>
      <c r="C957" s="3" t="s">
        <v>22</v>
      </c>
      <c r="D957" s="3" t="s">
        <v>23</v>
      </c>
      <c r="E957" s="2" t="s">
        <v>24</v>
      </c>
      <c r="F957" s="4">
        <v>0</v>
      </c>
      <c r="G957" s="8">
        <f t="shared" si="7308"/>
        <v>1000000000</v>
      </c>
      <c r="H957" s="4" t="str">
        <f t="shared" si="7309"/>
        <v>Ohms</v>
      </c>
      <c r="I957" s="14">
        <v>1970000</v>
      </c>
      <c r="J957" s="6" t="str">
        <f t="shared" si="7310"/>
        <v>Ohms</v>
      </c>
      <c r="K957" s="2" t="str">
        <f t="shared" si="7311"/>
        <v>RTG</v>
      </c>
      <c r="L957" s="7">
        <v>45843</v>
      </c>
      <c r="M957" s="7">
        <f t="shared" si="144"/>
        <v>46208</v>
      </c>
      <c r="N957" s="7" t="str">
        <f t="shared" si="145"/>
        <v>Anual</v>
      </c>
      <c r="O957" s="2" t="str">
        <f t="shared" ca="1" si="146"/>
        <v>VIGENTE</v>
      </c>
      <c r="P957" s="6" t="s">
        <v>25</v>
      </c>
      <c r="Q957" s="2"/>
    </row>
    <row r="958" spans="1:16384" s="1" customFormat="1" x14ac:dyDescent="0.25">
      <c r="A958" s="23" t="s">
        <v>155</v>
      </c>
      <c r="B958" s="2" t="s">
        <v>1134</v>
      </c>
      <c r="C958" s="3" t="s">
        <v>22</v>
      </c>
      <c r="D958" s="3" t="s">
        <v>23</v>
      </c>
      <c r="E958" s="2" t="s">
        <v>24</v>
      </c>
      <c r="F958" s="4">
        <v>0</v>
      </c>
      <c r="G958" s="8">
        <f t="shared" si="7308"/>
        <v>1000000000</v>
      </c>
      <c r="H958" s="4" t="str">
        <f t="shared" si="7309"/>
        <v>Ohms</v>
      </c>
      <c r="I958" s="14">
        <v>423000000</v>
      </c>
      <c r="J958" s="6" t="str">
        <f t="shared" si="7310"/>
        <v>Ohms</v>
      </c>
      <c r="K958" s="2" t="str">
        <f t="shared" si="7311"/>
        <v>RTG</v>
      </c>
      <c r="L958" s="7">
        <v>45843</v>
      </c>
      <c r="M958" s="7">
        <f t="shared" si="144"/>
        <v>46208</v>
      </c>
      <c r="N958" s="7" t="str">
        <f t="shared" si="145"/>
        <v>Anual</v>
      </c>
      <c r="O958" s="2" t="str">
        <f t="shared" ca="1" si="146"/>
        <v>VIGENTE</v>
      </c>
      <c r="P958" s="6" t="s">
        <v>25</v>
      </c>
      <c r="Q958" s="2"/>
    </row>
    <row r="959" spans="1:16384" s="1" customFormat="1" x14ac:dyDescent="0.25">
      <c r="A959" s="23" t="s">
        <v>155</v>
      </c>
      <c r="B959" s="2" t="s">
        <v>1135</v>
      </c>
      <c r="C959" s="3" t="s">
        <v>22</v>
      </c>
      <c r="D959" s="3" t="s">
        <v>23</v>
      </c>
      <c r="E959" s="2" t="s">
        <v>24</v>
      </c>
      <c r="F959" s="4">
        <v>0</v>
      </c>
      <c r="G959" s="8">
        <f t="shared" si="7308"/>
        <v>1000000000</v>
      </c>
      <c r="H959" s="4" t="str">
        <f t="shared" si="7309"/>
        <v>Ohms</v>
      </c>
      <c r="I959" s="14">
        <v>3100000</v>
      </c>
      <c r="J959" s="6" t="str">
        <f t="shared" si="7310"/>
        <v>Ohms</v>
      </c>
      <c r="K959" s="2" t="str">
        <f t="shared" si="7311"/>
        <v>RTG</v>
      </c>
      <c r="L959" s="7">
        <v>45843</v>
      </c>
      <c r="M959" s="7">
        <f t="shared" si="144"/>
        <v>46208</v>
      </c>
      <c r="N959" s="7" t="str">
        <f t="shared" si="145"/>
        <v>Anual</v>
      </c>
      <c r="O959" s="2" t="str">
        <f t="shared" ca="1" si="146"/>
        <v>VIGENTE</v>
      </c>
      <c r="P959" s="6" t="s">
        <v>25</v>
      </c>
      <c r="Q959" s="2"/>
    </row>
    <row r="960" spans="1:16384" s="1" customFormat="1" x14ac:dyDescent="0.25">
      <c r="A960" s="23" t="s">
        <v>155</v>
      </c>
      <c r="B960" s="2" t="s">
        <v>1136</v>
      </c>
      <c r="C960" s="3" t="s">
        <v>28</v>
      </c>
      <c r="D960" s="3" t="s">
        <v>23</v>
      </c>
      <c r="E960" s="2" t="s">
        <v>24</v>
      </c>
      <c r="F960" s="4">
        <v>0</v>
      </c>
      <c r="G960" s="8">
        <f t="shared" si="7308"/>
        <v>1000000000</v>
      </c>
      <c r="H960" s="4" t="str">
        <f t="shared" si="7309"/>
        <v>Ohms</v>
      </c>
      <c r="I960" s="14">
        <v>405000000</v>
      </c>
      <c r="J960" s="6" t="str">
        <f t="shared" si="7310"/>
        <v>Ohms</v>
      </c>
      <c r="K960" s="2" t="str">
        <f t="shared" si="7311"/>
        <v>RTG</v>
      </c>
      <c r="L960" s="7">
        <v>45843</v>
      </c>
      <c r="M960" s="7">
        <f t="shared" si="144"/>
        <v>46208</v>
      </c>
      <c r="N960" s="7" t="str">
        <f t="shared" si="145"/>
        <v>Anual</v>
      </c>
      <c r="O960" s="2" t="str">
        <f t="shared" ca="1" si="146"/>
        <v>VIGENTE</v>
      </c>
      <c r="P960" s="6" t="s">
        <v>25</v>
      </c>
      <c r="Q960" s="2" t="s">
        <v>29</v>
      </c>
    </row>
    <row r="961" spans="1:17" x14ac:dyDescent="0.25">
      <c r="A961" s="23" t="s">
        <v>155</v>
      </c>
      <c r="B961" s="2" t="s">
        <v>1137</v>
      </c>
      <c r="C961" s="3" t="s">
        <v>28</v>
      </c>
      <c r="D961" s="3" t="s">
        <v>23</v>
      </c>
      <c r="E961" s="2" t="s">
        <v>24</v>
      </c>
      <c r="F961" s="4">
        <v>0</v>
      </c>
      <c r="G961" s="8">
        <f t="shared" si="7308"/>
        <v>1000000000</v>
      </c>
      <c r="H961" s="4" t="str">
        <f t="shared" si="7309"/>
        <v>Ohms</v>
      </c>
      <c r="I961" s="14">
        <v>150000000</v>
      </c>
      <c r="J961" s="6" t="str">
        <f t="shared" si="7310"/>
        <v>Ohms</v>
      </c>
      <c r="K961" s="2" t="str">
        <f t="shared" si="7311"/>
        <v>RTG</v>
      </c>
      <c r="L961" s="7">
        <v>45843</v>
      </c>
      <c r="M961" s="7">
        <f t="shared" si="144"/>
        <v>46208</v>
      </c>
      <c r="N961" s="7" t="str">
        <f t="shared" si="145"/>
        <v>Anual</v>
      </c>
      <c r="O961" s="2" t="str">
        <f t="shared" ca="1" si="146"/>
        <v>VIGENTE</v>
      </c>
      <c r="P961" s="6" t="s">
        <v>25</v>
      </c>
      <c r="Q961" s="2" t="s">
        <v>29</v>
      </c>
    </row>
    <row r="962" spans="1:17" x14ac:dyDescent="0.25">
      <c r="A962" s="23" t="s">
        <v>155</v>
      </c>
      <c r="B962" s="2" t="s">
        <v>1138</v>
      </c>
      <c r="C962" s="3" t="s">
        <v>28</v>
      </c>
      <c r="D962" s="3" t="s">
        <v>23</v>
      </c>
      <c r="E962" s="2" t="s">
        <v>24</v>
      </c>
      <c r="F962" s="4">
        <v>0</v>
      </c>
      <c r="G962" s="8">
        <f t="shared" si="7308"/>
        <v>1000000000</v>
      </c>
      <c r="H962" s="4" t="str">
        <f t="shared" si="7309"/>
        <v>Ohms</v>
      </c>
      <c r="I962" s="14">
        <v>290000000</v>
      </c>
      <c r="J962" s="6" t="str">
        <f t="shared" si="7310"/>
        <v>Ohms</v>
      </c>
      <c r="K962" s="2" t="str">
        <f t="shared" si="7311"/>
        <v>RTG</v>
      </c>
      <c r="L962" s="7">
        <v>45843</v>
      </c>
      <c r="M962" s="7">
        <f t="shared" si="144"/>
        <v>46208</v>
      </c>
      <c r="N962" s="7" t="str">
        <f t="shared" si="145"/>
        <v>Anual</v>
      </c>
      <c r="O962" s="2" t="str">
        <f t="shared" ca="1" si="146"/>
        <v>VIGENTE</v>
      </c>
      <c r="P962" s="6" t="s">
        <v>25</v>
      </c>
      <c r="Q962" s="2" t="s">
        <v>29</v>
      </c>
    </row>
    <row r="963" spans="1:17" x14ac:dyDescent="0.25">
      <c r="A963" s="23" t="s">
        <v>155</v>
      </c>
      <c r="B963" s="2" t="s">
        <v>1139</v>
      </c>
      <c r="C963" s="3" t="s">
        <v>28</v>
      </c>
      <c r="D963" s="3" t="s">
        <v>23</v>
      </c>
      <c r="E963" s="2" t="s">
        <v>24</v>
      </c>
      <c r="F963" s="4">
        <v>0</v>
      </c>
      <c r="G963" s="8">
        <f t="shared" si="7308"/>
        <v>1000000000</v>
      </c>
      <c r="H963" s="4" t="str">
        <f t="shared" si="7309"/>
        <v>Ohms</v>
      </c>
      <c r="I963" s="14">
        <v>4040000</v>
      </c>
      <c r="J963" s="6" t="str">
        <f t="shared" si="7310"/>
        <v>Ohms</v>
      </c>
      <c r="K963" s="2" t="str">
        <f t="shared" si="7311"/>
        <v>RTG</v>
      </c>
      <c r="L963" s="7">
        <v>45843</v>
      </c>
      <c r="M963" s="7">
        <f t="shared" si="144"/>
        <v>46208</v>
      </c>
      <c r="N963" s="7" t="str">
        <f t="shared" si="145"/>
        <v>Anual</v>
      </c>
      <c r="O963" s="2" t="str">
        <f t="shared" ca="1" si="146"/>
        <v>VIGENTE</v>
      </c>
      <c r="P963" s="6" t="s">
        <v>25</v>
      </c>
      <c r="Q963" s="2" t="s">
        <v>29</v>
      </c>
    </row>
    <row r="964" spans="1:17" x14ac:dyDescent="0.25">
      <c r="A964" s="23" t="s">
        <v>155</v>
      </c>
      <c r="B964" s="2" t="s">
        <v>1140</v>
      </c>
      <c r="C964" s="3" t="s">
        <v>28</v>
      </c>
      <c r="D964" s="3" t="s">
        <v>23</v>
      </c>
      <c r="E964" s="2" t="s">
        <v>24</v>
      </c>
      <c r="F964" s="4">
        <v>0</v>
      </c>
      <c r="G964" s="8">
        <f t="shared" si="7308"/>
        <v>1000000000</v>
      </c>
      <c r="H964" s="4" t="str">
        <f t="shared" si="7309"/>
        <v>Ohms</v>
      </c>
      <c r="I964" s="14">
        <v>365000000</v>
      </c>
      <c r="J964" s="6" t="str">
        <f t="shared" si="7310"/>
        <v>Ohms</v>
      </c>
      <c r="K964" s="2" t="str">
        <f t="shared" si="7311"/>
        <v>RTG</v>
      </c>
      <c r="L964" s="7">
        <v>45843</v>
      </c>
      <c r="M964" s="7">
        <f t="shared" si="144"/>
        <v>46208</v>
      </c>
      <c r="N964" s="7" t="str">
        <f t="shared" si="145"/>
        <v>Anual</v>
      </c>
      <c r="O964" s="2" t="str">
        <f t="shared" ca="1" si="146"/>
        <v>VIGENTE</v>
      </c>
      <c r="P964" s="6" t="s">
        <v>25</v>
      </c>
      <c r="Q964" s="2" t="s">
        <v>29</v>
      </c>
    </row>
    <row r="965" spans="1:17" x14ac:dyDescent="0.25">
      <c r="A965" s="23" t="s">
        <v>155</v>
      </c>
      <c r="B965" s="2" t="s">
        <v>1141</v>
      </c>
      <c r="C965" s="3" t="s">
        <v>28</v>
      </c>
      <c r="D965" s="3" t="s">
        <v>23</v>
      </c>
      <c r="E965" s="2" t="s">
        <v>24</v>
      </c>
      <c r="F965" s="4">
        <v>0</v>
      </c>
      <c r="G965" s="8">
        <f t="shared" si="7308"/>
        <v>1000000000</v>
      </c>
      <c r="H965" s="4" t="str">
        <f t="shared" si="7309"/>
        <v>Ohms</v>
      </c>
      <c r="I965" s="14">
        <v>2150000</v>
      </c>
      <c r="J965" s="6" t="str">
        <f t="shared" si="7310"/>
        <v>Ohms</v>
      </c>
      <c r="K965" s="2" t="str">
        <f t="shared" si="7311"/>
        <v>RTG</v>
      </c>
      <c r="L965" s="7">
        <v>45843</v>
      </c>
      <c r="M965" s="7">
        <f t="shared" si="144"/>
        <v>46208</v>
      </c>
      <c r="N965" s="7" t="str">
        <f t="shared" si="145"/>
        <v>Anual</v>
      </c>
      <c r="O965" s="2" t="str">
        <f t="shared" ca="1" si="146"/>
        <v>VIGENTE</v>
      </c>
      <c r="P965" s="6" t="s">
        <v>25</v>
      </c>
      <c r="Q965" s="2" t="s">
        <v>29</v>
      </c>
    </row>
    <row r="966" spans="1:17" x14ac:dyDescent="0.25">
      <c r="A966" s="23" t="s">
        <v>155</v>
      </c>
      <c r="B966" s="2" t="s">
        <v>1142</v>
      </c>
      <c r="C966" s="3" t="s">
        <v>28</v>
      </c>
      <c r="D966" s="3" t="s">
        <v>23</v>
      </c>
      <c r="E966" s="2" t="s">
        <v>24</v>
      </c>
      <c r="F966" s="4">
        <v>0</v>
      </c>
      <c r="G966" s="8">
        <f t="shared" si="7308"/>
        <v>1000000000</v>
      </c>
      <c r="H966" s="4" t="str">
        <f t="shared" si="7309"/>
        <v>Ohms</v>
      </c>
      <c r="I966" s="14">
        <v>108000000</v>
      </c>
      <c r="J966" s="6" t="str">
        <f t="shared" si="7310"/>
        <v>Ohms</v>
      </c>
      <c r="K966" s="2" t="str">
        <f t="shared" si="7311"/>
        <v>RTG</v>
      </c>
      <c r="L966" s="7">
        <v>45843</v>
      </c>
      <c r="M966" s="7">
        <f t="shared" si="144"/>
        <v>46208</v>
      </c>
      <c r="N966" s="7" t="str">
        <f t="shared" si="145"/>
        <v>Anual</v>
      </c>
      <c r="O966" s="2" t="str">
        <f t="shared" ca="1" si="146"/>
        <v>VIGENTE</v>
      </c>
      <c r="P966" s="6" t="s">
        <v>25</v>
      </c>
      <c r="Q966" s="2" t="s">
        <v>29</v>
      </c>
    </row>
    <row r="967" spans="1:17" x14ac:dyDescent="0.25">
      <c r="A967" s="23" t="s">
        <v>155</v>
      </c>
      <c r="B967" s="2" t="s">
        <v>1143</v>
      </c>
      <c r="C967" s="3" t="s">
        <v>28</v>
      </c>
      <c r="D967" s="3" t="s">
        <v>23</v>
      </c>
      <c r="E967" s="2" t="s">
        <v>24</v>
      </c>
      <c r="F967" s="4">
        <v>0</v>
      </c>
      <c r="G967" s="8">
        <f t="shared" si="7308"/>
        <v>1000000000</v>
      </c>
      <c r="H967" s="4" t="str">
        <f t="shared" si="7309"/>
        <v>Ohms</v>
      </c>
      <c r="I967" s="14">
        <v>312000000</v>
      </c>
      <c r="J967" s="6" t="str">
        <f t="shared" si="7310"/>
        <v>Ohms</v>
      </c>
      <c r="K967" s="2" t="str">
        <f t="shared" si="7311"/>
        <v>RTG</v>
      </c>
      <c r="L967" s="7">
        <v>45843</v>
      </c>
      <c r="M967" s="7">
        <f t="shared" si="144"/>
        <v>46208</v>
      </c>
      <c r="N967" s="7" t="str">
        <f t="shared" si="145"/>
        <v>Anual</v>
      </c>
      <c r="O967" s="2" t="str">
        <f t="shared" ca="1" si="146"/>
        <v>VIGENTE</v>
      </c>
      <c r="P967" s="6" t="s">
        <v>25</v>
      </c>
      <c r="Q967" s="2" t="s">
        <v>29</v>
      </c>
    </row>
    <row r="968" spans="1:17" x14ac:dyDescent="0.25">
      <c r="A968" s="23" t="s">
        <v>155</v>
      </c>
      <c r="B968" s="2" t="s">
        <v>1144</v>
      </c>
      <c r="C968" s="3" t="s">
        <v>28</v>
      </c>
      <c r="D968" s="3" t="s">
        <v>23</v>
      </c>
      <c r="E968" s="2" t="s">
        <v>24</v>
      </c>
      <c r="F968" s="4">
        <v>0</v>
      </c>
      <c r="G968" s="8">
        <f t="shared" si="7308"/>
        <v>1000000000</v>
      </c>
      <c r="H968" s="4" t="str">
        <f t="shared" si="7309"/>
        <v>Ohms</v>
      </c>
      <c r="I968" s="14">
        <v>4300000</v>
      </c>
      <c r="J968" s="6" t="str">
        <f t="shared" si="7310"/>
        <v>Ohms</v>
      </c>
      <c r="K968" s="2" t="str">
        <f t="shared" si="7311"/>
        <v>RTG</v>
      </c>
      <c r="L968" s="7">
        <v>45843</v>
      </c>
      <c r="M968" s="7">
        <f t="shared" si="144"/>
        <v>46208</v>
      </c>
      <c r="N968" s="7" t="str">
        <f t="shared" si="145"/>
        <v>Anual</v>
      </c>
      <c r="O968" s="2" t="str">
        <f t="shared" ca="1" si="146"/>
        <v>VIGENTE</v>
      </c>
      <c r="P968" s="6" t="s">
        <v>25</v>
      </c>
      <c r="Q968" s="2" t="s">
        <v>29</v>
      </c>
    </row>
    <row r="969" spans="1:17" x14ac:dyDescent="0.25">
      <c r="A969" s="23" t="s">
        <v>155</v>
      </c>
      <c r="B969" s="2" t="s">
        <v>1145</v>
      </c>
      <c r="C969" s="3" t="s">
        <v>28</v>
      </c>
      <c r="D969" s="3" t="s">
        <v>23</v>
      </c>
      <c r="E969" s="2" t="s">
        <v>24</v>
      </c>
      <c r="F969" s="4">
        <v>0</v>
      </c>
      <c r="G969" s="8">
        <f t="shared" si="7308"/>
        <v>1000000000</v>
      </c>
      <c r="H969" s="4" t="str">
        <f t="shared" si="7309"/>
        <v>Ohms</v>
      </c>
      <c r="I969" s="14">
        <v>213000000</v>
      </c>
      <c r="J969" s="6" t="str">
        <f t="shared" si="7310"/>
        <v>Ohms</v>
      </c>
      <c r="K969" s="2" t="str">
        <f t="shared" si="7311"/>
        <v>RTG</v>
      </c>
      <c r="L969" s="7">
        <v>45843</v>
      </c>
      <c r="M969" s="7">
        <f t="shared" si="144"/>
        <v>46208</v>
      </c>
      <c r="N969" s="7" t="str">
        <f t="shared" si="145"/>
        <v>Anual</v>
      </c>
      <c r="O969" s="2" t="str">
        <f t="shared" ca="1" si="146"/>
        <v>VIGENTE</v>
      </c>
      <c r="P969" s="6" t="s">
        <v>25</v>
      </c>
      <c r="Q969" s="2" t="s">
        <v>29</v>
      </c>
    </row>
    <row r="970" spans="1:17" x14ac:dyDescent="0.25">
      <c r="A970" s="23" t="s">
        <v>155</v>
      </c>
      <c r="B970" s="2" t="s">
        <v>1146</v>
      </c>
      <c r="C970" s="3" t="s">
        <v>28</v>
      </c>
      <c r="D970" s="3" t="s">
        <v>23</v>
      </c>
      <c r="E970" s="2" t="s">
        <v>24</v>
      </c>
      <c r="F970" s="4">
        <v>0</v>
      </c>
      <c r="G970" s="8">
        <f t="shared" si="7308"/>
        <v>1000000000</v>
      </c>
      <c r="H970" s="4" t="str">
        <f t="shared" si="7309"/>
        <v>Ohms</v>
      </c>
      <c r="I970" s="14">
        <v>2690000</v>
      </c>
      <c r="J970" s="6" t="str">
        <f t="shared" si="7310"/>
        <v>Ohms</v>
      </c>
      <c r="K970" s="2" t="str">
        <f t="shared" si="7311"/>
        <v>RTG</v>
      </c>
      <c r="L970" s="7">
        <v>45843</v>
      </c>
      <c r="M970" s="7">
        <f t="shared" si="144"/>
        <v>46208</v>
      </c>
      <c r="N970" s="7" t="str">
        <f t="shared" si="145"/>
        <v>Anual</v>
      </c>
      <c r="O970" s="2" t="str">
        <f t="shared" ca="1" si="146"/>
        <v>VIGENTE</v>
      </c>
      <c r="P970" s="6" t="s">
        <v>25</v>
      </c>
      <c r="Q970" s="2" t="s">
        <v>29</v>
      </c>
    </row>
    <row r="971" spans="1:17" x14ac:dyDescent="0.25">
      <c r="A971" s="23" t="s">
        <v>155</v>
      </c>
      <c r="B971" s="2" t="s">
        <v>1147</v>
      </c>
      <c r="C971" s="3" t="s">
        <v>28</v>
      </c>
      <c r="D971" s="3" t="s">
        <v>23</v>
      </c>
      <c r="E971" s="2" t="s">
        <v>24</v>
      </c>
      <c r="F971" s="4">
        <v>0</v>
      </c>
      <c r="G971" s="8">
        <f t="shared" si="7308"/>
        <v>1000000000</v>
      </c>
      <c r="H971" s="4" t="str">
        <f t="shared" si="7309"/>
        <v>Ohms</v>
      </c>
      <c r="I971" s="14">
        <v>423000000</v>
      </c>
      <c r="J971" s="6" t="str">
        <f t="shared" si="7310"/>
        <v>Ohms</v>
      </c>
      <c r="K971" s="2" t="str">
        <f t="shared" si="7311"/>
        <v>RTG</v>
      </c>
      <c r="L971" s="7">
        <v>45843</v>
      </c>
      <c r="M971" s="7">
        <f t="shared" si="144"/>
        <v>46208</v>
      </c>
      <c r="N971" s="7" t="str">
        <f t="shared" si="145"/>
        <v>Anual</v>
      </c>
      <c r="O971" s="2" t="str">
        <f t="shared" ca="1" si="146"/>
        <v>VIGENTE</v>
      </c>
      <c r="P971" s="6" t="s">
        <v>25</v>
      </c>
      <c r="Q971" s="2" t="s">
        <v>29</v>
      </c>
    </row>
    <row r="972" spans="1:17" x14ac:dyDescent="0.25">
      <c r="A972" s="23" t="s">
        <v>155</v>
      </c>
      <c r="B972" s="2" t="s">
        <v>1148</v>
      </c>
      <c r="C972" s="3" t="s">
        <v>28</v>
      </c>
      <c r="D972" s="3" t="s">
        <v>23</v>
      </c>
      <c r="E972" s="2" t="s">
        <v>24</v>
      </c>
      <c r="F972" s="4">
        <v>0</v>
      </c>
      <c r="G972" s="8">
        <f t="shared" si="7308"/>
        <v>1000000000</v>
      </c>
      <c r="H972" s="4" t="str">
        <f t="shared" si="7309"/>
        <v>Ohms</v>
      </c>
      <c r="I972" s="14">
        <v>1400000</v>
      </c>
      <c r="J972" s="6" t="str">
        <f t="shared" si="7310"/>
        <v>Ohms</v>
      </c>
      <c r="K972" s="2" t="str">
        <f t="shared" si="7311"/>
        <v>RTG</v>
      </c>
      <c r="L972" s="7">
        <v>45843</v>
      </c>
      <c r="M972" s="7">
        <f t="shared" ref="M972:M1003" si="7312">IF(N972="Trimestral", L972+90, IF(N972="Semestral", L972+180, IF(N972="Mensual", L972+30, L972+365)))</f>
        <v>46208</v>
      </c>
      <c r="N972" s="7" t="str">
        <f t="shared" si="145"/>
        <v>Anual</v>
      </c>
      <c r="O972" s="2" t="str">
        <f t="shared" ca="1" si="146"/>
        <v>VIGENTE</v>
      </c>
      <c r="P972" s="6" t="s">
        <v>25</v>
      </c>
      <c r="Q972" s="2" t="s">
        <v>29</v>
      </c>
    </row>
    <row r="973" spans="1:17" x14ac:dyDescent="0.25">
      <c r="A973" s="23" t="s">
        <v>155</v>
      </c>
      <c r="B973" s="2" t="s">
        <v>1149</v>
      </c>
      <c r="C973" s="3" t="s">
        <v>28</v>
      </c>
      <c r="D973" s="3" t="s">
        <v>23</v>
      </c>
      <c r="E973" s="2" t="s">
        <v>24</v>
      </c>
      <c r="F973" s="4">
        <v>0</v>
      </c>
      <c r="G973" s="8">
        <f t="shared" si="7308"/>
        <v>1000000000</v>
      </c>
      <c r="H973" s="4" t="str">
        <f t="shared" si="7309"/>
        <v>Ohms</v>
      </c>
      <c r="I973" s="14">
        <v>374000000</v>
      </c>
      <c r="J973" s="6" t="str">
        <f t="shared" si="7310"/>
        <v>Ohms</v>
      </c>
      <c r="K973" s="2" t="str">
        <f t="shared" si="7311"/>
        <v>RTG</v>
      </c>
      <c r="L973" s="7">
        <v>45843</v>
      </c>
      <c r="M973" s="7">
        <f t="shared" si="7312"/>
        <v>46208</v>
      </c>
      <c r="N973" s="7" t="str">
        <f t="shared" si="145"/>
        <v>Anual</v>
      </c>
      <c r="O973" s="2" t="str">
        <f t="shared" ca="1" si="146"/>
        <v>VIGENTE</v>
      </c>
      <c r="P973" s="6" t="s">
        <v>25</v>
      </c>
      <c r="Q973" s="2" t="s">
        <v>29</v>
      </c>
    </row>
    <row r="974" spans="1:17" x14ac:dyDescent="0.25">
      <c r="A974" s="23" t="s">
        <v>155</v>
      </c>
      <c r="B974" s="2" t="s">
        <v>1150</v>
      </c>
      <c r="C974" s="3" t="s">
        <v>28</v>
      </c>
      <c r="D974" s="3" t="s">
        <v>23</v>
      </c>
      <c r="E974" s="2" t="s">
        <v>24</v>
      </c>
      <c r="F974" s="4">
        <v>0</v>
      </c>
      <c r="G974" s="8">
        <f t="shared" si="7308"/>
        <v>1000000000</v>
      </c>
      <c r="H974" s="4" t="str">
        <f t="shared" si="7309"/>
        <v>Ohms</v>
      </c>
      <c r="I974" s="14">
        <v>2010000</v>
      </c>
      <c r="J974" s="6" t="str">
        <f t="shared" si="7310"/>
        <v>Ohms</v>
      </c>
      <c r="K974" s="2" t="str">
        <f t="shared" si="7311"/>
        <v>RTG</v>
      </c>
      <c r="L974" s="7">
        <v>45843</v>
      </c>
      <c r="M974" s="7">
        <f t="shared" si="7312"/>
        <v>46208</v>
      </c>
      <c r="N974" s="7" t="str">
        <f t="shared" si="145"/>
        <v>Anual</v>
      </c>
      <c r="O974" s="2" t="str">
        <f t="shared" ca="1" si="146"/>
        <v>VIGENTE</v>
      </c>
      <c r="P974" s="6" t="s">
        <v>25</v>
      </c>
      <c r="Q974" s="2" t="s">
        <v>29</v>
      </c>
    </row>
    <row r="975" spans="1:17" x14ac:dyDescent="0.25">
      <c r="A975" s="23" t="s">
        <v>155</v>
      </c>
      <c r="B975" s="2" t="s">
        <v>1151</v>
      </c>
      <c r="C975" s="3" t="s">
        <v>28</v>
      </c>
      <c r="D975" s="3" t="s">
        <v>23</v>
      </c>
      <c r="E975" s="2" t="s">
        <v>24</v>
      </c>
      <c r="F975" s="4">
        <v>0</v>
      </c>
      <c r="G975" s="8">
        <f t="shared" si="7308"/>
        <v>1000000000</v>
      </c>
      <c r="H975" s="4" t="str">
        <f t="shared" si="7309"/>
        <v>Ohms</v>
      </c>
      <c r="I975" s="14">
        <v>382000000</v>
      </c>
      <c r="J975" s="6" t="str">
        <f t="shared" si="7310"/>
        <v>Ohms</v>
      </c>
      <c r="K975" s="2" t="str">
        <f t="shared" si="7311"/>
        <v>RTG</v>
      </c>
      <c r="L975" s="7">
        <v>45843</v>
      </c>
      <c r="M975" s="7">
        <f t="shared" si="7312"/>
        <v>46208</v>
      </c>
      <c r="N975" s="7" t="str">
        <f t="shared" si="145"/>
        <v>Anual</v>
      </c>
      <c r="O975" s="2" t="str">
        <f t="shared" ca="1" si="146"/>
        <v>VIGENTE</v>
      </c>
      <c r="P975" s="6" t="s">
        <v>25</v>
      </c>
      <c r="Q975" s="2" t="s">
        <v>29</v>
      </c>
    </row>
    <row r="976" spans="1:17" x14ac:dyDescent="0.25">
      <c r="A976" s="23" t="s">
        <v>155</v>
      </c>
      <c r="B976" s="2" t="s">
        <v>1152</v>
      </c>
      <c r="C976" s="3" t="s">
        <v>28</v>
      </c>
      <c r="D976" s="3" t="s">
        <v>23</v>
      </c>
      <c r="E976" s="2" t="s">
        <v>24</v>
      </c>
      <c r="F976" s="4">
        <v>0</v>
      </c>
      <c r="G976" s="8">
        <f t="shared" si="7308"/>
        <v>1000000000</v>
      </c>
      <c r="H976" s="4" t="str">
        <f t="shared" si="7309"/>
        <v>Ohms</v>
      </c>
      <c r="I976" s="14">
        <v>450000000</v>
      </c>
      <c r="J976" s="6" t="str">
        <f t="shared" si="7310"/>
        <v>Ohms</v>
      </c>
      <c r="K976" s="2" t="str">
        <f t="shared" si="7311"/>
        <v>RTG</v>
      </c>
      <c r="L976" s="7">
        <v>45843</v>
      </c>
      <c r="M976" s="7">
        <f t="shared" si="7312"/>
        <v>46208</v>
      </c>
      <c r="N976" s="7" t="str">
        <f t="shared" si="145"/>
        <v>Anual</v>
      </c>
      <c r="O976" s="2" t="str">
        <f t="shared" ca="1" si="146"/>
        <v>VIGENTE</v>
      </c>
      <c r="P976" s="6" t="s">
        <v>25</v>
      </c>
      <c r="Q976" s="2" t="s">
        <v>29</v>
      </c>
    </row>
    <row r="977" spans="1:17" x14ac:dyDescent="0.25">
      <c r="A977" s="23" t="s">
        <v>155</v>
      </c>
      <c r="B977" s="2" t="s">
        <v>1153</v>
      </c>
      <c r="C977" s="3" t="s">
        <v>28</v>
      </c>
      <c r="D977" s="3" t="s">
        <v>23</v>
      </c>
      <c r="E977" s="2" t="s">
        <v>24</v>
      </c>
      <c r="F977" s="4">
        <v>0</v>
      </c>
      <c r="G977" s="8">
        <f t="shared" si="7308"/>
        <v>1000000000</v>
      </c>
      <c r="H977" s="4" t="str">
        <f t="shared" si="7309"/>
        <v>Ohms</v>
      </c>
      <c r="I977" s="14">
        <v>178000000</v>
      </c>
      <c r="J977" s="6" t="str">
        <f t="shared" si="7310"/>
        <v>Ohms</v>
      </c>
      <c r="K977" s="2" t="str">
        <f t="shared" si="7311"/>
        <v>RTG</v>
      </c>
      <c r="L977" s="7">
        <v>45843</v>
      </c>
      <c r="M977" s="7">
        <f t="shared" si="7312"/>
        <v>46208</v>
      </c>
      <c r="N977" s="7" t="str">
        <f t="shared" si="145"/>
        <v>Anual</v>
      </c>
      <c r="O977" s="2" t="str">
        <f t="shared" ca="1" si="146"/>
        <v>VIGENTE</v>
      </c>
      <c r="P977" s="6" t="s">
        <v>25</v>
      </c>
      <c r="Q977" s="2" t="s">
        <v>29</v>
      </c>
    </row>
    <row r="978" spans="1:17" x14ac:dyDescent="0.25">
      <c r="A978" s="23" t="s">
        <v>155</v>
      </c>
      <c r="B978" s="2" t="s">
        <v>1154</v>
      </c>
      <c r="C978" s="3" t="s">
        <v>28</v>
      </c>
      <c r="D978" s="3" t="s">
        <v>23</v>
      </c>
      <c r="E978" s="2" t="s">
        <v>24</v>
      </c>
      <c r="F978" s="4">
        <v>0</v>
      </c>
      <c r="G978" s="8">
        <f t="shared" si="7308"/>
        <v>1000000000</v>
      </c>
      <c r="H978" s="4" t="str">
        <f t="shared" si="7309"/>
        <v>Ohms</v>
      </c>
      <c r="I978" s="14">
        <v>3350000</v>
      </c>
      <c r="J978" s="6" t="str">
        <f t="shared" si="7310"/>
        <v>Ohms</v>
      </c>
      <c r="K978" s="2" t="str">
        <f t="shared" si="7311"/>
        <v>RTG</v>
      </c>
      <c r="L978" s="7">
        <v>45843</v>
      </c>
      <c r="M978" s="7">
        <f t="shared" si="7312"/>
        <v>46208</v>
      </c>
      <c r="N978" s="7" t="str">
        <f t="shared" si="145"/>
        <v>Anual</v>
      </c>
      <c r="O978" s="2" t="str">
        <f t="shared" ca="1" si="146"/>
        <v>VIGENTE</v>
      </c>
      <c r="P978" s="6" t="s">
        <v>25</v>
      </c>
      <c r="Q978" s="2" t="s">
        <v>29</v>
      </c>
    </row>
    <row r="979" spans="1:17" x14ac:dyDescent="0.25">
      <c r="A979" s="23" t="s">
        <v>155</v>
      </c>
      <c r="B979" s="2" t="s">
        <v>1155</v>
      </c>
      <c r="C979" s="3" t="s">
        <v>43</v>
      </c>
      <c r="D979" s="3" t="s">
        <v>23</v>
      </c>
      <c r="E979" s="2" t="s">
        <v>24</v>
      </c>
      <c r="F979" s="4">
        <v>0</v>
      </c>
      <c r="G979" s="8">
        <f t="shared" si="7308"/>
        <v>1000000000</v>
      </c>
      <c r="H979" s="4" t="str">
        <f t="shared" si="7309"/>
        <v>Ohms</v>
      </c>
      <c r="I979" s="14">
        <v>275000000</v>
      </c>
      <c r="J979" s="6" t="str">
        <f t="shared" si="7310"/>
        <v>Ohms</v>
      </c>
      <c r="K979" s="2" t="str">
        <f t="shared" si="7311"/>
        <v>RTG</v>
      </c>
      <c r="L979" s="7">
        <v>45843</v>
      </c>
      <c r="M979" s="7">
        <f t="shared" si="7312"/>
        <v>46023</v>
      </c>
      <c r="N979" s="7" t="str">
        <f t="shared" ref="N979:N1006" si="7313">IF(C979="Ionizador", "Trimestral", IF(C979="Rack", "Anual", IF(C979="Mesa", "Anual", IF(C979="Tapete", "Semestral", IF(C979="Cautín", "Semestral", IF(C979="Silla", "Semestral", "Anual"))))))</f>
        <v>Semestral</v>
      </c>
      <c r="O979" s="2" t="str">
        <f t="shared" ref="O979:O1006" ca="1" si="7314">IF(M979&lt;TODAY(),"VENCIDO",IF(M979=TODAY(),"VIGENTE",IF(M979&gt;TODAY(),"VIGENTE")))</f>
        <v>VENCIDO</v>
      </c>
      <c r="P979" s="6" t="s">
        <v>25</v>
      </c>
      <c r="Q979" s="2"/>
    </row>
    <row r="980" spans="1:17" x14ac:dyDescent="0.25">
      <c r="A980" s="23" t="s">
        <v>155</v>
      </c>
      <c r="B980" s="2" t="s">
        <v>1156</v>
      </c>
      <c r="C980" s="3" t="s">
        <v>43</v>
      </c>
      <c r="D980" s="3" t="s">
        <v>23</v>
      </c>
      <c r="E980" s="2" t="s">
        <v>24</v>
      </c>
      <c r="F980" s="4">
        <v>0</v>
      </c>
      <c r="G980" s="8">
        <f t="shared" si="7308"/>
        <v>1000000000</v>
      </c>
      <c r="H980" s="4" t="str">
        <f t="shared" si="7309"/>
        <v>Ohms</v>
      </c>
      <c r="I980" s="14">
        <v>3910000</v>
      </c>
      <c r="J980" s="6" t="str">
        <f t="shared" si="7310"/>
        <v>Ohms</v>
      </c>
      <c r="K980" s="2" t="str">
        <f t="shared" si="7311"/>
        <v>RTG</v>
      </c>
      <c r="L980" s="7">
        <v>45843</v>
      </c>
      <c r="M980" s="7">
        <f t="shared" si="7312"/>
        <v>46023</v>
      </c>
      <c r="N980" s="7" t="str">
        <f t="shared" si="7313"/>
        <v>Semestral</v>
      </c>
      <c r="O980" s="2" t="str">
        <f t="shared" ca="1" si="7314"/>
        <v>VENCIDO</v>
      </c>
      <c r="P980" s="6" t="s">
        <v>25</v>
      </c>
      <c r="Q980" s="2"/>
    </row>
    <row r="981" spans="1:17" x14ac:dyDescent="0.25">
      <c r="A981" s="23" t="s">
        <v>155</v>
      </c>
      <c r="B981" s="2" t="s">
        <v>1157</v>
      </c>
      <c r="C981" s="3" t="s">
        <v>43</v>
      </c>
      <c r="D981" s="3" t="s">
        <v>23</v>
      </c>
      <c r="E981" s="2" t="s">
        <v>24</v>
      </c>
      <c r="F981" s="4">
        <v>0</v>
      </c>
      <c r="G981" s="8">
        <f t="shared" si="7308"/>
        <v>1000000000</v>
      </c>
      <c r="H981" s="4" t="str">
        <f t="shared" si="7309"/>
        <v>Ohms</v>
      </c>
      <c r="I981" s="14">
        <v>195000000</v>
      </c>
      <c r="J981" s="6" t="str">
        <f t="shared" si="7310"/>
        <v>Ohms</v>
      </c>
      <c r="K981" s="2" t="str">
        <f t="shared" si="7311"/>
        <v>RTG</v>
      </c>
      <c r="L981" s="7">
        <v>45843</v>
      </c>
      <c r="M981" s="7">
        <f t="shared" si="7312"/>
        <v>46023</v>
      </c>
      <c r="N981" s="7" t="str">
        <f t="shared" si="7313"/>
        <v>Semestral</v>
      </c>
      <c r="O981" s="2" t="str">
        <f t="shared" ca="1" si="7314"/>
        <v>VENCIDO</v>
      </c>
      <c r="P981" s="6" t="s">
        <v>25</v>
      </c>
      <c r="Q981" s="2"/>
    </row>
    <row r="982" spans="1:17" x14ac:dyDescent="0.25">
      <c r="A982" s="23" t="s">
        <v>155</v>
      </c>
      <c r="B982" s="2" t="s">
        <v>1158</v>
      </c>
      <c r="C982" s="3" t="s">
        <v>43</v>
      </c>
      <c r="D982" s="3" t="s">
        <v>23</v>
      </c>
      <c r="E982" s="2" t="s">
        <v>24</v>
      </c>
      <c r="F982" s="4">
        <v>0</v>
      </c>
      <c r="G982" s="8">
        <f t="shared" si="7308"/>
        <v>1000000000</v>
      </c>
      <c r="H982" s="4" t="str">
        <f t="shared" si="7309"/>
        <v>Ohms</v>
      </c>
      <c r="I982" s="14">
        <v>4030000</v>
      </c>
      <c r="J982" s="6" t="str">
        <f t="shared" si="7310"/>
        <v>Ohms</v>
      </c>
      <c r="K982" s="2" t="str">
        <f t="shared" si="7311"/>
        <v>RTG</v>
      </c>
      <c r="L982" s="7">
        <v>45843</v>
      </c>
      <c r="M982" s="7">
        <f t="shared" si="7312"/>
        <v>46023</v>
      </c>
      <c r="N982" s="7" t="str">
        <f t="shared" si="7313"/>
        <v>Semestral</v>
      </c>
      <c r="O982" s="2" t="str">
        <f t="shared" ca="1" si="7314"/>
        <v>VENCIDO</v>
      </c>
      <c r="P982" s="6" t="s">
        <v>25</v>
      </c>
      <c r="Q982" s="2"/>
    </row>
    <row r="983" spans="1:17" x14ac:dyDescent="0.25">
      <c r="A983" s="23" t="s">
        <v>155</v>
      </c>
      <c r="B983" s="2" t="s">
        <v>1159</v>
      </c>
      <c r="C983" s="3" t="s">
        <v>43</v>
      </c>
      <c r="D983" s="3" t="s">
        <v>23</v>
      </c>
      <c r="E983" s="2" t="s">
        <v>24</v>
      </c>
      <c r="F983" s="4">
        <v>0</v>
      </c>
      <c r="G983" s="8">
        <f t="shared" si="7308"/>
        <v>1000000000</v>
      </c>
      <c r="H983" s="4" t="str">
        <f t="shared" si="7309"/>
        <v>Ohms</v>
      </c>
      <c r="I983" s="14">
        <v>162000000</v>
      </c>
      <c r="J983" s="6" t="str">
        <f t="shared" si="7310"/>
        <v>Ohms</v>
      </c>
      <c r="K983" s="2" t="str">
        <f t="shared" si="7311"/>
        <v>RTG</v>
      </c>
      <c r="L983" s="7">
        <v>45843</v>
      </c>
      <c r="M983" s="7">
        <f t="shared" si="7312"/>
        <v>46023</v>
      </c>
      <c r="N983" s="7" t="str">
        <f t="shared" si="7313"/>
        <v>Semestral</v>
      </c>
      <c r="O983" s="2" t="str">
        <f t="shared" ca="1" si="7314"/>
        <v>VENCIDO</v>
      </c>
      <c r="P983" s="6" t="s">
        <v>25</v>
      </c>
      <c r="Q983" s="2"/>
    </row>
    <row r="984" spans="1:17" x14ac:dyDescent="0.25">
      <c r="A984" s="23" t="s">
        <v>155</v>
      </c>
      <c r="B984" s="2" t="s">
        <v>1160</v>
      </c>
      <c r="C984" s="3" t="s">
        <v>43</v>
      </c>
      <c r="D984" s="3" t="s">
        <v>23</v>
      </c>
      <c r="E984" s="2" t="s">
        <v>24</v>
      </c>
      <c r="F984" s="4">
        <v>0</v>
      </c>
      <c r="G984" s="8">
        <f t="shared" si="7308"/>
        <v>1000000000</v>
      </c>
      <c r="H984" s="4" t="str">
        <f t="shared" si="7309"/>
        <v>Ohms</v>
      </c>
      <c r="I984" s="14">
        <v>248000000</v>
      </c>
      <c r="J984" s="6" t="str">
        <f t="shared" si="7310"/>
        <v>Ohms</v>
      </c>
      <c r="K984" s="2" t="str">
        <f t="shared" si="7311"/>
        <v>RTG</v>
      </c>
      <c r="L984" s="7">
        <v>45843</v>
      </c>
      <c r="M984" s="7">
        <f t="shared" si="7312"/>
        <v>46023</v>
      </c>
      <c r="N984" s="7" t="str">
        <f t="shared" si="7313"/>
        <v>Semestral</v>
      </c>
      <c r="O984" s="2" t="str">
        <f t="shared" ca="1" si="7314"/>
        <v>VENCIDO</v>
      </c>
      <c r="P984" s="6" t="s">
        <v>25</v>
      </c>
      <c r="Q984" s="2"/>
    </row>
    <row r="985" spans="1:17" x14ac:dyDescent="0.25">
      <c r="A985" s="23" t="s">
        <v>155</v>
      </c>
      <c r="B985" s="2" t="s">
        <v>1161</v>
      </c>
      <c r="C985" s="3" t="s">
        <v>43</v>
      </c>
      <c r="D985" s="3" t="s">
        <v>23</v>
      </c>
      <c r="E985" s="2" t="s">
        <v>24</v>
      </c>
      <c r="F985" s="4">
        <v>0</v>
      </c>
      <c r="G985" s="8">
        <f t="shared" si="7308"/>
        <v>1000000000</v>
      </c>
      <c r="H985" s="4" t="str">
        <f t="shared" si="7309"/>
        <v>Ohms</v>
      </c>
      <c r="I985" s="14">
        <v>323000000</v>
      </c>
      <c r="J985" s="6" t="str">
        <f t="shared" si="7310"/>
        <v>Ohms</v>
      </c>
      <c r="K985" s="2" t="str">
        <f t="shared" si="7311"/>
        <v>RTG</v>
      </c>
      <c r="L985" s="7">
        <v>45843</v>
      </c>
      <c r="M985" s="7">
        <f t="shared" si="7312"/>
        <v>46023</v>
      </c>
      <c r="N985" s="7" t="str">
        <f t="shared" si="7313"/>
        <v>Semestral</v>
      </c>
      <c r="O985" s="2" t="str">
        <f t="shared" ca="1" si="7314"/>
        <v>VENCIDO</v>
      </c>
      <c r="P985" s="6" t="s">
        <v>25</v>
      </c>
      <c r="Q985" s="2"/>
    </row>
    <row r="986" spans="1:17" x14ac:dyDescent="0.25">
      <c r="A986" s="23" t="s">
        <v>155</v>
      </c>
      <c r="B986" s="2" t="s">
        <v>1162</v>
      </c>
      <c r="C986" s="3" t="s">
        <v>43</v>
      </c>
      <c r="D986" s="3" t="s">
        <v>23</v>
      </c>
      <c r="E986" s="2" t="s">
        <v>24</v>
      </c>
      <c r="F986" s="4">
        <v>0</v>
      </c>
      <c r="G986" s="8">
        <f t="shared" si="7308"/>
        <v>1000000000</v>
      </c>
      <c r="H986" s="4" t="str">
        <f t="shared" si="7309"/>
        <v>Ohms</v>
      </c>
      <c r="I986" s="14">
        <v>152000000</v>
      </c>
      <c r="J986" s="6" t="str">
        <f t="shared" si="7310"/>
        <v>Ohms</v>
      </c>
      <c r="K986" s="2" t="str">
        <f t="shared" si="7311"/>
        <v>RTG</v>
      </c>
      <c r="L986" s="7">
        <v>45843</v>
      </c>
      <c r="M986" s="7">
        <f t="shared" si="7312"/>
        <v>46023</v>
      </c>
      <c r="N986" s="7" t="str">
        <f t="shared" si="7313"/>
        <v>Semestral</v>
      </c>
      <c r="O986" s="2" t="str">
        <f t="shared" ca="1" si="7314"/>
        <v>VENCIDO</v>
      </c>
      <c r="P986" s="6" t="s">
        <v>25</v>
      </c>
      <c r="Q986" s="2"/>
    </row>
    <row r="987" spans="1:17" x14ac:dyDescent="0.25">
      <c r="A987" s="23" t="s">
        <v>138</v>
      </c>
      <c r="B987" s="2" t="s">
        <v>139</v>
      </c>
      <c r="C987" s="3" t="s">
        <v>133</v>
      </c>
      <c r="D987" s="3" t="s">
        <v>23</v>
      </c>
      <c r="E987" s="2" t="s">
        <v>24</v>
      </c>
      <c r="F987" s="4">
        <v>0</v>
      </c>
      <c r="G987" s="8">
        <f t="shared" si="7308"/>
        <v>1</v>
      </c>
      <c r="H987" s="4" t="str">
        <f t="shared" si="7309"/>
        <v>Ohms</v>
      </c>
      <c r="I987" s="6">
        <v>0.71399999999999997</v>
      </c>
      <c r="J987" s="6" t="str">
        <f t="shared" si="7310"/>
        <v>Ohms</v>
      </c>
      <c r="K987" s="2" t="str">
        <f t="shared" si="7311"/>
        <v>RTG</v>
      </c>
      <c r="L987" s="7">
        <v>45716</v>
      </c>
      <c r="M987" s="7">
        <f t="shared" si="7312"/>
        <v>46081</v>
      </c>
      <c r="N987" s="7" t="str">
        <f t="shared" si="7313"/>
        <v>Anual</v>
      </c>
      <c r="O987" s="2" t="str">
        <f t="shared" ca="1" si="7314"/>
        <v>VENCIDO</v>
      </c>
      <c r="P987" s="6" t="s">
        <v>25</v>
      </c>
      <c r="Q987" s="2" t="s">
        <v>126</v>
      </c>
    </row>
    <row r="988" spans="1:17" x14ac:dyDescent="0.25">
      <c r="A988" s="23" t="s">
        <v>138</v>
      </c>
      <c r="B988" s="2" t="s">
        <v>427</v>
      </c>
      <c r="C988" s="3" t="s">
        <v>22</v>
      </c>
      <c r="D988" s="3" t="s">
        <v>23</v>
      </c>
      <c r="E988" s="2" t="s">
        <v>24</v>
      </c>
      <c r="F988" s="4">
        <v>0</v>
      </c>
      <c r="G988" s="8">
        <f t="shared" ref="G988:G1006" si="7315">IF(C988="Ionizador", 10, IF(C988="Mesa", 1000000000, IF(C988="Rack", 1000000000, IF(C988="Piso", 1000000000, IF(C988="Tapete", 1000000000, IF(C988="Carrito", 1000000000, IF(C988="Cautín", 10, 1)))))))</f>
        <v>1000000000</v>
      </c>
      <c r="H988" s="4" t="str">
        <f t="shared" ref="H988:H1006" si="7316">IF(C988="Ionizador", "Segundos", "Ohms")</f>
        <v>Ohms</v>
      </c>
      <c r="I988" s="6">
        <v>161000</v>
      </c>
      <c r="J988" s="6" t="str">
        <f t="shared" ref="J988:J1006" si="7317">H988</f>
        <v>Ohms</v>
      </c>
      <c r="K988" s="2" t="str">
        <f t="shared" ref="K988:K1006" si="7318">IF(C988="Ionizador", "Plato de carga", IF(C988="Cautín", "PTG", IF(C988="ESD Tester", "PTP Deviation", "RTG")))</f>
        <v>RTG</v>
      </c>
      <c r="L988" s="7">
        <v>45838</v>
      </c>
      <c r="M988" s="7">
        <f t="shared" si="7312"/>
        <v>46203</v>
      </c>
      <c r="N988" s="7" t="str">
        <f t="shared" si="7313"/>
        <v>Anual</v>
      </c>
      <c r="O988" s="2" t="str">
        <f t="shared" ca="1" si="7314"/>
        <v>VIGENTE</v>
      </c>
      <c r="P988" s="6" t="s">
        <v>25</v>
      </c>
      <c r="Q988" s="2"/>
    </row>
    <row r="989" spans="1:17" x14ac:dyDescent="0.25">
      <c r="A989" s="23" t="s">
        <v>138</v>
      </c>
      <c r="B989" s="2" t="s">
        <v>429</v>
      </c>
      <c r="C989" s="3" t="s">
        <v>22</v>
      </c>
      <c r="D989" s="3" t="s">
        <v>23</v>
      </c>
      <c r="E989" s="2" t="s">
        <v>24</v>
      </c>
      <c r="F989" s="4">
        <v>0</v>
      </c>
      <c r="G989" s="8">
        <f t="shared" si="7315"/>
        <v>1000000000</v>
      </c>
      <c r="H989" s="4" t="str">
        <f t="shared" si="7316"/>
        <v>Ohms</v>
      </c>
      <c r="I989" s="6">
        <v>28400</v>
      </c>
      <c r="J989" s="6" t="str">
        <f t="shared" si="7317"/>
        <v>Ohms</v>
      </c>
      <c r="K989" s="2" t="str">
        <f t="shared" si="7318"/>
        <v>RTG</v>
      </c>
      <c r="L989" s="7">
        <v>45838</v>
      </c>
      <c r="M989" s="7">
        <f t="shared" si="7312"/>
        <v>46203</v>
      </c>
      <c r="N989" s="7" t="str">
        <f t="shared" si="7313"/>
        <v>Anual</v>
      </c>
      <c r="O989" s="2" t="str">
        <f t="shared" ca="1" si="7314"/>
        <v>VIGENTE</v>
      </c>
      <c r="P989" s="6" t="s">
        <v>25</v>
      </c>
      <c r="Q989" s="2"/>
    </row>
    <row r="990" spans="1:17" x14ac:dyDescent="0.25">
      <c r="A990" s="23" t="s">
        <v>138</v>
      </c>
      <c r="B990" s="2" t="s">
        <v>431</v>
      </c>
      <c r="C990" s="3" t="s">
        <v>22</v>
      </c>
      <c r="D990" s="3" t="s">
        <v>23</v>
      </c>
      <c r="E990" s="2" t="s">
        <v>24</v>
      </c>
      <c r="F990" s="4">
        <v>0</v>
      </c>
      <c r="G990" s="8">
        <f t="shared" si="7315"/>
        <v>1000000000</v>
      </c>
      <c r="H990" s="4" t="str">
        <f t="shared" si="7316"/>
        <v>Ohms</v>
      </c>
      <c r="I990" s="6">
        <v>2190</v>
      </c>
      <c r="J990" s="6" t="str">
        <f t="shared" si="7317"/>
        <v>Ohms</v>
      </c>
      <c r="K990" s="2" t="str">
        <f t="shared" si="7318"/>
        <v>RTG</v>
      </c>
      <c r="L990" s="7">
        <v>45845</v>
      </c>
      <c r="M990" s="7">
        <f t="shared" si="7312"/>
        <v>46210</v>
      </c>
      <c r="N990" s="7" t="str">
        <f t="shared" si="7313"/>
        <v>Anual</v>
      </c>
      <c r="O990" s="2" t="str">
        <f t="shared" ca="1" si="7314"/>
        <v>VIGENTE</v>
      </c>
      <c r="P990" s="6" t="s">
        <v>25</v>
      </c>
      <c r="Q990" s="2"/>
    </row>
    <row r="991" spans="1:17" x14ac:dyDescent="0.25">
      <c r="A991" s="23" t="s">
        <v>138</v>
      </c>
      <c r="B991" s="2" t="s">
        <v>433</v>
      </c>
      <c r="C991" s="3" t="s">
        <v>22</v>
      </c>
      <c r="D991" s="3" t="s">
        <v>23</v>
      </c>
      <c r="E991" s="2" t="s">
        <v>24</v>
      </c>
      <c r="F991" s="4">
        <v>0</v>
      </c>
      <c r="G991" s="8">
        <f t="shared" si="7315"/>
        <v>1000000000</v>
      </c>
      <c r="H991" s="4" t="str">
        <f t="shared" si="7316"/>
        <v>Ohms</v>
      </c>
      <c r="I991" s="6">
        <v>148000000</v>
      </c>
      <c r="J991" s="6" t="str">
        <f t="shared" si="7317"/>
        <v>Ohms</v>
      </c>
      <c r="K991" s="2" t="str">
        <f t="shared" si="7318"/>
        <v>RTG</v>
      </c>
      <c r="L991" s="7">
        <v>45992</v>
      </c>
      <c r="M991" s="7">
        <f t="shared" si="7312"/>
        <v>46357</v>
      </c>
      <c r="N991" s="7" t="str">
        <f t="shared" si="7313"/>
        <v>Anual</v>
      </c>
      <c r="O991" s="2" t="str">
        <f t="shared" ca="1" si="7314"/>
        <v>VIGENTE</v>
      </c>
      <c r="P991" s="6" t="s">
        <v>25</v>
      </c>
      <c r="Q991" s="23" t="s">
        <v>138</v>
      </c>
    </row>
    <row r="992" spans="1:17" x14ac:dyDescent="0.25">
      <c r="A992" s="23" t="s">
        <v>138</v>
      </c>
      <c r="B992" s="2" t="s">
        <v>2569</v>
      </c>
      <c r="C992" s="3" t="s">
        <v>22</v>
      </c>
      <c r="D992" s="3" t="s">
        <v>23</v>
      </c>
      <c r="E992" s="2" t="s">
        <v>24</v>
      </c>
      <c r="F992" s="4">
        <v>0</v>
      </c>
      <c r="G992" s="8">
        <f t="shared" si="7315"/>
        <v>1000000000</v>
      </c>
      <c r="H992" s="4" t="str">
        <f t="shared" si="7316"/>
        <v>Ohms</v>
      </c>
      <c r="I992" s="6">
        <v>148000000</v>
      </c>
      <c r="J992" s="6" t="str">
        <f t="shared" si="7317"/>
        <v>Ohms</v>
      </c>
      <c r="K992" s="2" t="str">
        <f t="shared" si="7318"/>
        <v>RTG</v>
      </c>
      <c r="L992" s="7">
        <v>45992</v>
      </c>
      <c r="M992" s="7">
        <f t="shared" si="7312"/>
        <v>46357</v>
      </c>
      <c r="N992" s="7" t="str">
        <f t="shared" si="7313"/>
        <v>Anual</v>
      </c>
      <c r="O992" s="2" t="str">
        <f t="shared" ca="1" si="7314"/>
        <v>VIGENTE</v>
      </c>
      <c r="P992" s="6" t="s">
        <v>25</v>
      </c>
      <c r="Q992" s="2"/>
    </row>
    <row r="993" spans="1:17" x14ac:dyDescent="0.25">
      <c r="A993" s="23" t="s">
        <v>138</v>
      </c>
      <c r="B993" s="2" t="s">
        <v>465</v>
      </c>
      <c r="C993" s="3" t="s">
        <v>22</v>
      </c>
      <c r="D993" s="3" t="s">
        <v>23</v>
      </c>
      <c r="E993" s="2" t="s">
        <v>24</v>
      </c>
      <c r="F993" s="4">
        <v>0</v>
      </c>
      <c r="G993" s="8">
        <f t="shared" si="7315"/>
        <v>1000000000</v>
      </c>
      <c r="H993" s="4" t="str">
        <f t="shared" si="7316"/>
        <v>Ohms</v>
      </c>
      <c r="I993" s="6">
        <v>103000000</v>
      </c>
      <c r="J993" s="6" t="str">
        <f t="shared" si="7317"/>
        <v>Ohms</v>
      </c>
      <c r="K993" s="2" t="str">
        <f t="shared" si="7318"/>
        <v>RTG</v>
      </c>
      <c r="L993" s="7">
        <v>45838</v>
      </c>
      <c r="M993" s="7">
        <f t="shared" si="7312"/>
        <v>46203</v>
      </c>
      <c r="N993" s="7" t="str">
        <f t="shared" si="7313"/>
        <v>Anual</v>
      </c>
      <c r="O993" s="2" t="str">
        <f t="shared" ca="1" si="7314"/>
        <v>VIGENTE</v>
      </c>
      <c r="P993" s="6" t="s">
        <v>25</v>
      </c>
      <c r="Q993" s="2"/>
    </row>
    <row r="994" spans="1:17" x14ac:dyDescent="0.25">
      <c r="A994" s="23" t="s">
        <v>138</v>
      </c>
      <c r="B994" s="2" t="s">
        <v>472</v>
      </c>
      <c r="C994" s="3" t="s">
        <v>22</v>
      </c>
      <c r="D994" s="3" t="s">
        <v>23</v>
      </c>
      <c r="E994" s="2" t="s">
        <v>24</v>
      </c>
      <c r="F994" s="4">
        <v>0</v>
      </c>
      <c r="G994" s="8">
        <f t="shared" si="7315"/>
        <v>1000000000</v>
      </c>
      <c r="H994" s="4" t="str">
        <f t="shared" si="7316"/>
        <v>Ohms</v>
      </c>
      <c r="I994" s="6">
        <v>652000000</v>
      </c>
      <c r="J994" s="6" t="str">
        <f t="shared" si="7317"/>
        <v>Ohms</v>
      </c>
      <c r="K994" s="2" t="str">
        <f t="shared" si="7318"/>
        <v>RTG</v>
      </c>
      <c r="L994" s="7">
        <v>45838</v>
      </c>
      <c r="M994" s="7">
        <f t="shared" si="7312"/>
        <v>46203</v>
      </c>
      <c r="N994" s="7" t="str">
        <f t="shared" si="7313"/>
        <v>Anual</v>
      </c>
      <c r="O994" s="2" t="str">
        <f t="shared" ca="1" si="7314"/>
        <v>VIGENTE</v>
      </c>
      <c r="P994" s="6" t="s">
        <v>25</v>
      </c>
      <c r="Q994" s="2"/>
    </row>
    <row r="995" spans="1:17" x14ac:dyDescent="0.25">
      <c r="A995" s="23" t="s">
        <v>138</v>
      </c>
      <c r="B995" s="2" t="s">
        <v>587</v>
      </c>
      <c r="C995" s="3" t="s">
        <v>28</v>
      </c>
      <c r="D995" s="3" t="s">
        <v>23</v>
      </c>
      <c r="E995" s="2" t="s">
        <v>24</v>
      </c>
      <c r="F995" s="4">
        <v>0</v>
      </c>
      <c r="G995" s="8">
        <f t="shared" si="7315"/>
        <v>1000000000</v>
      </c>
      <c r="H995" s="4" t="str">
        <f t="shared" si="7316"/>
        <v>Ohms</v>
      </c>
      <c r="I995" s="6">
        <v>8670000</v>
      </c>
      <c r="J995" s="6" t="str">
        <f t="shared" si="7317"/>
        <v>Ohms</v>
      </c>
      <c r="K995" s="2" t="str">
        <f t="shared" si="7318"/>
        <v>RTG</v>
      </c>
      <c r="L995" s="7">
        <v>45838</v>
      </c>
      <c r="M995" s="7">
        <f t="shared" si="7312"/>
        <v>46203</v>
      </c>
      <c r="N995" s="7" t="str">
        <f t="shared" si="7313"/>
        <v>Anual</v>
      </c>
      <c r="O995" s="2" t="str">
        <f t="shared" ca="1" si="7314"/>
        <v>VIGENTE</v>
      </c>
      <c r="P995" s="6" t="s">
        <v>25</v>
      </c>
      <c r="Q995" s="2" t="s">
        <v>29</v>
      </c>
    </row>
    <row r="996" spans="1:17" x14ac:dyDescent="0.25">
      <c r="A996" s="23" t="s">
        <v>138</v>
      </c>
      <c r="B996" s="2" t="s">
        <v>595</v>
      </c>
      <c r="C996" s="3" t="s">
        <v>28</v>
      </c>
      <c r="D996" s="3" t="s">
        <v>23</v>
      </c>
      <c r="E996" s="2" t="s">
        <v>24</v>
      </c>
      <c r="F996" s="4">
        <v>0</v>
      </c>
      <c r="G996" s="8">
        <f t="shared" si="7315"/>
        <v>1000000000</v>
      </c>
      <c r="H996" s="4" t="str">
        <f t="shared" si="7316"/>
        <v>Ohms</v>
      </c>
      <c r="I996" s="6">
        <v>6530000</v>
      </c>
      <c r="J996" s="6" t="str">
        <f t="shared" si="7317"/>
        <v>Ohms</v>
      </c>
      <c r="K996" s="2" t="str">
        <f t="shared" si="7318"/>
        <v>RTG</v>
      </c>
      <c r="L996" s="7">
        <v>45838</v>
      </c>
      <c r="M996" s="7">
        <f t="shared" si="7312"/>
        <v>46203</v>
      </c>
      <c r="N996" s="7" t="str">
        <f t="shared" si="7313"/>
        <v>Anual</v>
      </c>
      <c r="O996" s="2" t="str">
        <f t="shared" ca="1" si="7314"/>
        <v>VIGENTE</v>
      </c>
      <c r="P996" s="6" t="s">
        <v>25</v>
      </c>
      <c r="Q996" s="2" t="s">
        <v>29</v>
      </c>
    </row>
    <row r="997" spans="1:17" x14ac:dyDescent="0.25">
      <c r="A997" s="23" t="s">
        <v>138</v>
      </c>
      <c r="B997" s="2" t="s">
        <v>602</v>
      </c>
      <c r="C997" s="3" t="s">
        <v>28</v>
      </c>
      <c r="D997" s="3" t="s">
        <v>23</v>
      </c>
      <c r="E997" s="2" t="s">
        <v>24</v>
      </c>
      <c r="F997" s="4">
        <v>0</v>
      </c>
      <c r="G997" s="8">
        <f t="shared" si="7315"/>
        <v>1000000000</v>
      </c>
      <c r="H997" s="4" t="str">
        <f t="shared" si="7316"/>
        <v>Ohms</v>
      </c>
      <c r="I997" s="6">
        <v>86200000</v>
      </c>
      <c r="J997" s="6" t="str">
        <f t="shared" si="7317"/>
        <v>Ohms</v>
      </c>
      <c r="K997" s="2" t="str">
        <f t="shared" si="7318"/>
        <v>RTG</v>
      </c>
      <c r="L997" s="7">
        <v>45838</v>
      </c>
      <c r="M997" s="7">
        <f t="shared" si="7312"/>
        <v>46203</v>
      </c>
      <c r="N997" s="7" t="str">
        <f t="shared" si="7313"/>
        <v>Anual</v>
      </c>
      <c r="O997" s="2" t="str">
        <f t="shared" ca="1" si="7314"/>
        <v>VIGENTE</v>
      </c>
      <c r="P997" s="6" t="s">
        <v>25</v>
      </c>
      <c r="Q997" s="2" t="s">
        <v>29</v>
      </c>
    </row>
    <row r="998" spans="1:17" x14ac:dyDescent="0.25">
      <c r="A998" s="23" t="s">
        <v>138</v>
      </c>
      <c r="B998" s="2" t="s">
        <v>604</v>
      </c>
      <c r="C998" s="3" t="s">
        <v>28</v>
      </c>
      <c r="D998" s="3" t="s">
        <v>23</v>
      </c>
      <c r="E998" s="2" t="s">
        <v>24</v>
      </c>
      <c r="F998" s="4">
        <v>0</v>
      </c>
      <c r="G998" s="8">
        <f t="shared" si="7315"/>
        <v>1000000000</v>
      </c>
      <c r="H998" s="4" t="str">
        <f t="shared" si="7316"/>
        <v>Ohms</v>
      </c>
      <c r="I998" s="6">
        <v>192000000</v>
      </c>
      <c r="J998" s="6" t="str">
        <f t="shared" si="7317"/>
        <v>Ohms</v>
      </c>
      <c r="K998" s="2" t="str">
        <f t="shared" si="7318"/>
        <v>RTG</v>
      </c>
      <c r="L998" s="7">
        <v>45838</v>
      </c>
      <c r="M998" s="7">
        <f t="shared" si="7312"/>
        <v>46203</v>
      </c>
      <c r="N998" s="7" t="str">
        <f t="shared" si="7313"/>
        <v>Anual</v>
      </c>
      <c r="O998" s="2" t="str">
        <f t="shared" ca="1" si="7314"/>
        <v>VIGENTE</v>
      </c>
      <c r="P998" s="6" t="s">
        <v>25</v>
      </c>
      <c r="Q998" s="2" t="s">
        <v>29</v>
      </c>
    </row>
    <row r="999" spans="1:17" x14ac:dyDescent="0.25">
      <c r="A999" s="23" t="s">
        <v>138</v>
      </c>
      <c r="B999" s="2" t="s">
        <v>606</v>
      </c>
      <c r="C999" s="3" t="s">
        <v>28</v>
      </c>
      <c r="D999" s="3" t="s">
        <v>23</v>
      </c>
      <c r="E999" s="2" t="s">
        <v>24</v>
      </c>
      <c r="F999" s="4">
        <v>0</v>
      </c>
      <c r="G999" s="8">
        <f t="shared" si="7315"/>
        <v>1000000000</v>
      </c>
      <c r="H999" s="4" t="str">
        <f t="shared" si="7316"/>
        <v>Ohms</v>
      </c>
      <c r="I999" s="6">
        <v>541000000</v>
      </c>
      <c r="J999" s="6" t="str">
        <f t="shared" si="7317"/>
        <v>Ohms</v>
      </c>
      <c r="K999" s="2" t="str">
        <f t="shared" si="7318"/>
        <v>RTG</v>
      </c>
      <c r="L999" s="7">
        <v>45838</v>
      </c>
      <c r="M999" s="7">
        <f t="shared" si="7312"/>
        <v>46203</v>
      </c>
      <c r="N999" s="7" t="str">
        <f t="shared" si="7313"/>
        <v>Anual</v>
      </c>
      <c r="O999" s="2" t="str">
        <f t="shared" ca="1" si="7314"/>
        <v>VIGENTE</v>
      </c>
      <c r="P999" s="6" t="s">
        <v>25</v>
      </c>
      <c r="Q999" s="2" t="s">
        <v>29</v>
      </c>
    </row>
    <row r="1000" spans="1:17" x14ac:dyDescent="0.25">
      <c r="A1000" s="23" t="s">
        <v>138</v>
      </c>
      <c r="B1000" s="2" t="s">
        <v>607</v>
      </c>
      <c r="C1000" s="3" t="s">
        <v>28</v>
      </c>
      <c r="D1000" s="3" t="s">
        <v>23</v>
      </c>
      <c r="E1000" s="2" t="s">
        <v>24</v>
      </c>
      <c r="F1000" s="4">
        <v>0</v>
      </c>
      <c r="G1000" s="8">
        <f t="shared" si="7315"/>
        <v>1000000000</v>
      </c>
      <c r="H1000" s="4" t="str">
        <f t="shared" si="7316"/>
        <v>Ohms</v>
      </c>
      <c r="I1000" s="6">
        <v>326000000</v>
      </c>
      <c r="J1000" s="6" t="str">
        <f t="shared" si="7317"/>
        <v>Ohms</v>
      </c>
      <c r="K1000" s="2" t="str">
        <f t="shared" si="7318"/>
        <v>RTG</v>
      </c>
      <c r="L1000" s="7">
        <v>45838</v>
      </c>
      <c r="M1000" s="7">
        <f t="shared" si="7312"/>
        <v>46203</v>
      </c>
      <c r="N1000" s="7" t="str">
        <f t="shared" si="7313"/>
        <v>Anual</v>
      </c>
      <c r="O1000" s="2" t="str">
        <f t="shared" ca="1" si="7314"/>
        <v>VIGENTE</v>
      </c>
      <c r="P1000" s="6" t="s">
        <v>25</v>
      </c>
      <c r="Q1000" s="2" t="s">
        <v>29</v>
      </c>
    </row>
    <row r="1001" spans="1:17" x14ac:dyDescent="0.25">
      <c r="A1001" s="23" t="s">
        <v>138</v>
      </c>
      <c r="B1001" s="2" t="s">
        <v>608</v>
      </c>
      <c r="C1001" s="3" t="s">
        <v>28</v>
      </c>
      <c r="D1001" s="3" t="s">
        <v>23</v>
      </c>
      <c r="E1001" s="2" t="s">
        <v>24</v>
      </c>
      <c r="F1001" s="4">
        <v>0</v>
      </c>
      <c r="G1001" s="8">
        <f t="shared" si="7315"/>
        <v>1000000000</v>
      </c>
      <c r="H1001" s="4" t="str">
        <f t="shared" si="7316"/>
        <v>Ohms</v>
      </c>
      <c r="I1001" s="14">
        <v>472000000</v>
      </c>
      <c r="J1001" s="6" t="str">
        <f t="shared" si="7317"/>
        <v>Ohms</v>
      </c>
      <c r="K1001" s="2" t="str">
        <f t="shared" si="7318"/>
        <v>RTG</v>
      </c>
      <c r="L1001" s="7">
        <v>45843</v>
      </c>
      <c r="M1001" s="7">
        <f t="shared" si="7312"/>
        <v>46208</v>
      </c>
      <c r="N1001" s="7" t="str">
        <f t="shared" si="7313"/>
        <v>Anual</v>
      </c>
      <c r="O1001" s="2" t="str">
        <f t="shared" ca="1" si="7314"/>
        <v>VIGENTE</v>
      </c>
      <c r="P1001" s="6" t="s">
        <v>25</v>
      </c>
      <c r="Q1001" s="2" t="s">
        <v>29</v>
      </c>
    </row>
    <row r="1002" spans="1:17" x14ac:dyDescent="0.25">
      <c r="A1002" s="23" t="s">
        <v>138</v>
      </c>
      <c r="B1002" s="2" t="s">
        <v>629</v>
      </c>
      <c r="C1002" s="3" t="s">
        <v>28</v>
      </c>
      <c r="D1002" s="3" t="s">
        <v>23</v>
      </c>
      <c r="E1002" s="2" t="s">
        <v>24</v>
      </c>
      <c r="F1002" s="4">
        <v>0</v>
      </c>
      <c r="G1002" s="8">
        <f t="shared" si="7315"/>
        <v>1000000000</v>
      </c>
      <c r="H1002" s="4" t="str">
        <f t="shared" si="7316"/>
        <v>Ohms</v>
      </c>
      <c r="I1002" s="14">
        <v>266000000</v>
      </c>
      <c r="J1002" s="6" t="str">
        <f t="shared" si="7317"/>
        <v>Ohms</v>
      </c>
      <c r="K1002" s="2" t="str">
        <f t="shared" si="7318"/>
        <v>RTG</v>
      </c>
      <c r="L1002" s="7">
        <v>45838</v>
      </c>
      <c r="M1002" s="7">
        <f t="shared" si="7312"/>
        <v>46203</v>
      </c>
      <c r="N1002" s="7" t="str">
        <f t="shared" si="7313"/>
        <v>Anual</v>
      </c>
      <c r="O1002" s="2" t="str">
        <f t="shared" ca="1" si="7314"/>
        <v>VIGENTE</v>
      </c>
      <c r="P1002" s="6" t="s">
        <v>25</v>
      </c>
      <c r="Q1002" s="2" t="s">
        <v>29</v>
      </c>
    </row>
    <row r="1003" spans="1:17" x14ac:dyDescent="0.25">
      <c r="A1003" s="23" t="s">
        <v>138</v>
      </c>
      <c r="B1003" s="2" t="s">
        <v>642</v>
      </c>
      <c r="C1003" s="3" t="s">
        <v>28</v>
      </c>
      <c r="D1003" s="3" t="s">
        <v>23</v>
      </c>
      <c r="E1003" s="2" t="s">
        <v>24</v>
      </c>
      <c r="F1003" s="4">
        <v>0</v>
      </c>
      <c r="G1003" s="8">
        <f t="shared" si="7315"/>
        <v>1000000000</v>
      </c>
      <c r="H1003" s="4" t="str">
        <f t="shared" si="7316"/>
        <v>Ohms</v>
      </c>
      <c r="I1003" s="6">
        <v>136000000</v>
      </c>
      <c r="J1003" s="6" t="str">
        <f t="shared" si="7317"/>
        <v>Ohms</v>
      </c>
      <c r="K1003" s="2" t="str">
        <f t="shared" si="7318"/>
        <v>RTG</v>
      </c>
      <c r="L1003" s="7">
        <v>45838</v>
      </c>
      <c r="M1003" s="7">
        <f t="shared" si="7312"/>
        <v>46203</v>
      </c>
      <c r="N1003" s="7" t="str">
        <f t="shared" si="7313"/>
        <v>Anual</v>
      </c>
      <c r="O1003" s="2" t="str">
        <f t="shared" ca="1" si="7314"/>
        <v>VIGENTE</v>
      </c>
      <c r="P1003" s="6" t="s">
        <v>25</v>
      </c>
      <c r="Q1003" s="2" t="s">
        <v>29</v>
      </c>
    </row>
    <row r="1004" spans="1:17" x14ac:dyDescent="0.25">
      <c r="A1004" s="23" t="s">
        <v>138</v>
      </c>
      <c r="B1004" s="2" t="s">
        <v>651</v>
      </c>
      <c r="C1004" s="3" t="s">
        <v>28</v>
      </c>
      <c r="D1004" s="3" t="s">
        <v>23</v>
      </c>
      <c r="E1004" s="2" t="s">
        <v>24</v>
      </c>
      <c r="F1004" s="4">
        <v>0</v>
      </c>
      <c r="G1004" s="8">
        <f t="shared" si="7315"/>
        <v>1000000000</v>
      </c>
      <c r="H1004" s="4" t="str">
        <f t="shared" si="7316"/>
        <v>Ohms</v>
      </c>
      <c r="I1004" s="6">
        <v>72700000</v>
      </c>
      <c r="J1004" s="6" t="str">
        <f t="shared" si="7317"/>
        <v>Ohms</v>
      </c>
      <c r="K1004" s="2" t="str">
        <f t="shared" si="7318"/>
        <v>RTG</v>
      </c>
      <c r="L1004" s="7">
        <v>45838</v>
      </c>
      <c r="M1004" s="7">
        <f t="shared" ref="M1004:M1006" si="7319">IF(N1004="Trimestral", L1004+90, IF(N1004="Semestral", L1004+180, IF(N1004="Mensual", L1004+30, L1004+365)))</f>
        <v>46203</v>
      </c>
      <c r="N1004" s="7" t="str">
        <f t="shared" si="7313"/>
        <v>Anual</v>
      </c>
      <c r="O1004" s="2" t="str">
        <f t="shared" ca="1" si="7314"/>
        <v>VIGENTE</v>
      </c>
      <c r="P1004" s="6" t="s">
        <v>25</v>
      </c>
      <c r="Q1004" s="2" t="s">
        <v>29</v>
      </c>
    </row>
    <row r="1005" spans="1:17" x14ac:dyDescent="0.25">
      <c r="A1005" s="23" t="s">
        <v>1163</v>
      </c>
      <c r="B1005" s="2" t="s">
        <v>1164</v>
      </c>
      <c r="C1005" s="3" t="s">
        <v>22</v>
      </c>
      <c r="D1005" s="3" t="s">
        <v>23</v>
      </c>
      <c r="E1005" s="2" t="s">
        <v>24</v>
      </c>
      <c r="F1005" s="4">
        <v>0</v>
      </c>
      <c r="G1005" s="8">
        <f t="shared" si="7315"/>
        <v>1000000000</v>
      </c>
      <c r="H1005" s="4" t="str">
        <f t="shared" si="7316"/>
        <v>Ohms</v>
      </c>
      <c r="I1005" s="14">
        <v>4030000</v>
      </c>
      <c r="J1005" s="6" t="str">
        <f t="shared" si="7317"/>
        <v>Ohms</v>
      </c>
      <c r="K1005" s="2" t="str">
        <f t="shared" si="7318"/>
        <v>RTG</v>
      </c>
      <c r="L1005" s="7">
        <v>45839</v>
      </c>
      <c r="M1005" s="7">
        <f t="shared" si="7319"/>
        <v>46204</v>
      </c>
      <c r="N1005" s="7" t="str">
        <f t="shared" si="7313"/>
        <v>Anual</v>
      </c>
      <c r="O1005" s="2" t="str">
        <f t="shared" ca="1" si="7314"/>
        <v>VIGENTE</v>
      </c>
      <c r="P1005" s="6" t="s">
        <v>25</v>
      </c>
      <c r="Q1005" s="2"/>
    </row>
    <row r="1006" spans="1:17" x14ac:dyDescent="0.25">
      <c r="A1006" s="23" t="s">
        <v>1163</v>
      </c>
      <c r="B1006" s="2" t="s">
        <v>1165</v>
      </c>
      <c r="C1006" s="3" t="s">
        <v>22</v>
      </c>
      <c r="D1006" s="3" t="s">
        <v>23</v>
      </c>
      <c r="E1006" s="2" t="s">
        <v>24</v>
      </c>
      <c r="F1006" s="4">
        <v>0</v>
      </c>
      <c r="G1006" s="8">
        <f t="shared" si="7315"/>
        <v>1000000000</v>
      </c>
      <c r="H1006" s="4" t="str">
        <f t="shared" si="7316"/>
        <v>Ohms</v>
      </c>
      <c r="I1006" s="14">
        <v>162000000</v>
      </c>
      <c r="J1006" s="6" t="str">
        <f t="shared" si="7317"/>
        <v>Ohms</v>
      </c>
      <c r="K1006" s="2" t="str">
        <f t="shared" si="7318"/>
        <v>RTG</v>
      </c>
      <c r="L1006" s="7">
        <v>45839</v>
      </c>
      <c r="M1006" s="7">
        <f t="shared" si="7319"/>
        <v>46204</v>
      </c>
      <c r="N1006" s="7" t="str">
        <f t="shared" si="7313"/>
        <v>Anual</v>
      </c>
      <c r="O1006" s="2" t="str">
        <f t="shared" ca="1" si="7314"/>
        <v>VIGENTE</v>
      </c>
      <c r="P1006" s="6" t="s">
        <v>25</v>
      </c>
      <c r="Q1006" s="2"/>
    </row>
  </sheetData>
  <autoFilter ref="A5:Q1006" xr:uid="{8632B1DE-3B13-4D99-8B0C-0736FADC1072}">
    <filterColumn colId="5" showButton="0"/>
    <sortState xmlns:xlrd2="http://schemas.microsoft.com/office/spreadsheetml/2017/richdata2" ref="A8:Q1006">
      <sortCondition ref="A5:A1006"/>
    </sortState>
  </autoFilter>
  <mergeCells count="17">
    <mergeCell ref="L4:O4"/>
    <mergeCell ref="A5:A6"/>
    <mergeCell ref="B5:B6"/>
    <mergeCell ref="C5:C6"/>
    <mergeCell ref="D5:D6"/>
    <mergeCell ref="E5:E6"/>
    <mergeCell ref="F5:G5"/>
    <mergeCell ref="H5:H6"/>
    <mergeCell ref="I5:I6"/>
    <mergeCell ref="P5:P6"/>
    <mergeCell ref="Q5:Q6"/>
    <mergeCell ref="J5:J6"/>
    <mergeCell ref="K5:K6"/>
    <mergeCell ref="L5:L6"/>
    <mergeCell ref="M5:M6"/>
    <mergeCell ref="N5:N6"/>
    <mergeCell ref="O5:O6"/>
  </mergeCells>
  <phoneticPr fontId="1" type="noConversion"/>
  <conditionalFormatting sqref="A991:F1006 I991:I1006 M991:M1006 P991:Q1006">
    <cfRule type="expression" dxfId="33" priority="3">
      <formula>$Q991="NO OPERATIVO"</formula>
    </cfRule>
  </conditionalFormatting>
  <conditionalFormatting sqref="G991:H1006 J991:J1006 O991:O1006 N7:Q903 N904:N1006 A7:J990 O904:Q990 L7:L990">
    <cfRule type="expression" dxfId="32" priority="21">
      <formula>$P7="NO OPERATIVO"</formula>
    </cfRule>
  </conditionalFormatting>
  <conditionalFormatting sqref="B7:B223">
    <cfRule type="duplicateValues" dxfId="31" priority="1421"/>
  </conditionalFormatting>
  <conditionalFormatting sqref="B991:B1006">
    <cfRule type="duplicateValues" dxfId="30" priority="2"/>
  </conditionalFormatting>
  <conditionalFormatting sqref="I7:I990">
    <cfRule type="cellIs" dxfId="29" priority="10" operator="greaterThan">
      <formula>$G$7</formula>
    </cfRule>
  </conditionalFormatting>
  <conditionalFormatting sqref="AE948 AU948 BK948 CA948 CQ948 DG948 DW948 EM948 FC948 FS948 GI948 GY948 HO948 IE948 IU948 JK948 KA948 KQ948 LG948 LW948 MM948 NC948 NS948 OI948 OY948 PO948 QE948 QU948 RK948 SA948 SQ948 TG948 TW948 UM948 VC948 VS948 WI948 WY948 XO948 YE948 YU948 ZK948 AAA948 AAQ948 ABG948 ABW948 ACM948 ADC948 ADS948 AEI948 AEY948 AFO948 AGE948 AGU948 AHK948 AIA948 AIQ948 AJG948 AJW948 AKM948 ALC948 ALS948 AMI948 AMY948 ANO948 AOE948 AOU948 APK948 AQA948 AQQ948 ARG948 ARW948 ASM948 ATC948 ATS948 AUI948 AUY948 AVO948 AWE948 AWU948 AXK948 AYA948 AYQ948 AZG948 AZW948 BAM948 BBC948 BBS948 BCI948 BCY948 BDO948 BEE948 BEU948 BFK948 BGA948 BGQ948 BHG948 BHW948 BIM948 BJC948 BJS948 BKI948 BKY948 BLO948 BME948 BMU948 BNK948 BOA948 BOQ948 BPG948 BPW948 BQM948 BRC948 BRS948 BSI948 BSY948 BTO948 BUE948 BUU948 BVK948 BWA948 BWQ948 BXG948 BXW948 BYM948 BZC948 BZS948 CAI948 CAY948 CBO948 CCE948 CCU948 CDK948 CEA948 CEQ948 CFG948 CFW948 CGM948 CHC948 CHS948 CII948 CIY948 CJO948 CKE948 CKU948 CLK948 CMA948 CMQ948 CNG948 CNW948 COM948 CPC948 CPS948 CQI948 CQY948 CRO948 CSE948 CSU948 CTK948 CUA948 CUQ948 CVG948 CVW948 CWM948 CXC948 CXS948 CYI948 CYY948 CZO948 DAE948 DAU948 DBK948 DCA948 DCQ948 DDG948 DDW948 DEM948 DFC948 DFS948 DGI948 DGY948 DHO948 DIE948 DIU948 DJK948 DKA948 DKQ948 DLG948 DLW948 DMM948 DNC948 DNS948 DOI948 DOY948 DPO948 DQE948 DQU948 DRK948 DSA948 DSQ948 DTG948 DTW948 DUM948 DVC948 DVS948 DWI948 DWY948 DXO948 DYE948 DYU948 DZK948 EAA948 EAQ948 EBG948 EBW948 ECM948 EDC948 EDS948 EEI948 EEY948 EFO948 EGE948 EGU948 EHK948 EIA948 EIQ948 EJG948 EJW948 EKM948 ELC948 ELS948 EMI948 EMY948 ENO948 EOE948 EOU948 EPK948 EQA948 EQQ948 ERG948 ERW948 ESM948 ETC948 ETS948 EUI948 EUY948 EVO948 EWE948 EWU948 EXK948 EYA948 EYQ948 EZG948 EZW948 FAM948 FBC948 FBS948 FCI948 FCY948 FDO948 FEE948 FEU948 FFK948 FGA948 FGQ948 FHG948 FHW948 FIM948 FJC948 FJS948 FKI948 FKY948 FLO948 FME948 FMU948 FNK948 FOA948 FOQ948 FPG948 FPW948 FQM948 FRC948 FRS948 FSI948 FSY948 FTO948 FUE948 FUU948 FVK948 FWA948 FWQ948 FXG948 FXW948 FYM948 FZC948 FZS948 GAI948 GAY948 GBO948 GCE948 GCU948 GDK948 GEA948 GEQ948 GFG948 GFW948 GGM948 GHC948 GHS948 GII948 GIY948 GJO948 GKE948 GKU948 GLK948 GMA948 GMQ948 GNG948 GNW948 GOM948 GPC948 GPS948 GQI948 GQY948 GRO948 GSE948 GSU948 GTK948 GUA948 GUQ948 GVG948 GVW948 GWM948 GXC948 GXS948 GYI948 GYY948 GZO948 HAE948 HAU948 HBK948 HCA948 HCQ948 HDG948 HDW948 HEM948 HFC948 HFS948 HGI948 HGY948 HHO948 HIE948 HIU948 HJK948 HKA948 HKQ948 HLG948 HLW948 HMM948 HNC948 HNS948 HOI948 HOY948 HPO948 HQE948 HQU948 HRK948 HSA948 HSQ948 HTG948 HTW948 HUM948 HVC948 HVS948 HWI948 HWY948 HXO948 HYE948 HYU948 HZK948 IAA948 IAQ948 IBG948 IBW948 ICM948 IDC948 IDS948 IEI948 IEY948 IFO948 IGE948 IGU948 IHK948 IIA948 IIQ948 IJG948 IJW948 IKM948 ILC948 ILS948 IMI948 IMY948 INO948 IOE948 IOU948 IPK948 IQA948 IQQ948 IRG948 IRW948 ISM948 ITC948 ITS948 IUI948 IUY948 IVO948 IWE948 IWU948 IXK948 IYA948 IYQ948 IZG948 IZW948 JAM948 JBC948 JBS948 JCI948 JCY948 JDO948 JEE948 JEU948 JFK948 JGA948 JGQ948 JHG948 JHW948 JIM948 JJC948 JJS948 JKI948 JKY948 JLO948 JME948 JMU948 JNK948 JOA948 JOQ948 JPG948 JPW948 JQM948 JRC948 JRS948 JSI948 JSY948 JTO948 JUE948 JUU948 JVK948 JWA948 JWQ948 JXG948 JXW948 JYM948 JZC948 JZS948 KAI948 KAY948 KBO948 KCE948 KCU948 KDK948 KEA948 KEQ948 KFG948 KFW948 KGM948 KHC948 KHS948 KII948 KIY948 KJO948 KKE948 KKU948 KLK948 KMA948 KMQ948 KNG948 KNW948 KOM948 KPC948 KPS948 KQI948 KQY948 KRO948 KSE948 KSU948 KTK948 KUA948 KUQ948 KVG948 KVW948 KWM948 KXC948 KXS948 KYI948 KYY948 KZO948 LAE948 LAU948 LBK948 LCA948 LCQ948 LDG948 LDW948 LEM948 LFC948 LFS948 LGI948 LGY948 LHO948 LIE948 LIU948 LJK948 LKA948 LKQ948 LLG948 LLW948 LMM948 LNC948 LNS948 LOI948 LOY948 LPO948 LQE948 LQU948 LRK948 LSA948 LSQ948 LTG948 LTW948 LUM948 LVC948 LVS948 LWI948 LWY948 LXO948 LYE948 LYU948 LZK948 MAA948 MAQ948 MBG948 MBW948 MCM948 MDC948 MDS948 MEI948 MEY948 MFO948 MGE948 MGU948 MHK948 MIA948 MIQ948 MJG948 MJW948 MKM948 MLC948 MLS948 MMI948 MMY948 MNO948 MOE948 MOU948 MPK948 MQA948 MQQ948 MRG948 MRW948 MSM948 MTC948 MTS948 MUI948 MUY948 MVO948 MWE948 MWU948 MXK948 MYA948 MYQ948 MZG948 MZW948 NAM948 NBC948 NBS948 NCI948 NCY948 NDO948 NEE948 NEU948 NFK948 NGA948 NGQ948 NHG948 NHW948 NIM948 NJC948 NJS948 NKI948 NKY948 NLO948 NME948 NMU948 NNK948 NOA948 NOQ948 NPG948 NPW948 NQM948 NRC948 NRS948 NSI948 NSY948 NTO948 NUE948 NUU948 NVK948 NWA948 NWQ948 NXG948 NXW948 NYM948 NZC948 NZS948 OAI948 OAY948 OBO948 OCE948 OCU948 ODK948 OEA948 OEQ948 OFG948 OFW948 OGM948 OHC948 OHS948 OII948 OIY948 OJO948 OKE948 OKU948 OLK948 OMA948 OMQ948 ONG948 ONW948 OOM948 OPC948 OPS948 OQI948 OQY948 ORO948 OSE948 OSU948 OTK948 OUA948 OUQ948 OVG948 OVW948 OWM948 OXC948 OXS948 OYI948 OYY948 OZO948 PAE948 PAU948 PBK948 PCA948 PCQ948 PDG948 PDW948 PEM948 PFC948 PFS948 PGI948 PGY948 PHO948 PIE948 PIU948 PJK948 PKA948 PKQ948 PLG948 PLW948 PMM948 PNC948 PNS948 POI948 POY948 PPO948 PQE948 PQU948 PRK948 PSA948 PSQ948 PTG948 PTW948 PUM948 PVC948 PVS948 PWI948 PWY948 PXO948 PYE948 PYU948 PZK948 QAA948 QAQ948 QBG948 QBW948 QCM948 QDC948 QDS948 QEI948 QEY948 QFO948 QGE948 QGU948 QHK948 QIA948 QIQ948 QJG948 QJW948 QKM948 QLC948 QLS948 QMI948 QMY948 QNO948 QOE948 QOU948 QPK948 QQA948 QQQ948 QRG948 QRW948 QSM948 QTC948 QTS948 QUI948 QUY948 QVO948 QWE948 QWU948 QXK948 QYA948 QYQ948 QZG948 QZW948 RAM948 RBC948 RBS948 RCI948 RCY948 RDO948 REE948 REU948 RFK948 RGA948 RGQ948 RHG948 RHW948 RIM948 RJC948 RJS948 RKI948 RKY948 RLO948 RME948 RMU948 RNK948 ROA948 ROQ948 RPG948 RPW948 RQM948 RRC948 RRS948 RSI948 RSY948 RTO948 RUE948 RUU948 RVK948 RWA948 RWQ948 RXG948 RXW948 RYM948 RZC948 RZS948 SAI948 SAY948 SBO948 SCE948 SCU948 SDK948 SEA948 SEQ948 SFG948 SFW948 SGM948 SHC948 SHS948 SII948 SIY948 SJO948 SKE948 SKU948 SLK948 SMA948 SMQ948 SNG948 SNW948 SOM948 SPC948 SPS948 SQI948 SQY948 SRO948 SSE948 SSU948 STK948 SUA948 SUQ948 SVG948 SVW948 SWM948 SXC948 SXS948 SYI948 SYY948 SZO948 TAE948 TAU948 TBK948 TCA948 TCQ948 TDG948 TDW948 TEM948 TFC948 TFS948 TGI948 TGY948 THO948 TIE948 TIU948 TJK948 TKA948 TKQ948 TLG948 TLW948 TMM948 TNC948 TNS948 TOI948 TOY948 TPO948 TQE948 TQU948 TRK948 TSA948 TSQ948 TTG948 TTW948 TUM948 TVC948 TVS948 TWI948 TWY948 TXO948 TYE948 TYU948 TZK948 UAA948 UAQ948 UBG948 UBW948 UCM948 UDC948 UDS948 UEI948 UEY948 UFO948 UGE948 UGU948 UHK948 UIA948 UIQ948 UJG948 UJW948 UKM948 ULC948 ULS948 UMI948 UMY948 UNO948 UOE948 UOU948 UPK948 UQA948 UQQ948 URG948 URW948 USM948 UTC948 UTS948 UUI948 UUY948 UVO948 UWE948 UWU948 UXK948 UYA948 UYQ948 UZG948 UZW948 VAM948 VBC948 VBS948 VCI948 VCY948 VDO948 VEE948 VEU948 VFK948 VGA948 VGQ948 VHG948 VHW948 VIM948 VJC948 VJS948 VKI948 VKY948 VLO948 VME948 VMU948 VNK948 VOA948 VOQ948 VPG948 VPW948 VQM948 VRC948 VRS948 VSI948 VSY948 VTO948 VUE948 VUU948 VVK948 VWA948 VWQ948 VXG948 VXW948 VYM948 VZC948 VZS948 WAI948 WAY948 WBO948 WCE948 WCU948 WDK948 WEA948 WEQ948 WFG948 WFW948 WGM948 WHC948 WHS948 WII948 WIY948 WJO948 WKE948 WKU948 WLK948 WMA948 WMQ948 WNG948 WNW948 WOM948 WPC948 WPS948 WQI948 WQY948 WRO948 WSE948 WSU948 WTK948 WUA948 WUQ948 WVG948 WVW948 WWM948 WXC948 WXS948 WYI948 WYY948 WZO948 XAE948 XAU948 XBK948 XCA948 XCQ948 XDG948 XDW948 XEM948 XFC948 O7:O1048576">
    <cfRule type="containsText" dxfId="28" priority="25" operator="containsText" text="VENCE HOY">
      <formula>NOT(ISERROR(SEARCH("VENCE HOY",O7)))</formula>
    </cfRule>
    <cfRule type="containsText" dxfId="27" priority="26" operator="containsText" text="VIGENTE">
      <formula>NOT(ISERROR(SEARCH("VIGENTE",O7)))</formula>
    </cfRule>
    <cfRule type="containsText" dxfId="26" priority="27" operator="containsText" text="VENCIDO">
      <formula>NOT(ISERROR(SEARCH("VENCIDO",O7)))</formula>
    </cfRule>
  </conditionalFormatting>
  <conditionalFormatting sqref="AF948 AV948 BL948 CB948 CR948 DH948 DX948 EN948 FD948 FT948 GJ948 GZ948 HP948 IF948 IV948 JL948 KB948 KR948 LH948 LX948 MN948 ND948 NT948 OJ948 OZ948 PP948 QF948 QV948 RL948 SB948 SR948 TH948 TX948 UN948 VD948 VT948 WJ948 WZ948 XP948 YF948 YV948 ZL948 AAB948 AAR948 ABH948 ABX948 ACN948 ADD948 ADT948 AEJ948 AEZ948 AFP948 AGF948 AGV948 AHL948 AIB948 AIR948 AJH948 AJX948 AKN948 ALD948 ALT948 AMJ948 AMZ948 ANP948 AOF948 AOV948 APL948 AQB948 AQR948 ARH948 ARX948 ASN948 ATD948 ATT948 AUJ948 AUZ948 AVP948 AWF948 AWV948 AXL948 AYB948 AYR948 AZH948 AZX948 BAN948 BBD948 BBT948 BCJ948 BCZ948 BDP948 BEF948 BEV948 BFL948 BGB948 BGR948 BHH948 BHX948 BIN948 BJD948 BJT948 BKJ948 BKZ948 BLP948 BMF948 BMV948 BNL948 BOB948 BOR948 BPH948 BPX948 BQN948 BRD948 BRT948 BSJ948 BSZ948 BTP948 BUF948 BUV948 BVL948 BWB948 BWR948 BXH948 BXX948 BYN948 BZD948 BZT948 CAJ948 CAZ948 CBP948 CCF948 CCV948 CDL948 CEB948 CER948 CFH948 CFX948 CGN948 CHD948 CHT948 CIJ948 CIZ948 CJP948 CKF948 CKV948 CLL948 CMB948 CMR948 CNH948 CNX948 CON948 CPD948 CPT948 CQJ948 CQZ948 CRP948 CSF948 CSV948 CTL948 CUB948 CUR948 CVH948 CVX948 CWN948 CXD948 CXT948 CYJ948 CYZ948 CZP948 DAF948 DAV948 DBL948 DCB948 DCR948 DDH948 DDX948 DEN948 DFD948 DFT948 DGJ948 DGZ948 DHP948 DIF948 DIV948 DJL948 DKB948 DKR948 DLH948 DLX948 DMN948 DND948 DNT948 DOJ948 DOZ948 DPP948 DQF948 DQV948 DRL948 DSB948 DSR948 DTH948 DTX948 DUN948 DVD948 DVT948 DWJ948 DWZ948 DXP948 DYF948 DYV948 DZL948 EAB948 EAR948 EBH948 EBX948 ECN948 EDD948 EDT948 EEJ948 EEZ948 EFP948 EGF948 EGV948 EHL948 EIB948 EIR948 EJH948 EJX948 EKN948 ELD948 ELT948 EMJ948 EMZ948 ENP948 EOF948 EOV948 EPL948 EQB948 EQR948 ERH948 ERX948 ESN948 ETD948 ETT948 EUJ948 EUZ948 EVP948 EWF948 EWV948 EXL948 EYB948 EYR948 EZH948 EZX948 FAN948 FBD948 FBT948 FCJ948 FCZ948 FDP948 FEF948 FEV948 FFL948 FGB948 FGR948 FHH948 FHX948 FIN948 FJD948 FJT948 FKJ948 FKZ948 FLP948 FMF948 FMV948 FNL948 FOB948 FOR948 FPH948 FPX948 FQN948 FRD948 FRT948 FSJ948 FSZ948 FTP948 FUF948 FUV948 FVL948 FWB948 FWR948 FXH948 FXX948 FYN948 FZD948 FZT948 GAJ948 GAZ948 GBP948 GCF948 GCV948 GDL948 GEB948 GER948 GFH948 GFX948 GGN948 GHD948 GHT948 GIJ948 GIZ948 GJP948 GKF948 GKV948 GLL948 GMB948 GMR948 GNH948 GNX948 GON948 GPD948 GPT948 GQJ948 GQZ948 GRP948 GSF948 GSV948 GTL948 GUB948 GUR948 GVH948 GVX948 GWN948 GXD948 GXT948 GYJ948 GYZ948 GZP948 HAF948 HAV948 HBL948 HCB948 HCR948 HDH948 HDX948 HEN948 HFD948 HFT948 HGJ948 HGZ948 HHP948 HIF948 HIV948 HJL948 HKB948 HKR948 HLH948 HLX948 HMN948 HND948 HNT948 HOJ948 HOZ948 HPP948 HQF948 HQV948 HRL948 HSB948 HSR948 HTH948 HTX948 HUN948 HVD948 HVT948 HWJ948 HWZ948 HXP948 HYF948 HYV948 HZL948 IAB948 IAR948 IBH948 IBX948 ICN948 IDD948 IDT948 IEJ948 IEZ948 IFP948 IGF948 IGV948 IHL948 IIB948 IIR948 IJH948 IJX948 IKN948 ILD948 ILT948 IMJ948 IMZ948 INP948 IOF948 IOV948 IPL948 IQB948 IQR948 IRH948 IRX948 ISN948 ITD948 ITT948 IUJ948 IUZ948 IVP948 IWF948 IWV948 IXL948 IYB948 IYR948 IZH948 IZX948 JAN948 JBD948 JBT948 JCJ948 JCZ948 JDP948 JEF948 JEV948 JFL948 JGB948 JGR948 JHH948 JHX948 JIN948 JJD948 JJT948 JKJ948 JKZ948 JLP948 JMF948 JMV948 JNL948 JOB948 JOR948 JPH948 JPX948 JQN948 JRD948 JRT948 JSJ948 JSZ948 JTP948 JUF948 JUV948 JVL948 JWB948 JWR948 JXH948 JXX948 JYN948 JZD948 JZT948 KAJ948 KAZ948 KBP948 KCF948 KCV948 KDL948 KEB948 KER948 KFH948 KFX948 KGN948 KHD948 KHT948 KIJ948 KIZ948 KJP948 KKF948 KKV948 KLL948 KMB948 KMR948 KNH948 KNX948 KON948 KPD948 KPT948 KQJ948 KQZ948 KRP948 KSF948 KSV948 KTL948 KUB948 KUR948 KVH948 KVX948 KWN948 KXD948 KXT948 KYJ948 KYZ948 KZP948 LAF948 LAV948 LBL948 LCB948 LCR948 LDH948 LDX948 LEN948 LFD948 LFT948 LGJ948 LGZ948 LHP948 LIF948 LIV948 LJL948 LKB948 LKR948 LLH948 LLX948 LMN948 LND948 LNT948 LOJ948 LOZ948 LPP948 LQF948 LQV948 LRL948 LSB948 LSR948 LTH948 LTX948 LUN948 LVD948 LVT948 LWJ948 LWZ948 LXP948 LYF948 LYV948 LZL948 MAB948 MAR948 MBH948 MBX948 MCN948 MDD948 MDT948 MEJ948 MEZ948 MFP948 MGF948 MGV948 MHL948 MIB948 MIR948 MJH948 MJX948 MKN948 MLD948 MLT948 MMJ948 MMZ948 MNP948 MOF948 MOV948 MPL948 MQB948 MQR948 MRH948 MRX948 MSN948 MTD948 MTT948 MUJ948 MUZ948 MVP948 MWF948 MWV948 MXL948 MYB948 MYR948 MZH948 MZX948 NAN948 NBD948 NBT948 NCJ948 NCZ948 NDP948 NEF948 NEV948 NFL948 NGB948 NGR948 NHH948 NHX948 NIN948 NJD948 NJT948 NKJ948 NKZ948 NLP948 NMF948 NMV948 NNL948 NOB948 NOR948 NPH948 NPX948 NQN948 NRD948 NRT948 NSJ948 NSZ948 NTP948 NUF948 NUV948 NVL948 NWB948 NWR948 NXH948 NXX948 NYN948 NZD948 NZT948 OAJ948 OAZ948 OBP948 OCF948 OCV948 ODL948 OEB948 OER948 OFH948 OFX948 OGN948 OHD948 OHT948 OIJ948 OIZ948 OJP948 OKF948 OKV948 OLL948 OMB948 OMR948 ONH948 ONX948 OON948 OPD948 OPT948 OQJ948 OQZ948 ORP948 OSF948 OSV948 OTL948 OUB948 OUR948 OVH948 OVX948 OWN948 OXD948 OXT948 OYJ948 OYZ948 OZP948 PAF948 PAV948 PBL948 PCB948 PCR948 PDH948 PDX948 PEN948 PFD948 PFT948 PGJ948 PGZ948 PHP948 PIF948 PIV948 PJL948 PKB948 PKR948 PLH948 PLX948 PMN948 PND948 PNT948 POJ948 POZ948 PPP948 PQF948 PQV948 PRL948 PSB948 PSR948 PTH948 PTX948 PUN948 PVD948 PVT948 PWJ948 PWZ948 PXP948 PYF948 PYV948 PZL948 QAB948 QAR948 QBH948 QBX948 QCN948 QDD948 QDT948 QEJ948 QEZ948 QFP948 QGF948 QGV948 QHL948 QIB948 QIR948 QJH948 QJX948 QKN948 QLD948 QLT948 QMJ948 QMZ948 QNP948 QOF948 QOV948 QPL948 QQB948 QQR948 QRH948 QRX948 QSN948 QTD948 QTT948 QUJ948 QUZ948 QVP948 QWF948 QWV948 QXL948 QYB948 QYR948 QZH948 QZX948 RAN948 RBD948 RBT948 RCJ948 RCZ948 RDP948 REF948 REV948 RFL948 RGB948 RGR948 RHH948 RHX948 RIN948 RJD948 RJT948 RKJ948 RKZ948 RLP948 RMF948 RMV948 RNL948 ROB948 ROR948 RPH948 RPX948 RQN948 RRD948 RRT948 RSJ948 RSZ948 RTP948 RUF948 RUV948 RVL948 RWB948 RWR948 RXH948 RXX948 RYN948 RZD948 RZT948 SAJ948 SAZ948 SBP948 SCF948 SCV948 SDL948 SEB948 SER948 SFH948 SFX948 SGN948 SHD948 SHT948 SIJ948 SIZ948 SJP948 SKF948 SKV948 SLL948 SMB948 SMR948 SNH948 SNX948 SON948 SPD948 SPT948 SQJ948 SQZ948 SRP948 SSF948 SSV948 STL948 SUB948 SUR948 SVH948 SVX948 SWN948 SXD948 SXT948 SYJ948 SYZ948 SZP948 TAF948 TAV948 TBL948 TCB948 TCR948 TDH948 TDX948 TEN948 TFD948 TFT948 TGJ948 TGZ948 THP948 TIF948 TIV948 TJL948 TKB948 TKR948 TLH948 TLX948 TMN948 TND948 TNT948 TOJ948 TOZ948 TPP948 TQF948 TQV948 TRL948 TSB948 TSR948 TTH948 TTX948 TUN948 TVD948 TVT948 TWJ948 TWZ948 TXP948 TYF948 TYV948 TZL948 UAB948 UAR948 UBH948 UBX948 UCN948 UDD948 UDT948 UEJ948 UEZ948 UFP948 UGF948 UGV948 UHL948 UIB948 UIR948 UJH948 UJX948 UKN948 ULD948 ULT948 UMJ948 UMZ948 UNP948 UOF948 UOV948 UPL948 UQB948 UQR948 URH948 URX948 USN948 UTD948 UTT948 UUJ948 UUZ948 UVP948 UWF948 UWV948 UXL948 UYB948 UYR948 UZH948 UZX948 VAN948 VBD948 VBT948 VCJ948 VCZ948 VDP948 VEF948 VEV948 VFL948 VGB948 VGR948 VHH948 VHX948 VIN948 VJD948 VJT948 VKJ948 VKZ948 VLP948 VMF948 VMV948 VNL948 VOB948 VOR948 VPH948 VPX948 VQN948 VRD948 VRT948 VSJ948 VSZ948 VTP948 VUF948 VUV948 VVL948 VWB948 VWR948 VXH948 VXX948 VYN948 VZD948 VZT948 WAJ948 WAZ948 WBP948 WCF948 WCV948 WDL948 WEB948 WER948 WFH948 WFX948 WGN948 WHD948 WHT948 WIJ948 WIZ948 WJP948 WKF948 WKV948 WLL948 WMB948 WMR948 WNH948 WNX948 WON948 WPD948 WPT948 WQJ948 WQZ948 WRP948 WSF948 WSV948 WTL948 WUB948 WUR948 WVH948 WVX948 WWN948 WXD948 WXT948 WYJ948 WYZ948 WZP948 XAF948 XAV948 XBL948 XCB948 XCR948 XDH948 XDX948 XEN948 XFD948 P1007:P1048576 P7:P990">
    <cfRule type="cellIs" dxfId="25" priority="22" operator="equal">
      <formula>"OPERATIVO"</formula>
    </cfRule>
    <cfRule type="containsText" dxfId="24" priority="23" operator="containsText" text="&quot;OPERATIVO&quot;">
      <formula>NOT(ISERROR(SEARCH("""OPERATIVO""",P7)))</formula>
    </cfRule>
    <cfRule type="containsText" dxfId="23" priority="24" operator="containsText" text="NO OPERATIVO">
      <formula>NOT(ISERROR(SEARCH("NO OPERATIVO",P7)))</formula>
    </cfRule>
  </conditionalFormatting>
  <conditionalFormatting sqref="P991:P1006">
    <cfRule type="containsText" dxfId="22" priority="7" operator="containsText" text="VENCE HOY">
      <formula>NOT(ISERROR(SEARCH("VENCE HOY",P991)))</formula>
    </cfRule>
    <cfRule type="containsText" dxfId="21" priority="8" operator="containsText" text="VIGENTE">
      <formula>NOT(ISERROR(SEARCH("VIGENTE",P991)))</formula>
    </cfRule>
    <cfRule type="containsText" dxfId="20" priority="9" operator="containsText" text="VENCIDO">
      <formula>NOT(ISERROR(SEARCH("VENCIDO",P991)))</formula>
    </cfRule>
  </conditionalFormatting>
  <conditionalFormatting sqref="Q991:Q1006">
    <cfRule type="cellIs" dxfId="19" priority="4" operator="equal">
      <formula>"OPERATIVO"</formula>
    </cfRule>
    <cfRule type="containsText" dxfId="18" priority="5" operator="containsText" text="&quot;OPERATIVO&quot;">
      <formula>NOT(ISERROR(SEARCH("""OPERATIVO""",Q991)))</formula>
    </cfRule>
    <cfRule type="containsText" dxfId="17" priority="6" operator="containsText" text="NO OPERATIVO">
      <formula>NOT(ISERROR(SEARCH("NO OPERATIVO",Q991)))</formula>
    </cfRule>
  </conditionalFormatting>
  <conditionalFormatting sqref="R948 AH948 AX948 BN948 CD948 CT948 DJ948 DZ948 EP948 FF948 FV948 GL948 HB948 HR948 IH948 IX948 JN948 KD948 KT948 LJ948 LZ948 MP948 NF948 NV948 OL948 PB948 PR948 QH948 QX948 RN948 SD948 ST948 TJ948 TZ948 UP948 VF948 VV948 WL948 XB948 XR948 YH948 YX948 ZN948 AAD948 AAT948 ABJ948 ABZ948 ACP948 ADF948 ADV948 AEL948 AFB948 AFR948 AGH948 AGX948 AHN948 AID948 AIT948 AJJ948 AJZ948 AKP948 ALF948 ALV948 AML948 ANB948 ANR948 AOH948 AOX948 APN948 AQD948 AQT948 ARJ948 ARZ948 ASP948 ATF948 ATV948 AUL948 AVB948 AVR948 AWH948 AWX948 AXN948 AYD948 AYT948 AZJ948 AZZ948 BAP948 BBF948 BBV948 BCL948 BDB948 BDR948 BEH948 BEX948 BFN948 BGD948 BGT948 BHJ948 BHZ948 BIP948 BJF948 BJV948 BKL948 BLB948 BLR948 BMH948 BMX948 BNN948 BOD948 BOT948 BPJ948 BPZ948 BQP948 BRF948 BRV948 BSL948 BTB948 BTR948 BUH948 BUX948 BVN948 BWD948 BWT948 BXJ948 BXZ948 BYP948 BZF948 BZV948 CAL948 CBB948 CBR948 CCH948 CCX948 CDN948 CED948 CET948 CFJ948 CFZ948 CGP948 CHF948 CHV948 CIL948 CJB948 CJR948 CKH948 CKX948 CLN948 CMD948 CMT948 CNJ948 CNZ948 COP948 CPF948 CPV948 CQL948 CRB948 CRR948 CSH948 CSX948 CTN948 CUD948 CUT948 CVJ948 CVZ948 CWP948 CXF948 CXV948 CYL948 CZB948 CZR948 DAH948 DAX948 DBN948 DCD948 DCT948 DDJ948 DDZ948 DEP948 DFF948 DFV948 DGL948 DHB948 DHR948 DIH948 DIX948 DJN948 DKD948 DKT948 DLJ948 DLZ948 DMP948 DNF948 DNV948 DOL948 DPB948 DPR948 DQH948 DQX948 DRN948 DSD948 DST948 DTJ948 DTZ948 DUP948 DVF948 DVV948 DWL948 DXB948 DXR948 DYH948 DYX948 DZN948 EAD948 EAT948 EBJ948 EBZ948 ECP948 EDF948 EDV948 EEL948 EFB948 EFR948 EGH948 EGX948 EHN948 EID948 EIT948 EJJ948 EJZ948 EKP948 ELF948 ELV948 EML948 ENB948 ENR948 EOH948 EOX948 EPN948 EQD948 EQT948 ERJ948 ERZ948 ESP948 ETF948 ETV948 EUL948 EVB948 EVR948 EWH948 EWX948 EXN948 EYD948 EYT948 EZJ948 EZZ948 FAP948 FBF948 FBV948 FCL948 FDB948 FDR948 FEH948 FEX948 FFN948 FGD948 FGT948 FHJ948 FHZ948 FIP948 FJF948 FJV948 FKL948 FLB948 FLR948 FMH948 FMX948 FNN948 FOD948 FOT948 FPJ948 FPZ948 FQP948 FRF948 FRV948 FSL948 FTB948 FTR948 FUH948 FUX948 FVN948 FWD948 FWT948 FXJ948 FXZ948 FYP948 FZF948 FZV948 GAL948 GBB948 GBR948 GCH948 GCX948 GDN948 GED948 GET948 GFJ948 GFZ948 GGP948 GHF948 GHV948 GIL948 GJB948 GJR948 GKH948 GKX948 GLN948 GMD948 GMT948 GNJ948 GNZ948 GOP948 GPF948 GPV948 GQL948 GRB948 GRR948 GSH948 GSX948 GTN948 GUD948 GUT948 GVJ948 GVZ948 GWP948 GXF948 GXV948 GYL948 GZB948 GZR948 HAH948 HAX948 HBN948 HCD948 HCT948 HDJ948 HDZ948 HEP948 HFF948 HFV948 HGL948 HHB948 HHR948 HIH948 HIX948 HJN948 HKD948 HKT948 HLJ948 HLZ948 HMP948 HNF948 HNV948 HOL948 HPB948 HPR948 HQH948 HQX948 HRN948 HSD948 HST948 HTJ948 HTZ948 HUP948 HVF948 HVV948 HWL948 HXB948 HXR948 HYH948 HYX948 HZN948 IAD948 IAT948 IBJ948 IBZ948 ICP948 IDF948 IDV948 IEL948 IFB948 IFR948 IGH948 IGX948 IHN948 IID948 IIT948 IJJ948 IJZ948 IKP948 ILF948 ILV948 IML948 INB948 INR948 IOH948 IOX948 IPN948 IQD948 IQT948 IRJ948 IRZ948 ISP948 ITF948 ITV948 IUL948 IVB948 IVR948 IWH948 IWX948 IXN948 IYD948 IYT948 IZJ948 IZZ948 JAP948 JBF948 JBV948 JCL948 JDB948 JDR948 JEH948 JEX948 JFN948 JGD948 JGT948 JHJ948 JHZ948 JIP948 JJF948 JJV948 JKL948 JLB948 JLR948 JMH948 JMX948 JNN948 JOD948 JOT948 JPJ948 JPZ948 JQP948 JRF948 JRV948 JSL948 JTB948 JTR948 JUH948 JUX948 JVN948 JWD948 JWT948 JXJ948 JXZ948 JYP948 JZF948 JZV948 KAL948 KBB948 KBR948 KCH948 KCX948 KDN948 KED948 KET948 KFJ948 KFZ948 KGP948 KHF948 KHV948 KIL948 KJB948 KJR948 KKH948 KKX948 KLN948 KMD948 KMT948 KNJ948 KNZ948 KOP948 KPF948 KPV948 KQL948 KRB948 KRR948 KSH948 KSX948 KTN948 KUD948 KUT948 KVJ948 KVZ948 KWP948 KXF948 KXV948 KYL948 KZB948 KZR948 LAH948 LAX948 LBN948 LCD948 LCT948 LDJ948 LDZ948 LEP948 LFF948 LFV948 LGL948 LHB948 LHR948 LIH948 LIX948 LJN948 LKD948 LKT948 LLJ948 LLZ948 LMP948 LNF948 LNV948 LOL948 LPB948 LPR948 LQH948 LQX948 LRN948 LSD948 LST948 LTJ948 LTZ948 LUP948 LVF948 LVV948 LWL948 LXB948 LXR948 LYH948 LYX948 LZN948 MAD948 MAT948 MBJ948 MBZ948 MCP948 MDF948 MDV948 MEL948 MFB948 MFR948 MGH948 MGX948 MHN948 MID948 MIT948 MJJ948 MJZ948 MKP948 MLF948 MLV948 MML948 MNB948 MNR948 MOH948 MOX948 MPN948 MQD948 MQT948 MRJ948 MRZ948 MSP948 MTF948 MTV948 MUL948 MVB948 MVR948 MWH948 MWX948 MXN948 MYD948 MYT948 MZJ948 MZZ948 NAP948 NBF948 NBV948 NCL948 NDB948 NDR948 NEH948 NEX948 NFN948 NGD948 NGT948 NHJ948 NHZ948 NIP948 NJF948 NJV948 NKL948 NLB948 NLR948 NMH948 NMX948 NNN948 NOD948 NOT948 NPJ948 NPZ948 NQP948 NRF948 NRV948 NSL948 NTB948 NTR948 NUH948 NUX948 NVN948 NWD948 NWT948 NXJ948 NXZ948 NYP948 NZF948 NZV948 OAL948 OBB948 OBR948 OCH948 OCX948 ODN948 OED948 OET948 OFJ948 OFZ948 OGP948 OHF948 OHV948 OIL948 OJB948 OJR948 OKH948 OKX948 OLN948 OMD948 OMT948 ONJ948 ONZ948 OOP948 OPF948 OPV948 OQL948 ORB948 ORR948 OSH948 OSX948 OTN948 OUD948 OUT948 OVJ948 OVZ948 OWP948 OXF948 OXV948 OYL948 OZB948 OZR948 PAH948 PAX948 PBN948 PCD948 PCT948 PDJ948 PDZ948 PEP948 PFF948 PFV948 PGL948 PHB948 PHR948 PIH948 PIX948 PJN948 PKD948 PKT948 PLJ948 PLZ948 PMP948 PNF948 PNV948 POL948 PPB948 PPR948 PQH948 PQX948 PRN948 PSD948 PST948 PTJ948 PTZ948 PUP948 PVF948 PVV948 PWL948 PXB948 PXR948 PYH948 PYX948 PZN948 QAD948 QAT948 QBJ948 QBZ948 QCP948 QDF948 QDV948 QEL948 QFB948 QFR948 QGH948 QGX948 QHN948 QID948 QIT948 QJJ948 QJZ948 QKP948 QLF948 QLV948 QML948 QNB948 QNR948 QOH948 QOX948 QPN948 QQD948 QQT948 QRJ948 QRZ948 QSP948 QTF948 QTV948 QUL948 QVB948 QVR948 QWH948 QWX948 QXN948 QYD948 QYT948 QZJ948 QZZ948 RAP948 RBF948 RBV948 RCL948 RDB948 RDR948 REH948 REX948 RFN948 RGD948 RGT948 RHJ948 RHZ948 RIP948 RJF948 RJV948 RKL948 RLB948 RLR948 RMH948 RMX948 RNN948 ROD948 ROT948 RPJ948 RPZ948 RQP948 RRF948 RRV948 RSL948 RTB948 RTR948 RUH948 RUX948 RVN948 RWD948 RWT948 RXJ948 RXZ948 RYP948 RZF948 RZV948 SAL948 SBB948 SBR948 SCH948 SCX948 SDN948 SED948 SET948 SFJ948 SFZ948 SGP948 SHF948 SHV948 SIL948 SJB948 SJR948 SKH948 SKX948 SLN948 SMD948 SMT948 SNJ948 SNZ948 SOP948 SPF948 SPV948 SQL948 SRB948 SRR948 SSH948 SSX948 STN948 SUD948 SUT948 SVJ948 SVZ948 SWP948 SXF948 SXV948 SYL948 SZB948 SZR948 TAH948 TAX948 TBN948 TCD948 TCT948 TDJ948 TDZ948 TEP948 TFF948 TFV948 TGL948 THB948 THR948 TIH948 TIX948 TJN948 TKD948 TKT948 TLJ948 TLZ948 TMP948 TNF948 TNV948 TOL948 TPB948 TPR948 TQH948 TQX948 TRN948 TSD948 TST948 TTJ948 TTZ948 TUP948 TVF948 TVV948 TWL948 TXB948 TXR948 TYH948 TYX948 TZN948 UAD948 UAT948 UBJ948 UBZ948 UCP948 UDF948 UDV948 UEL948 UFB948 UFR948 UGH948 UGX948 UHN948 UID948 UIT948 UJJ948 UJZ948 UKP948 ULF948 ULV948 UML948 UNB948 UNR948 UOH948 UOX948 UPN948 UQD948 UQT948 URJ948 URZ948 USP948 UTF948 UTV948 UUL948 UVB948 UVR948 UWH948 UWX948 UXN948 UYD948 UYT948 UZJ948 UZZ948 VAP948 VBF948 VBV948 VCL948 VDB948 VDR948 VEH948 VEX948 VFN948 VGD948 VGT948 VHJ948 VHZ948 VIP948 VJF948 VJV948 VKL948 VLB948 VLR948 VMH948 VMX948 VNN948 VOD948 VOT948 VPJ948 VPZ948 VQP948 VRF948 VRV948 VSL948 VTB948 VTR948 VUH948 VUX948 VVN948 VWD948 VWT948 VXJ948 VXZ948 VYP948 VZF948 VZV948 WAL948 WBB948 WBR948 WCH948 WCX948 WDN948 WED948 WET948 WFJ948 WFZ948 WGP948 WHF948 WHV948 WIL948 WJB948 WJR948 WKH948 WKX948 WLN948 WMD948 WMT948 WNJ948 WNZ948 WOP948 WPF948 WPV948 WQL948 WRB948 WRR948 WSH948 WSX948 WTN948 WUD948 WUT948 WVJ948 WVZ948 WWP948 WXF948 WXV948 WYL948 WZB948 WZR948 XAH948 XAX948 XBN948 XCD948 XCT948 XDJ948 XDZ948 XEP948 B1007:B1048576 B224:B990">
    <cfRule type="duplicateValues" dxfId="16" priority="20"/>
  </conditionalFormatting>
  <conditionalFormatting sqref="B1:B1048576">
    <cfRule type="duplicateValues" dxfId="15" priority="1"/>
  </conditionalFormatting>
  <conditionalFormatting sqref="R948:XFD948">
    <cfRule type="expression" dxfId="14" priority="1442">
      <formula>$P931="NO OPERATIVO"</formula>
    </cfRule>
  </conditionalFormatting>
  <pageMargins left="0.70866141732283472" right="0.70866141732283472" top="0.74803149606299213" bottom="0.74803149606299213" header="0.31496062992125984" footer="0.31496062992125984"/>
  <pageSetup orientation="portrait" verticalDpi="300"/>
  <headerFooter>
    <oddFooter>&amp;LE_310_4_110_QRO_SP_Rev.A
BCS ESD IDS&amp;CFecha: 2025/01/14&amp;RRef.E_310_3_001_QRO_SP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E0155EE-E715-43DF-8AFD-7579EE244216}">
          <x14:formula1>
            <xm:f>Sheet1!$A$1:$A$2</xm:f>
          </x14:formula1>
          <xm:sqref>XFD948 AF948 AV948 BL948 CB948 CR948 DH948 DX948 EN948 FD948 FT948 GJ948 GZ948 HP948 IF948 IV948 JL948 KB948 KR948 LH948 LX948 MN948 ND948 NT948 OJ948 OZ948 PP948 QF948 QV948 RL948 SB948 SR948 TH948 TX948 UN948 VD948 VT948 WJ948 WZ948 XP948 YF948 YV948 ZL948 AAB948 AAR948 ABH948 ABX948 ACN948 ADD948 ADT948 AEJ948 AEZ948 AFP948 AGF948 AGV948 AHL948 AIB948 AIR948 AJH948 AJX948 AKN948 ALD948 ALT948 AMJ948 AMZ948 ANP948 AOF948 AOV948 APL948 AQB948 AQR948 ARH948 ARX948 ASN948 ATD948 ATT948 AUJ948 AUZ948 AVP948 AWF948 AWV948 AXL948 AYB948 AYR948 AZH948 AZX948 BAN948 BBD948 BBT948 BCJ948 BCZ948 BDP948 BEF948 BEV948 BFL948 BGB948 BGR948 BHH948 BHX948 BIN948 BJD948 BJT948 BKJ948 BKZ948 BLP948 BMF948 BMV948 BNL948 BOB948 BOR948 BPH948 BPX948 BQN948 BRD948 BRT948 BSJ948 BSZ948 BTP948 BUF948 BUV948 BVL948 BWB948 BWR948 BXH948 BXX948 BYN948 BZD948 BZT948 CAJ948 CAZ948 CBP948 CCF948 CCV948 CDL948 CEB948 CER948 CFH948 CFX948 CGN948 CHD948 CHT948 CIJ948 CIZ948 CJP948 CKF948 CKV948 CLL948 CMB948 CMR948 CNH948 CNX948 CON948 CPD948 CPT948 CQJ948 CQZ948 CRP948 CSF948 CSV948 CTL948 CUB948 CUR948 CVH948 CVX948 CWN948 CXD948 CXT948 CYJ948 CYZ948 CZP948 DAF948 DAV948 DBL948 DCB948 DCR948 DDH948 DDX948 DEN948 DFD948 DFT948 DGJ948 DGZ948 DHP948 DIF948 DIV948 DJL948 DKB948 DKR948 DLH948 DLX948 DMN948 DND948 DNT948 DOJ948 DOZ948 DPP948 DQF948 DQV948 DRL948 DSB948 DSR948 DTH948 DTX948 DUN948 DVD948 DVT948 DWJ948 DWZ948 DXP948 DYF948 DYV948 DZL948 EAB948 EAR948 EBH948 EBX948 ECN948 EDD948 EDT948 EEJ948 EEZ948 EFP948 EGF948 EGV948 EHL948 EIB948 EIR948 EJH948 EJX948 EKN948 ELD948 ELT948 EMJ948 EMZ948 ENP948 EOF948 EOV948 EPL948 EQB948 EQR948 ERH948 ERX948 ESN948 ETD948 ETT948 EUJ948 EUZ948 EVP948 EWF948 EWV948 EXL948 EYB948 EYR948 EZH948 EZX948 FAN948 FBD948 FBT948 FCJ948 FCZ948 FDP948 FEF948 FEV948 FFL948 FGB948 FGR948 FHH948 FHX948 FIN948 FJD948 FJT948 FKJ948 FKZ948 FLP948 FMF948 FMV948 FNL948 FOB948 FOR948 FPH948 FPX948 FQN948 FRD948 FRT948 FSJ948 FSZ948 FTP948 FUF948 FUV948 FVL948 FWB948 FWR948 FXH948 FXX948 FYN948 FZD948 FZT948 GAJ948 GAZ948 GBP948 GCF948 GCV948 GDL948 GEB948 GER948 GFH948 GFX948 GGN948 GHD948 GHT948 GIJ948 GIZ948 GJP948 GKF948 GKV948 GLL948 GMB948 GMR948 GNH948 GNX948 GON948 GPD948 GPT948 GQJ948 GQZ948 GRP948 GSF948 GSV948 GTL948 GUB948 GUR948 GVH948 GVX948 GWN948 GXD948 GXT948 GYJ948 GYZ948 GZP948 HAF948 HAV948 HBL948 HCB948 HCR948 HDH948 HDX948 HEN948 HFD948 HFT948 HGJ948 HGZ948 HHP948 HIF948 HIV948 HJL948 HKB948 HKR948 HLH948 HLX948 HMN948 HND948 HNT948 HOJ948 HOZ948 HPP948 HQF948 HQV948 HRL948 HSB948 HSR948 HTH948 HTX948 HUN948 HVD948 HVT948 HWJ948 HWZ948 HXP948 HYF948 HYV948 HZL948 IAB948 IAR948 IBH948 IBX948 ICN948 IDD948 IDT948 IEJ948 IEZ948 IFP948 IGF948 IGV948 IHL948 IIB948 IIR948 IJH948 IJX948 IKN948 ILD948 ILT948 IMJ948 IMZ948 INP948 IOF948 IOV948 IPL948 IQB948 IQR948 IRH948 IRX948 ISN948 ITD948 ITT948 IUJ948 IUZ948 IVP948 IWF948 IWV948 IXL948 IYB948 IYR948 IZH948 IZX948 JAN948 JBD948 JBT948 JCJ948 JCZ948 JDP948 JEF948 JEV948 JFL948 JGB948 JGR948 JHH948 JHX948 JIN948 JJD948 JJT948 JKJ948 JKZ948 JLP948 JMF948 JMV948 JNL948 JOB948 JOR948 JPH948 JPX948 JQN948 JRD948 JRT948 JSJ948 JSZ948 JTP948 JUF948 JUV948 JVL948 JWB948 JWR948 JXH948 JXX948 JYN948 JZD948 JZT948 KAJ948 KAZ948 KBP948 KCF948 KCV948 KDL948 KEB948 KER948 KFH948 KFX948 KGN948 KHD948 KHT948 KIJ948 KIZ948 KJP948 KKF948 KKV948 KLL948 KMB948 KMR948 KNH948 KNX948 KON948 KPD948 KPT948 KQJ948 KQZ948 KRP948 KSF948 KSV948 KTL948 KUB948 KUR948 KVH948 KVX948 KWN948 KXD948 KXT948 KYJ948 KYZ948 KZP948 LAF948 LAV948 LBL948 LCB948 LCR948 LDH948 LDX948 LEN948 LFD948 LFT948 LGJ948 LGZ948 LHP948 LIF948 LIV948 LJL948 LKB948 LKR948 LLH948 LLX948 LMN948 LND948 LNT948 LOJ948 LOZ948 LPP948 LQF948 LQV948 LRL948 LSB948 LSR948 LTH948 LTX948 LUN948 LVD948 LVT948 LWJ948 LWZ948 LXP948 LYF948 LYV948 LZL948 MAB948 MAR948 MBH948 MBX948 MCN948 MDD948 MDT948 MEJ948 MEZ948 MFP948 MGF948 MGV948 MHL948 MIB948 MIR948 MJH948 MJX948 MKN948 MLD948 MLT948 MMJ948 MMZ948 MNP948 MOF948 MOV948 MPL948 MQB948 MQR948 MRH948 MRX948 MSN948 MTD948 MTT948 MUJ948 MUZ948 MVP948 MWF948 MWV948 MXL948 MYB948 MYR948 MZH948 MZX948 NAN948 NBD948 NBT948 NCJ948 NCZ948 NDP948 NEF948 NEV948 NFL948 NGB948 NGR948 NHH948 NHX948 NIN948 NJD948 NJT948 NKJ948 NKZ948 NLP948 NMF948 NMV948 NNL948 NOB948 NOR948 NPH948 NPX948 NQN948 NRD948 NRT948 NSJ948 NSZ948 NTP948 NUF948 NUV948 NVL948 NWB948 NWR948 NXH948 NXX948 NYN948 NZD948 NZT948 OAJ948 OAZ948 OBP948 OCF948 OCV948 ODL948 OEB948 OER948 OFH948 OFX948 OGN948 OHD948 OHT948 OIJ948 OIZ948 OJP948 OKF948 OKV948 OLL948 OMB948 OMR948 ONH948 ONX948 OON948 OPD948 OPT948 OQJ948 OQZ948 ORP948 OSF948 OSV948 OTL948 OUB948 OUR948 OVH948 OVX948 OWN948 OXD948 OXT948 OYJ948 OYZ948 OZP948 PAF948 PAV948 PBL948 PCB948 PCR948 PDH948 PDX948 PEN948 PFD948 PFT948 PGJ948 PGZ948 PHP948 PIF948 PIV948 PJL948 PKB948 PKR948 PLH948 PLX948 PMN948 PND948 PNT948 POJ948 POZ948 PPP948 PQF948 PQV948 PRL948 PSB948 PSR948 PTH948 PTX948 PUN948 PVD948 PVT948 PWJ948 PWZ948 PXP948 PYF948 PYV948 PZL948 QAB948 QAR948 QBH948 QBX948 QCN948 QDD948 QDT948 QEJ948 QEZ948 QFP948 QGF948 QGV948 QHL948 QIB948 QIR948 QJH948 QJX948 QKN948 QLD948 QLT948 QMJ948 QMZ948 QNP948 QOF948 QOV948 QPL948 QQB948 QQR948 QRH948 QRX948 QSN948 QTD948 QTT948 QUJ948 QUZ948 QVP948 QWF948 QWV948 QXL948 QYB948 QYR948 QZH948 QZX948 RAN948 RBD948 RBT948 RCJ948 RCZ948 RDP948 REF948 REV948 RFL948 RGB948 RGR948 RHH948 RHX948 RIN948 RJD948 RJT948 RKJ948 RKZ948 RLP948 RMF948 RMV948 RNL948 ROB948 ROR948 RPH948 RPX948 RQN948 RRD948 RRT948 RSJ948 RSZ948 RTP948 RUF948 RUV948 RVL948 RWB948 RWR948 RXH948 RXX948 RYN948 RZD948 RZT948 SAJ948 SAZ948 SBP948 SCF948 SCV948 SDL948 SEB948 SER948 SFH948 SFX948 SGN948 SHD948 SHT948 SIJ948 SIZ948 SJP948 SKF948 SKV948 SLL948 SMB948 SMR948 SNH948 SNX948 SON948 SPD948 SPT948 SQJ948 SQZ948 SRP948 SSF948 SSV948 STL948 SUB948 SUR948 SVH948 SVX948 SWN948 SXD948 SXT948 SYJ948 SYZ948 SZP948 TAF948 TAV948 TBL948 TCB948 TCR948 TDH948 TDX948 TEN948 TFD948 TFT948 TGJ948 TGZ948 THP948 TIF948 TIV948 TJL948 TKB948 TKR948 TLH948 TLX948 TMN948 TND948 TNT948 TOJ948 TOZ948 TPP948 TQF948 TQV948 TRL948 TSB948 TSR948 TTH948 TTX948 TUN948 TVD948 TVT948 TWJ948 TWZ948 TXP948 TYF948 TYV948 TZL948 UAB948 UAR948 UBH948 UBX948 UCN948 UDD948 UDT948 UEJ948 UEZ948 UFP948 UGF948 UGV948 UHL948 UIB948 UIR948 UJH948 UJX948 UKN948 ULD948 ULT948 UMJ948 UMZ948 UNP948 UOF948 UOV948 UPL948 UQB948 UQR948 URH948 URX948 USN948 UTD948 UTT948 UUJ948 UUZ948 UVP948 UWF948 UWV948 UXL948 UYB948 UYR948 UZH948 UZX948 VAN948 VBD948 VBT948 VCJ948 VCZ948 VDP948 VEF948 VEV948 VFL948 VGB948 VGR948 VHH948 VHX948 VIN948 VJD948 VJT948 VKJ948 VKZ948 VLP948 VMF948 VMV948 VNL948 VOB948 VOR948 VPH948 VPX948 VQN948 VRD948 VRT948 VSJ948 VSZ948 VTP948 VUF948 VUV948 VVL948 VWB948 VWR948 VXH948 VXX948 VYN948 VZD948 VZT948 WAJ948 WAZ948 WBP948 WCF948 WCV948 WDL948 WEB948 WER948 WFH948 WFX948 WGN948 WHD948 WHT948 WIJ948 WIZ948 WJP948 WKF948 WKV948 WLL948 WMB948 WMR948 WNH948 WNX948 WON948 WPD948 WPT948 WQJ948 WQZ948 WRP948 WSF948 WSV948 WTL948 WUB948 WUR948 WVH948 WVX948 WWN948 WXD948 WXT948 WYJ948 WYZ948 WZP948 XAF948 XAV948 XBL948 XCB948 XCR948 XDH948 XDX948 XEN948 Q991:Q1006 P7:P990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2B1DE-3B13-4D99-8B0C-0736FADC1072}">
  <dimension ref="A1:R859"/>
  <sheetViews>
    <sheetView topLeftCell="A865" zoomScale="120" zoomScaleNormal="120" workbookViewId="0">
      <selection activeCell="B13" sqref="B13"/>
    </sheetView>
  </sheetViews>
  <sheetFormatPr defaultColWidth="9.140625" defaultRowHeight="15" x14ac:dyDescent="0.25"/>
  <cols>
    <col min="1" max="1" width="25.7109375" style="22" bestFit="1" customWidth="1"/>
    <col min="2" max="2" width="31.28515625" style="1" bestFit="1" customWidth="1"/>
    <col min="3" max="3" width="20.85546875" style="1" bestFit="1" customWidth="1"/>
    <col min="4" max="4" width="18.7109375" style="1" customWidth="1"/>
    <col min="5" max="5" width="13.42578125" style="1" customWidth="1"/>
    <col min="6" max="8" width="27.140625" style="11" customWidth="1"/>
    <col min="9" max="9" width="29.7109375" style="11" bestFit="1" customWidth="1"/>
    <col min="10" max="10" width="26.140625" style="1" bestFit="1" customWidth="1"/>
    <col min="11" max="11" width="15.5703125" style="1" bestFit="1" customWidth="1"/>
    <col min="12" max="12" width="24.140625" style="1" bestFit="1" customWidth="1"/>
    <col min="13" max="13" width="30.28515625" style="9" bestFit="1" customWidth="1"/>
    <col min="14" max="14" width="40.42578125" style="9" bestFit="1" customWidth="1"/>
    <col min="15" max="15" width="36" style="9" bestFit="1" customWidth="1"/>
    <col min="16" max="16" width="31.85546875" style="1" bestFit="1" customWidth="1"/>
    <col min="17" max="17" width="43" style="1" bestFit="1" customWidth="1"/>
    <col min="18" max="18" width="35.5703125" style="1" bestFit="1" customWidth="1"/>
    <col min="19" max="16384" width="9.140625" style="1"/>
  </cols>
  <sheetData>
    <row r="1" spans="1:18" ht="15" customHeight="1" x14ac:dyDescent="0.25">
      <c r="A1" s="77" t="s">
        <v>1166</v>
      </c>
      <c r="B1" s="77"/>
      <c r="C1" s="77"/>
      <c r="D1" s="77"/>
      <c r="E1" s="77"/>
      <c r="F1" s="77"/>
      <c r="G1" s="77"/>
      <c r="H1" s="77"/>
      <c r="I1" s="77"/>
      <c r="J1" s="77"/>
      <c r="K1" s="77"/>
      <c r="L1" s="77"/>
      <c r="M1" s="77"/>
      <c r="N1" s="77"/>
      <c r="O1" s="77"/>
      <c r="P1" s="77"/>
      <c r="Q1" s="77"/>
      <c r="R1" s="78"/>
    </row>
    <row r="2" spans="1:18" ht="15" customHeight="1" x14ac:dyDescent="0.25">
      <c r="A2" s="77"/>
      <c r="B2" s="77"/>
      <c r="C2" s="77"/>
      <c r="D2" s="77"/>
      <c r="E2" s="77"/>
      <c r="F2" s="77"/>
      <c r="G2" s="77"/>
      <c r="H2" s="77"/>
      <c r="I2" s="77"/>
      <c r="J2" s="77"/>
      <c r="K2" s="77"/>
      <c r="L2" s="77"/>
      <c r="M2" s="77"/>
      <c r="N2" s="77"/>
      <c r="O2" s="77"/>
      <c r="P2" s="77"/>
      <c r="Q2" s="77"/>
      <c r="R2" s="78"/>
    </row>
    <row r="3" spans="1:18" ht="27.75" customHeight="1" x14ac:dyDescent="0.25">
      <c r="A3" s="79"/>
      <c r="B3" s="79"/>
      <c r="C3" s="79"/>
      <c r="D3" s="79"/>
      <c r="E3" s="79"/>
      <c r="F3" s="79"/>
      <c r="G3" s="79"/>
      <c r="H3" s="79"/>
      <c r="I3" s="79"/>
      <c r="J3" s="79"/>
      <c r="K3" s="79"/>
      <c r="L3" s="79"/>
      <c r="M3" s="79"/>
      <c r="N3" s="79"/>
      <c r="O3" s="79"/>
      <c r="P3" s="79"/>
      <c r="Q3" s="79"/>
      <c r="R3" s="80"/>
    </row>
    <row r="4" spans="1:18" ht="61.5" x14ac:dyDescent="0.25">
      <c r="A4" s="45"/>
      <c r="B4" s="45"/>
      <c r="C4" s="45"/>
      <c r="D4" s="45"/>
      <c r="E4" s="45"/>
      <c r="F4" s="45"/>
      <c r="G4" s="45"/>
      <c r="H4" s="46"/>
      <c r="I4" s="46"/>
      <c r="J4" s="45"/>
      <c r="K4" s="45"/>
      <c r="L4" s="45"/>
      <c r="M4" s="69" t="s">
        <v>1</v>
      </c>
      <c r="N4" s="69"/>
      <c r="O4" s="69"/>
      <c r="P4" s="69"/>
      <c r="Q4" s="52">
        <f ca="1">((COUNTIF(P7:P1269,"VIGENTE")))/(COUNTIF(Q7:Q1269,"OPERATIVO"))</f>
        <v>0.83821656050955418</v>
      </c>
      <c r="R4" s="45"/>
    </row>
    <row r="5" spans="1:18" ht="37.5" customHeight="1" x14ac:dyDescent="0.25">
      <c r="A5" s="70" t="s">
        <v>2</v>
      </c>
      <c r="B5" s="62" t="s">
        <v>3</v>
      </c>
      <c r="C5" s="62" t="s">
        <v>4</v>
      </c>
      <c r="D5" s="62" t="s">
        <v>5</v>
      </c>
      <c r="E5" s="62" t="s">
        <v>6</v>
      </c>
      <c r="F5" s="72" t="s">
        <v>7</v>
      </c>
      <c r="G5" s="72"/>
      <c r="H5" s="73" t="s">
        <v>8</v>
      </c>
      <c r="I5" s="75" t="s">
        <v>9</v>
      </c>
      <c r="J5" s="62" t="s">
        <v>10</v>
      </c>
      <c r="K5" s="62" t="s">
        <v>11</v>
      </c>
      <c r="L5" s="54" t="s">
        <v>1167</v>
      </c>
      <c r="M5" s="64" t="s">
        <v>12</v>
      </c>
      <c r="N5" s="64" t="s">
        <v>13</v>
      </c>
      <c r="O5" s="66" t="s">
        <v>14</v>
      </c>
      <c r="P5" s="68" t="s">
        <v>15</v>
      </c>
      <c r="Q5" s="60" t="s">
        <v>16</v>
      </c>
      <c r="R5" s="62" t="s">
        <v>17</v>
      </c>
    </row>
    <row r="6" spans="1:18" ht="18.75" x14ac:dyDescent="0.25">
      <c r="A6" s="71"/>
      <c r="B6" s="63"/>
      <c r="C6" s="63"/>
      <c r="D6" s="63"/>
      <c r="E6" s="63"/>
      <c r="F6" s="20" t="s">
        <v>18</v>
      </c>
      <c r="G6" s="20" t="s">
        <v>19</v>
      </c>
      <c r="H6" s="74"/>
      <c r="I6" s="76"/>
      <c r="J6" s="63"/>
      <c r="K6" s="63"/>
      <c r="L6" s="55"/>
      <c r="M6" s="65"/>
      <c r="N6" s="65"/>
      <c r="O6" s="67"/>
      <c r="P6" s="60"/>
      <c r="Q6" s="61"/>
      <c r="R6" s="63"/>
    </row>
    <row r="7" spans="1:18" x14ac:dyDescent="0.25">
      <c r="A7" s="23" t="s">
        <v>93</v>
      </c>
      <c r="B7" s="2" t="s">
        <v>1168</v>
      </c>
      <c r="C7" s="3" t="s">
        <v>1169</v>
      </c>
      <c r="D7" s="3" t="s">
        <v>23</v>
      </c>
      <c r="E7" s="2" t="s">
        <v>24</v>
      </c>
      <c r="F7" s="4">
        <v>0</v>
      </c>
      <c r="G7" s="8">
        <f t="shared" ref="G7:G38" si="0">IF(C7="Ionizador", 10, IF(C7="Mesa", 1000000000, IF(C7="Rack", 1000000000, IF(C7="Piso", 1000000000, IF(C7="Tapete", 1000000000, IF(C7="Carrito", 1000000000, IF(C7="Cautín", 10, 1)))))))</f>
        <v>1</v>
      </c>
      <c r="H7" s="4" t="str">
        <f t="shared" ref="H7:H38" si="1">IF(C7="Ionizador", "Segundos", "Ohms")</f>
        <v>Ohms</v>
      </c>
      <c r="I7" s="6">
        <v>0.16600000000000001</v>
      </c>
      <c r="J7" s="6" t="str">
        <f t="shared" ref="J7:J38" si="2">H7</f>
        <v>Ohms</v>
      </c>
      <c r="K7" s="2" t="str">
        <f t="shared" ref="K7:K38" si="3">IF(C7="Ionizador", "Plato de carga", IF(C7="Cautín", "PTG", IF(C7="ESD Tester", "PTP Deviation", "RTG")))</f>
        <v>RTG</v>
      </c>
      <c r="L7" s="2">
        <v>46169147</v>
      </c>
      <c r="M7" s="7">
        <v>46085</v>
      </c>
      <c r="N7" s="7">
        <f t="shared" ref="N7:N38" si="4">IF(O7="Trimestral", M7+90, IF(O7="Semestral", M7+180, IF(O7="Mensual", M7+30, M7+365)))</f>
        <v>46450</v>
      </c>
      <c r="O7" s="7" t="str">
        <f>IF(C7="Ionizador", "Trimestral", IF(C7="Rack", "Anual", IF(C7="Mesa", "Anual", IF(C7="Tapete", "Semestral", IF(C7="Cautín", "Semestral", IF(C7="Silla", "Semestral", "Anual"))))))</f>
        <v>Anual</v>
      </c>
      <c r="P7" s="2" t="str">
        <f t="shared" ref="P7:P38" ca="1" si="5">IF(N7&lt;TODAY(),"VENCIDO",IF(N7=TODAY(),"VIGENTE",IF(N7&gt;TODAY(),"VIGENTE")))</f>
        <v>VIGENTE</v>
      </c>
      <c r="Q7" s="6" t="s">
        <v>25</v>
      </c>
      <c r="R7" s="2"/>
    </row>
    <row r="8" spans="1:18" x14ac:dyDescent="0.25">
      <c r="A8" s="23" t="s">
        <v>93</v>
      </c>
      <c r="B8" s="2" t="s">
        <v>1170</v>
      </c>
      <c r="C8" s="3" t="s">
        <v>261</v>
      </c>
      <c r="D8" s="3" t="s">
        <v>23</v>
      </c>
      <c r="E8" s="2" t="s">
        <v>24</v>
      </c>
      <c r="F8" s="4">
        <v>0</v>
      </c>
      <c r="G8" s="8">
        <f t="shared" si="0"/>
        <v>1</v>
      </c>
      <c r="H8" s="4" t="str">
        <f t="shared" si="1"/>
        <v>Ohms</v>
      </c>
      <c r="I8" s="6">
        <v>0.32300000000000001</v>
      </c>
      <c r="J8" s="6" t="str">
        <f t="shared" si="2"/>
        <v>Ohms</v>
      </c>
      <c r="K8" s="2" t="str">
        <f t="shared" si="3"/>
        <v>RTG</v>
      </c>
      <c r="L8" s="2">
        <v>46169147</v>
      </c>
      <c r="M8" s="7">
        <v>46085</v>
      </c>
      <c r="N8" s="7">
        <f t="shared" si="4"/>
        <v>46450</v>
      </c>
      <c r="O8" s="7" t="str">
        <f t="shared" ref="O8:O40" si="6">IF(C8="Ionizador", "Trimestral", IF(C8="Rack", "Anual", IF(C8="Mesa", "Anual", IF(C8="Tapete", "Semestral", IF(C8="Cautín", "Semestral", IF(C8="Silla", "Semestral", "Anual"))))))</f>
        <v>Anual</v>
      </c>
      <c r="P8" s="2" t="str">
        <f t="shared" ca="1" si="5"/>
        <v>VIGENTE</v>
      </c>
      <c r="Q8" s="6" t="s">
        <v>25</v>
      </c>
      <c r="R8" s="2"/>
    </row>
    <row r="9" spans="1:18" x14ac:dyDescent="0.25">
      <c r="A9" s="23" t="s">
        <v>93</v>
      </c>
      <c r="B9" s="2" t="s">
        <v>1171</v>
      </c>
      <c r="C9" s="3" t="s">
        <v>747</v>
      </c>
      <c r="D9" s="3" t="s">
        <v>23</v>
      </c>
      <c r="E9" s="2" t="s">
        <v>24</v>
      </c>
      <c r="F9" s="4">
        <v>0</v>
      </c>
      <c r="G9" s="8">
        <f t="shared" si="0"/>
        <v>1</v>
      </c>
      <c r="H9" s="4" t="str">
        <f t="shared" si="1"/>
        <v>Ohms</v>
      </c>
      <c r="I9" s="14">
        <v>0.621</v>
      </c>
      <c r="J9" s="6" t="str">
        <f t="shared" si="2"/>
        <v>Ohms</v>
      </c>
      <c r="K9" s="2" t="str">
        <f t="shared" si="3"/>
        <v>RTG</v>
      </c>
      <c r="L9" s="2">
        <v>46169147</v>
      </c>
      <c r="M9" s="7">
        <v>46085</v>
      </c>
      <c r="N9" s="7">
        <f t="shared" si="4"/>
        <v>46450</v>
      </c>
      <c r="O9" s="7" t="str">
        <f t="shared" si="6"/>
        <v>Anual</v>
      </c>
      <c r="P9" s="2" t="str">
        <f t="shared" ca="1" si="5"/>
        <v>VIGENTE</v>
      </c>
      <c r="Q9" s="6" t="s">
        <v>25</v>
      </c>
      <c r="R9" s="2"/>
    </row>
    <row r="10" spans="1:18" x14ac:dyDescent="0.25">
      <c r="A10" s="23" t="s">
        <v>93</v>
      </c>
      <c r="B10" s="2" t="s">
        <v>1172</v>
      </c>
      <c r="C10" s="3" t="s">
        <v>747</v>
      </c>
      <c r="D10" s="3" t="s">
        <v>23</v>
      </c>
      <c r="E10" s="2" t="s">
        <v>24</v>
      </c>
      <c r="F10" s="4">
        <v>0</v>
      </c>
      <c r="G10" s="8">
        <f t="shared" si="0"/>
        <v>1</v>
      </c>
      <c r="H10" s="4" t="str">
        <f t="shared" si="1"/>
        <v>Ohms</v>
      </c>
      <c r="I10" s="6">
        <v>0.48699999999999999</v>
      </c>
      <c r="J10" s="6" t="str">
        <f t="shared" si="2"/>
        <v>Ohms</v>
      </c>
      <c r="K10" s="2" t="str">
        <f t="shared" si="3"/>
        <v>RTG</v>
      </c>
      <c r="L10" s="2">
        <v>46169147</v>
      </c>
      <c r="M10" s="7">
        <v>46085</v>
      </c>
      <c r="N10" s="7">
        <f t="shared" si="4"/>
        <v>46450</v>
      </c>
      <c r="O10" s="7" t="str">
        <f t="shared" si="6"/>
        <v>Anual</v>
      </c>
      <c r="P10" s="2" t="str">
        <f t="shared" ca="1" si="5"/>
        <v>VIGENTE</v>
      </c>
      <c r="Q10" s="6" t="s">
        <v>25</v>
      </c>
      <c r="R10" s="2"/>
    </row>
    <row r="11" spans="1:18" x14ac:dyDescent="0.25">
      <c r="A11" s="23" t="s">
        <v>93</v>
      </c>
      <c r="B11" s="2" t="s">
        <v>1173</v>
      </c>
      <c r="C11" s="3" t="s">
        <v>747</v>
      </c>
      <c r="D11" s="3" t="s">
        <v>23</v>
      </c>
      <c r="E11" s="2" t="s">
        <v>24</v>
      </c>
      <c r="F11" s="4">
        <v>0</v>
      </c>
      <c r="G11" s="8">
        <f t="shared" si="0"/>
        <v>1</v>
      </c>
      <c r="H11" s="4" t="str">
        <f t="shared" si="1"/>
        <v>Ohms</v>
      </c>
      <c r="I11" s="6">
        <v>0.155</v>
      </c>
      <c r="J11" s="6" t="str">
        <f t="shared" si="2"/>
        <v>Ohms</v>
      </c>
      <c r="K11" s="2" t="str">
        <f t="shared" si="3"/>
        <v>RTG</v>
      </c>
      <c r="L11" s="2">
        <v>46169147</v>
      </c>
      <c r="M11" s="7">
        <v>46085</v>
      </c>
      <c r="N11" s="7">
        <f t="shared" si="4"/>
        <v>46450</v>
      </c>
      <c r="O11" s="7" t="str">
        <f t="shared" si="6"/>
        <v>Anual</v>
      </c>
      <c r="P11" s="2" t="str">
        <f t="shared" ca="1" si="5"/>
        <v>VIGENTE</v>
      </c>
      <c r="Q11" s="6" t="s">
        <v>25</v>
      </c>
      <c r="R11" s="2"/>
    </row>
    <row r="12" spans="1:18" x14ac:dyDescent="0.25">
      <c r="A12" s="23" t="s">
        <v>93</v>
      </c>
      <c r="B12" s="2" t="s">
        <v>1174</v>
      </c>
      <c r="C12" s="3" t="s">
        <v>747</v>
      </c>
      <c r="D12" s="3" t="s">
        <v>23</v>
      </c>
      <c r="E12" s="2" t="s">
        <v>24</v>
      </c>
      <c r="F12" s="4">
        <v>0</v>
      </c>
      <c r="G12" s="8">
        <f t="shared" si="0"/>
        <v>1</v>
      </c>
      <c r="H12" s="4" t="str">
        <f t="shared" si="1"/>
        <v>Ohms</v>
      </c>
      <c r="I12" s="6">
        <v>0.17599999999999999</v>
      </c>
      <c r="J12" s="6" t="str">
        <f t="shared" si="2"/>
        <v>Ohms</v>
      </c>
      <c r="K12" s="2" t="str">
        <f t="shared" si="3"/>
        <v>RTG</v>
      </c>
      <c r="L12" s="2">
        <v>46169147</v>
      </c>
      <c r="M12" s="7">
        <v>46085</v>
      </c>
      <c r="N12" s="7">
        <f t="shared" si="4"/>
        <v>46450</v>
      </c>
      <c r="O12" s="7" t="str">
        <f t="shared" si="6"/>
        <v>Anual</v>
      </c>
      <c r="P12" s="2" t="str">
        <f t="shared" ca="1" si="5"/>
        <v>VIGENTE</v>
      </c>
      <c r="Q12" s="6" t="s">
        <v>25</v>
      </c>
      <c r="R12" s="2"/>
    </row>
    <row r="13" spans="1:18" x14ac:dyDescent="0.25">
      <c r="A13" s="23" t="s">
        <v>93</v>
      </c>
      <c r="B13" s="2" t="s">
        <v>1175</v>
      </c>
      <c r="C13" s="3" t="s">
        <v>747</v>
      </c>
      <c r="D13" s="3" t="s">
        <v>23</v>
      </c>
      <c r="E13" s="2" t="s">
        <v>24</v>
      </c>
      <c r="F13" s="4">
        <v>0</v>
      </c>
      <c r="G13" s="8">
        <f t="shared" si="0"/>
        <v>1</v>
      </c>
      <c r="H13" s="4" t="str">
        <f t="shared" si="1"/>
        <v>Ohms</v>
      </c>
      <c r="I13" s="6">
        <v>0.52700000000000002</v>
      </c>
      <c r="J13" s="6" t="str">
        <f t="shared" si="2"/>
        <v>Ohms</v>
      </c>
      <c r="K13" s="2" t="str">
        <f t="shared" si="3"/>
        <v>RTG</v>
      </c>
      <c r="L13" s="2">
        <v>46169147</v>
      </c>
      <c r="M13" s="7">
        <v>46085</v>
      </c>
      <c r="N13" s="7">
        <f t="shared" si="4"/>
        <v>46450</v>
      </c>
      <c r="O13" s="7" t="str">
        <f t="shared" si="6"/>
        <v>Anual</v>
      </c>
      <c r="P13" s="2" t="str">
        <f t="shared" ca="1" si="5"/>
        <v>VIGENTE</v>
      </c>
      <c r="Q13" s="6" t="s">
        <v>25</v>
      </c>
      <c r="R13" s="2"/>
    </row>
    <row r="14" spans="1:18" x14ac:dyDescent="0.25">
      <c r="A14" s="23" t="s">
        <v>93</v>
      </c>
      <c r="B14" s="2" t="s">
        <v>1176</v>
      </c>
      <c r="C14" s="3" t="s">
        <v>747</v>
      </c>
      <c r="D14" s="3" t="s">
        <v>23</v>
      </c>
      <c r="E14" s="2" t="s">
        <v>24</v>
      </c>
      <c r="F14" s="4">
        <v>0</v>
      </c>
      <c r="G14" s="8">
        <f t="shared" si="0"/>
        <v>1</v>
      </c>
      <c r="H14" s="4" t="str">
        <f t="shared" si="1"/>
        <v>Ohms</v>
      </c>
      <c r="I14" s="6">
        <v>0.317</v>
      </c>
      <c r="J14" s="6" t="str">
        <f t="shared" si="2"/>
        <v>Ohms</v>
      </c>
      <c r="K14" s="2" t="str">
        <f t="shared" si="3"/>
        <v>RTG</v>
      </c>
      <c r="L14" s="2">
        <v>46169147</v>
      </c>
      <c r="M14" s="7">
        <v>46085</v>
      </c>
      <c r="N14" s="7">
        <f t="shared" si="4"/>
        <v>46450</v>
      </c>
      <c r="O14" s="7" t="str">
        <f t="shared" si="6"/>
        <v>Anual</v>
      </c>
      <c r="P14" s="2" t="str">
        <f t="shared" ca="1" si="5"/>
        <v>VIGENTE</v>
      </c>
      <c r="Q14" s="6" t="s">
        <v>25</v>
      </c>
      <c r="R14" s="2"/>
    </row>
    <row r="15" spans="1:18" x14ac:dyDescent="0.25">
      <c r="A15" s="23" t="s">
        <v>93</v>
      </c>
      <c r="B15" s="2" t="s">
        <v>1177</v>
      </c>
      <c r="C15" s="3" t="s">
        <v>747</v>
      </c>
      <c r="D15" s="3" t="s">
        <v>23</v>
      </c>
      <c r="E15" s="2" t="s">
        <v>24</v>
      </c>
      <c r="F15" s="4">
        <v>0</v>
      </c>
      <c r="G15" s="8">
        <f t="shared" si="0"/>
        <v>1</v>
      </c>
      <c r="H15" s="4" t="str">
        <f t="shared" si="1"/>
        <v>Ohms</v>
      </c>
      <c r="I15" s="6">
        <v>0.63500000000000001</v>
      </c>
      <c r="J15" s="6" t="str">
        <f t="shared" si="2"/>
        <v>Ohms</v>
      </c>
      <c r="K15" s="2" t="str">
        <f t="shared" si="3"/>
        <v>RTG</v>
      </c>
      <c r="L15" s="2">
        <v>46169147</v>
      </c>
      <c r="M15" s="7">
        <v>46085</v>
      </c>
      <c r="N15" s="7">
        <f t="shared" si="4"/>
        <v>46450</v>
      </c>
      <c r="O15" s="7" t="str">
        <f t="shared" si="6"/>
        <v>Anual</v>
      </c>
      <c r="P15" s="2" t="str">
        <f t="shared" ca="1" si="5"/>
        <v>VIGENTE</v>
      </c>
      <c r="Q15" s="6" t="s">
        <v>25</v>
      </c>
      <c r="R15" s="2"/>
    </row>
    <row r="16" spans="1:18" x14ac:dyDescent="0.25">
      <c r="A16" s="23" t="s">
        <v>93</v>
      </c>
      <c r="B16" s="2" t="s">
        <v>412</v>
      </c>
      <c r="C16" s="3" t="s">
        <v>270</v>
      </c>
      <c r="D16" s="3" t="s">
        <v>23</v>
      </c>
      <c r="E16" s="2" t="s">
        <v>24</v>
      </c>
      <c r="F16" s="4">
        <v>0</v>
      </c>
      <c r="G16" s="8">
        <f t="shared" si="0"/>
        <v>1</v>
      </c>
      <c r="H16" s="4" t="str">
        <f t="shared" si="1"/>
        <v>Ohms</v>
      </c>
      <c r="I16" s="6">
        <v>0.14699999999999999</v>
      </c>
      <c r="J16" s="6" t="str">
        <f t="shared" si="2"/>
        <v>Ohms</v>
      </c>
      <c r="K16" s="2" t="str">
        <f t="shared" si="3"/>
        <v>RTG</v>
      </c>
      <c r="L16" s="2">
        <v>46169147</v>
      </c>
      <c r="M16" s="7">
        <v>46085</v>
      </c>
      <c r="N16" s="7">
        <f t="shared" si="4"/>
        <v>46450</v>
      </c>
      <c r="O16" s="7" t="str">
        <f t="shared" si="6"/>
        <v>Anual</v>
      </c>
      <c r="P16" s="2" t="str">
        <f t="shared" ca="1" si="5"/>
        <v>VIGENTE</v>
      </c>
      <c r="Q16" s="6" t="s">
        <v>25</v>
      </c>
      <c r="R16" s="2"/>
    </row>
    <row r="17" spans="1:18" x14ac:dyDescent="0.25">
      <c r="A17" s="23" t="s">
        <v>93</v>
      </c>
      <c r="B17" s="2" t="s">
        <v>1178</v>
      </c>
      <c r="C17" s="3" t="s">
        <v>1169</v>
      </c>
      <c r="D17" s="3" t="s">
        <v>23</v>
      </c>
      <c r="E17" s="2" t="s">
        <v>24</v>
      </c>
      <c r="F17" s="4">
        <v>0</v>
      </c>
      <c r="G17" s="8">
        <f t="shared" si="0"/>
        <v>1</v>
      </c>
      <c r="H17" s="4" t="str">
        <f t="shared" si="1"/>
        <v>Ohms</v>
      </c>
      <c r="I17" s="6">
        <v>0.498</v>
      </c>
      <c r="J17" s="6" t="str">
        <f t="shared" si="2"/>
        <v>Ohms</v>
      </c>
      <c r="K17" s="2" t="str">
        <f t="shared" si="3"/>
        <v>RTG</v>
      </c>
      <c r="L17" s="2">
        <v>46169147</v>
      </c>
      <c r="M17" s="7">
        <v>46085</v>
      </c>
      <c r="N17" s="7">
        <f t="shared" si="4"/>
        <v>46450</v>
      </c>
      <c r="O17" s="7" t="str">
        <f t="shared" si="6"/>
        <v>Anual</v>
      </c>
      <c r="P17" s="2" t="str">
        <f t="shared" ca="1" si="5"/>
        <v>VIGENTE</v>
      </c>
      <c r="Q17" s="6" t="s">
        <v>25</v>
      </c>
      <c r="R17" s="2"/>
    </row>
    <row r="18" spans="1:18" x14ac:dyDescent="0.25">
      <c r="A18" s="23" t="s">
        <v>93</v>
      </c>
      <c r="B18" s="2" t="s">
        <v>1179</v>
      </c>
      <c r="C18" s="3" t="s">
        <v>1180</v>
      </c>
      <c r="D18" s="3" t="s">
        <v>23</v>
      </c>
      <c r="E18" s="2" t="s">
        <v>24</v>
      </c>
      <c r="F18" s="4">
        <v>0</v>
      </c>
      <c r="G18" s="8">
        <f t="shared" si="0"/>
        <v>1</v>
      </c>
      <c r="H18" s="4" t="str">
        <f t="shared" si="1"/>
        <v>Ohms</v>
      </c>
      <c r="I18" s="6">
        <v>0.33300000000000002</v>
      </c>
      <c r="J18" s="6" t="str">
        <f t="shared" si="2"/>
        <v>Ohms</v>
      </c>
      <c r="K18" s="2" t="str">
        <f t="shared" si="3"/>
        <v>RTG</v>
      </c>
      <c r="L18" s="2">
        <v>46169147</v>
      </c>
      <c r="M18" s="7">
        <v>46085</v>
      </c>
      <c r="N18" s="7">
        <f t="shared" si="4"/>
        <v>46450</v>
      </c>
      <c r="O18" s="7" t="str">
        <f t="shared" si="6"/>
        <v>Anual</v>
      </c>
      <c r="P18" s="2" t="str">
        <f t="shared" ca="1" si="5"/>
        <v>VIGENTE</v>
      </c>
      <c r="Q18" s="6" t="s">
        <v>25</v>
      </c>
      <c r="R18" s="2"/>
    </row>
    <row r="19" spans="1:18" x14ac:dyDescent="0.25">
      <c r="A19" s="23" t="s">
        <v>93</v>
      </c>
      <c r="B19" s="2" t="s">
        <v>1181</v>
      </c>
      <c r="C19" s="3" t="s">
        <v>847</v>
      </c>
      <c r="D19" s="3" t="s">
        <v>23</v>
      </c>
      <c r="E19" s="2" t="s">
        <v>24</v>
      </c>
      <c r="F19" s="4">
        <v>0</v>
      </c>
      <c r="G19" s="8">
        <f t="shared" si="0"/>
        <v>1</v>
      </c>
      <c r="H19" s="4" t="str">
        <f t="shared" si="1"/>
        <v>Ohms</v>
      </c>
      <c r="I19" s="6">
        <v>0.42399999999999999</v>
      </c>
      <c r="J19" s="6" t="str">
        <f t="shared" si="2"/>
        <v>Ohms</v>
      </c>
      <c r="K19" s="2" t="str">
        <f t="shared" si="3"/>
        <v>RTG</v>
      </c>
      <c r="L19" s="2">
        <v>46169147</v>
      </c>
      <c r="M19" s="7">
        <v>46085</v>
      </c>
      <c r="N19" s="7">
        <f>IF(O19="Trimestral", M19+90, IF(O19="Semestral", M19+180, IF(O19="Mensual", M19+30, M19+365)))</f>
        <v>46450</v>
      </c>
      <c r="O19" s="7" t="str">
        <f t="shared" si="6"/>
        <v>Anual</v>
      </c>
      <c r="P19" s="2" t="str">
        <f t="shared" ca="1" si="5"/>
        <v>VIGENTE</v>
      </c>
      <c r="Q19" s="6" t="s">
        <v>25</v>
      </c>
      <c r="R19" s="2"/>
    </row>
    <row r="20" spans="1:18" x14ac:dyDescent="0.25">
      <c r="A20" s="23" t="s">
        <v>113</v>
      </c>
      <c r="B20" s="2" t="s">
        <v>114</v>
      </c>
      <c r="C20" s="3" t="s">
        <v>115</v>
      </c>
      <c r="D20" s="3" t="s">
        <v>23</v>
      </c>
      <c r="E20" s="2" t="s">
        <v>24</v>
      </c>
      <c r="F20" s="4">
        <v>0</v>
      </c>
      <c r="G20" s="8">
        <f t="shared" si="0"/>
        <v>1</v>
      </c>
      <c r="H20" s="4" t="str">
        <f t="shared" si="1"/>
        <v>Ohms</v>
      </c>
      <c r="I20" s="14">
        <v>202000000</v>
      </c>
      <c r="J20" s="6" t="str">
        <f t="shared" si="2"/>
        <v>Ohms</v>
      </c>
      <c r="K20" s="2" t="str">
        <f t="shared" si="3"/>
        <v>RTG</v>
      </c>
      <c r="L20" s="2"/>
      <c r="M20" s="7">
        <v>45843</v>
      </c>
      <c r="N20" s="7">
        <f t="shared" si="4"/>
        <v>46208</v>
      </c>
      <c r="O20" s="7" t="str">
        <f t="shared" si="6"/>
        <v>Anual</v>
      </c>
      <c r="P20" s="2" t="str">
        <f t="shared" ca="1" si="5"/>
        <v>VIGENTE</v>
      </c>
      <c r="Q20" s="6" t="s">
        <v>25</v>
      </c>
      <c r="R20" s="2"/>
    </row>
    <row r="21" spans="1:18" x14ac:dyDescent="0.25">
      <c r="A21" s="23" t="s">
        <v>164</v>
      </c>
      <c r="B21" s="2" t="s">
        <v>1182</v>
      </c>
      <c r="C21" s="3" t="s">
        <v>1183</v>
      </c>
      <c r="D21" s="3" t="s">
        <v>23</v>
      </c>
      <c r="E21" s="2" t="s">
        <v>24</v>
      </c>
      <c r="F21" s="4">
        <v>0</v>
      </c>
      <c r="G21" s="8">
        <f t="shared" si="0"/>
        <v>1</v>
      </c>
      <c r="H21" s="4" t="str">
        <f t="shared" si="1"/>
        <v>Ohms</v>
      </c>
      <c r="I21" s="14">
        <v>0.315</v>
      </c>
      <c r="J21" s="6" t="str">
        <f t="shared" si="2"/>
        <v>Ohms</v>
      </c>
      <c r="K21" s="2" t="str">
        <f t="shared" si="3"/>
        <v>RTG</v>
      </c>
      <c r="L21" s="2">
        <v>49643476</v>
      </c>
      <c r="M21" s="7">
        <v>46094</v>
      </c>
      <c r="N21" s="7">
        <f t="shared" si="4"/>
        <v>46459</v>
      </c>
      <c r="O21" s="7" t="str">
        <f t="shared" si="6"/>
        <v>Anual</v>
      </c>
      <c r="P21" s="2" t="str">
        <f t="shared" ca="1" si="5"/>
        <v>VIGENTE</v>
      </c>
      <c r="Q21" s="6" t="s">
        <v>25</v>
      </c>
      <c r="R21" s="2"/>
    </row>
    <row r="22" spans="1:18" x14ac:dyDescent="0.25">
      <c r="A22" s="23" t="s">
        <v>164</v>
      </c>
      <c r="B22" s="2" t="s">
        <v>1184</v>
      </c>
      <c r="C22" s="3" t="s">
        <v>747</v>
      </c>
      <c r="D22" s="3" t="s">
        <v>23</v>
      </c>
      <c r="E22" s="2" t="s">
        <v>24</v>
      </c>
      <c r="F22" s="4">
        <v>0</v>
      </c>
      <c r="G22" s="8">
        <f t="shared" si="0"/>
        <v>1</v>
      </c>
      <c r="H22" s="4" t="str">
        <f t="shared" si="1"/>
        <v>Ohms</v>
      </c>
      <c r="I22" s="6">
        <v>0.34499999999999997</v>
      </c>
      <c r="J22" s="6" t="str">
        <f t="shared" si="2"/>
        <v>Ohms</v>
      </c>
      <c r="K22" s="2" t="str">
        <f t="shared" si="3"/>
        <v>RTG</v>
      </c>
      <c r="L22" s="2">
        <v>49643476</v>
      </c>
      <c r="M22" s="7">
        <v>46094</v>
      </c>
      <c r="N22" s="7">
        <f t="shared" si="4"/>
        <v>46459</v>
      </c>
      <c r="O22" s="7" t="str">
        <f t="shared" si="6"/>
        <v>Anual</v>
      </c>
      <c r="P22" s="2" t="str">
        <f t="shared" ca="1" si="5"/>
        <v>VIGENTE</v>
      </c>
      <c r="Q22" s="6" t="s">
        <v>25</v>
      </c>
      <c r="R22" s="2"/>
    </row>
    <row r="23" spans="1:18" x14ac:dyDescent="0.25">
      <c r="A23" s="23" t="s">
        <v>164</v>
      </c>
      <c r="B23" s="2" t="s">
        <v>1185</v>
      </c>
      <c r="C23" s="3" t="s">
        <v>747</v>
      </c>
      <c r="D23" s="3" t="s">
        <v>23</v>
      </c>
      <c r="E23" s="2" t="s">
        <v>24</v>
      </c>
      <c r="F23" s="4">
        <v>0</v>
      </c>
      <c r="G23" s="8">
        <f t="shared" si="0"/>
        <v>1</v>
      </c>
      <c r="H23" s="4" t="str">
        <f t="shared" si="1"/>
        <v>Ohms</v>
      </c>
      <c r="I23" s="6">
        <v>173000</v>
      </c>
      <c r="J23" s="6" t="str">
        <f t="shared" si="2"/>
        <v>Ohms</v>
      </c>
      <c r="K23" s="2" t="str">
        <f t="shared" si="3"/>
        <v>RTG</v>
      </c>
      <c r="L23" s="2">
        <v>49643476</v>
      </c>
      <c r="M23" s="7">
        <v>46094</v>
      </c>
      <c r="N23" s="7">
        <f t="shared" si="4"/>
        <v>46459</v>
      </c>
      <c r="O23" s="7" t="str">
        <f t="shared" si="6"/>
        <v>Anual</v>
      </c>
      <c r="P23" s="2" t="str">
        <f t="shared" ca="1" si="5"/>
        <v>VIGENTE</v>
      </c>
      <c r="Q23" s="6" t="s">
        <v>25</v>
      </c>
      <c r="R23" s="2"/>
    </row>
    <row r="24" spans="1:18" x14ac:dyDescent="0.25">
      <c r="A24" s="23" t="s">
        <v>164</v>
      </c>
      <c r="B24" s="2" t="s">
        <v>1186</v>
      </c>
      <c r="C24" s="3" t="s">
        <v>747</v>
      </c>
      <c r="D24" s="3" t="s">
        <v>23</v>
      </c>
      <c r="E24" s="2" t="s">
        <v>24</v>
      </c>
      <c r="F24" s="4">
        <v>0</v>
      </c>
      <c r="G24" s="8">
        <f t="shared" si="0"/>
        <v>1</v>
      </c>
      <c r="H24" s="4" t="str">
        <f t="shared" si="1"/>
        <v>Ohms</v>
      </c>
      <c r="I24" s="6">
        <v>0.28999999999999998</v>
      </c>
      <c r="J24" s="6" t="str">
        <f t="shared" si="2"/>
        <v>Ohms</v>
      </c>
      <c r="K24" s="2" t="str">
        <f t="shared" si="3"/>
        <v>RTG</v>
      </c>
      <c r="L24" s="2">
        <v>49643476</v>
      </c>
      <c r="M24" s="7">
        <v>46094</v>
      </c>
      <c r="N24" s="7">
        <f t="shared" si="4"/>
        <v>46459</v>
      </c>
      <c r="O24" s="7" t="str">
        <f t="shared" si="6"/>
        <v>Anual</v>
      </c>
      <c r="P24" s="2" t="str">
        <f t="shared" ca="1" si="5"/>
        <v>VIGENTE</v>
      </c>
      <c r="Q24" s="6" t="s">
        <v>25</v>
      </c>
      <c r="R24" s="2"/>
    </row>
    <row r="25" spans="1:18" x14ac:dyDescent="0.25">
      <c r="A25" s="23" t="s">
        <v>164</v>
      </c>
      <c r="B25" s="2" t="s">
        <v>1187</v>
      </c>
      <c r="C25" s="3" t="s">
        <v>747</v>
      </c>
      <c r="D25" s="3" t="s">
        <v>23</v>
      </c>
      <c r="E25" s="2" t="s">
        <v>24</v>
      </c>
      <c r="F25" s="4">
        <v>0</v>
      </c>
      <c r="G25" s="8">
        <f t="shared" si="0"/>
        <v>1</v>
      </c>
      <c r="H25" s="4" t="str">
        <f t="shared" si="1"/>
        <v>Ohms</v>
      </c>
      <c r="I25" s="6">
        <v>0.34699999999999998</v>
      </c>
      <c r="J25" s="6" t="str">
        <f t="shared" si="2"/>
        <v>Ohms</v>
      </c>
      <c r="K25" s="2" t="str">
        <f t="shared" si="3"/>
        <v>RTG</v>
      </c>
      <c r="L25" s="2">
        <v>49643476</v>
      </c>
      <c r="M25" s="7">
        <v>46094</v>
      </c>
      <c r="N25" s="7">
        <f t="shared" si="4"/>
        <v>46459</v>
      </c>
      <c r="O25" s="7" t="str">
        <f t="shared" si="6"/>
        <v>Anual</v>
      </c>
      <c r="P25" s="2" t="str">
        <f t="shared" ca="1" si="5"/>
        <v>VIGENTE</v>
      </c>
      <c r="Q25" s="6" t="s">
        <v>25</v>
      </c>
      <c r="R25" s="2"/>
    </row>
    <row r="26" spans="1:18" x14ac:dyDescent="0.25">
      <c r="A26" s="23" t="s">
        <v>164</v>
      </c>
      <c r="B26" s="2" t="s">
        <v>1188</v>
      </c>
      <c r="C26" s="3" t="s">
        <v>747</v>
      </c>
      <c r="D26" s="3" t="s">
        <v>23</v>
      </c>
      <c r="E26" s="2" t="s">
        <v>24</v>
      </c>
      <c r="F26" s="4">
        <v>0</v>
      </c>
      <c r="G26" s="8">
        <f t="shared" si="0"/>
        <v>1</v>
      </c>
      <c r="H26" s="4" t="str">
        <f t="shared" si="1"/>
        <v>Ohms</v>
      </c>
      <c r="I26" s="6">
        <v>0.60099999999999998</v>
      </c>
      <c r="J26" s="6" t="str">
        <f t="shared" si="2"/>
        <v>Ohms</v>
      </c>
      <c r="K26" s="2" t="str">
        <f t="shared" si="3"/>
        <v>RTG</v>
      </c>
      <c r="L26" s="2">
        <v>49643476</v>
      </c>
      <c r="M26" s="7">
        <v>46094</v>
      </c>
      <c r="N26" s="7">
        <f t="shared" si="4"/>
        <v>46459</v>
      </c>
      <c r="O26" s="7" t="str">
        <f t="shared" si="6"/>
        <v>Anual</v>
      </c>
      <c r="P26" s="2" t="str">
        <f t="shared" ca="1" si="5"/>
        <v>VIGENTE</v>
      </c>
      <c r="Q26" s="6" t="s">
        <v>25</v>
      </c>
      <c r="R26" s="2"/>
    </row>
    <row r="27" spans="1:18" x14ac:dyDescent="0.25">
      <c r="A27" s="23" t="s">
        <v>164</v>
      </c>
      <c r="B27" s="2" t="s">
        <v>1189</v>
      </c>
      <c r="C27" s="3" t="s">
        <v>1183</v>
      </c>
      <c r="D27" s="3" t="s">
        <v>23</v>
      </c>
      <c r="E27" s="2" t="s">
        <v>24</v>
      </c>
      <c r="F27" s="4">
        <v>0</v>
      </c>
      <c r="G27" s="8">
        <f t="shared" si="0"/>
        <v>1</v>
      </c>
      <c r="H27" s="4" t="str">
        <f t="shared" si="1"/>
        <v>Ohms</v>
      </c>
      <c r="I27" s="6">
        <v>0.51800000000000002</v>
      </c>
      <c r="J27" s="6" t="str">
        <f t="shared" si="2"/>
        <v>Ohms</v>
      </c>
      <c r="K27" s="2" t="str">
        <f t="shared" si="3"/>
        <v>RTG</v>
      </c>
      <c r="L27" s="2">
        <v>49643476</v>
      </c>
      <c r="M27" s="7">
        <v>46094</v>
      </c>
      <c r="N27" s="7">
        <f t="shared" si="4"/>
        <v>46459</v>
      </c>
      <c r="O27" s="7" t="str">
        <f t="shared" si="6"/>
        <v>Anual</v>
      </c>
      <c r="P27" s="2" t="str">
        <f t="shared" ca="1" si="5"/>
        <v>VIGENTE</v>
      </c>
      <c r="Q27" s="6" t="s">
        <v>25</v>
      </c>
      <c r="R27" s="2"/>
    </row>
    <row r="28" spans="1:18" x14ac:dyDescent="0.25">
      <c r="A28" s="23" t="s">
        <v>164</v>
      </c>
      <c r="B28" s="2" t="s">
        <v>1190</v>
      </c>
      <c r="C28" s="3" t="s">
        <v>261</v>
      </c>
      <c r="D28" s="3" t="s">
        <v>23</v>
      </c>
      <c r="E28" s="2" t="s">
        <v>24</v>
      </c>
      <c r="F28" s="4">
        <v>0</v>
      </c>
      <c r="G28" s="8">
        <f t="shared" si="0"/>
        <v>1</v>
      </c>
      <c r="H28" s="4" t="str">
        <f t="shared" si="1"/>
        <v>Ohms</v>
      </c>
      <c r="I28" s="6">
        <v>0.499</v>
      </c>
      <c r="J28" s="6" t="str">
        <f t="shared" si="2"/>
        <v>Ohms</v>
      </c>
      <c r="K28" s="2" t="str">
        <f t="shared" si="3"/>
        <v>RTG</v>
      </c>
      <c r="L28" s="2">
        <v>49643476</v>
      </c>
      <c r="M28" s="7">
        <v>46094</v>
      </c>
      <c r="N28" s="7">
        <f t="shared" si="4"/>
        <v>46459</v>
      </c>
      <c r="O28" s="7" t="str">
        <f t="shared" si="6"/>
        <v>Anual</v>
      </c>
      <c r="P28" s="2" t="str">
        <f t="shared" ca="1" si="5"/>
        <v>VIGENTE</v>
      </c>
      <c r="Q28" s="6" t="s">
        <v>25</v>
      </c>
      <c r="R28" s="2"/>
    </row>
    <row r="29" spans="1:18" x14ac:dyDescent="0.25">
      <c r="A29" s="23" t="s">
        <v>164</v>
      </c>
      <c r="B29" s="2" t="s">
        <v>1191</v>
      </c>
      <c r="C29" s="3" t="s">
        <v>747</v>
      </c>
      <c r="D29" s="3" t="s">
        <v>23</v>
      </c>
      <c r="E29" s="2" t="s">
        <v>24</v>
      </c>
      <c r="F29" s="4">
        <v>0</v>
      </c>
      <c r="G29" s="8">
        <f t="shared" si="0"/>
        <v>1</v>
      </c>
      <c r="H29" s="4" t="str">
        <f t="shared" si="1"/>
        <v>Ohms</v>
      </c>
      <c r="I29" s="6">
        <v>0.443</v>
      </c>
      <c r="J29" s="6" t="str">
        <f t="shared" si="2"/>
        <v>Ohms</v>
      </c>
      <c r="K29" s="2" t="str">
        <f t="shared" si="3"/>
        <v>RTG</v>
      </c>
      <c r="L29" s="2">
        <v>49643476</v>
      </c>
      <c r="M29" s="7">
        <v>46094</v>
      </c>
      <c r="N29" s="7">
        <f t="shared" si="4"/>
        <v>46459</v>
      </c>
      <c r="O29" s="7" t="str">
        <f t="shared" si="6"/>
        <v>Anual</v>
      </c>
      <c r="P29" s="2" t="str">
        <f t="shared" ca="1" si="5"/>
        <v>VIGENTE</v>
      </c>
      <c r="Q29" s="6" t="s">
        <v>25</v>
      </c>
      <c r="R29" s="2"/>
    </row>
    <row r="30" spans="1:18" x14ac:dyDescent="0.25">
      <c r="A30" s="23" t="s">
        <v>164</v>
      </c>
      <c r="B30" s="2" t="s">
        <v>1192</v>
      </c>
      <c r="C30" s="3" t="s">
        <v>747</v>
      </c>
      <c r="D30" s="3" t="s">
        <v>23</v>
      </c>
      <c r="E30" s="2" t="s">
        <v>24</v>
      </c>
      <c r="F30" s="4">
        <v>0</v>
      </c>
      <c r="G30" s="8">
        <f t="shared" si="0"/>
        <v>1</v>
      </c>
      <c r="H30" s="4" t="str">
        <f t="shared" si="1"/>
        <v>Ohms</v>
      </c>
      <c r="I30" s="6">
        <v>0.33</v>
      </c>
      <c r="J30" s="6" t="str">
        <f t="shared" si="2"/>
        <v>Ohms</v>
      </c>
      <c r="K30" s="2" t="str">
        <f t="shared" si="3"/>
        <v>RTG</v>
      </c>
      <c r="L30" s="2">
        <v>49643476</v>
      </c>
      <c r="M30" s="7">
        <v>46094</v>
      </c>
      <c r="N30" s="7">
        <f t="shared" si="4"/>
        <v>46459</v>
      </c>
      <c r="O30" s="7" t="str">
        <f t="shared" si="6"/>
        <v>Anual</v>
      </c>
      <c r="P30" s="2" t="str">
        <f t="shared" ca="1" si="5"/>
        <v>VIGENTE</v>
      </c>
      <c r="Q30" s="6" t="s">
        <v>25</v>
      </c>
      <c r="R30" s="2"/>
    </row>
    <row r="31" spans="1:18" x14ac:dyDescent="0.25">
      <c r="A31" s="23" t="s">
        <v>164</v>
      </c>
      <c r="B31" s="2" t="s">
        <v>1193</v>
      </c>
      <c r="C31" s="3" t="s">
        <v>747</v>
      </c>
      <c r="D31" s="3" t="s">
        <v>23</v>
      </c>
      <c r="E31" s="2" t="s">
        <v>24</v>
      </c>
      <c r="F31" s="4">
        <v>0</v>
      </c>
      <c r="G31" s="8">
        <f t="shared" si="0"/>
        <v>1</v>
      </c>
      <c r="H31" s="4" t="str">
        <f t="shared" si="1"/>
        <v>Ohms</v>
      </c>
      <c r="I31" s="6">
        <v>0.90400000000000003</v>
      </c>
      <c r="J31" s="6" t="str">
        <f t="shared" si="2"/>
        <v>Ohms</v>
      </c>
      <c r="K31" s="2" t="str">
        <f t="shared" si="3"/>
        <v>RTG</v>
      </c>
      <c r="L31" s="2">
        <v>49643476</v>
      </c>
      <c r="M31" s="7">
        <v>46094</v>
      </c>
      <c r="N31" s="7">
        <f t="shared" si="4"/>
        <v>46459</v>
      </c>
      <c r="O31" s="7" t="str">
        <f t="shared" si="6"/>
        <v>Anual</v>
      </c>
      <c r="P31" s="2" t="str">
        <f t="shared" ca="1" si="5"/>
        <v>VIGENTE</v>
      </c>
      <c r="Q31" s="6" t="s">
        <v>25</v>
      </c>
      <c r="R31" s="2"/>
    </row>
    <row r="32" spans="1:18" x14ac:dyDescent="0.25">
      <c r="A32" s="23" t="s">
        <v>164</v>
      </c>
      <c r="B32" s="2" t="s">
        <v>1194</v>
      </c>
      <c r="C32" s="3" t="s">
        <v>747</v>
      </c>
      <c r="D32" s="3" t="s">
        <v>23</v>
      </c>
      <c r="E32" s="2" t="s">
        <v>24</v>
      </c>
      <c r="F32" s="4">
        <v>0</v>
      </c>
      <c r="G32" s="8">
        <f t="shared" si="0"/>
        <v>1</v>
      </c>
      <c r="H32" s="4" t="str">
        <f t="shared" si="1"/>
        <v>Ohms</v>
      </c>
      <c r="I32" s="6">
        <v>67900</v>
      </c>
      <c r="J32" s="6" t="str">
        <f t="shared" si="2"/>
        <v>Ohms</v>
      </c>
      <c r="K32" s="2" t="str">
        <f t="shared" si="3"/>
        <v>RTG</v>
      </c>
      <c r="L32" s="2">
        <v>49643476</v>
      </c>
      <c r="M32" s="7">
        <v>46094</v>
      </c>
      <c r="N32" s="7">
        <f t="shared" si="4"/>
        <v>46459</v>
      </c>
      <c r="O32" s="7" t="str">
        <f t="shared" si="6"/>
        <v>Anual</v>
      </c>
      <c r="P32" s="2" t="str">
        <f t="shared" ca="1" si="5"/>
        <v>VIGENTE</v>
      </c>
      <c r="Q32" s="6" t="s">
        <v>25</v>
      </c>
      <c r="R32" s="2"/>
    </row>
    <row r="33" spans="1:18" x14ac:dyDescent="0.25">
      <c r="A33" s="23" t="s">
        <v>164</v>
      </c>
      <c r="B33" s="2" t="s">
        <v>1195</v>
      </c>
      <c r="C33" s="3" t="s">
        <v>747</v>
      </c>
      <c r="D33" s="3" t="s">
        <v>23</v>
      </c>
      <c r="E33" s="2" t="s">
        <v>24</v>
      </c>
      <c r="F33" s="4">
        <v>0</v>
      </c>
      <c r="G33" s="8">
        <f t="shared" si="0"/>
        <v>1</v>
      </c>
      <c r="H33" s="4" t="str">
        <f t="shared" si="1"/>
        <v>Ohms</v>
      </c>
      <c r="I33" s="6">
        <v>0.56899999999999995</v>
      </c>
      <c r="J33" s="6" t="str">
        <f t="shared" si="2"/>
        <v>Ohms</v>
      </c>
      <c r="K33" s="2" t="str">
        <f t="shared" si="3"/>
        <v>RTG</v>
      </c>
      <c r="L33" s="2">
        <v>49643476</v>
      </c>
      <c r="M33" s="7">
        <v>46094</v>
      </c>
      <c r="N33" s="7">
        <f t="shared" si="4"/>
        <v>46459</v>
      </c>
      <c r="O33" s="7" t="str">
        <f t="shared" si="6"/>
        <v>Anual</v>
      </c>
      <c r="P33" s="2" t="str">
        <f t="shared" ca="1" si="5"/>
        <v>VIGENTE</v>
      </c>
      <c r="Q33" s="6" t="s">
        <v>25</v>
      </c>
      <c r="R33" s="2"/>
    </row>
    <row r="34" spans="1:18" x14ac:dyDescent="0.25">
      <c r="A34" s="23" t="s">
        <v>164</v>
      </c>
      <c r="B34" s="2" t="s">
        <v>1196</v>
      </c>
      <c r="C34" s="3" t="s">
        <v>747</v>
      </c>
      <c r="D34" s="3" t="s">
        <v>23</v>
      </c>
      <c r="E34" s="2" t="s">
        <v>24</v>
      </c>
      <c r="F34" s="4">
        <v>0</v>
      </c>
      <c r="G34" s="8">
        <f t="shared" si="0"/>
        <v>1</v>
      </c>
      <c r="H34" s="4" t="str">
        <f t="shared" si="1"/>
        <v>Ohms</v>
      </c>
      <c r="I34" s="6">
        <v>0.317</v>
      </c>
      <c r="J34" s="6" t="str">
        <f t="shared" si="2"/>
        <v>Ohms</v>
      </c>
      <c r="K34" s="2" t="str">
        <f t="shared" si="3"/>
        <v>RTG</v>
      </c>
      <c r="L34" s="2">
        <v>49643476</v>
      </c>
      <c r="M34" s="7">
        <v>46094</v>
      </c>
      <c r="N34" s="7">
        <f t="shared" si="4"/>
        <v>46459</v>
      </c>
      <c r="O34" s="7" t="str">
        <f t="shared" si="6"/>
        <v>Anual</v>
      </c>
      <c r="P34" s="2" t="str">
        <f t="shared" ca="1" si="5"/>
        <v>VIGENTE</v>
      </c>
      <c r="Q34" s="6" t="s">
        <v>25</v>
      </c>
      <c r="R34" s="2"/>
    </row>
    <row r="35" spans="1:18" x14ac:dyDescent="0.25">
      <c r="A35" s="23" t="s">
        <v>164</v>
      </c>
      <c r="B35" s="2" t="s">
        <v>1197</v>
      </c>
      <c r="C35" s="3" t="s">
        <v>261</v>
      </c>
      <c r="D35" s="3" t="s">
        <v>23</v>
      </c>
      <c r="E35" s="2" t="s">
        <v>24</v>
      </c>
      <c r="F35" s="4">
        <v>0</v>
      </c>
      <c r="G35" s="8">
        <f t="shared" si="0"/>
        <v>1</v>
      </c>
      <c r="H35" s="4" t="str">
        <f t="shared" si="1"/>
        <v>Ohms</v>
      </c>
      <c r="I35" s="6">
        <v>1000</v>
      </c>
      <c r="J35" s="6" t="str">
        <f t="shared" si="2"/>
        <v>Ohms</v>
      </c>
      <c r="K35" s="2" t="str">
        <f t="shared" si="3"/>
        <v>RTG</v>
      </c>
      <c r="L35" s="2">
        <v>49643476</v>
      </c>
      <c r="M35" s="7">
        <v>46094</v>
      </c>
      <c r="N35" s="7">
        <f t="shared" si="4"/>
        <v>46459</v>
      </c>
      <c r="O35" s="7" t="str">
        <f t="shared" si="6"/>
        <v>Anual</v>
      </c>
      <c r="P35" s="2" t="str">
        <f t="shared" ca="1" si="5"/>
        <v>VIGENTE</v>
      </c>
      <c r="Q35" s="6" t="s">
        <v>25</v>
      </c>
      <c r="R35" s="2"/>
    </row>
    <row r="36" spans="1:18" x14ac:dyDescent="0.25">
      <c r="A36" s="23" t="s">
        <v>164</v>
      </c>
      <c r="B36" s="2" t="s">
        <v>1198</v>
      </c>
      <c r="C36" s="3" t="s">
        <v>747</v>
      </c>
      <c r="D36" s="3" t="s">
        <v>23</v>
      </c>
      <c r="E36" s="2" t="s">
        <v>24</v>
      </c>
      <c r="F36" s="4">
        <v>0</v>
      </c>
      <c r="G36" s="8">
        <f t="shared" si="0"/>
        <v>1</v>
      </c>
      <c r="H36" s="4" t="str">
        <f t="shared" si="1"/>
        <v>Ohms</v>
      </c>
      <c r="I36" s="6">
        <v>0.32400000000000001</v>
      </c>
      <c r="J36" s="6" t="str">
        <f t="shared" si="2"/>
        <v>Ohms</v>
      </c>
      <c r="K36" s="2" t="str">
        <f t="shared" si="3"/>
        <v>RTG</v>
      </c>
      <c r="L36" s="2">
        <v>49643476</v>
      </c>
      <c r="M36" s="7">
        <v>46094</v>
      </c>
      <c r="N36" s="7">
        <f t="shared" si="4"/>
        <v>46459</v>
      </c>
      <c r="O36" s="7" t="str">
        <f t="shared" si="6"/>
        <v>Anual</v>
      </c>
      <c r="P36" s="2" t="str">
        <f t="shared" ca="1" si="5"/>
        <v>VIGENTE</v>
      </c>
      <c r="Q36" s="6" t="s">
        <v>25</v>
      </c>
      <c r="R36" s="2"/>
    </row>
    <row r="37" spans="1:18" x14ac:dyDescent="0.25">
      <c r="A37" s="23" t="s">
        <v>164</v>
      </c>
      <c r="B37" s="2" t="s">
        <v>1199</v>
      </c>
      <c r="C37" s="3" t="s">
        <v>261</v>
      </c>
      <c r="D37" s="3" t="s">
        <v>23</v>
      </c>
      <c r="E37" s="2" t="s">
        <v>24</v>
      </c>
      <c r="F37" s="4">
        <v>0</v>
      </c>
      <c r="G37" s="8">
        <f t="shared" si="0"/>
        <v>1</v>
      </c>
      <c r="H37" s="4" t="str">
        <f t="shared" si="1"/>
        <v>Ohms</v>
      </c>
      <c r="I37" s="6">
        <v>0.84499999999999997</v>
      </c>
      <c r="J37" s="6" t="str">
        <f t="shared" si="2"/>
        <v>Ohms</v>
      </c>
      <c r="K37" s="2" t="str">
        <f t="shared" si="3"/>
        <v>RTG</v>
      </c>
      <c r="L37" s="2">
        <v>49643476</v>
      </c>
      <c r="M37" s="7">
        <v>46094</v>
      </c>
      <c r="N37" s="7">
        <f t="shared" si="4"/>
        <v>46459</v>
      </c>
      <c r="O37" s="7" t="str">
        <f t="shared" si="6"/>
        <v>Anual</v>
      </c>
      <c r="P37" s="2" t="str">
        <f t="shared" ca="1" si="5"/>
        <v>VIGENTE</v>
      </c>
      <c r="Q37" s="6" t="s">
        <v>25</v>
      </c>
      <c r="R37" s="2"/>
    </row>
    <row r="38" spans="1:18" x14ac:dyDescent="0.25">
      <c r="A38" s="23" t="s">
        <v>164</v>
      </c>
      <c r="B38" s="2" t="s">
        <v>1200</v>
      </c>
      <c r="C38" s="3" t="s">
        <v>747</v>
      </c>
      <c r="D38" s="3" t="s">
        <v>23</v>
      </c>
      <c r="E38" s="2" t="s">
        <v>24</v>
      </c>
      <c r="F38" s="4">
        <v>0</v>
      </c>
      <c r="G38" s="8">
        <f t="shared" si="0"/>
        <v>1</v>
      </c>
      <c r="H38" s="4" t="str">
        <f t="shared" si="1"/>
        <v>Ohms</v>
      </c>
      <c r="I38" s="6">
        <v>0.55500000000000005</v>
      </c>
      <c r="J38" s="6" t="str">
        <f t="shared" si="2"/>
        <v>Ohms</v>
      </c>
      <c r="K38" s="2" t="str">
        <f t="shared" si="3"/>
        <v>RTG</v>
      </c>
      <c r="L38" s="2">
        <v>49643476</v>
      </c>
      <c r="M38" s="7">
        <v>46094</v>
      </c>
      <c r="N38" s="7">
        <f t="shared" si="4"/>
        <v>46459</v>
      </c>
      <c r="O38" s="7" t="str">
        <f t="shared" si="6"/>
        <v>Anual</v>
      </c>
      <c r="P38" s="2" t="str">
        <f t="shared" ca="1" si="5"/>
        <v>VIGENTE</v>
      </c>
      <c r="Q38" s="6" t="s">
        <v>25</v>
      </c>
      <c r="R38" s="2"/>
    </row>
    <row r="39" spans="1:18" x14ac:dyDescent="0.25">
      <c r="A39" s="23" t="s">
        <v>164</v>
      </c>
      <c r="B39" s="2" t="s">
        <v>1201</v>
      </c>
      <c r="C39" s="3" t="s">
        <v>747</v>
      </c>
      <c r="D39" s="3" t="s">
        <v>23</v>
      </c>
      <c r="E39" s="2" t="s">
        <v>24</v>
      </c>
      <c r="F39" s="4">
        <v>0</v>
      </c>
      <c r="G39" s="8">
        <f t="shared" ref="G39:G70" si="7">IF(C39="Ionizador", 10, IF(C39="Mesa", 1000000000, IF(C39="Rack", 1000000000, IF(C39="Piso", 1000000000, IF(C39="Tapete", 1000000000, IF(C39="Carrito", 1000000000, IF(C39="Cautín", 10, 1)))))))</f>
        <v>1</v>
      </c>
      <c r="H39" s="4" t="str">
        <f t="shared" ref="H39:H70" si="8">IF(C39="Ionizador", "Segundos", "Ohms")</f>
        <v>Ohms</v>
      </c>
      <c r="I39" s="6">
        <v>0.91100000000000003</v>
      </c>
      <c r="J39" s="6" t="str">
        <f t="shared" ref="J39:J70" si="9">H39</f>
        <v>Ohms</v>
      </c>
      <c r="K39" s="2" t="str">
        <f t="shared" ref="K39:K70" si="10">IF(C39="Ionizador", "Plato de carga", IF(C39="Cautín", "PTG", IF(C39="ESD Tester", "PTP Deviation", "RTG")))</f>
        <v>RTG</v>
      </c>
      <c r="L39" s="2">
        <v>49643476</v>
      </c>
      <c r="M39" s="7">
        <v>46094</v>
      </c>
      <c r="N39" s="7">
        <f t="shared" ref="N39:N70" si="11">IF(O39="Trimestral", M39+90, IF(O39="Semestral", M39+180, IF(O39="Mensual", M39+30, M39+365)))</f>
        <v>46459</v>
      </c>
      <c r="O39" s="7" t="str">
        <f t="shared" si="6"/>
        <v>Anual</v>
      </c>
      <c r="P39" s="2" t="str">
        <f t="shared" ref="P39:P70" ca="1" si="12">IF(N39&lt;TODAY(),"VENCIDO",IF(N39=TODAY(),"VIGENTE",IF(N39&gt;TODAY(),"VIGENTE")))</f>
        <v>VIGENTE</v>
      </c>
      <c r="Q39" s="6" t="s">
        <v>25</v>
      </c>
      <c r="R39" s="2"/>
    </row>
    <row r="40" spans="1:18" x14ac:dyDescent="0.25">
      <c r="A40" s="23" t="s">
        <v>164</v>
      </c>
      <c r="B40" s="2" t="s">
        <v>1202</v>
      </c>
      <c r="C40" s="3" t="s">
        <v>747</v>
      </c>
      <c r="D40" s="3" t="s">
        <v>23</v>
      </c>
      <c r="E40" s="2" t="s">
        <v>24</v>
      </c>
      <c r="F40" s="4">
        <v>0</v>
      </c>
      <c r="G40" s="8">
        <f t="shared" si="7"/>
        <v>1</v>
      </c>
      <c r="H40" s="4" t="str">
        <f t="shared" si="8"/>
        <v>Ohms</v>
      </c>
      <c r="I40" s="6">
        <v>0.55500000000000005</v>
      </c>
      <c r="J40" s="6" t="str">
        <f t="shared" si="9"/>
        <v>Ohms</v>
      </c>
      <c r="K40" s="2" t="str">
        <f t="shared" si="10"/>
        <v>RTG</v>
      </c>
      <c r="L40" s="2">
        <v>49643476</v>
      </c>
      <c r="M40" s="7">
        <v>46094</v>
      </c>
      <c r="N40" s="7">
        <f t="shared" si="11"/>
        <v>46459</v>
      </c>
      <c r="O40" s="7" t="str">
        <f t="shared" si="6"/>
        <v>Anual</v>
      </c>
      <c r="P40" s="2" t="str">
        <f t="shared" ca="1" si="12"/>
        <v>VIGENTE</v>
      </c>
      <c r="Q40" s="6" t="s">
        <v>25</v>
      </c>
      <c r="R40" s="2"/>
    </row>
    <row r="41" spans="1:18" x14ac:dyDescent="0.25">
      <c r="A41" s="23" t="s">
        <v>164</v>
      </c>
      <c r="B41" s="2" t="s">
        <v>1203</v>
      </c>
      <c r="C41" s="3" t="s">
        <v>747</v>
      </c>
      <c r="D41" s="3" t="s">
        <v>23</v>
      </c>
      <c r="E41" s="2" t="s">
        <v>24</v>
      </c>
      <c r="F41" s="4">
        <v>0</v>
      </c>
      <c r="G41" s="8">
        <f t="shared" si="7"/>
        <v>1</v>
      </c>
      <c r="H41" s="4" t="str">
        <f t="shared" si="8"/>
        <v>Ohms</v>
      </c>
      <c r="I41" s="6">
        <v>0.309</v>
      </c>
      <c r="J41" s="6" t="str">
        <f t="shared" si="9"/>
        <v>Ohms</v>
      </c>
      <c r="K41" s="2" t="str">
        <f t="shared" si="10"/>
        <v>RTG</v>
      </c>
      <c r="L41" s="2">
        <v>49643476</v>
      </c>
      <c r="M41" s="7">
        <v>45720</v>
      </c>
      <c r="N41" s="7">
        <f t="shared" si="11"/>
        <v>46085</v>
      </c>
      <c r="O41" s="7" t="str">
        <f t="shared" ref="O41:O55" si="13">IF(C41="Ionizador", "Trimestral", IF(C41="Rack", "Semestral", IF(C41="Mesa", "Semestral", IF(C41="Tapete", "Semestral", IF(C41="Cautín", "Semestral", IF(C41="Silla", "Semestral", "Anual"))))))</f>
        <v>Anual</v>
      </c>
      <c r="P41" s="2" t="str">
        <f t="shared" ca="1" si="12"/>
        <v>VENCIDO</v>
      </c>
      <c r="Q41" s="6" t="s">
        <v>25</v>
      </c>
      <c r="R41" s="2"/>
    </row>
    <row r="42" spans="1:18" x14ac:dyDescent="0.25">
      <c r="A42" s="23" t="s">
        <v>164</v>
      </c>
      <c r="B42" s="2" t="s">
        <v>1204</v>
      </c>
      <c r="C42" s="3" t="s">
        <v>747</v>
      </c>
      <c r="D42" s="3" t="s">
        <v>23</v>
      </c>
      <c r="E42" s="2" t="s">
        <v>24</v>
      </c>
      <c r="F42" s="4">
        <v>0</v>
      </c>
      <c r="G42" s="8">
        <f t="shared" si="7"/>
        <v>1</v>
      </c>
      <c r="H42" s="4" t="str">
        <f t="shared" si="8"/>
        <v>Ohms</v>
      </c>
      <c r="I42" s="6">
        <v>7.1999999999999995E-2</v>
      </c>
      <c r="J42" s="6" t="str">
        <f t="shared" si="9"/>
        <v>Ohms</v>
      </c>
      <c r="K42" s="2" t="str">
        <f t="shared" si="10"/>
        <v>RTG</v>
      </c>
      <c r="L42" s="2">
        <v>49643476</v>
      </c>
      <c r="M42" s="7">
        <v>45720</v>
      </c>
      <c r="N42" s="7">
        <f t="shared" si="11"/>
        <v>46085</v>
      </c>
      <c r="O42" s="7" t="str">
        <f t="shared" si="13"/>
        <v>Anual</v>
      </c>
      <c r="P42" s="2" t="str">
        <f t="shared" ca="1" si="12"/>
        <v>VENCIDO</v>
      </c>
      <c r="Q42" s="6" t="s">
        <v>25</v>
      </c>
      <c r="R42" s="2"/>
    </row>
    <row r="43" spans="1:18" x14ac:dyDescent="0.25">
      <c r="A43" s="23" t="s">
        <v>164</v>
      </c>
      <c r="B43" s="2" t="s">
        <v>1205</v>
      </c>
      <c r="C43" s="3" t="s">
        <v>800</v>
      </c>
      <c r="D43" s="3" t="s">
        <v>23</v>
      </c>
      <c r="E43" s="2" t="s">
        <v>829</v>
      </c>
      <c r="F43" s="4">
        <v>0</v>
      </c>
      <c r="G43" s="8">
        <f t="shared" si="7"/>
        <v>10</v>
      </c>
      <c r="H43" s="4" t="str">
        <f t="shared" si="8"/>
        <v>Segundos</v>
      </c>
      <c r="I43" s="6">
        <v>6</v>
      </c>
      <c r="J43" s="6" t="str">
        <f t="shared" si="9"/>
        <v>Segundos</v>
      </c>
      <c r="K43" s="2" t="str">
        <f t="shared" si="10"/>
        <v>Plato de carga</v>
      </c>
      <c r="L43" s="2"/>
      <c r="M43" s="7">
        <v>45993</v>
      </c>
      <c r="N43" s="7">
        <f t="shared" si="11"/>
        <v>46083</v>
      </c>
      <c r="O43" s="7" t="str">
        <f t="shared" si="13"/>
        <v>Trimestral</v>
      </c>
      <c r="P43" s="2" t="str">
        <f t="shared" ca="1" si="12"/>
        <v>VENCIDO</v>
      </c>
      <c r="Q43" s="6" t="s">
        <v>25</v>
      </c>
      <c r="R43" s="2"/>
    </row>
    <row r="44" spans="1:18" x14ac:dyDescent="0.25">
      <c r="A44" s="23" t="s">
        <v>172</v>
      </c>
      <c r="B44" s="2" t="s">
        <v>1206</v>
      </c>
      <c r="C44" s="3" t="s">
        <v>747</v>
      </c>
      <c r="D44" s="3" t="s">
        <v>23</v>
      </c>
      <c r="E44" s="2" t="s">
        <v>24</v>
      </c>
      <c r="F44" s="4">
        <v>0</v>
      </c>
      <c r="G44" s="8">
        <f t="shared" si="7"/>
        <v>1</v>
      </c>
      <c r="H44" s="4" t="str">
        <f t="shared" si="8"/>
        <v>Ohms</v>
      </c>
      <c r="I44" s="14">
        <v>0.218</v>
      </c>
      <c r="J44" s="6" t="str">
        <f t="shared" si="9"/>
        <v>Ohms</v>
      </c>
      <c r="K44" s="2" t="str">
        <f t="shared" si="10"/>
        <v>RTG</v>
      </c>
      <c r="L44" s="2">
        <v>49678947</v>
      </c>
      <c r="M44" s="7">
        <v>46071</v>
      </c>
      <c r="N44" s="7">
        <f t="shared" si="11"/>
        <v>46436</v>
      </c>
      <c r="O44" s="7" t="str">
        <f t="shared" si="13"/>
        <v>Anual</v>
      </c>
      <c r="P44" s="2" t="str">
        <f t="shared" ca="1" si="12"/>
        <v>VIGENTE</v>
      </c>
      <c r="Q44" s="6" t="s">
        <v>25</v>
      </c>
      <c r="R44" s="2"/>
    </row>
    <row r="45" spans="1:18" x14ac:dyDescent="0.25">
      <c r="A45" s="23" t="s">
        <v>172</v>
      </c>
      <c r="B45" s="2" t="s">
        <v>1207</v>
      </c>
      <c r="C45" s="3" t="s">
        <v>747</v>
      </c>
      <c r="D45" s="3" t="s">
        <v>23</v>
      </c>
      <c r="E45" s="2" t="s">
        <v>24</v>
      </c>
      <c r="F45" s="4">
        <v>0</v>
      </c>
      <c r="G45" s="8">
        <f t="shared" si="7"/>
        <v>1</v>
      </c>
      <c r="H45" s="4" t="str">
        <f t="shared" si="8"/>
        <v>Ohms</v>
      </c>
      <c r="I45" s="14">
        <v>0.32400000000000001</v>
      </c>
      <c r="J45" s="6" t="str">
        <f t="shared" si="9"/>
        <v>Ohms</v>
      </c>
      <c r="K45" s="2" t="str">
        <f t="shared" si="10"/>
        <v>RTG</v>
      </c>
      <c r="L45" s="2">
        <v>49678947</v>
      </c>
      <c r="M45" s="7">
        <v>46071</v>
      </c>
      <c r="N45" s="7">
        <f t="shared" si="11"/>
        <v>46436</v>
      </c>
      <c r="O45" s="7" t="str">
        <f t="shared" si="13"/>
        <v>Anual</v>
      </c>
      <c r="P45" s="2" t="str">
        <f t="shared" ca="1" si="12"/>
        <v>VIGENTE</v>
      </c>
      <c r="Q45" s="6" t="s">
        <v>25</v>
      </c>
      <c r="R45" s="2"/>
    </row>
    <row r="46" spans="1:18" x14ac:dyDescent="0.25">
      <c r="A46" s="23" t="s">
        <v>172</v>
      </c>
      <c r="B46" s="2" t="s">
        <v>1208</v>
      </c>
      <c r="C46" s="3" t="s">
        <v>747</v>
      </c>
      <c r="D46" s="3" t="s">
        <v>23</v>
      </c>
      <c r="E46" s="2" t="s">
        <v>24</v>
      </c>
      <c r="F46" s="4">
        <v>0</v>
      </c>
      <c r="G46" s="8">
        <f t="shared" si="7"/>
        <v>1</v>
      </c>
      <c r="H46" s="4" t="str">
        <f t="shared" si="8"/>
        <v>Ohms</v>
      </c>
      <c r="I46" s="14">
        <v>0.27100000000000002</v>
      </c>
      <c r="J46" s="6" t="str">
        <f t="shared" si="9"/>
        <v>Ohms</v>
      </c>
      <c r="K46" s="2" t="str">
        <f t="shared" si="10"/>
        <v>RTG</v>
      </c>
      <c r="L46" s="2">
        <v>49678947</v>
      </c>
      <c r="M46" s="7">
        <v>46071</v>
      </c>
      <c r="N46" s="7">
        <f t="shared" si="11"/>
        <v>46436</v>
      </c>
      <c r="O46" s="7" t="str">
        <f t="shared" si="13"/>
        <v>Anual</v>
      </c>
      <c r="P46" s="2" t="str">
        <f t="shared" ca="1" si="12"/>
        <v>VIGENTE</v>
      </c>
      <c r="Q46" s="6" t="s">
        <v>25</v>
      </c>
      <c r="R46" s="2"/>
    </row>
    <row r="47" spans="1:18" x14ac:dyDescent="0.25">
      <c r="A47" s="23" t="s">
        <v>172</v>
      </c>
      <c r="B47" s="2" t="s">
        <v>1209</v>
      </c>
      <c r="C47" s="3" t="s">
        <v>747</v>
      </c>
      <c r="D47" s="3" t="s">
        <v>23</v>
      </c>
      <c r="E47" s="2" t="s">
        <v>24</v>
      </c>
      <c r="F47" s="4">
        <v>0</v>
      </c>
      <c r="G47" s="8">
        <f t="shared" si="7"/>
        <v>1</v>
      </c>
      <c r="H47" s="4" t="str">
        <f t="shared" si="8"/>
        <v>Ohms</v>
      </c>
      <c r="I47" s="14">
        <v>0.29499999999999998</v>
      </c>
      <c r="J47" s="6" t="str">
        <f t="shared" si="9"/>
        <v>Ohms</v>
      </c>
      <c r="K47" s="2" t="str">
        <f t="shared" si="10"/>
        <v>RTG</v>
      </c>
      <c r="L47" s="2">
        <v>49678947</v>
      </c>
      <c r="M47" s="7">
        <v>46071</v>
      </c>
      <c r="N47" s="7">
        <f t="shared" si="11"/>
        <v>46436</v>
      </c>
      <c r="O47" s="7" t="str">
        <f t="shared" si="13"/>
        <v>Anual</v>
      </c>
      <c r="P47" s="2" t="str">
        <f t="shared" ca="1" si="12"/>
        <v>VIGENTE</v>
      </c>
      <c r="Q47" s="6" t="s">
        <v>25</v>
      </c>
      <c r="R47" s="2"/>
    </row>
    <row r="48" spans="1:18" x14ac:dyDescent="0.25">
      <c r="A48" s="23" t="s">
        <v>172</v>
      </c>
      <c r="B48" s="2" t="s">
        <v>1210</v>
      </c>
      <c r="C48" s="3" t="s">
        <v>747</v>
      </c>
      <c r="D48" s="3" t="s">
        <v>23</v>
      </c>
      <c r="E48" s="2" t="s">
        <v>24</v>
      </c>
      <c r="F48" s="4">
        <v>0</v>
      </c>
      <c r="G48" s="8">
        <f t="shared" si="7"/>
        <v>1</v>
      </c>
      <c r="H48" s="4" t="str">
        <f t="shared" si="8"/>
        <v>Ohms</v>
      </c>
      <c r="I48" s="14">
        <v>0.26400000000000001</v>
      </c>
      <c r="J48" s="6" t="str">
        <f t="shared" si="9"/>
        <v>Ohms</v>
      </c>
      <c r="K48" s="2" t="str">
        <f t="shared" si="10"/>
        <v>RTG</v>
      </c>
      <c r="L48" s="2">
        <v>49678947</v>
      </c>
      <c r="M48" s="7">
        <v>46071</v>
      </c>
      <c r="N48" s="7">
        <f t="shared" si="11"/>
        <v>46436</v>
      </c>
      <c r="O48" s="7" t="str">
        <f t="shared" si="13"/>
        <v>Anual</v>
      </c>
      <c r="P48" s="2" t="str">
        <f t="shared" ca="1" si="12"/>
        <v>VIGENTE</v>
      </c>
      <c r="Q48" s="6" t="s">
        <v>25</v>
      </c>
      <c r="R48" s="2"/>
    </row>
    <row r="49" spans="1:18" x14ac:dyDescent="0.25">
      <c r="A49" s="23" t="s">
        <v>172</v>
      </c>
      <c r="B49" s="2" t="s">
        <v>1211</v>
      </c>
      <c r="C49" s="3" t="s">
        <v>747</v>
      </c>
      <c r="D49" s="3" t="s">
        <v>23</v>
      </c>
      <c r="E49" s="2" t="s">
        <v>24</v>
      </c>
      <c r="F49" s="4">
        <v>0</v>
      </c>
      <c r="G49" s="8">
        <f t="shared" si="7"/>
        <v>1</v>
      </c>
      <c r="H49" s="4" t="str">
        <f t="shared" si="8"/>
        <v>Ohms</v>
      </c>
      <c r="I49" s="6">
        <v>0.25600000000000001</v>
      </c>
      <c r="J49" s="6" t="str">
        <f t="shared" si="9"/>
        <v>Ohms</v>
      </c>
      <c r="K49" s="2" t="str">
        <f t="shared" si="10"/>
        <v>RTG</v>
      </c>
      <c r="L49" s="2">
        <v>49678947</v>
      </c>
      <c r="M49" s="7">
        <v>46071</v>
      </c>
      <c r="N49" s="7">
        <f t="shared" si="11"/>
        <v>46436</v>
      </c>
      <c r="O49" s="7" t="str">
        <f t="shared" si="13"/>
        <v>Anual</v>
      </c>
      <c r="P49" s="2" t="str">
        <f t="shared" ca="1" si="12"/>
        <v>VIGENTE</v>
      </c>
      <c r="Q49" s="6" t="s">
        <v>25</v>
      </c>
      <c r="R49" s="2"/>
    </row>
    <row r="50" spans="1:18" x14ac:dyDescent="0.25">
      <c r="A50" s="23" t="s">
        <v>172</v>
      </c>
      <c r="B50" s="2" t="s">
        <v>1212</v>
      </c>
      <c r="C50" s="3" t="s">
        <v>747</v>
      </c>
      <c r="D50" s="3" t="s">
        <v>23</v>
      </c>
      <c r="E50" s="2" t="s">
        <v>24</v>
      </c>
      <c r="F50" s="4">
        <v>0</v>
      </c>
      <c r="G50" s="8">
        <f t="shared" si="7"/>
        <v>1</v>
      </c>
      <c r="H50" s="4" t="str">
        <f t="shared" si="8"/>
        <v>Ohms</v>
      </c>
      <c r="I50" s="14">
        <v>0.48199999999999998</v>
      </c>
      <c r="J50" s="6" t="str">
        <f t="shared" si="9"/>
        <v>Ohms</v>
      </c>
      <c r="K50" s="2" t="str">
        <f t="shared" si="10"/>
        <v>RTG</v>
      </c>
      <c r="L50" s="2">
        <v>49678947</v>
      </c>
      <c r="M50" s="7">
        <v>46071</v>
      </c>
      <c r="N50" s="7">
        <f t="shared" si="11"/>
        <v>46436</v>
      </c>
      <c r="O50" s="7" t="str">
        <f t="shared" si="13"/>
        <v>Anual</v>
      </c>
      <c r="P50" s="2" t="str">
        <f t="shared" ca="1" si="12"/>
        <v>VIGENTE</v>
      </c>
      <c r="Q50" s="6" t="s">
        <v>25</v>
      </c>
      <c r="R50" s="2"/>
    </row>
    <row r="51" spans="1:18" x14ac:dyDescent="0.25">
      <c r="A51" s="23" t="s">
        <v>172</v>
      </c>
      <c r="B51" s="2" t="s">
        <v>1213</v>
      </c>
      <c r="C51" s="3" t="s">
        <v>747</v>
      </c>
      <c r="D51" s="3" t="s">
        <v>23</v>
      </c>
      <c r="E51" s="2" t="s">
        <v>24</v>
      </c>
      <c r="F51" s="4">
        <v>0</v>
      </c>
      <c r="G51" s="8">
        <f t="shared" si="7"/>
        <v>1</v>
      </c>
      <c r="H51" s="4" t="str">
        <f t="shared" si="8"/>
        <v>Ohms</v>
      </c>
      <c r="I51" s="6">
        <v>0.51800000000000002</v>
      </c>
      <c r="J51" s="6" t="str">
        <f t="shared" si="9"/>
        <v>Ohms</v>
      </c>
      <c r="K51" s="2" t="str">
        <f t="shared" si="10"/>
        <v>RTG</v>
      </c>
      <c r="L51" s="2">
        <v>49678947</v>
      </c>
      <c r="M51" s="7">
        <v>46071</v>
      </c>
      <c r="N51" s="7">
        <f t="shared" si="11"/>
        <v>46436</v>
      </c>
      <c r="O51" s="7" t="str">
        <f t="shared" si="13"/>
        <v>Anual</v>
      </c>
      <c r="P51" s="2" t="str">
        <f t="shared" ca="1" si="12"/>
        <v>VIGENTE</v>
      </c>
      <c r="Q51" s="6" t="s">
        <v>25</v>
      </c>
      <c r="R51" s="2"/>
    </row>
    <row r="52" spans="1:18" x14ac:dyDescent="0.25">
      <c r="A52" s="23" t="s">
        <v>172</v>
      </c>
      <c r="B52" s="2" t="s">
        <v>1214</v>
      </c>
      <c r="C52" s="3" t="s">
        <v>747</v>
      </c>
      <c r="D52" s="3" t="s">
        <v>23</v>
      </c>
      <c r="E52" s="2" t="s">
        <v>24</v>
      </c>
      <c r="F52" s="4">
        <v>0</v>
      </c>
      <c r="G52" s="8">
        <f t="shared" si="7"/>
        <v>1</v>
      </c>
      <c r="H52" s="4" t="str">
        <f t="shared" si="8"/>
        <v>Ohms</v>
      </c>
      <c r="I52" s="6">
        <v>0.28100000000000003</v>
      </c>
      <c r="J52" s="6" t="str">
        <f t="shared" si="9"/>
        <v>Ohms</v>
      </c>
      <c r="K52" s="2" t="str">
        <f t="shared" si="10"/>
        <v>RTG</v>
      </c>
      <c r="L52" s="2">
        <v>49678947</v>
      </c>
      <c r="M52" s="7">
        <v>46071</v>
      </c>
      <c r="N52" s="7">
        <f t="shared" si="11"/>
        <v>46436</v>
      </c>
      <c r="O52" s="7" t="str">
        <f t="shared" si="13"/>
        <v>Anual</v>
      </c>
      <c r="P52" s="2" t="str">
        <f t="shared" ca="1" si="12"/>
        <v>VIGENTE</v>
      </c>
      <c r="Q52" s="6" t="s">
        <v>25</v>
      </c>
      <c r="R52" s="2"/>
    </row>
    <row r="53" spans="1:18" x14ac:dyDescent="0.25">
      <c r="A53" s="23" t="s">
        <v>172</v>
      </c>
      <c r="B53" s="2" t="s">
        <v>1215</v>
      </c>
      <c r="C53" s="3" t="s">
        <v>747</v>
      </c>
      <c r="D53" s="3" t="s">
        <v>23</v>
      </c>
      <c r="E53" s="2" t="s">
        <v>24</v>
      </c>
      <c r="F53" s="4">
        <v>0</v>
      </c>
      <c r="G53" s="8">
        <f t="shared" si="7"/>
        <v>1</v>
      </c>
      <c r="H53" s="4" t="str">
        <f t="shared" si="8"/>
        <v>Ohms</v>
      </c>
      <c r="I53" s="6">
        <v>0.51800000000000002</v>
      </c>
      <c r="J53" s="6" t="str">
        <f t="shared" si="9"/>
        <v>Ohms</v>
      </c>
      <c r="K53" s="2" t="str">
        <f t="shared" si="10"/>
        <v>RTG</v>
      </c>
      <c r="L53" s="2">
        <v>49678947</v>
      </c>
      <c r="M53" s="7">
        <v>46071</v>
      </c>
      <c r="N53" s="7">
        <f t="shared" si="11"/>
        <v>46436</v>
      </c>
      <c r="O53" s="7" t="str">
        <f t="shared" si="13"/>
        <v>Anual</v>
      </c>
      <c r="P53" s="2" t="str">
        <f t="shared" ca="1" si="12"/>
        <v>VIGENTE</v>
      </c>
      <c r="Q53" s="6" t="s">
        <v>25</v>
      </c>
      <c r="R53" s="2"/>
    </row>
    <row r="54" spans="1:18" x14ac:dyDescent="0.25">
      <c r="A54" s="23" t="s">
        <v>172</v>
      </c>
      <c r="B54" s="2" t="s">
        <v>1216</v>
      </c>
      <c r="C54" s="3" t="s">
        <v>747</v>
      </c>
      <c r="D54" s="3" t="s">
        <v>23</v>
      </c>
      <c r="E54" s="2" t="s">
        <v>24</v>
      </c>
      <c r="F54" s="4">
        <v>0</v>
      </c>
      <c r="G54" s="8">
        <f t="shared" si="7"/>
        <v>1</v>
      </c>
      <c r="H54" s="4" t="str">
        <f t="shared" si="8"/>
        <v>Ohms</v>
      </c>
      <c r="I54" s="6">
        <v>0.27900000000000003</v>
      </c>
      <c r="J54" s="6" t="str">
        <f t="shared" si="9"/>
        <v>Ohms</v>
      </c>
      <c r="K54" s="2" t="str">
        <f t="shared" si="10"/>
        <v>RTG</v>
      </c>
      <c r="L54" s="2">
        <v>49678947</v>
      </c>
      <c r="M54" s="7">
        <v>46071</v>
      </c>
      <c r="N54" s="7">
        <f t="shared" si="11"/>
        <v>46436</v>
      </c>
      <c r="O54" s="7" t="str">
        <f t="shared" si="13"/>
        <v>Anual</v>
      </c>
      <c r="P54" s="2" t="str">
        <f t="shared" ca="1" si="12"/>
        <v>VIGENTE</v>
      </c>
      <c r="Q54" s="6" t="s">
        <v>25</v>
      </c>
      <c r="R54" s="2"/>
    </row>
    <row r="55" spans="1:18" x14ac:dyDescent="0.25">
      <c r="A55" s="23" t="s">
        <v>172</v>
      </c>
      <c r="B55" s="2" t="s">
        <v>1217</v>
      </c>
      <c r="C55" s="3" t="s">
        <v>747</v>
      </c>
      <c r="D55" s="3" t="s">
        <v>23</v>
      </c>
      <c r="E55" s="2" t="s">
        <v>24</v>
      </c>
      <c r="F55" s="4">
        <v>0</v>
      </c>
      <c r="G55" s="8">
        <v>1000000000</v>
      </c>
      <c r="H55" s="4" t="str">
        <f t="shared" si="8"/>
        <v>Ohms</v>
      </c>
      <c r="I55" s="6">
        <v>745000000</v>
      </c>
      <c r="J55" s="6" t="str">
        <f t="shared" si="9"/>
        <v>Ohms</v>
      </c>
      <c r="K55" s="2" t="str">
        <f t="shared" si="10"/>
        <v>RTG</v>
      </c>
      <c r="L55" s="2">
        <v>49678947</v>
      </c>
      <c r="M55" s="7">
        <v>46071</v>
      </c>
      <c r="N55" s="7">
        <f t="shared" si="11"/>
        <v>46436</v>
      </c>
      <c r="O55" s="7" t="str">
        <f t="shared" si="13"/>
        <v>Anual</v>
      </c>
      <c r="P55" s="2" t="str">
        <f t="shared" ca="1" si="12"/>
        <v>VIGENTE</v>
      </c>
      <c r="Q55" s="6" t="s">
        <v>25</v>
      </c>
      <c r="R55" s="2"/>
    </row>
    <row r="56" spans="1:18" x14ac:dyDescent="0.25">
      <c r="A56" s="23" t="s">
        <v>193</v>
      </c>
      <c r="B56" s="2" t="s">
        <v>1218</v>
      </c>
      <c r="C56" s="3" t="s">
        <v>259</v>
      </c>
      <c r="D56" s="3" t="s">
        <v>23</v>
      </c>
      <c r="E56" s="2" t="s">
        <v>24</v>
      </c>
      <c r="F56" s="4">
        <v>0</v>
      </c>
      <c r="G56" s="8">
        <f t="shared" si="7"/>
        <v>1</v>
      </c>
      <c r="H56" s="4" t="str">
        <f t="shared" si="8"/>
        <v>Ohms</v>
      </c>
      <c r="I56" s="44">
        <v>0.41099999999999998</v>
      </c>
      <c r="J56" s="6" t="str">
        <f t="shared" si="9"/>
        <v>Ohms</v>
      </c>
      <c r="K56" s="2" t="str">
        <f t="shared" si="10"/>
        <v>RTG</v>
      </c>
      <c r="L56" s="2">
        <v>49643195</v>
      </c>
      <c r="M56" s="7">
        <v>45988</v>
      </c>
      <c r="N56" s="7">
        <f t="shared" si="11"/>
        <v>46353</v>
      </c>
      <c r="O56" s="7" t="str">
        <f t="shared" ref="O56:O72" si="14">IF(C56="Ionizador", "Trimestral", IF(C56="Rack", "Anual", IF(C56="Mesa", "Anual", IF(C56="Tapete", "Semestral", IF(C56="Cautín", "Semestral", IF(C56="Silla", "Semestral", "Anual"))))))</f>
        <v>Anual</v>
      </c>
      <c r="P56" s="2" t="str">
        <f t="shared" ca="1" si="12"/>
        <v>VIGENTE</v>
      </c>
      <c r="Q56" s="6" t="s">
        <v>25</v>
      </c>
      <c r="R56" s="2"/>
    </row>
    <row r="57" spans="1:18" x14ac:dyDescent="0.25">
      <c r="A57" s="23" t="s">
        <v>193</v>
      </c>
      <c r="B57" s="2" t="s">
        <v>1219</v>
      </c>
      <c r="C57" s="3" t="s">
        <v>813</v>
      </c>
      <c r="D57" s="3" t="s">
        <v>23</v>
      </c>
      <c r="E57" s="2" t="s">
        <v>24</v>
      </c>
      <c r="F57" s="4">
        <v>0</v>
      </c>
      <c r="G57" s="8">
        <f t="shared" si="7"/>
        <v>1</v>
      </c>
      <c r="H57" s="4" t="str">
        <f t="shared" si="8"/>
        <v>Ohms</v>
      </c>
      <c r="I57" s="44">
        <v>0.41099999999999998</v>
      </c>
      <c r="J57" s="6" t="str">
        <f t="shared" si="9"/>
        <v>Ohms</v>
      </c>
      <c r="K57" s="2" t="str">
        <f t="shared" si="10"/>
        <v>RTG</v>
      </c>
      <c r="L57" s="2">
        <v>49643195</v>
      </c>
      <c r="M57" s="7">
        <v>45988</v>
      </c>
      <c r="N57" s="7">
        <f t="shared" si="11"/>
        <v>46353</v>
      </c>
      <c r="O57" s="7" t="str">
        <f t="shared" si="14"/>
        <v>Anual</v>
      </c>
      <c r="P57" s="2" t="str">
        <f t="shared" ca="1" si="12"/>
        <v>VIGENTE</v>
      </c>
      <c r="Q57" s="6" t="s">
        <v>25</v>
      </c>
      <c r="R57" s="2"/>
    </row>
    <row r="58" spans="1:18" x14ac:dyDescent="0.25">
      <c r="A58" s="23" t="s">
        <v>193</v>
      </c>
      <c r="B58" s="2" t="s">
        <v>1220</v>
      </c>
      <c r="C58" s="3" t="s">
        <v>261</v>
      </c>
      <c r="D58" s="3" t="s">
        <v>23</v>
      </c>
      <c r="E58" s="2" t="s">
        <v>24</v>
      </c>
      <c r="F58" s="4">
        <v>0</v>
      </c>
      <c r="G58" s="8">
        <f t="shared" si="7"/>
        <v>1</v>
      </c>
      <c r="H58" s="4" t="str">
        <f t="shared" si="8"/>
        <v>Ohms</v>
      </c>
      <c r="I58" s="44">
        <v>0.89400000000000002</v>
      </c>
      <c r="J58" s="6" t="str">
        <f t="shared" si="9"/>
        <v>Ohms</v>
      </c>
      <c r="K58" s="2" t="str">
        <f t="shared" si="10"/>
        <v>RTG</v>
      </c>
      <c r="L58" s="2">
        <v>49643195</v>
      </c>
      <c r="M58" s="7">
        <v>45988</v>
      </c>
      <c r="N58" s="7">
        <f t="shared" si="11"/>
        <v>46353</v>
      </c>
      <c r="O58" s="7" t="str">
        <f t="shared" si="14"/>
        <v>Anual</v>
      </c>
      <c r="P58" s="2" t="str">
        <f t="shared" ca="1" si="12"/>
        <v>VIGENTE</v>
      </c>
      <c r="Q58" s="6" t="s">
        <v>25</v>
      </c>
      <c r="R58" s="2"/>
    </row>
    <row r="59" spans="1:18" x14ac:dyDescent="0.25">
      <c r="A59" s="23" t="s">
        <v>193</v>
      </c>
      <c r="B59" s="2" t="s">
        <v>1221</v>
      </c>
      <c r="C59" s="3" t="s">
        <v>1222</v>
      </c>
      <c r="D59" s="3" t="s">
        <v>23</v>
      </c>
      <c r="E59" s="2" t="s">
        <v>24</v>
      </c>
      <c r="F59" s="4">
        <v>0</v>
      </c>
      <c r="G59" s="8">
        <f t="shared" si="7"/>
        <v>1</v>
      </c>
      <c r="H59" s="4" t="str">
        <f t="shared" si="8"/>
        <v>Ohms</v>
      </c>
      <c r="I59" s="44">
        <v>0.35399999999999998</v>
      </c>
      <c r="J59" s="6" t="str">
        <f t="shared" si="9"/>
        <v>Ohms</v>
      </c>
      <c r="K59" s="2" t="str">
        <f t="shared" si="10"/>
        <v>RTG</v>
      </c>
      <c r="L59" s="2">
        <v>49643195</v>
      </c>
      <c r="M59" s="7">
        <v>45988</v>
      </c>
      <c r="N59" s="7">
        <f t="shared" si="11"/>
        <v>46353</v>
      </c>
      <c r="O59" s="7" t="str">
        <f t="shared" si="14"/>
        <v>Anual</v>
      </c>
      <c r="P59" s="2" t="str">
        <f t="shared" ca="1" si="12"/>
        <v>VIGENTE</v>
      </c>
      <c r="Q59" s="6" t="s">
        <v>25</v>
      </c>
      <c r="R59" s="2"/>
    </row>
    <row r="60" spans="1:18" x14ac:dyDescent="0.25">
      <c r="A60" s="23" t="s">
        <v>193</v>
      </c>
      <c r="B60" s="2" t="s">
        <v>1223</v>
      </c>
      <c r="C60" s="3" t="s">
        <v>261</v>
      </c>
      <c r="D60" s="3" t="s">
        <v>23</v>
      </c>
      <c r="E60" s="2" t="s">
        <v>24</v>
      </c>
      <c r="F60" s="4">
        <v>0</v>
      </c>
      <c r="G60" s="8">
        <f t="shared" si="7"/>
        <v>1</v>
      </c>
      <c r="H60" s="4" t="str">
        <f t="shared" si="8"/>
        <v>Ohms</v>
      </c>
      <c r="I60" s="44">
        <v>0.375</v>
      </c>
      <c r="J60" s="6" t="str">
        <f t="shared" si="9"/>
        <v>Ohms</v>
      </c>
      <c r="K60" s="2" t="str">
        <f t="shared" si="10"/>
        <v>RTG</v>
      </c>
      <c r="L60" s="2">
        <v>49643195</v>
      </c>
      <c r="M60" s="7">
        <v>45988</v>
      </c>
      <c r="N60" s="7">
        <f t="shared" si="11"/>
        <v>46353</v>
      </c>
      <c r="O60" s="7" t="str">
        <f t="shared" si="14"/>
        <v>Anual</v>
      </c>
      <c r="P60" s="2" t="str">
        <f t="shared" ca="1" si="12"/>
        <v>VIGENTE</v>
      </c>
      <c r="Q60" s="6" t="s">
        <v>25</v>
      </c>
      <c r="R60" s="2"/>
    </row>
    <row r="61" spans="1:18" x14ac:dyDescent="0.25">
      <c r="A61" s="23" t="s">
        <v>193</v>
      </c>
      <c r="B61" s="2" t="s">
        <v>1224</v>
      </c>
      <c r="C61" s="3" t="s">
        <v>1225</v>
      </c>
      <c r="D61" s="3" t="s">
        <v>23</v>
      </c>
      <c r="E61" s="2" t="s">
        <v>24</v>
      </c>
      <c r="F61" s="4">
        <v>0</v>
      </c>
      <c r="G61" s="8">
        <f t="shared" si="7"/>
        <v>1</v>
      </c>
      <c r="H61" s="4" t="str">
        <f t="shared" si="8"/>
        <v>Ohms</v>
      </c>
      <c r="I61" s="44">
        <v>0.41099999999999998</v>
      </c>
      <c r="J61" s="6" t="str">
        <f t="shared" si="9"/>
        <v>Ohms</v>
      </c>
      <c r="K61" s="2" t="str">
        <f t="shared" si="10"/>
        <v>RTG</v>
      </c>
      <c r="L61" s="2">
        <v>49643195</v>
      </c>
      <c r="M61" s="7">
        <v>45988</v>
      </c>
      <c r="N61" s="7">
        <f t="shared" si="11"/>
        <v>46353</v>
      </c>
      <c r="O61" s="7" t="str">
        <f t="shared" si="14"/>
        <v>Anual</v>
      </c>
      <c r="P61" s="2" t="str">
        <f t="shared" ca="1" si="12"/>
        <v>VIGENTE</v>
      </c>
      <c r="Q61" s="6" t="s">
        <v>25</v>
      </c>
      <c r="R61" s="2"/>
    </row>
    <row r="62" spans="1:18" x14ac:dyDescent="0.25">
      <c r="A62" s="23" t="s">
        <v>193</v>
      </c>
      <c r="B62" s="2" t="s">
        <v>1226</v>
      </c>
      <c r="C62" s="3" t="s">
        <v>261</v>
      </c>
      <c r="D62" s="3" t="s">
        <v>23</v>
      </c>
      <c r="E62" s="2" t="s">
        <v>24</v>
      </c>
      <c r="F62" s="4">
        <v>0</v>
      </c>
      <c r="G62" s="8">
        <f t="shared" si="7"/>
        <v>1</v>
      </c>
      <c r="H62" s="4" t="str">
        <f t="shared" si="8"/>
        <v>Ohms</v>
      </c>
      <c r="I62" s="44">
        <v>0.41799999999999998</v>
      </c>
      <c r="J62" s="6" t="str">
        <f t="shared" si="9"/>
        <v>Ohms</v>
      </c>
      <c r="K62" s="2" t="str">
        <f t="shared" si="10"/>
        <v>RTG</v>
      </c>
      <c r="L62" s="2">
        <v>49643195</v>
      </c>
      <c r="M62" s="7">
        <v>45988</v>
      </c>
      <c r="N62" s="7">
        <f t="shared" si="11"/>
        <v>46353</v>
      </c>
      <c r="O62" s="7" t="str">
        <f t="shared" si="14"/>
        <v>Anual</v>
      </c>
      <c r="P62" s="2" t="str">
        <f t="shared" ca="1" si="12"/>
        <v>VIGENTE</v>
      </c>
      <c r="Q62" s="6" t="s">
        <v>25</v>
      </c>
      <c r="R62" s="2"/>
    </row>
    <row r="63" spans="1:18" x14ac:dyDescent="0.25">
      <c r="A63" s="23" t="s">
        <v>193</v>
      </c>
      <c r="B63" s="2" t="s">
        <v>1227</v>
      </c>
      <c r="C63" s="3" t="s">
        <v>813</v>
      </c>
      <c r="D63" s="3" t="s">
        <v>23</v>
      </c>
      <c r="E63" s="2" t="s">
        <v>24</v>
      </c>
      <c r="F63" s="4">
        <v>0</v>
      </c>
      <c r="G63" s="8">
        <f t="shared" si="7"/>
        <v>1</v>
      </c>
      <c r="H63" s="4" t="str">
        <f t="shared" si="8"/>
        <v>Ohms</v>
      </c>
      <c r="I63" s="44">
        <v>0.41099999999999998</v>
      </c>
      <c r="J63" s="6" t="str">
        <f t="shared" si="9"/>
        <v>Ohms</v>
      </c>
      <c r="K63" s="2" t="str">
        <f t="shared" si="10"/>
        <v>RTG</v>
      </c>
      <c r="L63" s="2">
        <v>49643195</v>
      </c>
      <c r="M63" s="7">
        <v>45988</v>
      </c>
      <c r="N63" s="7">
        <f t="shared" si="11"/>
        <v>46353</v>
      </c>
      <c r="O63" s="7" t="str">
        <f t="shared" si="14"/>
        <v>Anual</v>
      </c>
      <c r="P63" s="2" t="str">
        <f t="shared" ca="1" si="12"/>
        <v>VIGENTE</v>
      </c>
      <c r="Q63" s="6" t="s">
        <v>25</v>
      </c>
      <c r="R63" s="2"/>
    </row>
    <row r="64" spans="1:18" x14ac:dyDescent="0.25">
      <c r="A64" s="23" t="s">
        <v>193</v>
      </c>
      <c r="B64" s="2" t="s">
        <v>1228</v>
      </c>
      <c r="C64" s="3" t="s">
        <v>1222</v>
      </c>
      <c r="D64" s="3" t="s">
        <v>23</v>
      </c>
      <c r="E64" s="2" t="s">
        <v>24</v>
      </c>
      <c r="F64" s="4">
        <v>0</v>
      </c>
      <c r="G64" s="8">
        <f t="shared" si="7"/>
        <v>1</v>
      </c>
      <c r="H64" s="4" t="str">
        <f t="shared" si="8"/>
        <v>Ohms</v>
      </c>
      <c r="I64" s="44">
        <v>0.41099999999999998</v>
      </c>
      <c r="J64" s="6" t="str">
        <f t="shared" si="9"/>
        <v>Ohms</v>
      </c>
      <c r="K64" s="2" t="str">
        <f t="shared" si="10"/>
        <v>RTG</v>
      </c>
      <c r="L64" s="2">
        <v>49643195</v>
      </c>
      <c r="M64" s="7">
        <v>45988</v>
      </c>
      <c r="N64" s="7">
        <f t="shared" si="11"/>
        <v>46353</v>
      </c>
      <c r="O64" s="7" t="str">
        <f t="shared" si="14"/>
        <v>Anual</v>
      </c>
      <c r="P64" s="2" t="str">
        <f t="shared" ca="1" si="12"/>
        <v>VIGENTE</v>
      </c>
      <c r="Q64" s="6" t="s">
        <v>25</v>
      </c>
      <c r="R64" s="2"/>
    </row>
    <row r="65" spans="1:18" x14ac:dyDescent="0.25">
      <c r="A65" s="23" t="s">
        <v>193</v>
      </c>
      <c r="B65" s="2" t="s">
        <v>1229</v>
      </c>
      <c r="C65" s="3" t="s">
        <v>261</v>
      </c>
      <c r="D65" s="3" t="s">
        <v>23</v>
      </c>
      <c r="E65" s="2" t="s">
        <v>24</v>
      </c>
      <c r="F65" s="4">
        <v>0</v>
      </c>
      <c r="G65" s="8">
        <f t="shared" si="7"/>
        <v>1</v>
      </c>
      <c r="H65" s="4" t="str">
        <f t="shared" si="8"/>
        <v>Ohms</v>
      </c>
      <c r="I65" s="44">
        <v>0.14499999999999999</v>
      </c>
      <c r="J65" s="6" t="str">
        <f t="shared" si="9"/>
        <v>Ohms</v>
      </c>
      <c r="K65" s="2" t="str">
        <f t="shared" si="10"/>
        <v>RTG</v>
      </c>
      <c r="L65" s="2">
        <v>49643195</v>
      </c>
      <c r="M65" s="7">
        <v>45988</v>
      </c>
      <c r="N65" s="7">
        <f t="shared" si="11"/>
        <v>46353</v>
      </c>
      <c r="O65" s="7" t="str">
        <f t="shared" si="14"/>
        <v>Anual</v>
      </c>
      <c r="P65" s="2" t="str">
        <f t="shared" ca="1" si="12"/>
        <v>VIGENTE</v>
      </c>
      <c r="Q65" s="6" t="s">
        <v>25</v>
      </c>
      <c r="R65" s="2"/>
    </row>
    <row r="66" spans="1:18" x14ac:dyDescent="0.25">
      <c r="A66" s="23" t="s">
        <v>193</v>
      </c>
      <c r="B66" s="2" t="s">
        <v>1230</v>
      </c>
      <c r="C66" s="3" t="s">
        <v>1225</v>
      </c>
      <c r="D66" s="3" t="s">
        <v>23</v>
      </c>
      <c r="E66" s="2" t="s">
        <v>24</v>
      </c>
      <c r="F66" s="4">
        <v>0</v>
      </c>
      <c r="G66" s="8">
        <f t="shared" si="7"/>
        <v>1</v>
      </c>
      <c r="H66" s="4" t="str">
        <f t="shared" si="8"/>
        <v>Ohms</v>
      </c>
      <c r="I66" s="44">
        <v>0.41099999999999998</v>
      </c>
      <c r="J66" s="6" t="str">
        <f t="shared" si="9"/>
        <v>Ohms</v>
      </c>
      <c r="K66" s="2" t="str">
        <f t="shared" si="10"/>
        <v>RTG</v>
      </c>
      <c r="L66" s="2">
        <v>49643195</v>
      </c>
      <c r="M66" s="7">
        <v>45988</v>
      </c>
      <c r="N66" s="7">
        <f t="shared" si="11"/>
        <v>46353</v>
      </c>
      <c r="O66" s="7" t="str">
        <f t="shared" si="14"/>
        <v>Anual</v>
      </c>
      <c r="P66" s="2" t="str">
        <f t="shared" ca="1" si="12"/>
        <v>VIGENTE</v>
      </c>
      <c r="Q66" s="6" t="s">
        <v>25</v>
      </c>
      <c r="R66" s="2"/>
    </row>
    <row r="67" spans="1:18" x14ac:dyDescent="0.25">
      <c r="A67" s="23" t="s">
        <v>193</v>
      </c>
      <c r="B67" s="2" t="s">
        <v>1231</v>
      </c>
      <c r="C67" s="3" t="s">
        <v>261</v>
      </c>
      <c r="D67" s="3" t="s">
        <v>23</v>
      </c>
      <c r="E67" s="2" t="s">
        <v>24</v>
      </c>
      <c r="F67" s="4">
        <v>0</v>
      </c>
      <c r="G67" s="8">
        <f t="shared" si="7"/>
        <v>1</v>
      </c>
      <c r="H67" s="4" t="str">
        <f t="shared" si="8"/>
        <v>Ohms</v>
      </c>
      <c r="I67" s="44">
        <v>0.93799999999999994</v>
      </c>
      <c r="J67" s="6" t="str">
        <f t="shared" si="9"/>
        <v>Ohms</v>
      </c>
      <c r="K67" s="2" t="str">
        <f t="shared" si="10"/>
        <v>RTG</v>
      </c>
      <c r="L67" s="2">
        <v>49643195</v>
      </c>
      <c r="M67" s="7">
        <v>45988</v>
      </c>
      <c r="N67" s="7">
        <f t="shared" si="11"/>
        <v>46353</v>
      </c>
      <c r="O67" s="7" t="str">
        <f t="shared" si="14"/>
        <v>Anual</v>
      </c>
      <c r="P67" s="2" t="str">
        <f t="shared" ca="1" si="12"/>
        <v>VIGENTE</v>
      </c>
      <c r="Q67" s="6" t="s">
        <v>25</v>
      </c>
      <c r="R67" s="2"/>
    </row>
    <row r="68" spans="1:18" x14ac:dyDescent="0.25">
      <c r="A68" s="23" t="s">
        <v>193</v>
      </c>
      <c r="B68" s="2" t="s">
        <v>1232</v>
      </c>
      <c r="C68" s="3" t="s">
        <v>1233</v>
      </c>
      <c r="D68" s="3" t="s">
        <v>23</v>
      </c>
      <c r="E68" s="2" t="s">
        <v>24</v>
      </c>
      <c r="F68" s="4">
        <v>0</v>
      </c>
      <c r="G68" s="8">
        <f t="shared" si="7"/>
        <v>1</v>
      </c>
      <c r="H68" s="4" t="str">
        <f t="shared" si="8"/>
        <v>Ohms</v>
      </c>
      <c r="I68" s="44">
        <v>0.41099999999999998</v>
      </c>
      <c r="J68" s="6" t="str">
        <f t="shared" si="9"/>
        <v>Ohms</v>
      </c>
      <c r="K68" s="2" t="str">
        <f t="shared" si="10"/>
        <v>RTG</v>
      </c>
      <c r="L68" s="2">
        <v>49643195</v>
      </c>
      <c r="M68" s="7">
        <v>45988</v>
      </c>
      <c r="N68" s="7">
        <f t="shared" si="11"/>
        <v>46353</v>
      </c>
      <c r="O68" s="7" t="str">
        <f t="shared" si="14"/>
        <v>Anual</v>
      </c>
      <c r="P68" s="2" t="str">
        <f t="shared" ca="1" si="12"/>
        <v>VIGENTE</v>
      </c>
      <c r="Q68" s="6" t="s">
        <v>25</v>
      </c>
      <c r="R68" s="2"/>
    </row>
    <row r="69" spans="1:18" x14ac:dyDescent="0.25">
      <c r="A69" s="23" t="s">
        <v>193</v>
      </c>
      <c r="B69" s="2" t="s">
        <v>1234</v>
      </c>
      <c r="C69" s="3" t="s">
        <v>847</v>
      </c>
      <c r="D69" s="3" t="s">
        <v>23</v>
      </c>
      <c r="E69" s="2" t="s">
        <v>24</v>
      </c>
      <c r="F69" s="4">
        <v>0</v>
      </c>
      <c r="G69" s="8">
        <f t="shared" si="7"/>
        <v>1</v>
      </c>
      <c r="H69" s="4" t="str">
        <f t="shared" si="8"/>
        <v>Ohms</v>
      </c>
      <c r="I69" s="44">
        <v>0.57399999999999995</v>
      </c>
      <c r="J69" s="6" t="str">
        <f t="shared" si="9"/>
        <v>Ohms</v>
      </c>
      <c r="K69" s="2" t="str">
        <f t="shared" si="10"/>
        <v>RTG</v>
      </c>
      <c r="L69" s="2">
        <v>49643195</v>
      </c>
      <c r="M69" s="7">
        <v>45988</v>
      </c>
      <c r="N69" s="7">
        <f t="shared" si="11"/>
        <v>46353</v>
      </c>
      <c r="O69" s="7" t="str">
        <f t="shared" si="14"/>
        <v>Anual</v>
      </c>
      <c r="P69" s="2" t="str">
        <f t="shared" ca="1" si="12"/>
        <v>VIGENTE</v>
      </c>
      <c r="Q69" s="6" t="s">
        <v>25</v>
      </c>
      <c r="R69" s="2"/>
    </row>
    <row r="70" spans="1:18" x14ac:dyDescent="0.25">
      <c r="A70" s="23" t="s">
        <v>193</v>
      </c>
      <c r="B70" s="2" t="s">
        <v>1235</v>
      </c>
      <c r="C70" s="3" t="s">
        <v>265</v>
      </c>
      <c r="D70" s="3" t="s">
        <v>23</v>
      </c>
      <c r="E70" s="2" t="s">
        <v>24</v>
      </c>
      <c r="F70" s="4">
        <v>0</v>
      </c>
      <c r="G70" s="8">
        <f t="shared" si="7"/>
        <v>1</v>
      </c>
      <c r="H70" s="4" t="str">
        <f t="shared" si="8"/>
        <v>Ohms</v>
      </c>
      <c r="I70" s="44">
        <v>0.88900000000000001</v>
      </c>
      <c r="J70" s="6" t="str">
        <f t="shared" si="9"/>
        <v>Ohms</v>
      </c>
      <c r="K70" s="2" t="str">
        <f t="shared" si="10"/>
        <v>RTG</v>
      </c>
      <c r="L70" s="2">
        <v>49643195</v>
      </c>
      <c r="M70" s="7">
        <v>45988</v>
      </c>
      <c r="N70" s="7">
        <f t="shared" si="11"/>
        <v>46353</v>
      </c>
      <c r="O70" s="7" t="str">
        <f t="shared" si="14"/>
        <v>Anual</v>
      </c>
      <c r="P70" s="2" t="str">
        <f t="shared" ca="1" si="12"/>
        <v>VIGENTE</v>
      </c>
      <c r="Q70" s="6" t="s">
        <v>25</v>
      </c>
      <c r="R70" s="2"/>
    </row>
    <row r="71" spans="1:18" x14ac:dyDescent="0.25">
      <c r="A71" s="23" t="s">
        <v>193</v>
      </c>
      <c r="B71" s="2" t="s">
        <v>1236</v>
      </c>
      <c r="C71" s="3" t="s">
        <v>813</v>
      </c>
      <c r="D71" s="3" t="s">
        <v>23</v>
      </c>
      <c r="E71" s="2" t="s">
        <v>24</v>
      </c>
      <c r="F71" s="4">
        <v>0</v>
      </c>
      <c r="G71" s="8">
        <f t="shared" ref="G71:G102" si="15">IF(C71="Ionizador", 10, IF(C71="Mesa", 1000000000, IF(C71="Rack", 1000000000, IF(C71="Piso", 1000000000, IF(C71="Tapete", 1000000000, IF(C71="Carrito", 1000000000, IF(C71="Cautín", 10, 1)))))))</f>
        <v>1</v>
      </c>
      <c r="H71" s="4" t="str">
        <f t="shared" ref="H71:H102" si="16">IF(C71="Ionizador", "Segundos", "Ohms")</f>
        <v>Ohms</v>
      </c>
      <c r="I71" s="44">
        <v>0.41099999999999998</v>
      </c>
      <c r="J71" s="6" t="str">
        <f t="shared" ref="J71:J102" si="17">H71</f>
        <v>Ohms</v>
      </c>
      <c r="K71" s="2" t="str">
        <f t="shared" ref="K71:K87" si="18">IF(C71="Ionizador", "Plato de carga", IF(C71="Cautín", "PTG", IF(C71="ESD Tester", "PTP Deviation", "RTG")))</f>
        <v>RTG</v>
      </c>
      <c r="L71" s="2">
        <v>49643195</v>
      </c>
      <c r="M71" s="7">
        <v>45988</v>
      </c>
      <c r="N71" s="7">
        <f t="shared" ref="N71:N102" si="19">IF(O71="Trimestral", M71+90, IF(O71="Semestral", M71+180, IF(O71="Mensual", M71+30, M71+365)))</f>
        <v>46353</v>
      </c>
      <c r="O71" s="7" t="str">
        <f t="shared" si="14"/>
        <v>Anual</v>
      </c>
      <c r="P71" s="2" t="str">
        <f t="shared" ref="P71:P102" ca="1" si="20">IF(N71&lt;TODAY(),"VENCIDO",IF(N71=TODAY(),"VIGENTE",IF(N71&gt;TODAY(),"VIGENTE")))</f>
        <v>VIGENTE</v>
      </c>
      <c r="Q71" s="6" t="s">
        <v>25</v>
      </c>
      <c r="R71" s="2"/>
    </row>
    <row r="72" spans="1:18" x14ac:dyDescent="0.25">
      <c r="A72" s="23" t="s">
        <v>193</v>
      </c>
      <c r="B72" s="2" t="s">
        <v>1237</v>
      </c>
      <c r="C72" s="3" t="s">
        <v>267</v>
      </c>
      <c r="D72" s="3" t="s">
        <v>23</v>
      </c>
      <c r="E72" s="2" t="s">
        <v>24</v>
      </c>
      <c r="F72" s="4">
        <v>0</v>
      </c>
      <c r="G72" s="8">
        <f t="shared" si="15"/>
        <v>1</v>
      </c>
      <c r="H72" s="4" t="str">
        <f t="shared" si="16"/>
        <v>Ohms</v>
      </c>
      <c r="I72" s="44">
        <v>0.41099999999999998</v>
      </c>
      <c r="J72" s="6" t="str">
        <f t="shared" si="17"/>
        <v>Ohms</v>
      </c>
      <c r="K72" s="2" t="str">
        <f t="shared" si="18"/>
        <v>RTG</v>
      </c>
      <c r="L72" s="2">
        <v>49643195</v>
      </c>
      <c r="M72" s="7">
        <v>45988</v>
      </c>
      <c r="N72" s="7">
        <f t="shared" si="19"/>
        <v>46353</v>
      </c>
      <c r="O72" s="7" t="str">
        <f t="shared" si="14"/>
        <v>Anual</v>
      </c>
      <c r="P72" s="2" t="str">
        <f t="shared" ca="1" si="20"/>
        <v>VIGENTE</v>
      </c>
      <c r="Q72" s="6" t="s">
        <v>25</v>
      </c>
      <c r="R72" s="2"/>
    </row>
    <row r="73" spans="1:18" x14ac:dyDescent="0.25">
      <c r="A73" s="23" t="s">
        <v>193</v>
      </c>
      <c r="B73" s="2" t="s">
        <v>1238</v>
      </c>
      <c r="C73" s="3" t="s">
        <v>800</v>
      </c>
      <c r="D73" s="3" t="s">
        <v>23</v>
      </c>
      <c r="E73" s="2" t="s">
        <v>1239</v>
      </c>
      <c r="F73" s="4">
        <v>0</v>
      </c>
      <c r="G73" s="8">
        <f t="shared" si="15"/>
        <v>10</v>
      </c>
      <c r="H73" s="4" t="str">
        <f t="shared" si="16"/>
        <v>Segundos</v>
      </c>
      <c r="I73" s="6">
        <v>3</v>
      </c>
      <c r="J73" s="6" t="str">
        <f t="shared" si="17"/>
        <v>Segundos</v>
      </c>
      <c r="K73" s="2" t="str">
        <f t="shared" si="18"/>
        <v>Plato de carga</v>
      </c>
      <c r="L73" s="2"/>
      <c r="M73" s="7">
        <v>45999</v>
      </c>
      <c r="N73" s="7">
        <f t="shared" si="19"/>
        <v>46089</v>
      </c>
      <c r="O73" s="7" t="str">
        <f t="shared" ref="O73:O94" si="21">IF(C73="Ionizador", "Trimestral", IF(C73="Rack", "Semestral", IF(C73="Mesa", "Semestral", IF(C73="Tapete", "Semestral", IF(C73="Cautín", "Semestral", IF(C73="Silla", "Semestral", "Anual"))))))</f>
        <v>Trimestral</v>
      </c>
      <c r="P73" s="2" t="str">
        <f t="shared" ca="1" si="20"/>
        <v>VENCIDO</v>
      </c>
      <c r="Q73" s="6" t="s">
        <v>25</v>
      </c>
      <c r="R73" s="2"/>
    </row>
    <row r="74" spans="1:18" x14ac:dyDescent="0.25">
      <c r="A74" s="23" t="s">
        <v>200</v>
      </c>
      <c r="B74" s="2" t="s">
        <v>1240</v>
      </c>
      <c r="C74" s="3" t="s">
        <v>259</v>
      </c>
      <c r="D74" s="3" t="s">
        <v>23</v>
      </c>
      <c r="E74" s="2" t="s">
        <v>24</v>
      </c>
      <c r="F74" s="4">
        <v>0</v>
      </c>
      <c r="G74" s="8">
        <f t="shared" si="15"/>
        <v>1</v>
      </c>
      <c r="H74" s="4" t="str">
        <f t="shared" si="16"/>
        <v>Ohms</v>
      </c>
      <c r="I74" s="6">
        <v>0.75800000000000001</v>
      </c>
      <c r="J74" s="6" t="str">
        <f t="shared" si="17"/>
        <v>Ohms</v>
      </c>
      <c r="K74" s="2" t="str">
        <f t="shared" si="18"/>
        <v>RTG</v>
      </c>
      <c r="L74" s="2">
        <v>46640073</v>
      </c>
      <c r="M74" s="7">
        <v>46088</v>
      </c>
      <c r="N74" s="7">
        <f t="shared" si="19"/>
        <v>46453</v>
      </c>
      <c r="O74" s="7" t="str">
        <f t="shared" ref="O74:O93" si="22">IF(C74="Ionizador", "Trimestral", IF(C74="Rack", "Anual", IF(C74="Mesa", "Anual", IF(C74="Tapete", "Semestral", IF(C74="Cautín", "Semestral", IF(C74="Silla", "Semestral", "Anual"))))))</f>
        <v>Anual</v>
      </c>
      <c r="P74" s="2" t="str">
        <f t="shared" ca="1" si="20"/>
        <v>VIGENTE</v>
      </c>
      <c r="Q74" s="6" t="s">
        <v>25</v>
      </c>
      <c r="R74" s="2"/>
    </row>
    <row r="75" spans="1:18" x14ac:dyDescent="0.25">
      <c r="A75" s="23" t="s">
        <v>200</v>
      </c>
      <c r="B75" s="2" t="s">
        <v>1241</v>
      </c>
      <c r="C75" s="3" t="s">
        <v>261</v>
      </c>
      <c r="D75" s="3" t="s">
        <v>23</v>
      </c>
      <c r="E75" s="2" t="s">
        <v>24</v>
      </c>
      <c r="F75" s="4">
        <v>0</v>
      </c>
      <c r="G75" s="8">
        <f t="shared" si="15"/>
        <v>1</v>
      </c>
      <c r="H75" s="4" t="str">
        <f t="shared" si="16"/>
        <v>Ohms</v>
      </c>
      <c r="I75" s="6">
        <v>0.78400000000000003</v>
      </c>
      <c r="J75" s="6" t="str">
        <f t="shared" si="17"/>
        <v>Ohms</v>
      </c>
      <c r="K75" s="2" t="str">
        <f t="shared" si="18"/>
        <v>RTG</v>
      </c>
      <c r="L75" s="2">
        <v>46640073</v>
      </c>
      <c r="M75" s="7">
        <v>46088</v>
      </c>
      <c r="N75" s="7">
        <f t="shared" si="19"/>
        <v>46453</v>
      </c>
      <c r="O75" s="7" t="str">
        <f t="shared" si="22"/>
        <v>Anual</v>
      </c>
      <c r="P75" s="2" t="str">
        <f t="shared" ca="1" si="20"/>
        <v>VIGENTE</v>
      </c>
      <c r="Q75" s="6" t="s">
        <v>25</v>
      </c>
      <c r="R75" s="2"/>
    </row>
    <row r="76" spans="1:18" x14ac:dyDescent="0.25">
      <c r="A76" s="23" t="s">
        <v>200</v>
      </c>
      <c r="B76" s="2" t="s">
        <v>1242</v>
      </c>
      <c r="C76" s="3" t="s">
        <v>1222</v>
      </c>
      <c r="D76" s="3" t="s">
        <v>23</v>
      </c>
      <c r="E76" s="2" t="s">
        <v>24</v>
      </c>
      <c r="F76" s="4">
        <v>0</v>
      </c>
      <c r="G76" s="8">
        <f t="shared" si="15"/>
        <v>1</v>
      </c>
      <c r="H76" s="4" t="str">
        <f t="shared" si="16"/>
        <v>Ohms</v>
      </c>
      <c r="I76" s="6">
        <v>0.83399999999999996</v>
      </c>
      <c r="J76" s="6" t="str">
        <f t="shared" si="17"/>
        <v>Ohms</v>
      </c>
      <c r="K76" s="2" t="str">
        <f t="shared" si="18"/>
        <v>RTG</v>
      </c>
      <c r="L76" s="2">
        <v>46640073</v>
      </c>
      <c r="M76" s="7">
        <v>46088</v>
      </c>
      <c r="N76" s="7">
        <f t="shared" si="19"/>
        <v>46453</v>
      </c>
      <c r="O76" s="7" t="str">
        <f t="shared" si="22"/>
        <v>Anual</v>
      </c>
      <c r="P76" s="2" t="str">
        <f t="shared" ca="1" si="20"/>
        <v>VIGENTE</v>
      </c>
      <c r="Q76" s="6" t="s">
        <v>25</v>
      </c>
      <c r="R76" s="2"/>
    </row>
    <row r="77" spans="1:18" x14ac:dyDescent="0.25">
      <c r="A77" s="23" t="s">
        <v>200</v>
      </c>
      <c r="B77" s="2" t="s">
        <v>1243</v>
      </c>
      <c r="C77" s="3" t="s">
        <v>261</v>
      </c>
      <c r="D77" s="3" t="s">
        <v>23</v>
      </c>
      <c r="E77" s="2" t="s">
        <v>24</v>
      </c>
      <c r="F77" s="4">
        <v>0</v>
      </c>
      <c r="G77" s="8">
        <f t="shared" si="15"/>
        <v>1</v>
      </c>
      <c r="H77" s="4" t="str">
        <f t="shared" si="16"/>
        <v>Ohms</v>
      </c>
      <c r="I77" s="6">
        <v>0.17100000000000001</v>
      </c>
      <c r="J77" s="6" t="str">
        <f t="shared" si="17"/>
        <v>Ohms</v>
      </c>
      <c r="K77" s="2" t="str">
        <f t="shared" si="18"/>
        <v>RTG</v>
      </c>
      <c r="L77" s="2">
        <v>46640073</v>
      </c>
      <c r="M77" s="7">
        <v>46088</v>
      </c>
      <c r="N77" s="7">
        <f t="shared" si="19"/>
        <v>46453</v>
      </c>
      <c r="O77" s="7" t="str">
        <f t="shared" si="22"/>
        <v>Anual</v>
      </c>
      <c r="P77" s="2" t="str">
        <f t="shared" ca="1" si="20"/>
        <v>VIGENTE</v>
      </c>
      <c r="Q77" s="6" t="s">
        <v>25</v>
      </c>
      <c r="R77" s="2"/>
    </row>
    <row r="78" spans="1:18" x14ac:dyDescent="0.25">
      <c r="A78" s="23" t="s">
        <v>200</v>
      </c>
      <c r="B78" s="2" t="s">
        <v>1244</v>
      </c>
      <c r="C78" s="3" t="s">
        <v>838</v>
      </c>
      <c r="D78" s="3" t="s">
        <v>23</v>
      </c>
      <c r="E78" s="2" t="s">
        <v>24</v>
      </c>
      <c r="F78" s="4">
        <v>0</v>
      </c>
      <c r="G78" s="8">
        <f t="shared" si="15"/>
        <v>1</v>
      </c>
      <c r="H78" s="4" t="str">
        <f t="shared" si="16"/>
        <v>Ohms</v>
      </c>
      <c r="I78" s="6">
        <v>0.29599999999999999</v>
      </c>
      <c r="J78" s="6" t="str">
        <f t="shared" si="17"/>
        <v>Ohms</v>
      </c>
      <c r="K78" s="2" t="str">
        <f t="shared" si="18"/>
        <v>RTG</v>
      </c>
      <c r="L78" s="2">
        <v>46640073</v>
      </c>
      <c r="M78" s="7">
        <v>46088</v>
      </c>
      <c r="N78" s="7">
        <f t="shared" si="19"/>
        <v>46453</v>
      </c>
      <c r="O78" s="7" t="str">
        <f t="shared" si="22"/>
        <v>Anual</v>
      </c>
      <c r="P78" s="2" t="str">
        <f t="shared" ca="1" si="20"/>
        <v>VIGENTE</v>
      </c>
      <c r="Q78" s="6" t="s">
        <v>25</v>
      </c>
      <c r="R78" s="2"/>
    </row>
    <row r="79" spans="1:18" x14ac:dyDescent="0.25">
      <c r="A79" s="23" t="s">
        <v>200</v>
      </c>
      <c r="B79" s="2" t="s">
        <v>1245</v>
      </c>
      <c r="C79" s="3" t="s">
        <v>261</v>
      </c>
      <c r="D79" s="3" t="s">
        <v>23</v>
      </c>
      <c r="E79" s="2" t="s">
        <v>24</v>
      </c>
      <c r="F79" s="4">
        <v>0</v>
      </c>
      <c r="G79" s="8">
        <f t="shared" si="15"/>
        <v>1</v>
      </c>
      <c r="H79" s="4" t="str">
        <f t="shared" si="16"/>
        <v>Ohms</v>
      </c>
      <c r="I79" s="6">
        <v>0.13100000000000001</v>
      </c>
      <c r="J79" s="6" t="str">
        <f t="shared" si="17"/>
        <v>Ohms</v>
      </c>
      <c r="K79" s="2" t="str">
        <f t="shared" si="18"/>
        <v>RTG</v>
      </c>
      <c r="L79" s="2">
        <v>46640073</v>
      </c>
      <c r="M79" s="7">
        <v>46088</v>
      </c>
      <c r="N79" s="7">
        <f t="shared" si="19"/>
        <v>46453</v>
      </c>
      <c r="O79" s="7" t="str">
        <f t="shared" si="22"/>
        <v>Anual</v>
      </c>
      <c r="P79" s="2" t="str">
        <f t="shared" ca="1" si="20"/>
        <v>VIGENTE</v>
      </c>
      <c r="Q79" s="6" t="s">
        <v>25</v>
      </c>
      <c r="R79" s="2"/>
    </row>
    <row r="80" spans="1:18" x14ac:dyDescent="0.25">
      <c r="A80" s="23" t="s">
        <v>200</v>
      </c>
      <c r="B80" s="2" t="s">
        <v>1246</v>
      </c>
      <c r="C80" s="3" t="s">
        <v>813</v>
      </c>
      <c r="D80" s="3" t="s">
        <v>23</v>
      </c>
      <c r="E80" s="2" t="s">
        <v>24</v>
      </c>
      <c r="F80" s="4">
        <v>0</v>
      </c>
      <c r="G80" s="8">
        <f t="shared" si="15"/>
        <v>1</v>
      </c>
      <c r="H80" s="4" t="str">
        <f t="shared" si="16"/>
        <v>Ohms</v>
      </c>
      <c r="I80" s="6">
        <v>0.221</v>
      </c>
      <c r="J80" s="6" t="str">
        <f t="shared" si="17"/>
        <v>Ohms</v>
      </c>
      <c r="K80" s="2" t="str">
        <f t="shared" si="18"/>
        <v>RTG</v>
      </c>
      <c r="L80" s="2">
        <v>46640073</v>
      </c>
      <c r="M80" s="7">
        <v>46088</v>
      </c>
      <c r="N80" s="7">
        <f t="shared" si="19"/>
        <v>46453</v>
      </c>
      <c r="O80" s="7" t="str">
        <f t="shared" si="22"/>
        <v>Anual</v>
      </c>
      <c r="P80" s="2" t="str">
        <f t="shared" ca="1" si="20"/>
        <v>VIGENTE</v>
      </c>
      <c r="Q80" s="6" t="s">
        <v>25</v>
      </c>
      <c r="R80" s="2"/>
    </row>
    <row r="81" spans="1:18" x14ac:dyDescent="0.25">
      <c r="A81" s="23" t="s">
        <v>200</v>
      </c>
      <c r="B81" s="2" t="s">
        <v>1247</v>
      </c>
      <c r="C81" s="3" t="s">
        <v>1222</v>
      </c>
      <c r="D81" s="3" t="s">
        <v>23</v>
      </c>
      <c r="E81" s="2" t="s">
        <v>24</v>
      </c>
      <c r="F81" s="4">
        <v>0</v>
      </c>
      <c r="G81" s="8">
        <f t="shared" si="15"/>
        <v>1</v>
      </c>
      <c r="H81" s="4" t="str">
        <f t="shared" si="16"/>
        <v>Ohms</v>
      </c>
      <c r="I81" s="6">
        <v>0.54200000000000004</v>
      </c>
      <c r="J81" s="6" t="str">
        <f t="shared" si="17"/>
        <v>Ohms</v>
      </c>
      <c r="K81" s="2" t="str">
        <f t="shared" si="18"/>
        <v>RTG</v>
      </c>
      <c r="L81" s="2">
        <v>46640073</v>
      </c>
      <c r="M81" s="7">
        <v>46088</v>
      </c>
      <c r="N81" s="7">
        <f t="shared" si="19"/>
        <v>46453</v>
      </c>
      <c r="O81" s="7" t="str">
        <f t="shared" si="22"/>
        <v>Anual</v>
      </c>
      <c r="P81" s="2" t="str">
        <f t="shared" ca="1" si="20"/>
        <v>VIGENTE</v>
      </c>
      <c r="Q81" s="6" t="s">
        <v>25</v>
      </c>
      <c r="R81" s="2"/>
    </row>
    <row r="82" spans="1:18" x14ac:dyDescent="0.25">
      <c r="A82" s="23" t="s">
        <v>200</v>
      </c>
      <c r="B82" s="2" t="s">
        <v>1248</v>
      </c>
      <c r="C82" s="3" t="s">
        <v>261</v>
      </c>
      <c r="D82" s="3" t="s">
        <v>23</v>
      </c>
      <c r="E82" s="2" t="s">
        <v>24</v>
      </c>
      <c r="F82" s="4">
        <v>0</v>
      </c>
      <c r="G82" s="8">
        <f t="shared" si="15"/>
        <v>1</v>
      </c>
      <c r="H82" s="4" t="str">
        <f t="shared" si="16"/>
        <v>Ohms</v>
      </c>
      <c r="I82" s="6">
        <v>0.14000000000000001</v>
      </c>
      <c r="J82" s="6" t="str">
        <f t="shared" si="17"/>
        <v>Ohms</v>
      </c>
      <c r="K82" s="2" t="str">
        <f t="shared" si="18"/>
        <v>RTG</v>
      </c>
      <c r="L82" s="2">
        <v>46640073</v>
      </c>
      <c r="M82" s="7">
        <v>46088</v>
      </c>
      <c r="N82" s="7">
        <f t="shared" si="19"/>
        <v>46453</v>
      </c>
      <c r="O82" s="7" t="str">
        <f t="shared" si="22"/>
        <v>Anual</v>
      </c>
      <c r="P82" s="2" t="str">
        <f t="shared" ca="1" si="20"/>
        <v>VIGENTE</v>
      </c>
      <c r="Q82" s="6" t="s">
        <v>25</v>
      </c>
      <c r="R82" s="2"/>
    </row>
    <row r="83" spans="1:18" x14ac:dyDescent="0.25">
      <c r="A83" s="23" t="s">
        <v>200</v>
      </c>
      <c r="B83" s="2" t="s">
        <v>1249</v>
      </c>
      <c r="C83" s="3" t="s">
        <v>838</v>
      </c>
      <c r="D83" s="3" t="s">
        <v>23</v>
      </c>
      <c r="E83" s="2" t="s">
        <v>24</v>
      </c>
      <c r="F83" s="4">
        <v>0</v>
      </c>
      <c r="G83" s="8">
        <f t="shared" si="15"/>
        <v>1</v>
      </c>
      <c r="H83" s="4" t="str">
        <f t="shared" si="16"/>
        <v>Ohms</v>
      </c>
      <c r="I83" s="6">
        <v>0.58499999999999996</v>
      </c>
      <c r="J83" s="6" t="str">
        <f t="shared" si="17"/>
        <v>Ohms</v>
      </c>
      <c r="K83" s="2" t="str">
        <f t="shared" si="18"/>
        <v>RTG</v>
      </c>
      <c r="L83" s="2">
        <v>46640073</v>
      </c>
      <c r="M83" s="7">
        <v>46088</v>
      </c>
      <c r="N83" s="7">
        <f t="shared" si="19"/>
        <v>46453</v>
      </c>
      <c r="O83" s="7" t="str">
        <f t="shared" si="22"/>
        <v>Anual</v>
      </c>
      <c r="P83" s="2" t="str">
        <f t="shared" ca="1" si="20"/>
        <v>VIGENTE</v>
      </c>
      <c r="Q83" s="6" t="s">
        <v>25</v>
      </c>
      <c r="R83" s="2"/>
    </row>
    <row r="84" spans="1:18" x14ac:dyDescent="0.25">
      <c r="A84" s="23" t="s">
        <v>200</v>
      </c>
      <c r="B84" s="2" t="s">
        <v>1250</v>
      </c>
      <c r="C84" s="3" t="s">
        <v>261</v>
      </c>
      <c r="D84" s="3" t="s">
        <v>23</v>
      </c>
      <c r="E84" s="2" t="s">
        <v>24</v>
      </c>
      <c r="F84" s="4">
        <v>0</v>
      </c>
      <c r="G84" s="8">
        <f t="shared" si="15"/>
        <v>1</v>
      </c>
      <c r="H84" s="4" t="str">
        <f t="shared" si="16"/>
        <v>Ohms</v>
      </c>
      <c r="I84" s="6">
        <v>0.49399999999999999</v>
      </c>
      <c r="J84" s="6" t="str">
        <f t="shared" si="17"/>
        <v>Ohms</v>
      </c>
      <c r="K84" s="2" t="str">
        <f t="shared" si="18"/>
        <v>RTG</v>
      </c>
      <c r="L84" s="2">
        <v>46640073</v>
      </c>
      <c r="M84" s="7">
        <v>46088</v>
      </c>
      <c r="N84" s="7">
        <f t="shared" si="19"/>
        <v>46453</v>
      </c>
      <c r="O84" s="7" t="str">
        <f t="shared" si="22"/>
        <v>Anual</v>
      </c>
      <c r="P84" s="2" t="str">
        <f t="shared" ca="1" si="20"/>
        <v>VIGENTE</v>
      </c>
      <c r="Q84" s="6" t="s">
        <v>25</v>
      </c>
      <c r="R84" s="2"/>
    </row>
    <row r="85" spans="1:18" x14ac:dyDescent="0.25">
      <c r="A85" s="23" t="s">
        <v>200</v>
      </c>
      <c r="B85" s="2" t="s">
        <v>1251</v>
      </c>
      <c r="C85" s="3" t="s">
        <v>847</v>
      </c>
      <c r="D85" s="3" t="s">
        <v>23</v>
      </c>
      <c r="E85" s="2" t="s">
        <v>24</v>
      </c>
      <c r="F85" s="4">
        <v>0</v>
      </c>
      <c r="G85" s="8">
        <f t="shared" si="15"/>
        <v>1</v>
      </c>
      <c r="H85" s="4" t="str">
        <f t="shared" si="16"/>
        <v>Ohms</v>
      </c>
      <c r="I85" s="6">
        <v>0.95299999999999996</v>
      </c>
      <c r="J85" s="6" t="str">
        <f t="shared" si="17"/>
        <v>Ohms</v>
      </c>
      <c r="K85" s="2" t="str">
        <f t="shared" si="18"/>
        <v>RTG</v>
      </c>
      <c r="L85" s="2">
        <v>46640073</v>
      </c>
      <c r="M85" s="7">
        <v>46088</v>
      </c>
      <c r="N85" s="7">
        <f t="shared" si="19"/>
        <v>46453</v>
      </c>
      <c r="O85" s="7" t="str">
        <f t="shared" si="22"/>
        <v>Anual</v>
      </c>
      <c r="P85" s="2" t="str">
        <f t="shared" ca="1" si="20"/>
        <v>VIGENTE</v>
      </c>
      <c r="Q85" s="6" t="s">
        <v>25</v>
      </c>
      <c r="R85" s="2"/>
    </row>
    <row r="86" spans="1:18" x14ac:dyDescent="0.25">
      <c r="A86" s="23" t="s">
        <v>200</v>
      </c>
      <c r="B86" s="2" t="s">
        <v>1252</v>
      </c>
      <c r="C86" s="3" t="s">
        <v>261</v>
      </c>
      <c r="D86" s="3" t="s">
        <v>23</v>
      </c>
      <c r="E86" s="2" t="s">
        <v>24</v>
      </c>
      <c r="F86" s="4">
        <v>0</v>
      </c>
      <c r="G86" s="8">
        <f t="shared" si="15"/>
        <v>1</v>
      </c>
      <c r="H86" s="4" t="str">
        <f t="shared" si="16"/>
        <v>Ohms</v>
      </c>
      <c r="I86" s="6">
        <v>0.20100000000000001</v>
      </c>
      <c r="J86" s="6" t="str">
        <f t="shared" si="17"/>
        <v>Ohms</v>
      </c>
      <c r="K86" s="2" t="str">
        <f t="shared" si="18"/>
        <v>RTG</v>
      </c>
      <c r="L86" s="2">
        <v>46640073</v>
      </c>
      <c r="M86" s="7">
        <v>46088</v>
      </c>
      <c r="N86" s="7">
        <f t="shared" si="19"/>
        <v>46453</v>
      </c>
      <c r="O86" s="7" t="str">
        <f t="shared" si="22"/>
        <v>Anual</v>
      </c>
      <c r="P86" s="2" t="str">
        <f t="shared" ca="1" si="20"/>
        <v>VIGENTE</v>
      </c>
      <c r="Q86" s="6" t="s">
        <v>25</v>
      </c>
      <c r="R86" s="2"/>
    </row>
    <row r="87" spans="1:18" x14ac:dyDescent="0.25">
      <c r="A87" s="23" t="s">
        <v>200</v>
      </c>
      <c r="B87" s="2" t="s">
        <v>1253</v>
      </c>
      <c r="C87" s="3" t="s">
        <v>267</v>
      </c>
      <c r="D87" s="3" t="s">
        <v>23</v>
      </c>
      <c r="E87" s="2" t="s">
        <v>24</v>
      </c>
      <c r="F87" s="4">
        <v>0</v>
      </c>
      <c r="G87" s="8">
        <f t="shared" si="15"/>
        <v>1</v>
      </c>
      <c r="H87" s="4" t="str">
        <f t="shared" si="16"/>
        <v>Ohms</v>
      </c>
      <c r="I87" s="6">
        <v>0.66600000000000004</v>
      </c>
      <c r="J87" s="6" t="str">
        <f t="shared" si="17"/>
        <v>Ohms</v>
      </c>
      <c r="K87" s="2" t="str">
        <f t="shared" si="18"/>
        <v>RTG</v>
      </c>
      <c r="L87" s="2">
        <v>46640073</v>
      </c>
      <c r="M87" s="7">
        <v>46088</v>
      </c>
      <c r="N87" s="7">
        <f t="shared" si="19"/>
        <v>46453</v>
      </c>
      <c r="O87" s="7" t="str">
        <f t="shared" si="22"/>
        <v>Anual</v>
      </c>
      <c r="P87" s="2" t="str">
        <f t="shared" ca="1" si="20"/>
        <v>VIGENTE</v>
      </c>
      <c r="Q87" s="6" t="s">
        <v>25</v>
      </c>
      <c r="R87" s="2"/>
    </row>
    <row r="88" spans="1:18" x14ac:dyDescent="0.25">
      <c r="A88" s="23" t="s">
        <v>1254</v>
      </c>
      <c r="B88" s="2" t="s">
        <v>1255</v>
      </c>
      <c r="C88" s="3" t="s">
        <v>747</v>
      </c>
      <c r="D88" s="3" t="s">
        <v>23</v>
      </c>
      <c r="E88" s="2" t="s">
        <v>1256</v>
      </c>
      <c r="F88" s="4">
        <v>0</v>
      </c>
      <c r="G88" s="8">
        <f t="shared" si="15"/>
        <v>1</v>
      </c>
      <c r="H88" s="4" t="str">
        <f t="shared" si="16"/>
        <v>Ohms</v>
      </c>
      <c r="I88" s="6">
        <v>0.87</v>
      </c>
      <c r="J88" s="6" t="str">
        <f t="shared" si="17"/>
        <v>Ohms</v>
      </c>
      <c r="K88" s="2" t="s">
        <v>1257</v>
      </c>
      <c r="L88" s="2">
        <v>47077437</v>
      </c>
      <c r="M88" s="7">
        <v>45741</v>
      </c>
      <c r="N88" s="7">
        <f t="shared" si="19"/>
        <v>46106</v>
      </c>
      <c r="O88" s="7" t="str">
        <f t="shared" si="22"/>
        <v>Anual</v>
      </c>
      <c r="P88" s="2" t="str">
        <f t="shared" ca="1" si="20"/>
        <v>VENCIDO</v>
      </c>
      <c r="Q88" s="6" t="s">
        <v>25</v>
      </c>
      <c r="R88" s="2"/>
    </row>
    <row r="89" spans="1:18" x14ac:dyDescent="0.25">
      <c r="A89" s="23" t="s">
        <v>1254</v>
      </c>
      <c r="B89" s="2" t="s">
        <v>1258</v>
      </c>
      <c r="C89" s="3" t="s">
        <v>747</v>
      </c>
      <c r="D89" s="3" t="s">
        <v>23</v>
      </c>
      <c r="E89" s="2" t="s">
        <v>1256</v>
      </c>
      <c r="F89" s="4">
        <v>0</v>
      </c>
      <c r="G89" s="8">
        <f t="shared" si="15"/>
        <v>1</v>
      </c>
      <c r="H89" s="4" t="str">
        <f t="shared" si="16"/>
        <v>Ohms</v>
      </c>
      <c r="I89" s="6">
        <v>0.09</v>
      </c>
      <c r="J89" s="6" t="str">
        <f t="shared" si="17"/>
        <v>Ohms</v>
      </c>
      <c r="K89" s="2" t="s">
        <v>1257</v>
      </c>
      <c r="L89" s="2">
        <v>47077437</v>
      </c>
      <c r="M89" s="7">
        <v>45741</v>
      </c>
      <c r="N89" s="7">
        <f t="shared" si="19"/>
        <v>46106</v>
      </c>
      <c r="O89" s="7" t="str">
        <f t="shared" si="22"/>
        <v>Anual</v>
      </c>
      <c r="P89" s="2" t="str">
        <f t="shared" ca="1" si="20"/>
        <v>VENCIDO</v>
      </c>
      <c r="Q89" s="6" t="s">
        <v>25</v>
      </c>
      <c r="R89" s="2"/>
    </row>
    <row r="90" spans="1:18" x14ac:dyDescent="0.25">
      <c r="A90" s="23" t="s">
        <v>1254</v>
      </c>
      <c r="B90" s="2" t="s">
        <v>1259</v>
      </c>
      <c r="C90" s="3" t="s">
        <v>747</v>
      </c>
      <c r="D90" s="3" t="s">
        <v>23</v>
      </c>
      <c r="E90" s="2" t="s">
        <v>1256</v>
      </c>
      <c r="F90" s="4">
        <v>0</v>
      </c>
      <c r="G90" s="8">
        <f t="shared" si="15"/>
        <v>1</v>
      </c>
      <c r="H90" s="4" t="str">
        <f t="shared" si="16"/>
        <v>Ohms</v>
      </c>
      <c r="I90" s="6">
        <v>9.2999999999999999E-2</v>
      </c>
      <c r="J90" s="6" t="str">
        <f t="shared" si="17"/>
        <v>Ohms</v>
      </c>
      <c r="K90" s="2" t="s">
        <v>1257</v>
      </c>
      <c r="L90" s="2">
        <v>47077437</v>
      </c>
      <c r="M90" s="7">
        <v>45741</v>
      </c>
      <c r="N90" s="7">
        <f t="shared" si="19"/>
        <v>46106</v>
      </c>
      <c r="O90" s="7" t="str">
        <f t="shared" si="22"/>
        <v>Anual</v>
      </c>
      <c r="P90" s="2" t="str">
        <f t="shared" ca="1" si="20"/>
        <v>VENCIDO</v>
      </c>
      <c r="Q90" s="6" t="s">
        <v>25</v>
      </c>
      <c r="R90" s="2"/>
    </row>
    <row r="91" spans="1:18" x14ac:dyDescent="0.25">
      <c r="A91" s="23" t="s">
        <v>1254</v>
      </c>
      <c r="B91" s="2" t="s">
        <v>1260</v>
      </c>
      <c r="C91" s="3" t="s">
        <v>747</v>
      </c>
      <c r="D91" s="3" t="s">
        <v>23</v>
      </c>
      <c r="E91" s="2" t="s">
        <v>1256</v>
      </c>
      <c r="F91" s="4">
        <v>0</v>
      </c>
      <c r="G91" s="8">
        <f t="shared" si="15"/>
        <v>1</v>
      </c>
      <c r="H91" s="4" t="str">
        <f t="shared" si="16"/>
        <v>Ohms</v>
      </c>
      <c r="I91" s="6">
        <v>0.20300000000000001</v>
      </c>
      <c r="J91" s="6" t="str">
        <f t="shared" si="17"/>
        <v>Ohms</v>
      </c>
      <c r="K91" s="2" t="s">
        <v>1257</v>
      </c>
      <c r="L91" s="2">
        <v>47077437</v>
      </c>
      <c r="M91" s="7">
        <v>45741</v>
      </c>
      <c r="N91" s="7">
        <f t="shared" si="19"/>
        <v>46106</v>
      </c>
      <c r="O91" s="7" t="str">
        <f t="shared" si="22"/>
        <v>Anual</v>
      </c>
      <c r="P91" s="2" t="str">
        <f t="shared" ca="1" si="20"/>
        <v>VENCIDO</v>
      </c>
      <c r="Q91" s="6" t="s">
        <v>25</v>
      </c>
      <c r="R91" s="2"/>
    </row>
    <row r="92" spans="1:18" x14ac:dyDescent="0.25">
      <c r="A92" s="23" t="s">
        <v>1254</v>
      </c>
      <c r="B92" s="2" t="s">
        <v>1261</v>
      </c>
      <c r="C92" s="3" t="s">
        <v>747</v>
      </c>
      <c r="D92" s="3" t="s">
        <v>23</v>
      </c>
      <c r="E92" s="2" t="s">
        <v>1256</v>
      </c>
      <c r="F92" s="4">
        <v>0</v>
      </c>
      <c r="G92" s="8">
        <f t="shared" si="15"/>
        <v>1</v>
      </c>
      <c r="H92" s="4" t="str">
        <f t="shared" si="16"/>
        <v>Ohms</v>
      </c>
      <c r="I92" s="6">
        <v>0.188</v>
      </c>
      <c r="J92" s="6" t="str">
        <f t="shared" si="17"/>
        <v>Ohms</v>
      </c>
      <c r="K92" s="2" t="s">
        <v>1257</v>
      </c>
      <c r="L92" s="2">
        <v>47077437</v>
      </c>
      <c r="M92" s="7">
        <v>45741</v>
      </c>
      <c r="N92" s="7">
        <f t="shared" si="19"/>
        <v>46106</v>
      </c>
      <c r="O92" s="7" t="str">
        <f t="shared" si="22"/>
        <v>Anual</v>
      </c>
      <c r="P92" s="2" t="str">
        <f t="shared" ca="1" si="20"/>
        <v>VENCIDO</v>
      </c>
      <c r="Q92" s="6" t="s">
        <v>25</v>
      </c>
      <c r="R92" s="2"/>
    </row>
    <row r="93" spans="1:18" x14ac:dyDescent="0.25">
      <c r="A93" s="23" t="s">
        <v>1254</v>
      </c>
      <c r="B93" s="2" t="s">
        <v>1262</v>
      </c>
      <c r="C93" s="3" t="s">
        <v>747</v>
      </c>
      <c r="D93" s="3" t="s">
        <v>23</v>
      </c>
      <c r="E93" s="2" t="s">
        <v>1256</v>
      </c>
      <c r="F93" s="4">
        <v>0</v>
      </c>
      <c r="G93" s="8">
        <f t="shared" si="15"/>
        <v>1</v>
      </c>
      <c r="H93" s="4" t="str">
        <f t="shared" si="16"/>
        <v>Ohms</v>
      </c>
      <c r="I93" s="6">
        <v>0.67600000000000005</v>
      </c>
      <c r="J93" s="6" t="str">
        <f t="shared" si="17"/>
        <v>Ohms</v>
      </c>
      <c r="K93" s="2" t="s">
        <v>1257</v>
      </c>
      <c r="L93" s="2">
        <v>47077437</v>
      </c>
      <c r="M93" s="7">
        <v>45741</v>
      </c>
      <c r="N93" s="7">
        <f t="shared" si="19"/>
        <v>46106</v>
      </c>
      <c r="O93" s="7" t="str">
        <f t="shared" si="22"/>
        <v>Anual</v>
      </c>
      <c r="P93" s="2" t="str">
        <f t="shared" ca="1" si="20"/>
        <v>VENCIDO</v>
      </c>
      <c r="Q93" s="6" t="s">
        <v>25</v>
      </c>
      <c r="R93" s="2"/>
    </row>
    <row r="94" spans="1:18" x14ac:dyDescent="0.25">
      <c r="A94" s="23" t="s">
        <v>1263</v>
      </c>
      <c r="B94" s="2" t="s">
        <v>1264</v>
      </c>
      <c r="C94" s="3" t="s">
        <v>800</v>
      </c>
      <c r="D94" s="3" t="s">
        <v>936</v>
      </c>
      <c r="E94" s="2" t="s">
        <v>24</v>
      </c>
      <c r="F94" s="4">
        <v>0</v>
      </c>
      <c r="G94" s="8">
        <f t="shared" si="15"/>
        <v>10</v>
      </c>
      <c r="H94" s="4" t="str">
        <f t="shared" si="16"/>
        <v>Segundos</v>
      </c>
      <c r="I94" s="6">
        <v>2</v>
      </c>
      <c r="J94" s="6" t="str">
        <f t="shared" si="17"/>
        <v>Segundos</v>
      </c>
      <c r="K94" s="2" t="str">
        <f t="shared" ref="K94:K125" si="23">IF(C94="Ionizador", "Plato de carga", IF(C94="Cautín", "PTG", IF(C94="ESD Tester", "PTP Deviation", "RTG")))</f>
        <v>Plato de carga</v>
      </c>
      <c r="L94" s="2"/>
      <c r="M94" s="7">
        <v>45999</v>
      </c>
      <c r="N94" s="7">
        <f t="shared" si="19"/>
        <v>46089</v>
      </c>
      <c r="O94" s="7" t="str">
        <f t="shared" si="21"/>
        <v>Trimestral</v>
      </c>
      <c r="P94" s="2" t="str">
        <f t="shared" ca="1" si="20"/>
        <v>VENCIDO</v>
      </c>
      <c r="Q94" s="13" t="s">
        <v>25</v>
      </c>
      <c r="R94" s="2"/>
    </row>
    <row r="95" spans="1:18" x14ac:dyDescent="0.25">
      <c r="A95" s="23" t="s">
        <v>233</v>
      </c>
      <c r="B95" s="2" t="s">
        <v>1265</v>
      </c>
      <c r="C95" s="3" t="s">
        <v>1169</v>
      </c>
      <c r="D95" s="3" t="s">
        <v>23</v>
      </c>
      <c r="E95" s="2" t="s">
        <v>24</v>
      </c>
      <c r="F95" s="4">
        <v>0</v>
      </c>
      <c r="G95" s="8">
        <f t="shared" si="15"/>
        <v>1</v>
      </c>
      <c r="H95" s="4" t="str">
        <f t="shared" si="16"/>
        <v>Ohms</v>
      </c>
      <c r="I95" s="6">
        <v>7.3999999999999996E-2</v>
      </c>
      <c r="J95" s="6" t="str">
        <f t="shared" si="17"/>
        <v>Ohms</v>
      </c>
      <c r="K95" s="2" t="str">
        <f t="shared" si="23"/>
        <v>RTG</v>
      </c>
      <c r="L95" s="2">
        <v>49678504</v>
      </c>
      <c r="M95" s="7">
        <v>45853</v>
      </c>
      <c r="N95" s="7">
        <f t="shared" si="19"/>
        <v>46218</v>
      </c>
      <c r="O95" s="7" t="str">
        <f t="shared" ref="O95:O102" si="24">IF(C95="Ionizador", "Trimestral", IF(C95="Rack", "Anual", IF(C95="Mesa", "Anual", IF(C95="Tapete", "Semestral", IF(C95="Cautín", "Semestral", IF(C95="Silla", "Semestral", "Anual"))))))</f>
        <v>Anual</v>
      </c>
      <c r="P95" s="2" t="str">
        <f t="shared" ca="1" si="20"/>
        <v>VIGENTE</v>
      </c>
      <c r="Q95" s="6" t="s">
        <v>25</v>
      </c>
      <c r="R95" s="2"/>
    </row>
    <row r="96" spans="1:18" x14ac:dyDescent="0.25">
      <c r="A96" s="23" t="s">
        <v>233</v>
      </c>
      <c r="B96" s="2" t="s">
        <v>1266</v>
      </c>
      <c r="C96" s="3" t="s">
        <v>747</v>
      </c>
      <c r="D96" s="3" t="s">
        <v>23</v>
      </c>
      <c r="E96" s="2" t="s">
        <v>24</v>
      </c>
      <c r="F96" s="4">
        <v>0</v>
      </c>
      <c r="G96" s="8">
        <f t="shared" si="15"/>
        <v>1</v>
      </c>
      <c r="H96" s="4" t="str">
        <f t="shared" si="16"/>
        <v>Ohms</v>
      </c>
      <c r="I96" s="6">
        <v>4.4999999999999998E-2</v>
      </c>
      <c r="J96" s="6" t="str">
        <f t="shared" si="17"/>
        <v>Ohms</v>
      </c>
      <c r="K96" s="2" t="str">
        <f t="shared" si="23"/>
        <v>RTG</v>
      </c>
      <c r="L96" s="2">
        <v>49678504</v>
      </c>
      <c r="M96" s="7">
        <v>45853</v>
      </c>
      <c r="N96" s="7">
        <f t="shared" si="19"/>
        <v>46218</v>
      </c>
      <c r="O96" s="7" t="str">
        <f t="shared" si="24"/>
        <v>Anual</v>
      </c>
      <c r="P96" s="2" t="str">
        <f t="shared" ca="1" si="20"/>
        <v>VIGENTE</v>
      </c>
      <c r="Q96" s="6" t="s">
        <v>25</v>
      </c>
      <c r="R96" s="2"/>
    </row>
    <row r="97" spans="1:18" x14ac:dyDescent="0.25">
      <c r="A97" s="23" t="s">
        <v>233</v>
      </c>
      <c r="B97" s="2" t="s">
        <v>1267</v>
      </c>
      <c r="C97" s="3" t="s">
        <v>747</v>
      </c>
      <c r="D97" s="3" t="s">
        <v>23</v>
      </c>
      <c r="E97" s="2" t="s">
        <v>24</v>
      </c>
      <c r="F97" s="4">
        <v>0</v>
      </c>
      <c r="G97" s="8">
        <f t="shared" si="15"/>
        <v>1</v>
      </c>
      <c r="H97" s="4" t="str">
        <f t="shared" si="16"/>
        <v>Ohms</v>
      </c>
      <c r="I97" s="6">
        <v>4.8000000000000001E-2</v>
      </c>
      <c r="J97" s="6" t="str">
        <f t="shared" si="17"/>
        <v>Ohms</v>
      </c>
      <c r="K97" s="2" t="str">
        <f t="shared" si="23"/>
        <v>RTG</v>
      </c>
      <c r="L97" s="2">
        <v>49678504</v>
      </c>
      <c r="M97" s="7">
        <v>45853</v>
      </c>
      <c r="N97" s="7">
        <f t="shared" si="19"/>
        <v>46218</v>
      </c>
      <c r="O97" s="7" t="str">
        <f t="shared" si="24"/>
        <v>Anual</v>
      </c>
      <c r="P97" s="2" t="str">
        <f t="shared" ca="1" si="20"/>
        <v>VIGENTE</v>
      </c>
      <c r="Q97" s="6" t="s">
        <v>25</v>
      </c>
      <c r="R97" s="2"/>
    </row>
    <row r="98" spans="1:18" x14ac:dyDescent="0.25">
      <c r="A98" s="23" t="s">
        <v>233</v>
      </c>
      <c r="B98" s="2" t="s">
        <v>1268</v>
      </c>
      <c r="C98" s="3" t="s">
        <v>1269</v>
      </c>
      <c r="D98" s="3" t="s">
        <v>23</v>
      </c>
      <c r="E98" s="2" t="s">
        <v>24</v>
      </c>
      <c r="F98" s="4">
        <v>0</v>
      </c>
      <c r="G98" s="8">
        <f t="shared" si="15"/>
        <v>1</v>
      </c>
      <c r="H98" s="4" t="str">
        <f t="shared" si="16"/>
        <v>Ohms</v>
      </c>
      <c r="I98" s="6">
        <v>5.1999999999999998E-2</v>
      </c>
      <c r="J98" s="6" t="str">
        <f t="shared" si="17"/>
        <v>Ohms</v>
      </c>
      <c r="K98" s="2" t="str">
        <f t="shared" si="23"/>
        <v>RTG</v>
      </c>
      <c r="L98" s="2">
        <v>49678504</v>
      </c>
      <c r="M98" s="7">
        <v>45853</v>
      </c>
      <c r="N98" s="7">
        <f t="shared" si="19"/>
        <v>46218</v>
      </c>
      <c r="O98" s="7" t="str">
        <f t="shared" si="24"/>
        <v>Anual</v>
      </c>
      <c r="P98" s="2" t="str">
        <f t="shared" ca="1" si="20"/>
        <v>VIGENTE</v>
      </c>
      <c r="Q98" s="6" t="s">
        <v>25</v>
      </c>
      <c r="R98" s="2"/>
    </row>
    <row r="99" spans="1:18" x14ac:dyDescent="0.25">
      <c r="A99" s="23" t="s">
        <v>233</v>
      </c>
      <c r="B99" s="2" t="s">
        <v>1270</v>
      </c>
      <c r="C99" s="3" t="s">
        <v>1180</v>
      </c>
      <c r="D99" s="3" t="s">
        <v>23</v>
      </c>
      <c r="E99" s="2" t="s">
        <v>24</v>
      </c>
      <c r="F99" s="4">
        <v>0</v>
      </c>
      <c r="G99" s="8">
        <f t="shared" si="15"/>
        <v>1</v>
      </c>
      <c r="H99" s="4" t="str">
        <f t="shared" si="16"/>
        <v>Ohms</v>
      </c>
      <c r="I99" s="6">
        <v>4.9000000000000002E-2</v>
      </c>
      <c r="J99" s="6" t="str">
        <f t="shared" si="17"/>
        <v>Ohms</v>
      </c>
      <c r="K99" s="2" t="str">
        <f t="shared" si="23"/>
        <v>RTG</v>
      </c>
      <c r="L99" s="2">
        <v>49678504</v>
      </c>
      <c r="M99" s="7">
        <v>45853</v>
      </c>
      <c r="N99" s="7">
        <f t="shared" si="19"/>
        <v>46218</v>
      </c>
      <c r="O99" s="7" t="str">
        <f t="shared" si="24"/>
        <v>Anual</v>
      </c>
      <c r="P99" s="2" t="str">
        <f t="shared" ca="1" si="20"/>
        <v>VIGENTE</v>
      </c>
      <c r="Q99" s="6" t="s">
        <v>25</v>
      </c>
      <c r="R99" s="2"/>
    </row>
    <row r="100" spans="1:18" x14ac:dyDescent="0.25">
      <c r="A100" s="23" t="s">
        <v>233</v>
      </c>
      <c r="B100" s="2" t="s">
        <v>1271</v>
      </c>
      <c r="C100" s="3" t="s">
        <v>847</v>
      </c>
      <c r="D100" s="3" t="s">
        <v>23</v>
      </c>
      <c r="E100" s="2" t="s">
        <v>24</v>
      </c>
      <c r="F100" s="4">
        <v>0</v>
      </c>
      <c r="G100" s="8">
        <f t="shared" si="15"/>
        <v>1</v>
      </c>
      <c r="H100" s="4" t="str">
        <f t="shared" si="16"/>
        <v>Ohms</v>
      </c>
      <c r="I100" s="6">
        <v>5.2999999999999999E-2</v>
      </c>
      <c r="J100" s="6" t="str">
        <f t="shared" si="17"/>
        <v>Ohms</v>
      </c>
      <c r="K100" s="2" t="str">
        <f t="shared" si="23"/>
        <v>RTG</v>
      </c>
      <c r="L100" s="2">
        <v>49678504</v>
      </c>
      <c r="M100" s="7">
        <v>45853</v>
      </c>
      <c r="N100" s="7">
        <f t="shared" si="19"/>
        <v>46218</v>
      </c>
      <c r="O100" s="7" t="str">
        <f t="shared" si="24"/>
        <v>Anual</v>
      </c>
      <c r="P100" s="2" t="str">
        <f t="shared" ca="1" si="20"/>
        <v>VIGENTE</v>
      </c>
      <c r="Q100" s="6" t="s">
        <v>25</v>
      </c>
      <c r="R100" s="2"/>
    </row>
    <row r="101" spans="1:18" x14ac:dyDescent="0.25">
      <c r="A101" s="23" t="s">
        <v>233</v>
      </c>
      <c r="B101" s="2" t="s">
        <v>1272</v>
      </c>
      <c r="C101" s="3" t="s">
        <v>1169</v>
      </c>
      <c r="D101" s="3" t="s">
        <v>23</v>
      </c>
      <c r="E101" s="2" t="s">
        <v>24</v>
      </c>
      <c r="F101" s="4">
        <v>0</v>
      </c>
      <c r="G101" s="8">
        <f t="shared" si="15"/>
        <v>1</v>
      </c>
      <c r="H101" s="4" t="str">
        <f t="shared" si="16"/>
        <v>Ohms</v>
      </c>
      <c r="I101" s="6">
        <v>0.16</v>
      </c>
      <c r="J101" s="6" t="str">
        <f t="shared" si="17"/>
        <v>Ohms</v>
      </c>
      <c r="K101" s="2" t="str">
        <f t="shared" si="23"/>
        <v>RTG</v>
      </c>
      <c r="L101" s="2">
        <v>49678504</v>
      </c>
      <c r="M101" s="7">
        <v>45853</v>
      </c>
      <c r="N101" s="7">
        <f t="shared" si="19"/>
        <v>46218</v>
      </c>
      <c r="O101" s="7" t="str">
        <f t="shared" si="24"/>
        <v>Anual</v>
      </c>
      <c r="P101" s="2" t="str">
        <f t="shared" ca="1" si="20"/>
        <v>VIGENTE</v>
      </c>
      <c r="Q101" s="6" t="s">
        <v>25</v>
      </c>
      <c r="R101" s="2"/>
    </row>
    <row r="102" spans="1:18" x14ac:dyDescent="0.25">
      <c r="A102" s="23" t="s">
        <v>233</v>
      </c>
      <c r="B102" s="2" t="s">
        <v>1273</v>
      </c>
      <c r="C102" s="3" t="s">
        <v>259</v>
      </c>
      <c r="D102" s="3" t="s">
        <v>23</v>
      </c>
      <c r="E102" s="2" t="s">
        <v>24</v>
      </c>
      <c r="F102" s="4">
        <v>0</v>
      </c>
      <c r="G102" s="8">
        <f t="shared" si="15"/>
        <v>1</v>
      </c>
      <c r="H102" s="4" t="str">
        <f t="shared" si="16"/>
        <v>Ohms</v>
      </c>
      <c r="I102" s="6">
        <v>0.11</v>
      </c>
      <c r="J102" s="6" t="str">
        <f t="shared" si="17"/>
        <v>Ohms</v>
      </c>
      <c r="K102" s="2" t="str">
        <f t="shared" si="23"/>
        <v>RTG</v>
      </c>
      <c r="L102" s="2">
        <v>49678504</v>
      </c>
      <c r="M102" s="7">
        <v>45853</v>
      </c>
      <c r="N102" s="7">
        <f t="shared" si="19"/>
        <v>46218</v>
      </c>
      <c r="O102" s="7" t="str">
        <f t="shared" si="24"/>
        <v>Anual</v>
      </c>
      <c r="P102" s="2" t="str">
        <f t="shared" ca="1" si="20"/>
        <v>VIGENTE</v>
      </c>
      <c r="Q102" s="6" t="s">
        <v>25</v>
      </c>
      <c r="R102" s="2"/>
    </row>
    <row r="103" spans="1:18" x14ac:dyDescent="0.25">
      <c r="A103" s="23" t="s">
        <v>233</v>
      </c>
      <c r="B103" s="2" t="s">
        <v>1274</v>
      </c>
      <c r="C103" s="3" t="s">
        <v>800</v>
      </c>
      <c r="D103" s="3" t="s">
        <v>23</v>
      </c>
      <c r="E103" s="2" t="s">
        <v>1275</v>
      </c>
      <c r="F103" s="4">
        <v>0</v>
      </c>
      <c r="G103" s="8">
        <f t="shared" ref="G103:G134" si="25">IF(C103="Ionizador", 10, IF(C103="Mesa", 1000000000, IF(C103="Rack", 1000000000, IF(C103="Piso", 1000000000, IF(C103="Tapete", 1000000000, IF(C103="Carrito", 1000000000, IF(C103="Cautín", 10, 1)))))))</f>
        <v>10</v>
      </c>
      <c r="H103" s="4" t="str">
        <f t="shared" ref="H103:H134" si="26">IF(C103="Ionizador", "Segundos", "Ohms")</f>
        <v>Segundos</v>
      </c>
      <c r="I103" s="6">
        <v>3</v>
      </c>
      <c r="J103" s="6" t="str">
        <f t="shared" ref="J103:J134" si="27">H103</f>
        <v>Segundos</v>
      </c>
      <c r="K103" s="2" t="str">
        <f t="shared" si="23"/>
        <v>Plato de carga</v>
      </c>
      <c r="L103" s="2">
        <v>49678504</v>
      </c>
      <c r="M103" s="7">
        <v>45999</v>
      </c>
      <c r="N103" s="7">
        <f t="shared" ref="N103:N134" si="28">IF(O103="Trimestral", M103+90, IF(O103="Semestral", M103+180, IF(O103="Mensual", M103+30, M103+365)))</f>
        <v>46089</v>
      </c>
      <c r="O103" s="7" t="str">
        <f t="shared" ref="O103:O132" si="29">IF(C103="Ionizador", "Trimestral", IF(C103="Rack", "Semestral", IF(C103="Mesa", "Semestral", IF(C103="Tapete", "Semestral", IF(C103="Cautín", "Semestral", IF(C103="Silla", "Semestral", "Anual"))))))</f>
        <v>Trimestral</v>
      </c>
      <c r="P103" s="2" t="str">
        <f t="shared" ref="P103:P136" ca="1" si="30">IF(N103&lt;TODAY(),"VENCIDO",IF(N103=TODAY(),"VIGENTE",IF(N103&gt;TODAY(),"VIGENTE")))</f>
        <v>VENCIDO</v>
      </c>
      <c r="Q103" s="6" t="s">
        <v>25</v>
      </c>
      <c r="R103" s="2"/>
    </row>
    <row r="104" spans="1:18" x14ac:dyDescent="0.25">
      <c r="A104" s="23" t="s">
        <v>233</v>
      </c>
      <c r="B104" s="2" t="s">
        <v>1276</v>
      </c>
      <c r="C104" s="3" t="s">
        <v>800</v>
      </c>
      <c r="D104" s="3" t="s">
        <v>23</v>
      </c>
      <c r="E104" s="2" t="s">
        <v>1275</v>
      </c>
      <c r="F104" s="4">
        <v>0</v>
      </c>
      <c r="G104" s="8">
        <f t="shared" si="25"/>
        <v>10</v>
      </c>
      <c r="H104" s="4" t="str">
        <f t="shared" si="26"/>
        <v>Segundos</v>
      </c>
      <c r="I104" s="6">
        <v>2</v>
      </c>
      <c r="J104" s="6" t="str">
        <f t="shared" si="27"/>
        <v>Segundos</v>
      </c>
      <c r="K104" s="2" t="str">
        <f t="shared" si="23"/>
        <v>Plato de carga</v>
      </c>
      <c r="L104" s="2">
        <v>49678504</v>
      </c>
      <c r="M104" s="7">
        <v>45999</v>
      </c>
      <c r="N104" s="7">
        <f t="shared" si="28"/>
        <v>46089</v>
      </c>
      <c r="O104" s="7" t="str">
        <f t="shared" si="29"/>
        <v>Trimestral</v>
      </c>
      <c r="P104" s="2" t="str">
        <f t="shared" ca="1" si="30"/>
        <v>VENCIDO</v>
      </c>
      <c r="Q104" s="6" t="s">
        <v>25</v>
      </c>
      <c r="R104" s="2"/>
    </row>
    <row r="105" spans="1:18" x14ac:dyDescent="0.25">
      <c r="A105" s="23" t="s">
        <v>1277</v>
      </c>
      <c r="B105" s="2" t="s">
        <v>1278</v>
      </c>
      <c r="C105" s="3" t="s">
        <v>1279</v>
      </c>
      <c r="D105" s="3"/>
      <c r="E105" s="2"/>
      <c r="F105" s="4"/>
      <c r="G105" s="8">
        <f t="shared" si="25"/>
        <v>1</v>
      </c>
      <c r="H105" s="4" t="str">
        <f t="shared" si="26"/>
        <v>Ohms</v>
      </c>
      <c r="I105" s="6"/>
      <c r="J105" s="6" t="str">
        <f t="shared" si="27"/>
        <v>Ohms</v>
      </c>
      <c r="K105" s="2" t="str">
        <f t="shared" si="23"/>
        <v>RTG</v>
      </c>
      <c r="L105" s="2"/>
      <c r="M105" s="7"/>
      <c r="N105" s="7">
        <f t="shared" si="28"/>
        <v>365</v>
      </c>
      <c r="O105" s="7" t="str">
        <f t="shared" si="29"/>
        <v>Anual</v>
      </c>
      <c r="P105" s="2" t="str">
        <f t="shared" ca="1" si="30"/>
        <v>VENCIDO</v>
      </c>
      <c r="Q105" s="6" t="s">
        <v>25</v>
      </c>
      <c r="R105" s="2"/>
    </row>
    <row r="106" spans="1:18" x14ac:dyDescent="0.25">
      <c r="A106" s="23" t="s">
        <v>1277</v>
      </c>
      <c r="B106" s="2" t="s">
        <v>1280</v>
      </c>
      <c r="C106" s="3" t="s">
        <v>747</v>
      </c>
      <c r="D106" s="3"/>
      <c r="E106" s="2"/>
      <c r="F106" s="4"/>
      <c r="G106" s="8">
        <f t="shared" si="25"/>
        <v>1</v>
      </c>
      <c r="H106" s="4" t="str">
        <f t="shared" si="26"/>
        <v>Ohms</v>
      </c>
      <c r="I106" s="6"/>
      <c r="J106" s="6" t="str">
        <f t="shared" si="27"/>
        <v>Ohms</v>
      </c>
      <c r="K106" s="2" t="str">
        <f t="shared" si="23"/>
        <v>RTG</v>
      </c>
      <c r="L106" s="2"/>
      <c r="M106" s="7"/>
      <c r="N106" s="7">
        <f t="shared" si="28"/>
        <v>365</v>
      </c>
      <c r="O106" s="7" t="str">
        <f t="shared" si="29"/>
        <v>Anual</v>
      </c>
      <c r="P106" s="2" t="str">
        <f t="shared" ca="1" si="30"/>
        <v>VENCIDO</v>
      </c>
      <c r="Q106" s="6" t="s">
        <v>25</v>
      </c>
      <c r="R106" s="2"/>
    </row>
    <row r="107" spans="1:18" x14ac:dyDescent="0.25">
      <c r="A107" s="23" t="s">
        <v>1277</v>
      </c>
      <c r="B107" s="2" t="s">
        <v>1281</v>
      </c>
      <c r="C107" s="3" t="s">
        <v>838</v>
      </c>
      <c r="D107" s="3"/>
      <c r="E107" s="2"/>
      <c r="F107" s="4"/>
      <c r="G107" s="8">
        <f t="shared" si="25"/>
        <v>1</v>
      </c>
      <c r="H107" s="4" t="str">
        <f t="shared" si="26"/>
        <v>Ohms</v>
      </c>
      <c r="I107" s="6"/>
      <c r="J107" s="6" t="str">
        <f t="shared" si="27"/>
        <v>Ohms</v>
      </c>
      <c r="K107" s="2" t="str">
        <f t="shared" si="23"/>
        <v>RTG</v>
      </c>
      <c r="L107" s="2"/>
      <c r="M107" s="7"/>
      <c r="N107" s="7">
        <f t="shared" si="28"/>
        <v>365</v>
      </c>
      <c r="O107" s="7" t="str">
        <f t="shared" si="29"/>
        <v>Anual</v>
      </c>
      <c r="P107" s="2" t="str">
        <f t="shared" ca="1" si="30"/>
        <v>VENCIDO</v>
      </c>
      <c r="Q107" s="6" t="s">
        <v>25</v>
      </c>
      <c r="R107" s="2"/>
    </row>
    <row r="108" spans="1:18" x14ac:dyDescent="0.25">
      <c r="A108" s="23" t="s">
        <v>567</v>
      </c>
      <c r="B108" s="2" t="s">
        <v>1282</v>
      </c>
      <c r="C108" s="3" t="s">
        <v>747</v>
      </c>
      <c r="D108" s="3" t="s">
        <v>23</v>
      </c>
      <c r="E108" s="2" t="s">
        <v>24</v>
      </c>
      <c r="F108" s="4">
        <v>0</v>
      </c>
      <c r="G108" s="8">
        <f t="shared" si="25"/>
        <v>1</v>
      </c>
      <c r="H108" s="4" t="str">
        <f t="shared" si="26"/>
        <v>Ohms</v>
      </c>
      <c r="I108" s="6">
        <v>0.254</v>
      </c>
      <c r="J108" s="6" t="str">
        <f t="shared" si="27"/>
        <v>Ohms</v>
      </c>
      <c r="K108" s="2" t="str">
        <f t="shared" si="23"/>
        <v>RTG</v>
      </c>
      <c r="L108" s="2">
        <v>42831105</v>
      </c>
      <c r="M108" s="7">
        <v>45834</v>
      </c>
      <c r="N108" s="7">
        <f t="shared" si="28"/>
        <v>46199</v>
      </c>
      <c r="O108" s="7" t="str">
        <f t="shared" ref="O108:O123" si="31">IF(C108="Ionizador", "Trimestral", IF(C108="Rack", "Anual", IF(C108="Mesa", "Anual", IF(C108="Tapete", "Semestral", IF(C108="Cautín", "Semestral", IF(C108="Silla", "Semestral", "Anual"))))))</f>
        <v>Anual</v>
      </c>
      <c r="P108" s="2" t="str">
        <f t="shared" ca="1" si="30"/>
        <v>VIGENTE</v>
      </c>
      <c r="Q108" s="6" t="s">
        <v>25</v>
      </c>
      <c r="R108" s="2"/>
    </row>
    <row r="109" spans="1:18" x14ac:dyDescent="0.25">
      <c r="A109" s="23" t="s">
        <v>567</v>
      </c>
      <c r="B109" s="12" t="s">
        <v>1283</v>
      </c>
      <c r="C109" s="3" t="s">
        <v>747</v>
      </c>
      <c r="D109" s="3" t="s">
        <v>23</v>
      </c>
      <c r="E109" s="2" t="s">
        <v>24</v>
      </c>
      <c r="F109" s="4">
        <v>0</v>
      </c>
      <c r="G109" s="8">
        <f t="shared" si="25"/>
        <v>1</v>
      </c>
      <c r="H109" s="4" t="str">
        <f t="shared" si="26"/>
        <v>Ohms</v>
      </c>
      <c r="I109" s="6">
        <v>0.13100000000000001</v>
      </c>
      <c r="J109" s="6" t="str">
        <f t="shared" si="27"/>
        <v>Ohms</v>
      </c>
      <c r="K109" s="2" t="str">
        <f t="shared" si="23"/>
        <v>RTG</v>
      </c>
      <c r="L109" s="2">
        <v>42831105</v>
      </c>
      <c r="M109" s="7">
        <v>45834</v>
      </c>
      <c r="N109" s="7">
        <f t="shared" si="28"/>
        <v>46199</v>
      </c>
      <c r="O109" s="7" t="str">
        <f t="shared" si="31"/>
        <v>Anual</v>
      </c>
      <c r="P109" s="2" t="str">
        <f t="shared" ca="1" si="30"/>
        <v>VIGENTE</v>
      </c>
      <c r="Q109" s="6" t="s">
        <v>25</v>
      </c>
      <c r="R109" s="2"/>
    </row>
    <row r="110" spans="1:18" x14ac:dyDescent="0.25">
      <c r="A110" s="23" t="s">
        <v>567</v>
      </c>
      <c r="B110" s="2" t="s">
        <v>1284</v>
      </c>
      <c r="C110" s="3" t="s">
        <v>1183</v>
      </c>
      <c r="D110" s="3" t="s">
        <v>23</v>
      </c>
      <c r="E110" s="2" t="s">
        <v>24</v>
      </c>
      <c r="F110" s="4">
        <v>0</v>
      </c>
      <c r="G110" s="8">
        <f t="shared" si="25"/>
        <v>1</v>
      </c>
      <c r="H110" s="4" t="str">
        <f t="shared" si="26"/>
        <v>Ohms</v>
      </c>
      <c r="I110" s="6">
        <v>6.6000000000000003E-2</v>
      </c>
      <c r="J110" s="6" t="str">
        <f t="shared" si="27"/>
        <v>Ohms</v>
      </c>
      <c r="K110" s="2" t="str">
        <f t="shared" si="23"/>
        <v>RTG</v>
      </c>
      <c r="L110" s="2">
        <v>42831105</v>
      </c>
      <c r="M110" s="7">
        <v>45834</v>
      </c>
      <c r="N110" s="7">
        <f t="shared" si="28"/>
        <v>46199</v>
      </c>
      <c r="O110" s="7" t="str">
        <f t="shared" si="31"/>
        <v>Anual</v>
      </c>
      <c r="P110" s="2" t="str">
        <f t="shared" ca="1" si="30"/>
        <v>VIGENTE</v>
      </c>
      <c r="Q110" s="6" t="s">
        <v>25</v>
      </c>
      <c r="R110" s="2"/>
    </row>
    <row r="111" spans="1:18" x14ac:dyDescent="0.25">
      <c r="A111" s="23" t="s">
        <v>567</v>
      </c>
      <c r="B111" s="2" t="s">
        <v>1285</v>
      </c>
      <c r="C111" s="3" t="s">
        <v>261</v>
      </c>
      <c r="D111" s="3" t="s">
        <v>23</v>
      </c>
      <c r="E111" s="2" t="s">
        <v>24</v>
      </c>
      <c r="F111" s="4">
        <v>0</v>
      </c>
      <c r="G111" s="8">
        <f t="shared" si="25"/>
        <v>1</v>
      </c>
      <c r="H111" s="4" t="str">
        <f t="shared" si="26"/>
        <v>Ohms</v>
      </c>
      <c r="I111" s="6">
        <v>0.13800000000000001</v>
      </c>
      <c r="J111" s="6" t="str">
        <f t="shared" si="27"/>
        <v>Ohms</v>
      </c>
      <c r="K111" s="2" t="str">
        <f t="shared" si="23"/>
        <v>RTG</v>
      </c>
      <c r="L111" s="2">
        <v>42831105</v>
      </c>
      <c r="M111" s="7">
        <v>45834</v>
      </c>
      <c r="N111" s="7">
        <f t="shared" si="28"/>
        <v>46199</v>
      </c>
      <c r="O111" s="7" t="str">
        <f t="shared" si="31"/>
        <v>Anual</v>
      </c>
      <c r="P111" s="2" t="str">
        <f t="shared" ca="1" si="30"/>
        <v>VIGENTE</v>
      </c>
      <c r="Q111" s="6" t="s">
        <v>25</v>
      </c>
      <c r="R111" s="2"/>
    </row>
    <row r="112" spans="1:18" x14ac:dyDescent="0.25">
      <c r="A112" s="23" t="s">
        <v>567</v>
      </c>
      <c r="B112" s="2" t="s">
        <v>1286</v>
      </c>
      <c r="C112" s="3" t="s">
        <v>261</v>
      </c>
      <c r="D112" s="3" t="s">
        <v>23</v>
      </c>
      <c r="E112" s="2" t="s">
        <v>24</v>
      </c>
      <c r="F112" s="4">
        <v>0</v>
      </c>
      <c r="G112" s="8">
        <f t="shared" si="25"/>
        <v>1</v>
      </c>
      <c r="H112" s="4" t="str">
        <f t="shared" si="26"/>
        <v>Ohms</v>
      </c>
      <c r="I112" s="6">
        <v>0.13700000000000001</v>
      </c>
      <c r="J112" s="6" t="str">
        <f t="shared" si="27"/>
        <v>Ohms</v>
      </c>
      <c r="K112" s="2" t="str">
        <f t="shared" si="23"/>
        <v>RTG</v>
      </c>
      <c r="L112" s="2">
        <v>42831105</v>
      </c>
      <c r="M112" s="7">
        <v>45834</v>
      </c>
      <c r="N112" s="7">
        <f t="shared" si="28"/>
        <v>46199</v>
      </c>
      <c r="O112" s="7" t="str">
        <f t="shared" si="31"/>
        <v>Anual</v>
      </c>
      <c r="P112" s="2" t="str">
        <f t="shared" ca="1" si="30"/>
        <v>VIGENTE</v>
      </c>
      <c r="Q112" s="6" t="s">
        <v>25</v>
      </c>
      <c r="R112" s="2"/>
    </row>
    <row r="113" spans="1:18" x14ac:dyDescent="0.25">
      <c r="A113" s="23" t="s">
        <v>567</v>
      </c>
      <c r="B113" s="2" t="s">
        <v>1287</v>
      </c>
      <c r="C113" s="3" t="s">
        <v>747</v>
      </c>
      <c r="D113" s="3" t="s">
        <v>23</v>
      </c>
      <c r="E113" s="2" t="s">
        <v>24</v>
      </c>
      <c r="F113" s="4">
        <v>0</v>
      </c>
      <c r="G113" s="8">
        <f t="shared" si="25"/>
        <v>1</v>
      </c>
      <c r="H113" s="4" t="str">
        <f t="shared" si="26"/>
        <v>Ohms</v>
      </c>
      <c r="I113" s="6">
        <v>9.9000000000000005E-2</v>
      </c>
      <c r="J113" s="6" t="str">
        <f t="shared" si="27"/>
        <v>Ohms</v>
      </c>
      <c r="K113" s="2" t="str">
        <f t="shared" si="23"/>
        <v>RTG</v>
      </c>
      <c r="L113" s="2">
        <v>42831105</v>
      </c>
      <c r="M113" s="7">
        <v>45834</v>
      </c>
      <c r="N113" s="7">
        <f t="shared" si="28"/>
        <v>46199</v>
      </c>
      <c r="O113" s="7" t="str">
        <f t="shared" si="31"/>
        <v>Anual</v>
      </c>
      <c r="P113" s="2" t="str">
        <f t="shared" ca="1" si="30"/>
        <v>VIGENTE</v>
      </c>
      <c r="Q113" s="6" t="s">
        <v>25</v>
      </c>
      <c r="R113" s="2"/>
    </row>
    <row r="114" spans="1:18" x14ac:dyDescent="0.25">
      <c r="A114" s="23" t="s">
        <v>567</v>
      </c>
      <c r="B114" s="2" t="s">
        <v>1288</v>
      </c>
      <c r="C114" s="3" t="s">
        <v>261</v>
      </c>
      <c r="D114" s="3" t="s">
        <v>23</v>
      </c>
      <c r="E114" s="2" t="s">
        <v>24</v>
      </c>
      <c r="F114" s="4">
        <v>0</v>
      </c>
      <c r="G114" s="8">
        <f t="shared" si="25"/>
        <v>1</v>
      </c>
      <c r="H114" s="4" t="str">
        <f t="shared" si="26"/>
        <v>Ohms</v>
      </c>
      <c r="I114" s="6">
        <v>0.127</v>
      </c>
      <c r="J114" s="6" t="str">
        <f t="shared" si="27"/>
        <v>Ohms</v>
      </c>
      <c r="K114" s="2" t="str">
        <f t="shared" si="23"/>
        <v>RTG</v>
      </c>
      <c r="L114" s="2">
        <v>42831105</v>
      </c>
      <c r="M114" s="7">
        <v>45834</v>
      </c>
      <c r="N114" s="7">
        <f t="shared" si="28"/>
        <v>46199</v>
      </c>
      <c r="O114" s="7" t="str">
        <f t="shared" si="31"/>
        <v>Anual</v>
      </c>
      <c r="P114" s="2" t="str">
        <f t="shared" ca="1" si="30"/>
        <v>VIGENTE</v>
      </c>
      <c r="Q114" s="6" t="s">
        <v>25</v>
      </c>
      <c r="R114" s="2"/>
    </row>
    <row r="115" spans="1:18" x14ac:dyDescent="0.25">
      <c r="A115" s="23" t="s">
        <v>567</v>
      </c>
      <c r="B115" s="2" t="s">
        <v>1289</v>
      </c>
      <c r="C115" s="3" t="s">
        <v>261</v>
      </c>
      <c r="D115" s="3" t="s">
        <v>23</v>
      </c>
      <c r="E115" s="2" t="s">
        <v>24</v>
      </c>
      <c r="F115" s="4">
        <v>0</v>
      </c>
      <c r="G115" s="8">
        <f t="shared" si="25"/>
        <v>1</v>
      </c>
      <c r="H115" s="4" t="str">
        <f t="shared" si="26"/>
        <v>Ohms</v>
      </c>
      <c r="I115" s="6">
        <v>7.0000000000000007E-2</v>
      </c>
      <c r="J115" s="6" t="str">
        <f t="shared" si="27"/>
        <v>Ohms</v>
      </c>
      <c r="K115" s="2" t="str">
        <f t="shared" si="23"/>
        <v>RTG</v>
      </c>
      <c r="L115" s="2">
        <v>42831105</v>
      </c>
      <c r="M115" s="7">
        <v>45834</v>
      </c>
      <c r="N115" s="7">
        <f t="shared" si="28"/>
        <v>46199</v>
      </c>
      <c r="O115" s="7" t="str">
        <f t="shared" si="31"/>
        <v>Anual</v>
      </c>
      <c r="P115" s="2" t="str">
        <f t="shared" ca="1" si="30"/>
        <v>VIGENTE</v>
      </c>
      <c r="Q115" s="6" t="s">
        <v>25</v>
      </c>
      <c r="R115" s="2"/>
    </row>
    <row r="116" spans="1:18" x14ac:dyDescent="0.25">
      <c r="A116" s="23" t="s">
        <v>567</v>
      </c>
      <c r="B116" s="2" t="s">
        <v>1290</v>
      </c>
      <c r="C116" s="3" t="s">
        <v>747</v>
      </c>
      <c r="D116" s="3" t="s">
        <v>23</v>
      </c>
      <c r="E116" s="2" t="s">
        <v>24</v>
      </c>
      <c r="F116" s="4">
        <v>0</v>
      </c>
      <c r="G116" s="8">
        <f t="shared" si="25"/>
        <v>1</v>
      </c>
      <c r="H116" s="4" t="str">
        <f t="shared" si="26"/>
        <v>Ohms</v>
      </c>
      <c r="I116" s="6">
        <v>8.6999999999999994E-2</v>
      </c>
      <c r="J116" s="6" t="str">
        <f t="shared" si="27"/>
        <v>Ohms</v>
      </c>
      <c r="K116" s="2" t="str">
        <f t="shared" si="23"/>
        <v>RTG</v>
      </c>
      <c r="L116" s="2">
        <v>42831105</v>
      </c>
      <c r="M116" s="7">
        <v>45834</v>
      </c>
      <c r="N116" s="7">
        <f t="shared" si="28"/>
        <v>46199</v>
      </c>
      <c r="O116" s="7" t="str">
        <f t="shared" si="31"/>
        <v>Anual</v>
      </c>
      <c r="P116" s="2" t="str">
        <f t="shared" ca="1" si="30"/>
        <v>VIGENTE</v>
      </c>
      <c r="Q116" s="6" t="s">
        <v>25</v>
      </c>
      <c r="R116" s="2"/>
    </row>
    <row r="117" spans="1:18" x14ac:dyDescent="0.25">
      <c r="A117" s="23" t="s">
        <v>567</v>
      </c>
      <c r="B117" s="2" t="s">
        <v>1291</v>
      </c>
      <c r="C117" s="3" t="s">
        <v>261</v>
      </c>
      <c r="D117" s="3" t="s">
        <v>23</v>
      </c>
      <c r="E117" s="2" t="s">
        <v>24</v>
      </c>
      <c r="F117" s="4">
        <v>0</v>
      </c>
      <c r="G117" s="8">
        <f t="shared" si="25"/>
        <v>1</v>
      </c>
      <c r="H117" s="4" t="str">
        <f t="shared" si="26"/>
        <v>Ohms</v>
      </c>
      <c r="I117" s="6">
        <v>7.5999999999999998E-2</v>
      </c>
      <c r="J117" s="6" t="str">
        <f t="shared" si="27"/>
        <v>Ohms</v>
      </c>
      <c r="K117" s="2" t="str">
        <f t="shared" si="23"/>
        <v>RTG</v>
      </c>
      <c r="L117" s="2">
        <v>42831105</v>
      </c>
      <c r="M117" s="7">
        <v>45834</v>
      </c>
      <c r="N117" s="7">
        <f t="shared" si="28"/>
        <v>46199</v>
      </c>
      <c r="O117" s="7" t="str">
        <f t="shared" si="31"/>
        <v>Anual</v>
      </c>
      <c r="P117" s="2" t="str">
        <f t="shared" ca="1" si="30"/>
        <v>VIGENTE</v>
      </c>
      <c r="Q117" s="6" t="s">
        <v>25</v>
      </c>
      <c r="R117" s="2"/>
    </row>
    <row r="118" spans="1:18" x14ac:dyDescent="0.25">
      <c r="A118" s="23" t="s">
        <v>567</v>
      </c>
      <c r="B118" s="2" t="s">
        <v>1292</v>
      </c>
      <c r="C118" s="3" t="s">
        <v>747</v>
      </c>
      <c r="D118" s="3" t="s">
        <v>23</v>
      </c>
      <c r="E118" s="2" t="s">
        <v>24</v>
      </c>
      <c r="F118" s="4">
        <v>0</v>
      </c>
      <c r="G118" s="8">
        <f t="shared" si="25"/>
        <v>1</v>
      </c>
      <c r="H118" s="4" t="str">
        <f t="shared" si="26"/>
        <v>Ohms</v>
      </c>
      <c r="I118" s="6">
        <v>7.0000000000000007E-2</v>
      </c>
      <c r="J118" s="6" t="str">
        <f t="shared" si="27"/>
        <v>Ohms</v>
      </c>
      <c r="K118" s="2" t="str">
        <f t="shared" si="23"/>
        <v>RTG</v>
      </c>
      <c r="L118" s="2">
        <v>42831105</v>
      </c>
      <c r="M118" s="7">
        <v>45834</v>
      </c>
      <c r="N118" s="7">
        <f t="shared" si="28"/>
        <v>46199</v>
      </c>
      <c r="O118" s="7" t="str">
        <f t="shared" si="31"/>
        <v>Anual</v>
      </c>
      <c r="P118" s="2" t="str">
        <f t="shared" ca="1" si="30"/>
        <v>VIGENTE</v>
      </c>
      <c r="Q118" s="6" t="s">
        <v>25</v>
      </c>
      <c r="R118" s="2"/>
    </row>
    <row r="119" spans="1:18" x14ac:dyDescent="0.25">
      <c r="A119" s="23" t="s">
        <v>567</v>
      </c>
      <c r="B119" s="2" t="s">
        <v>1293</v>
      </c>
      <c r="C119" s="3" t="s">
        <v>747</v>
      </c>
      <c r="D119" s="3" t="s">
        <v>23</v>
      </c>
      <c r="E119" s="2" t="s">
        <v>24</v>
      </c>
      <c r="F119" s="4">
        <v>0</v>
      </c>
      <c r="G119" s="8">
        <f t="shared" si="25"/>
        <v>1</v>
      </c>
      <c r="H119" s="4" t="str">
        <f t="shared" si="26"/>
        <v>Ohms</v>
      </c>
      <c r="I119" s="6">
        <v>0.124</v>
      </c>
      <c r="J119" s="6" t="str">
        <f t="shared" si="27"/>
        <v>Ohms</v>
      </c>
      <c r="K119" s="2" t="str">
        <f t="shared" si="23"/>
        <v>RTG</v>
      </c>
      <c r="L119" s="2">
        <v>42831105</v>
      </c>
      <c r="M119" s="7">
        <v>45834</v>
      </c>
      <c r="N119" s="7">
        <f t="shared" si="28"/>
        <v>46199</v>
      </c>
      <c r="O119" s="7" t="str">
        <f t="shared" si="31"/>
        <v>Anual</v>
      </c>
      <c r="P119" s="2" t="str">
        <f t="shared" ca="1" si="30"/>
        <v>VIGENTE</v>
      </c>
      <c r="Q119" s="6" t="s">
        <v>25</v>
      </c>
      <c r="R119" s="2"/>
    </row>
    <row r="120" spans="1:18" x14ac:dyDescent="0.25">
      <c r="A120" s="23" t="s">
        <v>567</v>
      </c>
      <c r="B120" s="2" t="s">
        <v>1294</v>
      </c>
      <c r="C120" s="3" t="s">
        <v>747</v>
      </c>
      <c r="D120" s="3" t="s">
        <v>23</v>
      </c>
      <c r="E120" s="2" t="s">
        <v>24</v>
      </c>
      <c r="F120" s="4">
        <v>0</v>
      </c>
      <c r="G120" s="8">
        <f t="shared" si="25"/>
        <v>1</v>
      </c>
      <c r="H120" s="4" t="str">
        <f t="shared" si="26"/>
        <v>Ohms</v>
      </c>
      <c r="I120" s="6">
        <v>0.20699999999999999</v>
      </c>
      <c r="J120" s="6" t="str">
        <f t="shared" si="27"/>
        <v>Ohms</v>
      </c>
      <c r="K120" s="2" t="str">
        <f t="shared" si="23"/>
        <v>RTG</v>
      </c>
      <c r="L120" s="2">
        <v>42831105</v>
      </c>
      <c r="M120" s="7">
        <v>45834</v>
      </c>
      <c r="N120" s="7">
        <f t="shared" si="28"/>
        <v>46199</v>
      </c>
      <c r="O120" s="7" t="str">
        <f t="shared" si="31"/>
        <v>Anual</v>
      </c>
      <c r="P120" s="2" t="str">
        <f t="shared" ca="1" si="30"/>
        <v>VIGENTE</v>
      </c>
      <c r="Q120" s="6" t="s">
        <v>25</v>
      </c>
      <c r="R120" s="2"/>
    </row>
    <row r="121" spans="1:18" x14ac:dyDescent="0.25">
      <c r="A121" s="23" t="s">
        <v>567</v>
      </c>
      <c r="B121" s="2" t="s">
        <v>1295</v>
      </c>
      <c r="C121" s="3" t="s">
        <v>747</v>
      </c>
      <c r="D121" s="3" t="s">
        <v>23</v>
      </c>
      <c r="E121" s="2" t="s">
        <v>24</v>
      </c>
      <c r="F121" s="4">
        <v>0</v>
      </c>
      <c r="G121" s="8">
        <f t="shared" si="25"/>
        <v>1</v>
      </c>
      <c r="H121" s="4" t="str">
        <f t="shared" si="26"/>
        <v>Ohms</v>
      </c>
      <c r="I121" s="6">
        <v>0.14699999999999999</v>
      </c>
      <c r="J121" s="6" t="str">
        <f t="shared" si="27"/>
        <v>Ohms</v>
      </c>
      <c r="K121" s="2" t="str">
        <f t="shared" si="23"/>
        <v>RTG</v>
      </c>
      <c r="L121" s="2">
        <v>42831105</v>
      </c>
      <c r="M121" s="7">
        <v>45834</v>
      </c>
      <c r="N121" s="7">
        <f t="shared" si="28"/>
        <v>46199</v>
      </c>
      <c r="O121" s="7" t="str">
        <f t="shared" si="31"/>
        <v>Anual</v>
      </c>
      <c r="P121" s="2" t="str">
        <f t="shared" ca="1" si="30"/>
        <v>VIGENTE</v>
      </c>
      <c r="Q121" s="6" t="s">
        <v>25</v>
      </c>
      <c r="R121" s="2"/>
    </row>
    <row r="122" spans="1:18" x14ac:dyDescent="0.25">
      <c r="A122" s="23" t="s">
        <v>567</v>
      </c>
      <c r="B122" s="2" t="s">
        <v>1296</v>
      </c>
      <c r="C122" s="3" t="s">
        <v>261</v>
      </c>
      <c r="D122" s="3" t="s">
        <v>23</v>
      </c>
      <c r="E122" s="2" t="s">
        <v>24</v>
      </c>
      <c r="F122" s="4">
        <v>0</v>
      </c>
      <c r="G122" s="8">
        <f t="shared" si="25"/>
        <v>1</v>
      </c>
      <c r="H122" s="4" t="str">
        <f t="shared" si="26"/>
        <v>Ohms</v>
      </c>
      <c r="I122" s="6">
        <v>0.152</v>
      </c>
      <c r="J122" s="6" t="str">
        <f t="shared" si="27"/>
        <v>Ohms</v>
      </c>
      <c r="K122" s="2" t="str">
        <f t="shared" si="23"/>
        <v>RTG</v>
      </c>
      <c r="L122" s="2">
        <v>42831105</v>
      </c>
      <c r="M122" s="7">
        <v>45834</v>
      </c>
      <c r="N122" s="7">
        <f t="shared" si="28"/>
        <v>46199</v>
      </c>
      <c r="O122" s="7" t="str">
        <f t="shared" si="31"/>
        <v>Anual</v>
      </c>
      <c r="P122" s="2" t="str">
        <f t="shared" ca="1" si="30"/>
        <v>VIGENTE</v>
      </c>
      <c r="Q122" s="6" t="s">
        <v>25</v>
      </c>
      <c r="R122" s="2"/>
    </row>
    <row r="123" spans="1:18" x14ac:dyDescent="0.25">
      <c r="A123" s="23" t="s">
        <v>567</v>
      </c>
      <c r="B123" s="2" t="s">
        <v>1297</v>
      </c>
      <c r="C123" s="3" t="s">
        <v>747</v>
      </c>
      <c r="D123" s="3" t="s">
        <v>23</v>
      </c>
      <c r="E123" s="2" t="s">
        <v>24</v>
      </c>
      <c r="F123" s="4">
        <v>0</v>
      </c>
      <c r="G123" s="8">
        <f t="shared" si="25"/>
        <v>1</v>
      </c>
      <c r="H123" s="4" t="str">
        <f t="shared" si="26"/>
        <v>Ohms</v>
      </c>
      <c r="I123" s="14">
        <v>178000000</v>
      </c>
      <c r="J123" s="6" t="str">
        <f t="shared" si="27"/>
        <v>Ohms</v>
      </c>
      <c r="K123" s="2" t="str">
        <f t="shared" si="23"/>
        <v>RTG</v>
      </c>
      <c r="L123" s="2">
        <v>42831105</v>
      </c>
      <c r="M123" s="7">
        <v>45834</v>
      </c>
      <c r="N123" s="7">
        <f t="shared" si="28"/>
        <v>46199</v>
      </c>
      <c r="O123" s="7" t="str">
        <f t="shared" si="31"/>
        <v>Anual</v>
      </c>
      <c r="P123" s="2" t="str">
        <f t="shared" ca="1" si="30"/>
        <v>VIGENTE</v>
      </c>
      <c r="Q123" s="6" t="s">
        <v>25</v>
      </c>
      <c r="R123" s="2"/>
    </row>
    <row r="124" spans="1:18" x14ac:dyDescent="0.25">
      <c r="A124" s="23" t="s">
        <v>567</v>
      </c>
      <c r="B124" s="2" t="s">
        <v>1298</v>
      </c>
      <c r="C124" s="3" t="s">
        <v>800</v>
      </c>
      <c r="D124" s="3" t="s">
        <v>23</v>
      </c>
      <c r="E124" s="2" t="s">
        <v>24</v>
      </c>
      <c r="F124" s="4">
        <v>0</v>
      </c>
      <c r="G124" s="8">
        <f t="shared" si="25"/>
        <v>10</v>
      </c>
      <c r="H124" s="4" t="str">
        <f t="shared" si="26"/>
        <v>Segundos</v>
      </c>
      <c r="I124" s="14">
        <v>275000000</v>
      </c>
      <c r="J124" s="6" t="str">
        <f t="shared" si="27"/>
        <v>Segundos</v>
      </c>
      <c r="K124" s="2" t="str">
        <f t="shared" si="23"/>
        <v>Plato de carga</v>
      </c>
      <c r="L124" s="2"/>
      <c r="M124" s="7">
        <v>46001</v>
      </c>
      <c r="N124" s="7">
        <f t="shared" si="28"/>
        <v>46091</v>
      </c>
      <c r="O124" s="7" t="str">
        <f t="shared" si="29"/>
        <v>Trimestral</v>
      </c>
      <c r="P124" s="2" t="str">
        <f t="shared" ca="1" si="30"/>
        <v>VENCIDO</v>
      </c>
      <c r="Q124" s="6" t="s">
        <v>25</v>
      </c>
      <c r="R124" s="2"/>
    </row>
    <row r="125" spans="1:18" x14ac:dyDescent="0.25">
      <c r="A125" s="23" t="s">
        <v>1299</v>
      </c>
      <c r="B125" s="2" t="s">
        <v>1300</v>
      </c>
      <c r="C125" s="3" t="s">
        <v>259</v>
      </c>
      <c r="D125" s="3" t="s">
        <v>23</v>
      </c>
      <c r="E125" s="2" t="s">
        <v>24</v>
      </c>
      <c r="F125" s="4">
        <v>0</v>
      </c>
      <c r="G125" s="8">
        <f t="shared" si="25"/>
        <v>1</v>
      </c>
      <c r="H125" s="4" t="str">
        <f t="shared" si="26"/>
        <v>Ohms</v>
      </c>
      <c r="I125" s="6">
        <v>0.158</v>
      </c>
      <c r="J125" s="6" t="str">
        <f t="shared" si="27"/>
        <v>Ohms</v>
      </c>
      <c r="K125" s="2" t="str">
        <f t="shared" si="23"/>
        <v>RTG</v>
      </c>
      <c r="L125" s="2">
        <v>47454885</v>
      </c>
      <c r="M125" s="7">
        <v>45748</v>
      </c>
      <c r="N125" s="7">
        <f t="shared" si="28"/>
        <v>46113</v>
      </c>
      <c r="O125" s="7" t="str">
        <f t="shared" ref="O125:O129" si="32">IF(C125="Ionizador", "Trimestral", IF(C125="Rack", "Anual", IF(C125="Mesa", "Anual", IF(C125="Tapete", "Semestral", IF(C125="Cautín", "Semestral", IF(C125="Silla", "Semestral", "Anual"))))))</f>
        <v>Anual</v>
      </c>
      <c r="P125" s="2" t="str">
        <f t="shared" ca="1" si="30"/>
        <v>VENCIDO</v>
      </c>
      <c r="Q125" s="6" t="s">
        <v>25</v>
      </c>
      <c r="R125" s="2"/>
    </row>
    <row r="126" spans="1:18" x14ac:dyDescent="0.25">
      <c r="A126" s="23" t="s">
        <v>1299</v>
      </c>
      <c r="B126" s="2" t="s">
        <v>1301</v>
      </c>
      <c r="C126" s="3" t="s">
        <v>261</v>
      </c>
      <c r="D126" s="3" t="s">
        <v>23</v>
      </c>
      <c r="E126" s="2" t="s">
        <v>24</v>
      </c>
      <c r="F126" s="4">
        <v>0</v>
      </c>
      <c r="G126" s="8">
        <f t="shared" si="25"/>
        <v>1</v>
      </c>
      <c r="H126" s="4" t="str">
        <f t="shared" si="26"/>
        <v>Ohms</v>
      </c>
      <c r="I126" s="6">
        <v>0.45500000000000002</v>
      </c>
      <c r="J126" s="6" t="str">
        <f t="shared" si="27"/>
        <v>Ohms</v>
      </c>
      <c r="K126" s="2" t="str">
        <f t="shared" ref="K126:K154" si="33">IF(C126="Ionizador", "Plato de carga", IF(C126="Cautín", "PTG", IF(C126="ESD Tester", "PTP Deviation", "RTG")))</f>
        <v>RTG</v>
      </c>
      <c r="L126" s="2">
        <v>47454885</v>
      </c>
      <c r="M126" s="7">
        <v>45748</v>
      </c>
      <c r="N126" s="7">
        <f t="shared" si="28"/>
        <v>46113</v>
      </c>
      <c r="O126" s="7" t="str">
        <f t="shared" si="32"/>
        <v>Anual</v>
      </c>
      <c r="P126" s="2" t="str">
        <f t="shared" ca="1" si="30"/>
        <v>VENCIDO</v>
      </c>
      <c r="Q126" s="6" t="s">
        <v>25</v>
      </c>
      <c r="R126" s="2"/>
    </row>
    <row r="127" spans="1:18" x14ac:dyDescent="0.25">
      <c r="A127" s="23" t="s">
        <v>1299</v>
      </c>
      <c r="B127" s="2" t="s">
        <v>1302</v>
      </c>
      <c r="C127" s="3" t="s">
        <v>1299</v>
      </c>
      <c r="D127" s="3" t="s">
        <v>23</v>
      </c>
      <c r="E127" s="2" t="s">
        <v>24</v>
      </c>
      <c r="F127" s="4">
        <v>0</v>
      </c>
      <c r="G127" s="8">
        <f t="shared" si="25"/>
        <v>1</v>
      </c>
      <c r="H127" s="4" t="str">
        <f t="shared" si="26"/>
        <v>Ohms</v>
      </c>
      <c r="I127" s="6">
        <v>0.71599999999999997</v>
      </c>
      <c r="J127" s="6" t="str">
        <f t="shared" si="27"/>
        <v>Ohms</v>
      </c>
      <c r="K127" s="2" t="str">
        <f t="shared" si="33"/>
        <v>RTG</v>
      </c>
      <c r="L127" s="2">
        <v>47454885</v>
      </c>
      <c r="M127" s="7">
        <v>45748</v>
      </c>
      <c r="N127" s="7">
        <f t="shared" si="28"/>
        <v>46113</v>
      </c>
      <c r="O127" s="7" t="str">
        <f t="shared" si="32"/>
        <v>Anual</v>
      </c>
      <c r="P127" s="2" t="str">
        <f t="shared" ca="1" si="30"/>
        <v>VENCIDO</v>
      </c>
      <c r="Q127" s="6" t="s">
        <v>25</v>
      </c>
      <c r="R127" s="2"/>
    </row>
    <row r="128" spans="1:18" x14ac:dyDescent="0.25">
      <c r="A128" s="23" t="s">
        <v>1299</v>
      </c>
      <c r="B128" s="2" t="s">
        <v>1303</v>
      </c>
      <c r="C128" s="3" t="s">
        <v>265</v>
      </c>
      <c r="D128" s="3" t="s">
        <v>23</v>
      </c>
      <c r="E128" s="2" t="s">
        <v>24</v>
      </c>
      <c r="F128" s="4">
        <v>0</v>
      </c>
      <c r="G128" s="8">
        <f t="shared" si="25"/>
        <v>1</v>
      </c>
      <c r="H128" s="4" t="str">
        <f t="shared" si="26"/>
        <v>Ohms</v>
      </c>
      <c r="I128" s="6">
        <v>0.50800000000000001</v>
      </c>
      <c r="J128" s="6" t="str">
        <f t="shared" si="27"/>
        <v>Ohms</v>
      </c>
      <c r="K128" s="2" t="str">
        <f t="shared" si="33"/>
        <v>RTG</v>
      </c>
      <c r="L128" s="2">
        <v>47454885</v>
      </c>
      <c r="M128" s="7">
        <v>45748</v>
      </c>
      <c r="N128" s="7">
        <f t="shared" si="28"/>
        <v>46113</v>
      </c>
      <c r="O128" s="7" t="str">
        <f t="shared" si="32"/>
        <v>Anual</v>
      </c>
      <c r="P128" s="2" t="str">
        <f t="shared" ca="1" si="30"/>
        <v>VENCIDO</v>
      </c>
      <c r="Q128" s="6" t="s">
        <v>25</v>
      </c>
      <c r="R128" s="2"/>
    </row>
    <row r="129" spans="1:18" x14ac:dyDescent="0.25">
      <c r="A129" s="23" t="s">
        <v>1299</v>
      </c>
      <c r="B129" s="2" t="s">
        <v>1304</v>
      </c>
      <c r="C129" s="3" t="s">
        <v>267</v>
      </c>
      <c r="D129" s="3" t="s">
        <v>23</v>
      </c>
      <c r="E129" s="2" t="s">
        <v>24</v>
      </c>
      <c r="F129" s="4">
        <v>0</v>
      </c>
      <c r="G129" s="8">
        <f t="shared" si="25"/>
        <v>1</v>
      </c>
      <c r="H129" s="4" t="str">
        <f t="shared" si="26"/>
        <v>Ohms</v>
      </c>
      <c r="I129" s="6">
        <v>0.159</v>
      </c>
      <c r="J129" s="6" t="str">
        <f t="shared" si="27"/>
        <v>Ohms</v>
      </c>
      <c r="K129" s="2" t="str">
        <f t="shared" si="33"/>
        <v>RTG</v>
      </c>
      <c r="L129" s="2">
        <v>47454885</v>
      </c>
      <c r="M129" s="7">
        <v>45748</v>
      </c>
      <c r="N129" s="7">
        <f t="shared" si="28"/>
        <v>46113</v>
      </c>
      <c r="O129" s="7" t="str">
        <f t="shared" si="32"/>
        <v>Anual</v>
      </c>
      <c r="P129" s="2" t="str">
        <f t="shared" ca="1" si="30"/>
        <v>VENCIDO</v>
      </c>
      <c r="Q129" s="6" t="s">
        <v>25</v>
      </c>
      <c r="R129" s="2"/>
    </row>
    <row r="130" spans="1:18" x14ac:dyDescent="0.25">
      <c r="A130" s="23" t="s">
        <v>570</v>
      </c>
      <c r="B130" s="2" t="s">
        <v>570</v>
      </c>
      <c r="C130" s="3" t="s">
        <v>1305</v>
      </c>
      <c r="D130" s="3" t="s">
        <v>23</v>
      </c>
      <c r="E130" s="2" t="s">
        <v>24</v>
      </c>
      <c r="F130" s="4">
        <v>0</v>
      </c>
      <c r="G130" s="8">
        <f t="shared" si="25"/>
        <v>1</v>
      </c>
      <c r="H130" s="4" t="str">
        <f t="shared" si="26"/>
        <v>Ohms</v>
      </c>
      <c r="I130" s="6">
        <v>0.16</v>
      </c>
      <c r="J130" s="6" t="str">
        <f t="shared" si="27"/>
        <v>Ohms</v>
      </c>
      <c r="K130" s="2" t="str">
        <f t="shared" si="33"/>
        <v>RTG</v>
      </c>
      <c r="L130" s="2">
        <v>46730160</v>
      </c>
      <c r="M130" s="7">
        <v>45726</v>
      </c>
      <c r="N130" s="7">
        <f t="shared" si="28"/>
        <v>46091</v>
      </c>
      <c r="O130" s="7" t="str">
        <f t="shared" si="29"/>
        <v>Anual</v>
      </c>
      <c r="P130" s="2" t="str">
        <f t="shared" ca="1" si="30"/>
        <v>VENCIDO</v>
      </c>
      <c r="Q130" s="6" t="s">
        <v>25</v>
      </c>
      <c r="R130" s="2"/>
    </row>
    <row r="131" spans="1:18" x14ac:dyDescent="0.25">
      <c r="A131" s="23" t="s">
        <v>572</v>
      </c>
      <c r="B131" s="2" t="s">
        <v>572</v>
      </c>
      <c r="C131" s="3" t="s">
        <v>1305</v>
      </c>
      <c r="D131" s="3" t="s">
        <v>23</v>
      </c>
      <c r="E131" s="2" t="s">
        <v>24</v>
      </c>
      <c r="F131" s="4">
        <v>0</v>
      </c>
      <c r="G131" s="8">
        <f t="shared" si="25"/>
        <v>1</v>
      </c>
      <c r="H131" s="4" t="str">
        <f t="shared" si="26"/>
        <v>Ohms</v>
      </c>
      <c r="I131" s="6">
        <v>0.69699999999999995</v>
      </c>
      <c r="J131" s="6" t="str">
        <f t="shared" si="27"/>
        <v>Ohms</v>
      </c>
      <c r="K131" s="2" t="str">
        <f t="shared" si="33"/>
        <v>RTG</v>
      </c>
      <c r="L131" s="2">
        <v>46730164</v>
      </c>
      <c r="M131" s="7">
        <v>45726</v>
      </c>
      <c r="N131" s="7">
        <f t="shared" si="28"/>
        <v>46091</v>
      </c>
      <c r="O131" s="7" t="str">
        <f t="shared" si="29"/>
        <v>Anual</v>
      </c>
      <c r="P131" s="2" t="str">
        <f t="shared" ca="1" si="30"/>
        <v>VENCIDO</v>
      </c>
      <c r="Q131" s="6" t="s">
        <v>25</v>
      </c>
      <c r="R131" s="2"/>
    </row>
    <row r="132" spans="1:18" x14ac:dyDescent="0.25">
      <c r="A132" s="23" t="s">
        <v>293</v>
      </c>
      <c r="B132" s="2" t="s">
        <v>1306</v>
      </c>
      <c r="C132" s="3" t="s">
        <v>800</v>
      </c>
      <c r="D132" s="3" t="s">
        <v>23</v>
      </c>
      <c r="E132" s="2" t="s">
        <v>829</v>
      </c>
      <c r="F132" s="4">
        <v>0</v>
      </c>
      <c r="G132" s="8">
        <f t="shared" si="25"/>
        <v>10</v>
      </c>
      <c r="H132" s="4" t="str">
        <f t="shared" si="26"/>
        <v>Segundos</v>
      </c>
      <c r="I132" s="6">
        <v>3</v>
      </c>
      <c r="J132" s="6" t="str">
        <f t="shared" si="27"/>
        <v>Segundos</v>
      </c>
      <c r="K132" s="2" t="str">
        <f t="shared" si="33"/>
        <v>Plato de carga</v>
      </c>
      <c r="L132" s="2"/>
      <c r="M132" s="7">
        <v>46001</v>
      </c>
      <c r="N132" s="7">
        <f t="shared" si="28"/>
        <v>46091</v>
      </c>
      <c r="O132" s="7" t="str">
        <f t="shared" si="29"/>
        <v>Trimestral</v>
      </c>
      <c r="P132" s="2" t="str">
        <f t="shared" ca="1" si="30"/>
        <v>VENCIDO</v>
      </c>
      <c r="Q132" s="6" t="s">
        <v>25</v>
      </c>
      <c r="R132" s="2"/>
    </row>
    <row r="133" spans="1:18" x14ac:dyDescent="0.25">
      <c r="A133" s="23" t="s">
        <v>293</v>
      </c>
      <c r="B133" s="2" t="s">
        <v>1307</v>
      </c>
      <c r="C133" s="3" t="s">
        <v>747</v>
      </c>
      <c r="D133" s="3" t="s">
        <v>23</v>
      </c>
      <c r="E133" s="2" t="s">
        <v>24</v>
      </c>
      <c r="F133" s="4">
        <v>0</v>
      </c>
      <c r="G133" s="8">
        <f t="shared" si="25"/>
        <v>1</v>
      </c>
      <c r="H133" s="4" t="str">
        <f t="shared" si="26"/>
        <v>Ohms</v>
      </c>
      <c r="I133" s="6">
        <v>1.2909999999999999</v>
      </c>
      <c r="J133" s="6" t="str">
        <f t="shared" si="27"/>
        <v>Ohms</v>
      </c>
      <c r="K133" s="2" t="str">
        <f t="shared" si="33"/>
        <v>RTG</v>
      </c>
      <c r="L133" s="2">
        <v>50881665</v>
      </c>
      <c r="M133" s="7">
        <v>45882</v>
      </c>
      <c r="N133" s="7">
        <f t="shared" si="28"/>
        <v>46247</v>
      </c>
      <c r="O133" s="7" t="str">
        <f t="shared" ref="O133:O136" si="34">IF(C133="Ionizador", "Trimestral", IF(C133="Rack", "Anual", IF(C133="Mesa", "Anual", IF(C133="Tapete", "Semestral", IF(C133="Cautín", "Semestral", IF(C133="Silla", "Semestral", "Anual"))))))</f>
        <v>Anual</v>
      </c>
      <c r="P133" s="2" t="str">
        <f t="shared" ca="1" si="30"/>
        <v>VIGENTE</v>
      </c>
      <c r="Q133" s="6" t="s">
        <v>25</v>
      </c>
      <c r="R133" s="2"/>
    </row>
    <row r="134" spans="1:18" x14ac:dyDescent="0.25">
      <c r="A134" s="23" t="s">
        <v>293</v>
      </c>
      <c r="B134" s="2" t="s">
        <v>1308</v>
      </c>
      <c r="C134" s="3" t="s">
        <v>747</v>
      </c>
      <c r="D134" s="3" t="s">
        <v>23</v>
      </c>
      <c r="E134" s="2" t="s">
        <v>24</v>
      </c>
      <c r="F134" s="4">
        <v>0</v>
      </c>
      <c r="G134" s="8">
        <f t="shared" si="25"/>
        <v>1</v>
      </c>
      <c r="H134" s="4" t="str">
        <f t="shared" si="26"/>
        <v>Ohms</v>
      </c>
      <c r="I134" s="6">
        <v>0.36599999999999999</v>
      </c>
      <c r="J134" s="6" t="str">
        <f t="shared" si="27"/>
        <v>Ohms</v>
      </c>
      <c r="K134" s="2" t="str">
        <f t="shared" si="33"/>
        <v>RTG</v>
      </c>
      <c r="L134" s="2">
        <v>50881665</v>
      </c>
      <c r="M134" s="7">
        <v>45882</v>
      </c>
      <c r="N134" s="7">
        <f t="shared" si="28"/>
        <v>46247</v>
      </c>
      <c r="O134" s="7" t="str">
        <f t="shared" si="34"/>
        <v>Anual</v>
      </c>
      <c r="P134" s="2" t="str">
        <f t="shared" ca="1" si="30"/>
        <v>VIGENTE</v>
      </c>
      <c r="Q134" s="6" t="s">
        <v>25</v>
      </c>
      <c r="R134" s="2"/>
    </row>
    <row r="135" spans="1:18" x14ac:dyDescent="0.25">
      <c r="A135" s="23" t="s">
        <v>293</v>
      </c>
      <c r="B135" s="2" t="s">
        <v>1309</v>
      </c>
      <c r="C135" s="3" t="s">
        <v>1180</v>
      </c>
      <c r="D135" s="3" t="s">
        <v>23</v>
      </c>
      <c r="E135" s="2" t="s">
        <v>24</v>
      </c>
      <c r="F135" s="4">
        <v>0</v>
      </c>
      <c r="G135" s="8">
        <f t="shared" ref="G135:G154" si="35">IF(C135="Ionizador", 10, IF(C135="Mesa", 1000000000, IF(C135="Rack", 1000000000, IF(C135="Piso", 1000000000, IF(C135="Tapete", 1000000000, IF(C135="Carrito", 1000000000, IF(C135="Cautín", 10, 1)))))))</f>
        <v>1</v>
      </c>
      <c r="H135" s="4" t="str">
        <f t="shared" ref="H135:H154" si="36">IF(C135="Ionizador", "Segundos", "Ohms")</f>
        <v>Ohms</v>
      </c>
      <c r="I135" s="6">
        <v>0.89</v>
      </c>
      <c r="J135" s="6" t="str">
        <f t="shared" ref="J135:J154" si="37">H135</f>
        <v>Ohms</v>
      </c>
      <c r="K135" s="2" t="str">
        <f t="shared" si="33"/>
        <v>RTG</v>
      </c>
      <c r="L135" s="2">
        <v>50881665</v>
      </c>
      <c r="M135" s="7">
        <v>45882</v>
      </c>
      <c r="N135" s="7">
        <f t="shared" ref="N135:N154" si="38">IF(O135="Trimestral", M135+90, IF(O135="Semestral", M135+180, IF(O135="Mensual", M135+30, M135+365)))</f>
        <v>46247</v>
      </c>
      <c r="O135" s="7" t="str">
        <f t="shared" si="34"/>
        <v>Anual</v>
      </c>
      <c r="P135" s="2" t="str">
        <f t="shared" ca="1" si="30"/>
        <v>VIGENTE</v>
      </c>
      <c r="Q135" s="6" t="s">
        <v>25</v>
      </c>
      <c r="R135" s="2"/>
    </row>
    <row r="136" spans="1:18" x14ac:dyDescent="0.25">
      <c r="A136" s="23" t="s">
        <v>293</v>
      </c>
      <c r="B136" s="2" t="s">
        <v>1310</v>
      </c>
      <c r="C136" s="3" t="s">
        <v>1180</v>
      </c>
      <c r="D136" s="3" t="s">
        <v>23</v>
      </c>
      <c r="E136" s="2" t="s">
        <v>24</v>
      </c>
      <c r="F136" s="4">
        <v>0</v>
      </c>
      <c r="G136" s="8">
        <f t="shared" si="35"/>
        <v>1</v>
      </c>
      <c r="H136" s="4" t="str">
        <f t="shared" si="36"/>
        <v>Ohms</v>
      </c>
      <c r="I136" s="6">
        <v>0.75</v>
      </c>
      <c r="J136" s="6" t="str">
        <f t="shared" si="37"/>
        <v>Ohms</v>
      </c>
      <c r="K136" s="2" t="str">
        <f t="shared" si="33"/>
        <v>RTG</v>
      </c>
      <c r="L136" s="2">
        <v>50881665</v>
      </c>
      <c r="M136" s="7">
        <v>45882</v>
      </c>
      <c r="N136" s="7">
        <f t="shared" si="38"/>
        <v>46247</v>
      </c>
      <c r="O136" s="7" t="str">
        <f t="shared" si="34"/>
        <v>Anual</v>
      </c>
      <c r="P136" s="2" t="str">
        <f t="shared" ca="1" si="30"/>
        <v>VIGENTE</v>
      </c>
      <c r="Q136" s="6" t="s">
        <v>25</v>
      </c>
      <c r="R136" s="2"/>
    </row>
    <row r="137" spans="1:18" x14ac:dyDescent="0.25">
      <c r="A137" s="23" t="s">
        <v>308</v>
      </c>
      <c r="B137" s="2" t="s">
        <v>309</v>
      </c>
      <c r="C137" s="3" t="s">
        <v>22</v>
      </c>
      <c r="D137" s="3" t="s">
        <v>23</v>
      </c>
      <c r="E137" s="2" t="s">
        <v>24</v>
      </c>
      <c r="F137" s="4">
        <v>0</v>
      </c>
      <c r="G137" s="8">
        <f t="shared" si="35"/>
        <v>1000000000</v>
      </c>
      <c r="H137" s="4" t="str">
        <f t="shared" si="36"/>
        <v>Ohms</v>
      </c>
      <c r="I137" s="6">
        <v>156000</v>
      </c>
      <c r="J137" s="6" t="str">
        <f t="shared" si="37"/>
        <v>Ohms</v>
      </c>
      <c r="K137" s="2" t="str">
        <f t="shared" si="33"/>
        <v>RTG</v>
      </c>
      <c r="L137" s="2"/>
      <c r="M137" s="7">
        <v>45776</v>
      </c>
      <c r="N137" s="7">
        <f t="shared" si="38"/>
        <v>45956</v>
      </c>
      <c r="O137" s="7" t="str">
        <f t="shared" ref="O137:O153" si="39">IF(C137="Ionizador", "Trimestral", IF(C137="Rack", "Semestral", IF(C137="Mesa", "Semestral", IF(C137="Tapete", "Semestral", IF(C137="Cautín", "Semestral", IF(C137="Silla", "Semestral", "Anual"))))))</f>
        <v>Semestral</v>
      </c>
      <c r="P137" s="2" t="str">
        <f t="shared" ref="P137:P153" ca="1" si="40">IF(N137&lt;TODAY(),"VENCIDO",IF(N137=TODAY(),"VENCE HOY",IF(N137&gt;TODAY(),"VIGENTE")))</f>
        <v>VENCIDO</v>
      </c>
      <c r="Q137" s="13" t="s">
        <v>228</v>
      </c>
      <c r="R137" s="2"/>
    </row>
    <row r="138" spans="1:18" x14ac:dyDescent="0.25">
      <c r="A138" s="23" t="s">
        <v>308</v>
      </c>
      <c r="B138" s="2" t="s">
        <v>310</v>
      </c>
      <c r="C138" s="3" t="s">
        <v>22</v>
      </c>
      <c r="D138" s="3" t="s">
        <v>23</v>
      </c>
      <c r="E138" s="2" t="s">
        <v>24</v>
      </c>
      <c r="F138" s="4">
        <v>0</v>
      </c>
      <c r="G138" s="8">
        <f t="shared" si="35"/>
        <v>1000000000</v>
      </c>
      <c r="H138" s="4" t="str">
        <f t="shared" si="36"/>
        <v>Ohms</v>
      </c>
      <c r="I138" s="6">
        <v>908000000</v>
      </c>
      <c r="J138" s="6" t="str">
        <f t="shared" si="37"/>
        <v>Ohms</v>
      </c>
      <c r="K138" s="2" t="str">
        <f t="shared" si="33"/>
        <v>RTG</v>
      </c>
      <c r="L138" s="2"/>
      <c r="M138" s="7">
        <v>45776</v>
      </c>
      <c r="N138" s="7">
        <f t="shared" si="38"/>
        <v>45956</v>
      </c>
      <c r="O138" s="7" t="str">
        <f t="shared" si="39"/>
        <v>Semestral</v>
      </c>
      <c r="P138" s="2" t="str">
        <f t="shared" ca="1" si="40"/>
        <v>VENCIDO</v>
      </c>
      <c r="Q138" s="13" t="s">
        <v>228</v>
      </c>
      <c r="R138" s="2"/>
    </row>
    <row r="139" spans="1:18" x14ac:dyDescent="0.25">
      <c r="A139" s="23" t="s">
        <v>308</v>
      </c>
      <c r="B139" s="2" t="s">
        <v>311</v>
      </c>
      <c r="C139" s="3" t="s">
        <v>43</v>
      </c>
      <c r="D139" s="3" t="s">
        <v>23</v>
      </c>
      <c r="E139" s="2" t="s">
        <v>24</v>
      </c>
      <c r="F139" s="4">
        <v>0</v>
      </c>
      <c r="G139" s="8">
        <f t="shared" si="35"/>
        <v>1000000000</v>
      </c>
      <c r="H139" s="4" t="str">
        <f t="shared" si="36"/>
        <v>Ohms</v>
      </c>
      <c r="I139" s="6">
        <v>387000000</v>
      </c>
      <c r="J139" s="6" t="str">
        <f t="shared" si="37"/>
        <v>Ohms</v>
      </c>
      <c r="K139" s="2" t="str">
        <f t="shared" si="33"/>
        <v>RTG</v>
      </c>
      <c r="L139" s="2"/>
      <c r="M139" s="7">
        <v>45776</v>
      </c>
      <c r="N139" s="7">
        <f t="shared" si="38"/>
        <v>45956</v>
      </c>
      <c r="O139" s="7" t="str">
        <f t="shared" si="39"/>
        <v>Semestral</v>
      </c>
      <c r="P139" s="2" t="str">
        <f t="shared" ca="1" si="40"/>
        <v>VENCIDO</v>
      </c>
      <c r="Q139" s="13" t="s">
        <v>228</v>
      </c>
      <c r="R139" s="2"/>
    </row>
    <row r="140" spans="1:18" x14ac:dyDescent="0.25">
      <c r="A140" s="23" t="s">
        <v>308</v>
      </c>
      <c r="B140" s="2" t="s">
        <v>312</v>
      </c>
      <c r="C140" s="3" t="s">
        <v>43</v>
      </c>
      <c r="D140" s="3" t="s">
        <v>23</v>
      </c>
      <c r="E140" s="2" t="s">
        <v>24</v>
      </c>
      <c r="F140" s="4">
        <v>0</v>
      </c>
      <c r="G140" s="8">
        <f t="shared" si="35"/>
        <v>1000000000</v>
      </c>
      <c r="H140" s="4" t="str">
        <f t="shared" si="36"/>
        <v>Ohms</v>
      </c>
      <c r="I140" s="6">
        <v>387000000</v>
      </c>
      <c r="J140" s="6" t="str">
        <f t="shared" si="37"/>
        <v>Ohms</v>
      </c>
      <c r="K140" s="2" t="str">
        <f t="shared" si="33"/>
        <v>RTG</v>
      </c>
      <c r="L140" s="2"/>
      <c r="M140" s="7">
        <v>45776</v>
      </c>
      <c r="N140" s="7">
        <f t="shared" si="38"/>
        <v>45956</v>
      </c>
      <c r="O140" s="7" t="str">
        <f t="shared" si="39"/>
        <v>Semestral</v>
      </c>
      <c r="P140" s="2" t="str">
        <f t="shared" ca="1" si="40"/>
        <v>VENCIDO</v>
      </c>
      <c r="Q140" s="13" t="s">
        <v>228</v>
      </c>
      <c r="R140" s="2"/>
    </row>
    <row r="141" spans="1:18" x14ac:dyDescent="0.25">
      <c r="A141" s="23" t="s">
        <v>308</v>
      </c>
      <c r="B141" s="2" t="s">
        <v>313</v>
      </c>
      <c r="C141" s="3" t="s">
        <v>28</v>
      </c>
      <c r="D141" s="3" t="s">
        <v>23</v>
      </c>
      <c r="E141" s="2" t="s">
        <v>24</v>
      </c>
      <c r="F141" s="4">
        <v>0</v>
      </c>
      <c r="G141" s="8">
        <f t="shared" si="35"/>
        <v>1000000000</v>
      </c>
      <c r="H141" s="4" t="str">
        <f t="shared" si="36"/>
        <v>Ohms</v>
      </c>
      <c r="I141" s="6">
        <v>34500000</v>
      </c>
      <c r="J141" s="6" t="str">
        <f t="shared" si="37"/>
        <v>Ohms</v>
      </c>
      <c r="K141" s="2" t="str">
        <f t="shared" si="33"/>
        <v>RTG</v>
      </c>
      <c r="L141" s="2"/>
      <c r="M141" s="7">
        <v>45776</v>
      </c>
      <c r="N141" s="7">
        <f t="shared" si="38"/>
        <v>45956</v>
      </c>
      <c r="O141" s="7" t="str">
        <f t="shared" si="39"/>
        <v>Semestral</v>
      </c>
      <c r="P141" s="2" t="str">
        <f t="shared" ca="1" si="40"/>
        <v>VENCIDO</v>
      </c>
      <c r="Q141" s="13" t="s">
        <v>228</v>
      </c>
      <c r="R141" s="2" t="s">
        <v>29</v>
      </c>
    </row>
    <row r="142" spans="1:18" x14ac:dyDescent="0.25">
      <c r="A142" s="23" t="s">
        <v>308</v>
      </c>
      <c r="B142" s="2" t="s">
        <v>314</v>
      </c>
      <c r="C142" s="3" t="s">
        <v>28</v>
      </c>
      <c r="D142" s="3" t="s">
        <v>23</v>
      </c>
      <c r="E142" s="2" t="s">
        <v>24</v>
      </c>
      <c r="F142" s="4">
        <v>0</v>
      </c>
      <c r="G142" s="8">
        <f t="shared" si="35"/>
        <v>1000000000</v>
      </c>
      <c r="H142" s="4" t="str">
        <f t="shared" si="36"/>
        <v>Ohms</v>
      </c>
      <c r="I142" s="6">
        <v>10500000</v>
      </c>
      <c r="J142" s="6" t="str">
        <f t="shared" si="37"/>
        <v>Ohms</v>
      </c>
      <c r="K142" s="2" t="str">
        <f t="shared" si="33"/>
        <v>RTG</v>
      </c>
      <c r="L142" s="2"/>
      <c r="M142" s="7">
        <v>45776</v>
      </c>
      <c r="N142" s="7">
        <f t="shared" si="38"/>
        <v>45956</v>
      </c>
      <c r="O142" s="7" t="str">
        <f t="shared" si="39"/>
        <v>Semestral</v>
      </c>
      <c r="P142" s="2" t="str">
        <f t="shared" ca="1" si="40"/>
        <v>VENCIDO</v>
      </c>
      <c r="Q142" s="13" t="s">
        <v>228</v>
      </c>
      <c r="R142" s="2" t="s">
        <v>29</v>
      </c>
    </row>
    <row r="143" spans="1:18" x14ac:dyDescent="0.25">
      <c r="A143" s="23" t="s">
        <v>308</v>
      </c>
      <c r="B143" s="2" t="s">
        <v>315</v>
      </c>
      <c r="C143" s="3" t="s">
        <v>28</v>
      </c>
      <c r="D143" s="3" t="s">
        <v>23</v>
      </c>
      <c r="E143" s="2" t="s">
        <v>24</v>
      </c>
      <c r="F143" s="4">
        <v>0</v>
      </c>
      <c r="G143" s="8">
        <f t="shared" si="35"/>
        <v>1000000000</v>
      </c>
      <c r="H143" s="4" t="str">
        <f t="shared" si="36"/>
        <v>Ohms</v>
      </c>
      <c r="I143" s="6">
        <v>276000000</v>
      </c>
      <c r="J143" s="6" t="str">
        <f t="shared" si="37"/>
        <v>Ohms</v>
      </c>
      <c r="K143" s="2" t="str">
        <f t="shared" si="33"/>
        <v>RTG</v>
      </c>
      <c r="L143" s="2"/>
      <c r="M143" s="7">
        <v>45776</v>
      </c>
      <c r="N143" s="7">
        <f t="shared" si="38"/>
        <v>45956</v>
      </c>
      <c r="O143" s="7" t="str">
        <f t="shared" si="39"/>
        <v>Semestral</v>
      </c>
      <c r="P143" s="2" t="str">
        <f t="shared" ca="1" si="40"/>
        <v>VENCIDO</v>
      </c>
      <c r="Q143" s="13" t="s">
        <v>228</v>
      </c>
      <c r="R143" s="2" t="s">
        <v>29</v>
      </c>
    </row>
    <row r="144" spans="1:18" x14ac:dyDescent="0.25">
      <c r="A144" s="23" t="s">
        <v>308</v>
      </c>
      <c r="B144" s="2" t="s">
        <v>316</v>
      </c>
      <c r="C144" s="3" t="s">
        <v>28</v>
      </c>
      <c r="D144" s="3" t="s">
        <v>23</v>
      </c>
      <c r="E144" s="2" t="s">
        <v>24</v>
      </c>
      <c r="F144" s="4">
        <v>0</v>
      </c>
      <c r="G144" s="8">
        <f t="shared" si="35"/>
        <v>1000000000</v>
      </c>
      <c r="H144" s="4" t="str">
        <f t="shared" si="36"/>
        <v>Ohms</v>
      </c>
      <c r="I144" s="6">
        <v>346000000</v>
      </c>
      <c r="J144" s="6" t="str">
        <f t="shared" si="37"/>
        <v>Ohms</v>
      </c>
      <c r="K144" s="2" t="str">
        <f t="shared" si="33"/>
        <v>RTG</v>
      </c>
      <c r="L144" s="2"/>
      <c r="M144" s="7">
        <v>45776</v>
      </c>
      <c r="N144" s="7">
        <f t="shared" si="38"/>
        <v>45956</v>
      </c>
      <c r="O144" s="7" t="str">
        <f t="shared" si="39"/>
        <v>Semestral</v>
      </c>
      <c r="P144" s="2" t="str">
        <f t="shared" ca="1" si="40"/>
        <v>VENCIDO</v>
      </c>
      <c r="Q144" s="13" t="s">
        <v>228</v>
      </c>
      <c r="R144" s="2" t="s">
        <v>29</v>
      </c>
    </row>
    <row r="145" spans="1:18" x14ac:dyDescent="0.25">
      <c r="A145" s="23" t="s">
        <v>308</v>
      </c>
      <c r="B145" s="2" t="s">
        <v>317</v>
      </c>
      <c r="C145" s="3" t="s">
        <v>28</v>
      </c>
      <c r="D145" s="3" t="s">
        <v>23</v>
      </c>
      <c r="E145" s="2" t="s">
        <v>24</v>
      </c>
      <c r="F145" s="4">
        <v>0</v>
      </c>
      <c r="G145" s="8">
        <f t="shared" si="35"/>
        <v>1000000000</v>
      </c>
      <c r="H145" s="4" t="str">
        <f t="shared" si="36"/>
        <v>Ohms</v>
      </c>
      <c r="I145" s="6">
        <v>572000000</v>
      </c>
      <c r="J145" s="6" t="str">
        <f t="shared" si="37"/>
        <v>Ohms</v>
      </c>
      <c r="K145" s="2" t="str">
        <f t="shared" si="33"/>
        <v>RTG</v>
      </c>
      <c r="L145" s="2"/>
      <c r="M145" s="7">
        <v>45776</v>
      </c>
      <c r="N145" s="7">
        <f t="shared" si="38"/>
        <v>45956</v>
      </c>
      <c r="O145" s="7" t="str">
        <f t="shared" si="39"/>
        <v>Semestral</v>
      </c>
      <c r="P145" s="2" t="str">
        <f t="shared" ca="1" si="40"/>
        <v>VENCIDO</v>
      </c>
      <c r="Q145" s="13" t="s">
        <v>228</v>
      </c>
      <c r="R145" s="2" t="s">
        <v>29</v>
      </c>
    </row>
    <row r="146" spans="1:18" x14ac:dyDescent="0.25">
      <c r="A146" s="23" t="s">
        <v>308</v>
      </c>
      <c r="B146" s="2" t="s">
        <v>318</v>
      </c>
      <c r="C146" s="3" t="s">
        <v>28</v>
      </c>
      <c r="D146" s="3" t="s">
        <v>23</v>
      </c>
      <c r="E146" s="2" t="s">
        <v>24</v>
      </c>
      <c r="F146" s="4">
        <v>0</v>
      </c>
      <c r="G146" s="8">
        <f t="shared" si="35"/>
        <v>1000000000</v>
      </c>
      <c r="H146" s="4" t="str">
        <f t="shared" si="36"/>
        <v>Ohms</v>
      </c>
      <c r="I146" s="6">
        <v>9660000</v>
      </c>
      <c r="J146" s="6" t="str">
        <f t="shared" si="37"/>
        <v>Ohms</v>
      </c>
      <c r="K146" s="2" t="str">
        <f t="shared" si="33"/>
        <v>RTG</v>
      </c>
      <c r="L146" s="2"/>
      <c r="M146" s="7">
        <v>45776</v>
      </c>
      <c r="N146" s="7">
        <f t="shared" si="38"/>
        <v>45956</v>
      </c>
      <c r="O146" s="7" t="str">
        <f t="shared" si="39"/>
        <v>Semestral</v>
      </c>
      <c r="P146" s="2" t="str">
        <f t="shared" ca="1" si="40"/>
        <v>VENCIDO</v>
      </c>
      <c r="Q146" s="13" t="s">
        <v>228</v>
      </c>
      <c r="R146" s="2" t="s">
        <v>29</v>
      </c>
    </row>
    <row r="147" spans="1:18" x14ac:dyDescent="0.25">
      <c r="A147" s="23" t="s">
        <v>319</v>
      </c>
      <c r="B147" s="2" t="s">
        <v>320</v>
      </c>
      <c r="C147" s="3" t="s">
        <v>22</v>
      </c>
      <c r="D147" s="3" t="s">
        <v>23</v>
      </c>
      <c r="E147" s="2" t="s">
        <v>24</v>
      </c>
      <c r="F147" s="4">
        <v>0</v>
      </c>
      <c r="G147" s="8">
        <f t="shared" si="35"/>
        <v>1000000000</v>
      </c>
      <c r="H147" s="4" t="str">
        <f t="shared" si="36"/>
        <v>Ohms</v>
      </c>
      <c r="I147" s="6">
        <v>792000000</v>
      </c>
      <c r="J147" s="6" t="str">
        <f t="shared" si="37"/>
        <v>Ohms</v>
      </c>
      <c r="K147" s="2" t="str">
        <f t="shared" si="33"/>
        <v>RTG</v>
      </c>
      <c r="L147" s="2"/>
      <c r="M147" s="7">
        <v>45768</v>
      </c>
      <c r="N147" s="7">
        <f t="shared" si="38"/>
        <v>45948</v>
      </c>
      <c r="O147" s="7" t="str">
        <f t="shared" si="39"/>
        <v>Semestral</v>
      </c>
      <c r="P147" s="2" t="str">
        <f t="shared" ca="1" si="40"/>
        <v>VENCIDO</v>
      </c>
      <c r="Q147" s="13" t="s">
        <v>228</v>
      </c>
      <c r="R147" s="2"/>
    </row>
    <row r="148" spans="1:18" x14ac:dyDescent="0.25">
      <c r="A148" s="23" t="s">
        <v>319</v>
      </c>
      <c r="B148" s="2" t="s">
        <v>321</v>
      </c>
      <c r="C148" s="3" t="s">
        <v>22</v>
      </c>
      <c r="D148" s="3" t="s">
        <v>23</v>
      </c>
      <c r="E148" s="2" t="s">
        <v>24</v>
      </c>
      <c r="F148" s="4">
        <v>0</v>
      </c>
      <c r="G148" s="8">
        <f t="shared" si="35"/>
        <v>1000000000</v>
      </c>
      <c r="H148" s="4" t="str">
        <f t="shared" si="36"/>
        <v>Ohms</v>
      </c>
      <c r="I148" s="6">
        <v>144000000</v>
      </c>
      <c r="J148" s="6" t="str">
        <f t="shared" si="37"/>
        <v>Ohms</v>
      </c>
      <c r="K148" s="2" t="str">
        <f t="shared" si="33"/>
        <v>RTG</v>
      </c>
      <c r="L148" s="2"/>
      <c r="M148" s="7">
        <v>45768</v>
      </c>
      <c r="N148" s="7">
        <f t="shared" si="38"/>
        <v>45948</v>
      </c>
      <c r="O148" s="7" t="str">
        <f t="shared" si="39"/>
        <v>Semestral</v>
      </c>
      <c r="P148" s="2" t="str">
        <f t="shared" ca="1" si="40"/>
        <v>VENCIDO</v>
      </c>
      <c r="Q148" s="13" t="s">
        <v>228</v>
      </c>
      <c r="R148" s="2"/>
    </row>
    <row r="149" spans="1:18" x14ac:dyDescent="0.25">
      <c r="A149" s="23" t="s">
        <v>319</v>
      </c>
      <c r="B149" s="2" t="s">
        <v>322</v>
      </c>
      <c r="C149" s="3" t="s">
        <v>43</v>
      </c>
      <c r="D149" s="3" t="s">
        <v>23</v>
      </c>
      <c r="E149" s="2" t="s">
        <v>24</v>
      </c>
      <c r="F149" s="4">
        <v>0</v>
      </c>
      <c r="G149" s="8">
        <f t="shared" si="35"/>
        <v>1000000000</v>
      </c>
      <c r="H149" s="4" t="str">
        <f t="shared" si="36"/>
        <v>Ohms</v>
      </c>
      <c r="I149" s="6">
        <v>709000</v>
      </c>
      <c r="J149" s="6" t="str">
        <f t="shared" si="37"/>
        <v>Ohms</v>
      </c>
      <c r="K149" s="2" t="str">
        <f t="shared" si="33"/>
        <v>RTG</v>
      </c>
      <c r="L149" s="2"/>
      <c r="M149" s="7">
        <v>45768</v>
      </c>
      <c r="N149" s="7">
        <f t="shared" si="38"/>
        <v>45948</v>
      </c>
      <c r="O149" s="7" t="str">
        <f t="shared" si="39"/>
        <v>Semestral</v>
      </c>
      <c r="P149" s="2" t="str">
        <f t="shared" ca="1" si="40"/>
        <v>VENCIDO</v>
      </c>
      <c r="Q149" s="13" t="s">
        <v>228</v>
      </c>
      <c r="R149" s="2"/>
    </row>
    <row r="150" spans="1:18" x14ac:dyDescent="0.25">
      <c r="A150" s="23" t="s">
        <v>319</v>
      </c>
      <c r="B150" s="2" t="s">
        <v>323</v>
      </c>
      <c r="C150" s="3" t="s">
        <v>43</v>
      </c>
      <c r="D150" s="3" t="s">
        <v>23</v>
      </c>
      <c r="E150" s="2" t="s">
        <v>24</v>
      </c>
      <c r="F150" s="4">
        <v>0</v>
      </c>
      <c r="G150" s="8">
        <f t="shared" si="35"/>
        <v>1000000000</v>
      </c>
      <c r="H150" s="4" t="str">
        <f t="shared" si="36"/>
        <v>Ohms</v>
      </c>
      <c r="I150" s="6">
        <v>831000</v>
      </c>
      <c r="J150" s="6" t="str">
        <f t="shared" si="37"/>
        <v>Ohms</v>
      </c>
      <c r="K150" s="2" t="str">
        <f t="shared" si="33"/>
        <v>RTG</v>
      </c>
      <c r="L150" s="2"/>
      <c r="M150" s="7">
        <v>45768</v>
      </c>
      <c r="N150" s="7">
        <f t="shared" si="38"/>
        <v>45948</v>
      </c>
      <c r="O150" s="7" t="str">
        <f t="shared" si="39"/>
        <v>Semestral</v>
      </c>
      <c r="P150" s="2" t="str">
        <f t="shared" ca="1" si="40"/>
        <v>VENCIDO</v>
      </c>
      <c r="Q150" s="13" t="s">
        <v>228</v>
      </c>
      <c r="R150" s="2"/>
    </row>
    <row r="151" spans="1:18" x14ac:dyDescent="0.25">
      <c r="A151" s="23" t="s">
        <v>319</v>
      </c>
      <c r="B151" s="2" t="s">
        <v>324</v>
      </c>
      <c r="C151" s="3" t="s">
        <v>28</v>
      </c>
      <c r="D151" s="3" t="s">
        <v>23</v>
      </c>
      <c r="E151" s="2" t="s">
        <v>24</v>
      </c>
      <c r="F151" s="4">
        <v>0</v>
      </c>
      <c r="G151" s="8">
        <f t="shared" si="35"/>
        <v>1000000000</v>
      </c>
      <c r="H151" s="4" t="str">
        <f t="shared" si="36"/>
        <v>Ohms</v>
      </c>
      <c r="I151" s="6">
        <v>231000000</v>
      </c>
      <c r="J151" s="6" t="str">
        <f t="shared" si="37"/>
        <v>Ohms</v>
      </c>
      <c r="K151" s="2" t="str">
        <f t="shared" si="33"/>
        <v>RTG</v>
      </c>
      <c r="L151" s="2"/>
      <c r="M151" s="7">
        <v>45768</v>
      </c>
      <c r="N151" s="7">
        <f t="shared" si="38"/>
        <v>45948</v>
      </c>
      <c r="O151" s="7" t="str">
        <f t="shared" si="39"/>
        <v>Semestral</v>
      </c>
      <c r="P151" s="2" t="str">
        <f t="shared" ca="1" si="40"/>
        <v>VENCIDO</v>
      </c>
      <c r="Q151" s="13" t="s">
        <v>228</v>
      </c>
      <c r="R151" s="2" t="s">
        <v>29</v>
      </c>
    </row>
    <row r="152" spans="1:18" x14ac:dyDescent="0.25">
      <c r="A152" s="23" t="s">
        <v>319</v>
      </c>
      <c r="B152" s="2" t="s">
        <v>325</v>
      </c>
      <c r="C152" s="3" t="s">
        <v>28</v>
      </c>
      <c r="D152" s="3" t="s">
        <v>23</v>
      </c>
      <c r="E152" s="2" t="s">
        <v>24</v>
      </c>
      <c r="F152" s="4">
        <v>0</v>
      </c>
      <c r="G152" s="8">
        <f t="shared" si="35"/>
        <v>1000000000</v>
      </c>
      <c r="H152" s="4" t="str">
        <f t="shared" si="36"/>
        <v>Ohms</v>
      </c>
      <c r="I152" s="6">
        <v>5220000</v>
      </c>
      <c r="J152" s="6" t="str">
        <f t="shared" si="37"/>
        <v>Ohms</v>
      </c>
      <c r="K152" s="2" t="str">
        <f t="shared" si="33"/>
        <v>RTG</v>
      </c>
      <c r="L152" s="2"/>
      <c r="M152" s="7">
        <v>45768</v>
      </c>
      <c r="N152" s="7">
        <f t="shared" si="38"/>
        <v>45948</v>
      </c>
      <c r="O152" s="7" t="str">
        <f t="shared" si="39"/>
        <v>Semestral</v>
      </c>
      <c r="P152" s="2" t="str">
        <f t="shared" ca="1" si="40"/>
        <v>VENCIDO</v>
      </c>
      <c r="Q152" s="13" t="s">
        <v>228</v>
      </c>
      <c r="R152" s="2" t="s">
        <v>29</v>
      </c>
    </row>
    <row r="153" spans="1:18" x14ac:dyDescent="0.25">
      <c r="A153" s="23" t="s">
        <v>319</v>
      </c>
      <c r="B153" s="2" t="s">
        <v>326</v>
      </c>
      <c r="C153" s="3" t="s">
        <v>28</v>
      </c>
      <c r="D153" s="3" t="s">
        <v>23</v>
      </c>
      <c r="E153" s="2" t="s">
        <v>24</v>
      </c>
      <c r="F153" s="4">
        <v>0</v>
      </c>
      <c r="G153" s="8">
        <f t="shared" si="35"/>
        <v>1000000000</v>
      </c>
      <c r="H153" s="4" t="str">
        <f t="shared" si="36"/>
        <v>Ohms</v>
      </c>
      <c r="I153" s="6">
        <v>15900000</v>
      </c>
      <c r="J153" s="6" t="str">
        <f t="shared" si="37"/>
        <v>Ohms</v>
      </c>
      <c r="K153" s="2" t="str">
        <f t="shared" si="33"/>
        <v>RTG</v>
      </c>
      <c r="L153" s="2"/>
      <c r="M153" s="7">
        <v>45768</v>
      </c>
      <c r="N153" s="7">
        <f t="shared" si="38"/>
        <v>45948</v>
      </c>
      <c r="O153" s="7" t="str">
        <f t="shared" si="39"/>
        <v>Semestral</v>
      </c>
      <c r="P153" s="2" t="str">
        <f t="shared" ca="1" si="40"/>
        <v>VENCIDO</v>
      </c>
      <c r="Q153" s="13" t="s">
        <v>228</v>
      </c>
      <c r="R153" s="2" t="s">
        <v>29</v>
      </c>
    </row>
    <row r="154" spans="1:18" x14ac:dyDescent="0.25">
      <c r="A154" s="23" t="s">
        <v>121</v>
      </c>
      <c r="B154" s="21" t="s">
        <v>1311</v>
      </c>
      <c r="C154" s="3" t="s">
        <v>123</v>
      </c>
      <c r="D154" s="3" t="s">
        <v>23</v>
      </c>
      <c r="E154" s="2" t="s">
        <v>24</v>
      </c>
      <c r="F154" s="4">
        <v>0</v>
      </c>
      <c r="G154" s="8">
        <f t="shared" si="35"/>
        <v>1</v>
      </c>
      <c r="H154" s="4" t="str">
        <f t="shared" si="36"/>
        <v>Ohms</v>
      </c>
      <c r="I154" s="6">
        <v>0.20699999999999999</v>
      </c>
      <c r="J154" s="6" t="str">
        <f t="shared" si="37"/>
        <v>Ohms</v>
      </c>
      <c r="K154" s="2" t="str">
        <f t="shared" si="33"/>
        <v>RTG</v>
      </c>
      <c r="L154" s="2"/>
      <c r="M154" s="7">
        <v>45838</v>
      </c>
      <c r="N154" s="7">
        <f t="shared" si="38"/>
        <v>46203</v>
      </c>
      <c r="O154" s="7" t="str">
        <f t="shared" ref="O154:O187" si="41">IF(C154="Ionizador", "Trimestral", IF(C154="Rack", "Anual", IF(C154="Mesa", "Anual", IF(C154="Tapete", "Semestral", IF(C154="Cautín", "Semestral", IF(C154="Silla", "Semestral", "Anual"))))))</f>
        <v>Anual</v>
      </c>
      <c r="P154" s="2" t="str">
        <f t="shared" ref="P154:P217" ca="1" si="42">IF(N154&lt;TODAY(),"VENCIDO",IF(N154=TODAY(),"VIGENTE",IF(N154&gt;TODAY(),"VIGENTE")))</f>
        <v>VIGENTE</v>
      </c>
      <c r="Q154" s="6" t="s">
        <v>25</v>
      </c>
      <c r="R154" s="2"/>
    </row>
    <row r="155" spans="1:18" x14ac:dyDescent="0.25">
      <c r="A155" s="23" t="s">
        <v>1312</v>
      </c>
      <c r="B155" s="21" t="s">
        <v>1313</v>
      </c>
      <c r="C155" s="3" t="s">
        <v>747</v>
      </c>
      <c r="D155" s="3" t="s">
        <v>23</v>
      </c>
      <c r="E155" s="2" t="s">
        <v>1256</v>
      </c>
      <c r="F155" s="4">
        <v>0</v>
      </c>
      <c r="G155" s="8">
        <v>1</v>
      </c>
      <c r="H155" s="4" t="s">
        <v>1314</v>
      </c>
      <c r="I155" s="6">
        <v>0.159</v>
      </c>
      <c r="J155" s="6" t="s">
        <v>1314</v>
      </c>
      <c r="K155" s="2" t="str">
        <f t="shared" ref="K155:K163" si="43">IF(C155="Ionizador", "Plato de carga", IF(C155="Cautín", "PTG", IF(C155="ESD Tester", "PTP Deviation", "RTG")))</f>
        <v>RTG</v>
      </c>
      <c r="L155" s="2">
        <v>52184709</v>
      </c>
      <c r="M155" s="7">
        <v>45940</v>
      </c>
      <c r="N155" s="7">
        <f t="shared" ref="N155:N170" si="44">IF(O155="Trimestral", M155+90, IF(O155="Semestral", M155+180, IF(O155="Mensual", M155+30, M155+365)))</f>
        <v>46305</v>
      </c>
      <c r="O155" s="7" t="str">
        <f t="shared" si="41"/>
        <v>Anual</v>
      </c>
      <c r="P155" s="2" t="str">
        <f t="shared" ca="1" si="42"/>
        <v>VIGENTE</v>
      </c>
      <c r="Q155" s="6" t="s">
        <v>25</v>
      </c>
      <c r="R155" s="2"/>
    </row>
    <row r="156" spans="1:18" x14ac:dyDescent="0.25">
      <c r="A156" s="23" t="s">
        <v>1312</v>
      </c>
      <c r="B156" s="21" t="s">
        <v>1315</v>
      </c>
      <c r="C156" s="3" t="s">
        <v>747</v>
      </c>
      <c r="D156" s="3" t="s">
        <v>23</v>
      </c>
      <c r="E156" s="2" t="s">
        <v>1256</v>
      </c>
      <c r="F156" s="4">
        <v>0</v>
      </c>
      <c r="G156" s="8">
        <v>1</v>
      </c>
      <c r="H156" s="4" t="s">
        <v>1314</v>
      </c>
      <c r="I156" s="6">
        <v>0.156</v>
      </c>
      <c r="J156" s="6" t="s">
        <v>1314</v>
      </c>
      <c r="K156" s="2" t="str">
        <f t="shared" si="43"/>
        <v>RTG</v>
      </c>
      <c r="L156" s="2">
        <v>52184709</v>
      </c>
      <c r="M156" s="7">
        <v>45940</v>
      </c>
      <c r="N156" s="7">
        <f t="shared" si="44"/>
        <v>46305</v>
      </c>
      <c r="O156" s="7" t="str">
        <f t="shared" si="41"/>
        <v>Anual</v>
      </c>
      <c r="P156" s="2" t="str">
        <f t="shared" ca="1" si="42"/>
        <v>VIGENTE</v>
      </c>
      <c r="Q156" s="6" t="s">
        <v>25</v>
      </c>
      <c r="R156" s="2"/>
    </row>
    <row r="157" spans="1:18" x14ac:dyDescent="0.25">
      <c r="A157" s="23" t="s">
        <v>1312</v>
      </c>
      <c r="B157" s="21" t="s">
        <v>1316</v>
      </c>
      <c r="C157" s="3" t="s">
        <v>747</v>
      </c>
      <c r="D157" s="3" t="s">
        <v>23</v>
      </c>
      <c r="E157" s="2" t="s">
        <v>1256</v>
      </c>
      <c r="F157" s="4">
        <v>0</v>
      </c>
      <c r="G157" s="8">
        <v>1</v>
      </c>
      <c r="H157" s="4" t="s">
        <v>1314</v>
      </c>
      <c r="I157" s="6">
        <v>0.32100000000000001</v>
      </c>
      <c r="J157" s="6" t="s">
        <v>1314</v>
      </c>
      <c r="K157" s="2" t="str">
        <f t="shared" si="43"/>
        <v>RTG</v>
      </c>
      <c r="L157" s="2">
        <v>52184709</v>
      </c>
      <c r="M157" s="7">
        <v>45940</v>
      </c>
      <c r="N157" s="7">
        <f t="shared" si="44"/>
        <v>46305</v>
      </c>
      <c r="O157" s="7" t="str">
        <f t="shared" si="41"/>
        <v>Anual</v>
      </c>
      <c r="P157" s="2" t="str">
        <f t="shared" ca="1" si="42"/>
        <v>VIGENTE</v>
      </c>
      <c r="Q157" s="6" t="s">
        <v>25</v>
      </c>
      <c r="R157" s="2"/>
    </row>
    <row r="158" spans="1:18" x14ac:dyDescent="0.25">
      <c r="A158" s="23" t="s">
        <v>1312</v>
      </c>
      <c r="B158" s="21" t="s">
        <v>1317</v>
      </c>
      <c r="C158" s="3" t="s">
        <v>747</v>
      </c>
      <c r="D158" s="3" t="s">
        <v>23</v>
      </c>
      <c r="E158" s="2" t="s">
        <v>1256</v>
      </c>
      <c r="F158" s="4">
        <v>0</v>
      </c>
      <c r="G158" s="8">
        <v>1</v>
      </c>
      <c r="H158" s="4" t="s">
        <v>1314</v>
      </c>
      <c r="I158" s="6">
        <v>0.26100000000000001</v>
      </c>
      <c r="J158" s="6" t="s">
        <v>1314</v>
      </c>
      <c r="K158" s="2" t="str">
        <f t="shared" si="43"/>
        <v>RTG</v>
      </c>
      <c r="L158" s="2">
        <v>52184709</v>
      </c>
      <c r="M158" s="7">
        <v>45940</v>
      </c>
      <c r="N158" s="7">
        <f t="shared" si="44"/>
        <v>46305</v>
      </c>
      <c r="O158" s="7" t="str">
        <f t="shared" si="41"/>
        <v>Anual</v>
      </c>
      <c r="P158" s="2" t="str">
        <f t="shared" ca="1" si="42"/>
        <v>VIGENTE</v>
      </c>
      <c r="Q158" s="6" t="s">
        <v>25</v>
      </c>
      <c r="R158" s="2"/>
    </row>
    <row r="159" spans="1:18" x14ac:dyDescent="0.25">
      <c r="A159" s="23" t="s">
        <v>1312</v>
      </c>
      <c r="B159" s="21" t="s">
        <v>1318</v>
      </c>
      <c r="C159" s="3" t="s">
        <v>747</v>
      </c>
      <c r="D159" s="3" t="s">
        <v>23</v>
      </c>
      <c r="E159" s="2" t="s">
        <v>1256</v>
      </c>
      <c r="F159" s="4">
        <v>0</v>
      </c>
      <c r="G159" s="8">
        <v>1</v>
      </c>
      <c r="H159" s="4" t="s">
        <v>1314</v>
      </c>
      <c r="I159" s="6">
        <v>0.184</v>
      </c>
      <c r="J159" s="6" t="s">
        <v>1314</v>
      </c>
      <c r="K159" s="2" t="str">
        <f t="shared" si="43"/>
        <v>RTG</v>
      </c>
      <c r="L159" s="2">
        <v>52184709</v>
      </c>
      <c r="M159" s="7">
        <v>45940</v>
      </c>
      <c r="N159" s="7">
        <f t="shared" si="44"/>
        <v>46305</v>
      </c>
      <c r="O159" s="7" t="str">
        <f t="shared" si="41"/>
        <v>Anual</v>
      </c>
      <c r="P159" s="2" t="str">
        <f t="shared" ca="1" si="42"/>
        <v>VIGENTE</v>
      </c>
      <c r="Q159" s="6" t="s">
        <v>25</v>
      </c>
      <c r="R159" s="2"/>
    </row>
    <row r="160" spans="1:18" x14ac:dyDescent="0.25">
      <c r="A160" s="23" t="s">
        <v>1312</v>
      </c>
      <c r="B160" s="21" t="s">
        <v>1319</v>
      </c>
      <c r="C160" s="3" t="s">
        <v>747</v>
      </c>
      <c r="D160" s="3" t="s">
        <v>23</v>
      </c>
      <c r="E160" s="2" t="s">
        <v>1256</v>
      </c>
      <c r="F160" s="4">
        <v>0</v>
      </c>
      <c r="G160" s="8">
        <v>1</v>
      </c>
      <c r="H160" s="4" t="s">
        <v>1314</v>
      </c>
      <c r="I160" s="6">
        <v>0.127</v>
      </c>
      <c r="J160" s="6" t="s">
        <v>1314</v>
      </c>
      <c r="K160" s="2" t="str">
        <f t="shared" si="43"/>
        <v>RTG</v>
      </c>
      <c r="L160" s="2">
        <v>52184709</v>
      </c>
      <c r="M160" s="7">
        <v>45940</v>
      </c>
      <c r="N160" s="7">
        <f t="shared" si="44"/>
        <v>46305</v>
      </c>
      <c r="O160" s="7" t="str">
        <f t="shared" si="41"/>
        <v>Anual</v>
      </c>
      <c r="P160" s="2" t="str">
        <f t="shared" ca="1" si="42"/>
        <v>VIGENTE</v>
      </c>
      <c r="Q160" s="6" t="s">
        <v>25</v>
      </c>
      <c r="R160" s="2"/>
    </row>
    <row r="161" spans="1:18" x14ac:dyDescent="0.25">
      <c r="A161" s="23" t="s">
        <v>1312</v>
      </c>
      <c r="B161" s="21" t="s">
        <v>1320</v>
      </c>
      <c r="C161" s="3" t="s">
        <v>747</v>
      </c>
      <c r="D161" s="3" t="s">
        <v>23</v>
      </c>
      <c r="E161" s="2" t="s">
        <v>1256</v>
      </c>
      <c r="F161" s="4">
        <v>0</v>
      </c>
      <c r="G161" s="8">
        <v>1</v>
      </c>
      <c r="H161" s="4" t="s">
        <v>1314</v>
      </c>
      <c r="I161" s="6">
        <v>0.16400000000000001</v>
      </c>
      <c r="J161" s="6" t="s">
        <v>1314</v>
      </c>
      <c r="K161" s="2" t="str">
        <f t="shared" si="43"/>
        <v>RTG</v>
      </c>
      <c r="L161" s="2">
        <v>52184709</v>
      </c>
      <c r="M161" s="7">
        <v>45940</v>
      </c>
      <c r="N161" s="7">
        <f t="shared" si="44"/>
        <v>46305</v>
      </c>
      <c r="O161" s="7" t="str">
        <f t="shared" si="41"/>
        <v>Anual</v>
      </c>
      <c r="P161" s="2" t="str">
        <f t="shared" ca="1" si="42"/>
        <v>VIGENTE</v>
      </c>
      <c r="Q161" s="6" t="s">
        <v>25</v>
      </c>
      <c r="R161" s="2"/>
    </row>
    <row r="162" spans="1:18" x14ac:dyDescent="0.25">
      <c r="A162" s="23" t="s">
        <v>1312</v>
      </c>
      <c r="B162" s="21" t="s">
        <v>1321</v>
      </c>
      <c r="C162" s="3" t="s">
        <v>747</v>
      </c>
      <c r="D162" s="3" t="s">
        <v>23</v>
      </c>
      <c r="E162" s="2" t="s">
        <v>1256</v>
      </c>
      <c r="F162" s="4">
        <v>0</v>
      </c>
      <c r="G162" s="8">
        <v>1</v>
      </c>
      <c r="H162" s="4" t="s">
        <v>1314</v>
      </c>
      <c r="I162" s="6">
        <v>0.30399999999999999</v>
      </c>
      <c r="J162" s="6" t="s">
        <v>1314</v>
      </c>
      <c r="K162" s="2" t="str">
        <f t="shared" si="43"/>
        <v>RTG</v>
      </c>
      <c r="L162" s="2">
        <v>52184709</v>
      </c>
      <c r="M162" s="7">
        <v>45940</v>
      </c>
      <c r="N162" s="7">
        <f t="shared" si="44"/>
        <v>46305</v>
      </c>
      <c r="O162" s="7" t="str">
        <f t="shared" si="41"/>
        <v>Anual</v>
      </c>
      <c r="P162" s="2" t="str">
        <f t="shared" ca="1" si="42"/>
        <v>VIGENTE</v>
      </c>
      <c r="Q162" s="6" t="s">
        <v>25</v>
      </c>
      <c r="R162" s="2"/>
    </row>
    <row r="163" spans="1:18" x14ac:dyDescent="0.25">
      <c r="A163" s="23" t="s">
        <v>1312</v>
      </c>
      <c r="B163" s="21" t="s">
        <v>1322</v>
      </c>
      <c r="C163" s="3" t="s">
        <v>747</v>
      </c>
      <c r="D163" s="3" t="s">
        <v>23</v>
      </c>
      <c r="E163" s="2" t="s">
        <v>1256</v>
      </c>
      <c r="F163" s="4">
        <v>0</v>
      </c>
      <c r="G163" s="8">
        <v>1000000000</v>
      </c>
      <c r="H163" s="4" t="s">
        <v>1314</v>
      </c>
      <c r="I163" s="6">
        <v>754000000</v>
      </c>
      <c r="J163" s="6" t="s">
        <v>1314</v>
      </c>
      <c r="K163" s="2" t="str">
        <f t="shared" si="43"/>
        <v>RTG</v>
      </c>
      <c r="L163" s="2">
        <v>52184709</v>
      </c>
      <c r="M163" s="7">
        <v>45940</v>
      </c>
      <c r="N163" s="7">
        <f t="shared" si="44"/>
        <v>46305</v>
      </c>
      <c r="O163" s="7" t="str">
        <f t="shared" si="41"/>
        <v>Anual</v>
      </c>
      <c r="P163" s="2" t="str">
        <f t="shared" ca="1" si="42"/>
        <v>VIGENTE</v>
      </c>
      <c r="Q163" s="6" t="s">
        <v>25</v>
      </c>
      <c r="R163" s="2"/>
    </row>
    <row r="164" spans="1:18" x14ac:dyDescent="0.25">
      <c r="A164" s="23" t="s">
        <v>351</v>
      </c>
      <c r="B164" s="21" t="s">
        <v>1323</v>
      </c>
      <c r="C164" s="3" t="s">
        <v>747</v>
      </c>
      <c r="D164" s="3" t="s">
        <v>23</v>
      </c>
      <c r="E164" s="2" t="s">
        <v>1256</v>
      </c>
      <c r="F164" s="4">
        <v>0</v>
      </c>
      <c r="G164" s="8">
        <v>1</v>
      </c>
      <c r="H164" s="4" t="s">
        <v>1314</v>
      </c>
      <c r="I164" s="6">
        <v>0.157</v>
      </c>
      <c r="J164" s="6" t="s">
        <v>1314</v>
      </c>
      <c r="K164" s="2" t="str">
        <f t="shared" ref="K164:K170" si="45">IF(C164="Ionizador", "Plato de carga", IF(C164="Cautín", "PTG", IF(C164="ESD Tester", "PTP Deviation", "RTG")))</f>
        <v>RTG</v>
      </c>
      <c r="L164" s="2">
        <v>52184519</v>
      </c>
      <c r="M164" s="7">
        <v>45940</v>
      </c>
      <c r="N164" s="7">
        <f t="shared" si="44"/>
        <v>46305</v>
      </c>
      <c r="O164" s="7" t="str">
        <f t="shared" si="41"/>
        <v>Anual</v>
      </c>
      <c r="P164" s="2" t="str">
        <f t="shared" ca="1" si="42"/>
        <v>VIGENTE</v>
      </c>
      <c r="Q164" s="6" t="s">
        <v>25</v>
      </c>
      <c r="R164" s="2"/>
    </row>
    <row r="165" spans="1:18" x14ac:dyDescent="0.25">
      <c r="A165" s="23" t="s">
        <v>351</v>
      </c>
      <c r="B165" s="21" t="s">
        <v>1324</v>
      </c>
      <c r="C165" s="3" t="s">
        <v>747</v>
      </c>
      <c r="D165" s="3" t="s">
        <v>23</v>
      </c>
      <c r="E165" s="2" t="s">
        <v>1256</v>
      </c>
      <c r="F165" s="4">
        <v>0</v>
      </c>
      <c r="G165" s="8">
        <v>1</v>
      </c>
      <c r="H165" s="4" t="s">
        <v>1314</v>
      </c>
      <c r="I165" s="6">
        <v>0.21199999999999999</v>
      </c>
      <c r="J165" s="6" t="s">
        <v>1314</v>
      </c>
      <c r="K165" s="2" t="str">
        <f t="shared" si="45"/>
        <v>RTG</v>
      </c>
      <c r="L165" s="2">
        <v>52184519</v>
      </c>
      <c r="M165" s="7">
        <v>45940</v>
      </c>
      <c r="N165" s="7">
        <f t="shared" si="44"/>
        <v>46305</v>
      </c>
      <c r="O165" s="7" t="str">
        <f t="shared" si="41"/>
        <v>Anual</v>
      </c>
      <c r="P165" s="2" t="str">
        <f t="shared" ca="1" si="42"/>
        <v>VIGENTE</v>
      </c>
      <c r="Q165" s="6" t="s">
        <v>25</v>
      </c>
      <c r="R165" s="2"/>
    </row>
    <row r="166" spans="1:18" x14ac:dyDescent="0.25">
      <c r="A166" s="23" t="s">
        <v>351</v>
      </c>
      <c r="B166" s="21" t="s">
        <v>1325</v>
      </c>
      <c r="C166" s="3" t="s">
        <v>747</v>
      </c>
      <c r="D166" s="3" t="s">
        <v>23</v>
      </c>
      <c r="E166" s="2" t="s">
        <v>1256</v>
      </c>
      <c r="F166" s="4">
        <v>0</v>
      </c>
      <c r="G166" s="8">
        <v>1</v>
      </c>
      <c r="H166" s="4" t="s">
        <v>1314</v>
      </c>
      <c r="I166" s="6">
        <v>0.14799999999999999</v>
      </c>
      <c r="J166" s="6" t="s">
        <v>1314</v>
      </c>
      <c r="K166" s="2" t="str">
        <f t="shared" si="45"/>
        <v>RTG</v>
      </c>
      <c r="L166" s="2">
        <v>52184519</v>
      </c>
      <c r="M166" s="7">
        <v>45940</v>
      </c>
      <c r="N166" s="7">
        <f t="shared" si="44"/>
        <v>46305</v>
      </c>
      <c r="O166" s="7" t="str">
        <f t="shared" si="41"/>
        <v>Anual</v>
      </c>
      <c r="P166" s="2" t="str">
        <f t="shared" ca="1" si="42"/>
        <v>VIGENTE</v>
      </c>
      <c r="Q166" s="6" t="s">
        <v>25</v>
      </c>
      <c r="R166" s="2"/>
    </row>
    <row r="167" spans="1:18" x14ac:dyDescent="0.25">
      <c r="A167" s="23" t="s">
        <v>351</v>
      </c>
      <c r="B167" s="21" t="s">
        <v>1326</v>
      </c>
      <c r="C167" s="3" t="s">
        <v>747</v>
      </c>
      <c r="D167" s="3" t="s">
        <v>23</v>
      </c>
      <c r="E167" s="2" t="s">
        <v>1256</v>
      </c>
      <c r="F167" s="4">
        <v>0</v>
      </c>
      <c r="G167" s="8">
        <v>1</v>
      </c>
      <c r="H167" s="4" t="s">
        <v>1314</v>
      </c>
      <c r="I167" s="6">
        <v>0.255</v>
      </c>
      <c r="J167" s="6" t="s">
        <v>1314</v>
      </c>
      <c r="K167" s="2" t="str">
        <f t="shared" si="45"/>
        <v>RTG</v>
      </c>
      <c r="L167" s="2">
        <v>52184519</v>
      </c>
      <c r="M167" s="7">
        <v>45940</v>
      </c>
      <c r="N167" s="7">
        <f t="shared" si="44"/>
        <v>46305</v>
      </c>
      <c r="O167" s="7" t="str">
        <f t="shared" si="41"/>
        <v>Anual</v>
      </c>
      <c r="P167" s="2" t="str">
        <f t="shared" ca="1" si="42"/>
        <v>VIGENTE</v>
      </c>
      <c r="Q167" s="6" t="s">
        <v>25</v>
      </c>
      <c r="R167" s="2"/>
    </row>
    <row r="168" spans="1:18" x14ac:dyDescent="0.25">
      <c r="A168" s="23" t="s">
        <v>351</v>
      </c>
      <c r="B168" s="21" t="s">
        <v>1327</v>
      </c>
      <c r="C168" s="3" t="s">
        <v>747</v>
      </c>
      <c r="D168" s="3" t="s">
        <v>23</v>
      </c>
      <c r="E168" s="2" t="s">
        <v>1256</v>
      </c>
      <c r="F168" s="4">
        <v>0</v>
      </c>
      <c r="G168" s="8">
        <v>1</v>
      </c>
      <c r="H168" s="4" t="s">
        <v>1314</v>
      </c>
      <c r="I168" s="6">
        <v>0.152</v>
      </c>
      <c r="J168" s="6" t="s">
        <v>1314</v>
      </c>
      <c r="K168" s="2" t="str">
        <f t="shared" si="45"/>
        <v>RTG</v>
      </c>
      <c r="L168" s="2">
        <v>52184519</v>
      </c>
      <c r="M168" s="7">
        <v>45940</v>
      </c>
      <c r="N168" s="7">
        <f t="shared" si="44"/>
        <v>46305</v>
      </c>
      <c r="O168" s="7" t="str">
        <f t="shared" si="41"/>
        <v>Anual</v>
      </c>
      <c r="P168" s="2" t="str">
        <f t="shared" ca="1" si="42"/>
        <v>VIGENTE</v>
      </c>
      <c r="Q168" s="6" t="s">
        <v>25</v>
      </c>
      <c r="R168" s="2"/>
    </row>
    <row r="169" spans="1:18" x14ac:dyDescent="0.25">
      <c r="A169" s="23" t="s">
        <v>351</v>
      </c>
      <c r="B169" s="21" t="s">
        <v>1328</v>
      </c>
      <c r="C169" s="3" t="s">
        <v>747</v>
      </c>
      <c r="D169" s="3" t="s">
        <v>23</v>
      </c>
      <c r="E169" s="2" t="s">
        <v>1256</v>
      </c>
      <c r="F169" s="4">
        <v>0</v>
      </c>
      <c r="G169" s="8">
        <v>1</v>
      </c>
      <c r="H169" s="4" t="s">
        <v>1314</v>
      </c>
      <c r="I169" s="6">
        <v>0.20499999999999999</v>
      </c>
      <c r="J169" s="6" t="s">
        <v>1314</v>
      </c>
      <c r="K169" s="2" t="str">
        <f t="shared" si="45"/>
        <v>RTG</v>
      </c>
      <c r="L169" s="2">
        <v>52184519</v>
      </c>
      <c r="M169" s="7">
        <v>45940</v>
      </c>
      <c r="N169" s="7">
        <f t="shared" si="44"/>
        <v>46305</v>
      </c>
      <c r="O169" s="7" t="str">
        <f t="shared" si="41"/>
        <v>Anual</v>
      </c>
      <c r="P169" s="2" t="str">
        <f t="shared" ca="1" si="42"/>
        <v>VIGENTE</v>
      </c>
      <c r="Q169" s="6" t="s">
        <v>25</v>
      </c>
      <c r="R169" s="2"/>
    </row>
    <row r="170" spans="1:18" x14ac:dyDescent="0.25">
      <c r="A170" s="23" t="s">
        <v>351</v>
      </c>
      <c r="B170" s="21" t="s">
        <v>1329</v>
      </c>
      <c r="C170" s="3" t="s">
        <v>747</v>
      </c>
      <c r="D170" s="3" t="s">
        <v>23</v>
      </c>
      <c r="E170" s="2" t="s">
        <v>1256</v>
      </c>
      <c r="F170" s="4">
        <v>0</v>
      </c>
      <c r="G170" s="8">
        <v>1</v>
      </c>
      <c r="H170" s="4" t="s">
        <v>1314</v>
      </c>
      <c r="I170" s="6">
        <v>0.16800000000000001</v>
      </c>
      <c r="J170" s="6" t="s">
        <v>1314</v>
      </c>
      <c r="K170" s="2" t="str">
        <f t="shared" si="45"/>
        <v>RTG</v>
      </c>
      <c r="L170" s="2">
        <v>52184519</v>
      </c>
      <c r="M170" s="7">
        <v>45940</v>
      </c>
      <c r="N170" s="7">
        <f t="shared" si="44"/>
        <v>46305</v>
      </c>
      <c r="O170" s="7" t="str">
        <f t="shared" si="41"/>
        <v>Anual</v>
      </c>
      <c r="P170" s="2" t="str">
        <f t="shared" ca="1" si="42"/>
        <v>VIGENTE</v>
      </c>
      <c r="Q170" s="6" t="s">
        <v>25</v>
      </c>
      <c r="R170" s="2"/>
    </row>
    <row r="171" spans="1:18" x14ac:dyDescent="0.25">
      <c r="A171" s="23" t="s">
        <v>351</v>
      </c>
      <c r="B171" s="2" t="s">
        <v>1330</v>
      </c>
      <c r="C171" s="3" t="s">
        <v>747</v>
      </c>
      <c r="D171" s="3" t="s">
        <v>23</v>
      </c>
      <c r="E171" s="2" t="s">
        <v>24</v>
      </c>
      <c r="F171" s="4">
        <v>0</v>
      </c>
      <c r="G171" s="8">
        <f>IF(C171="Ionizador", 10, IF(C171="Mesa", 1000000000, IF(C171="Rack", 1000000000, IF(C171="Piso", 1000000000, IF(C171="Tapete", 1000000000, IF(C171="Carrito", 1000000000, IF(C171="Cautín", 10, 1)))))))</f>
        <v>1</v>
      </c>
      <c r="H171" s="4" t="str">
        <f t="shared" ref="H171:H234" si="46">IF(C171="Ionizador", "Segundos", "Ohms")</f>
        <v>Ohms</v>
      </c>
      <c r="I171" s="6">
        <v>0.29799999999999999</v>
      </c>
      <c r="J171" s="6" t="str">
        <f t="shared" ref="J171:J234" si="47">H171</f>
        <v>Ohms</v>
      </c>
      <c r="K171" s="2" t="str">
        <f t="shared" ref="K171:K234" si="48">IF(C171="Ionizador", "Plato de carga", IF(C171="Cautín", "PTG", IF(C171="ESD Tester", "PTP Deviation", "RTG")))</f>
        <v>RTG</v>
      </c>
      <c r="L171" s="2">
        <v>52184519</v>
      </c>
      <c r="M171" s="7">
        <v>45940</v>
      </c>
      <c r="N171" s="7">
        <f t="shared" ref="N171:N198" si="49">IF(O171="Trimestral", M171+90, IF(O171="Semestral", M171+180, IF(O171="Mensual", M171+30, M171+365)))</f>
        <v>46305</v>
      </c>
      <c r="O171" s="7" t="str">
        <f t="shared" si="41"/>
        <v>Anual</v>
      </c>
      <c r="P171" s="2" t="str">
        <f t="shared" ca="1" si="42"/>
        <v>VIGENTE</v>
      </c>
      <c r="Q171" s="6" t="s">
        <v>25</v>
      </c>
      <c r="R171" s="2"/>
    </row>
    <row r="172" spans="1:18" x14ac:dyDescent="0.25">
      <c r="A172" s="23" t="s">
        <v>351</v>
      </c>
      <c r="B172" s="2" t="s">
        <v>1331</v>
      </c>
      <c r="C172" s="3" t="s">
        <v>747</v>
      </c>
      <c r="D172" s="3" t="s">
        <v>23</v>
      </c>
      <c r="E172" s="2" t="s">
        <v>24</v>
      </c>
      <c r="F172" s="4">
        <v>0</v>
      </c>
      <c r="G172" s="8">
        <v>1000000000</v>
      </c>
      <c r="H172" s="4" t="str">
        <f t="shared" si="46"/>
        <v>Ohms</v>
      </c>
      <c r="I172" s="6">
        <v>14800</v>
      </c>
      <c r="J172" s="6" t="str">
        <f t="shared" si="47"/>
        <v>Ohms</v>
      </c>
      <c r="K172" s="2" t="str">
        <f t="shared" si="48"/>
        <v>RTG</v>
      </c>
      <c r="L172" s="2">
        <v>52184519</v>
      </c>
      <c r="M172" s="7">
        <v>45940</v>
      </c>
      <c r="N172" s="7">
        <f t="shared" si="49"/>
        <v>46305</v>
      </c>
      <c r="O172" s="7" t="str">
        <f t="shared" si="41"/>
        <v>Anual</v>
      </c>
      <c r="P172" s="2" t="str">
        <f t="shared" ca="1" si="42"/>
        <v>VIGENTE</v>
      </c>
      <c r="Q172" s="6" t="s">
        <v>25</v>
      </c>
      <c r="R172" s="2"/>
    </row>
    <row r="173" spans="1:18" x14ac:dyDescent="0.25">
      <c r="A173" s="23" t="s">
        <v>1332</v>
      </c>
      <c r="B173" s="19" t="s">
        <v>1333</v>
      </c>
      <c r="C173" s="3" t="s">
        <v>747</v>
      </c>
      <c r="D173" s="3" t="s">
        <v>23</v>
      </c>
      <c r="E173" s="2" t="s">
        <v>24</v>
      </c>
      <c r="F173" s="4">
        <v>0</v>
      </c>
      <c r="G173" s="8">
        <f t="shared" ref="G173:G198" si="50">IF(C173="Ionizador", 10, IF(C173="Mesa", 1000000000, IF(C173="Rack", 1000000000, IF(C173="Piso", 1000000000, IF(C173="Tapete", 1000000000, IF(C173="Carrito", 1000000000, IF(C173="Cautín", 10, 1)))))))</f>
        <v>1</v>
      </c>
      <c r="H173" s="4" t="str">
        <f t="shared" si="46"/>
        <v>Ohms</v>
      </c>
      <c r="I173" s="6">
        <v>0.435</v>
      </c>
      <c r="J173" s="6" t="str">
        <f t="shared" si="47"/>
        <v>Ohms</v>
      </c>
      <c r="K173" s="2" t="str">
        <f t="shared" si="48"/>
        <v>RTG</v>
      </c>
      <c r="L173" s="2">
        <v>52187738</v>
      </c>
      <c r="M173" s="7">
        <v>45941</v>
      </c>
      <c r="N173" s="7">
        <f t="shared" si="49"/>
        <v>46306</v>
      </c>
      <c r="O173" s="7" t="str">
        <f t="shared" si="41"/>
        <v>Anual</v>
      </c>
      <c r="P173" s="2" t="str">
        <f t="shared" ca="1" si="42"/>
        <v>VIGENTE</v>
      </c>
      <c r="Q173" s="6" t="s">
        <v>25</v>
      </c>
      <c r="R173" s="2"/>
    </row>
    <row r="174" spans="1:18" x14ac:dyDescent="0.25">
      <c r="A174" s="23" t="s">
        <v>1332</v>
      </c>
      <c r="B174" s="19" t="s">
        <v>1334</v>
      </c>
      <c r="C174" s="3" t="s">
        <v>747</v>
      </c>
      <c r="D174" s="3" t="s">
        <v>23</v>
      </c>
      <c r="E174" s="2" t="s">
        <v>24</v>
      </c>
      <c r="F174" s="4">
        <v>0</v>
      </c>
      <c r="G174" s="8">
        <f t="shared" si="50"/>
        <v>1</v>
      </c>
      <c r="H174" s="4" t="str">
        <f t="shared" si="46"/>
        <v>Ohms</v>
      </c>
      <c r="I174" s="6">
        <v>0.18</v>
      </c>
      <c r="J174" s="6" t="str">
        <f t="shared" si="47"/>
        <v>Ohms</v>
      </c>
      <c r="K174" s="2" t="str">
        <f t="shared" si="48"/>
        <v>RTG</v>
      </c>
      <c r="L174" s="2">
        <v>52187738</v>
      </c>
      <c r="M174" s="7">
        <v>45941</v>
      </c>
      <c r="N174" s="7">
        <f t="shared" si="49"/>
        <v>46306</v>
      </c>
      <c r="O174" s="7" t="str">
        <f t="shared" si="41"/>
        <v>Anual</v>
      </c>
      <c r="P174" s="2" t="str">
        <f t="shared" ca="1" si="42"/>
        <v>VIGENTE</v>
      </c>
      <c r="Q174" s="6" t="s">
        <v>25</v>
      </c>
      <c r="R174" s="2"/>
    </row>
    <row r="175" spans="1:18" x14ac:dyDescent="0.25">
      <c r="A175" s="23" t="s">
        <v>1332</v>
      </c>
      <c r="B175" s="19" t="s">
        <v>1335</v>
      </c>
      <c r="C175" s="3" t="s">
        <v>747</v>
      </c>
      <c r="D175" s="3" t="s">
        <v>23</v>
      </c>
      <c r="E175" s="2" t="s">
        <v>24</v>
      </c>
      <c r="F175" s="4">
        <v>0</v>
      </c>
      <c r="G175" s="8">
        <f t="shared" si="50"/>
        <v>1</v>
      </c>
      <c r="H175" s="4" t="str">
        <f t="shared" si="46"/>
        <v>Ohms</v>
      </c>
      <c r="I175" s="6">
        <v>0.22800000000000001</v>
      </c>
      <c r="J175" s="6" t="str">
        <f t="shared" si="47"/>
        <v>Ohms</v>
      </c>
      <c r="K175" s="2" t="str">
        <f t="shared" si="48"/>
        <v>RTG</v>
      </c>
      <c r="L175" s="2">
        <v>52187738</v>
      </c>
      <c r="M175" s="7">
        <v>45941</v>
      </c>
      <c r="N175" s="7">
        <f t="shared" si="49"/>
        <v>46306</v>
      </c>
      <c r="O175" s="7" t="str">
        <f t="shared" si="41"/>
        <v>Anual</v>
      </c>
      <c r="P175" s="2" t="str">
        <f t="shared" ca="1" si="42"/>
        <v>VIGENTE</v>
      </c>
      <c r="Q175" s="6" t="s">
        <v>25</v>
      </c>
      <c r="R175" s="2"/>
    </row>
    <row r="176" spans="1:18" x14ac:dyDescent="0.25">
      <c r="A176" s="23" t="s">
        <v>1332</v>
      </c>
      <c r="B176" s="19" t="s">
        <v>1336</v>
      </c>
      <c r="C176" s="3" t="s">
        <v>747</v>
      </c>
      <c r="D176" s="3" t="s">
        <v>23</v>
      </c>
      <c r="E176" s="2" t="s">
        <v>24</v>
      </c>
      <c r="F176" s="4">
        <v>0</v>
      </c>
      <c r="G176" s="8">
        <f t="shared" si="50"/>
        <v>1</v>
      </c>
      <c r="H176" s="4" t="str">
        <f t="shared" si="46"/>
        <v>Ohms</v>
      </c>
      <c r="I176" s="6">
        <v>0.14399999999999999</v>
      </c>
      <c r="J176" s="6" t="str">
        <f t="shared" si="47"/>
        <v>Ohms</v>
      </c>
      <c r="K176" s="2" t="str">
        <f t="shared" si="48"/>
        <v>RTG</v>
      </c>
      <c r="L176" s="2">
        <v>52187738</v>
      </c>
      <c r="M176" s="7">
        <v>45941</v>
      </c>
      <c r="N176" s="7">
        <f t="shared" si="49"/>
        <v>46306</v>
      </c>
      <c r="O176" s="7" t="str">
        <f t="shared" si="41"/>
        <v>Anual</v>
      </c>
      <c r="P176" s="2" t="str">
        <f t="shared" ca="1" si="42"/>
        <v>VIGENTE</v>
      </c>
      <c r="Q176" s="6" t="s">
        <v>25</v>
      </c>
      <c r="R176" s="2"/>
    </row>
    <row r="177" spans="1:18" x14ac:dyDescent="0.25">
      <c r="A177" s="23" t="s">
        <v>1332</v>
      </c>
      <c r="B177" s="19" t="s">
        <v>1337</v>
      </c>
      <c r="C177" s="3" t="s">
        <v>747</v>
      </c>
      <c r="D177" s="3" t="s">
        <v>23</v>
      </c>
      <c r="E177" s="2" t="s">
        <v>24</v>
      </c>
      <c r="F177" s="4">
        <v>0</v>
      </c>
      <c r="G177" s="8">
        <f t="shared" si="50"/>
        <v>1</v>
      </c>
      <c r="H177" s="4" t="str">
        <f t="shared" si="46"/>
        <v>Ohms</v>
      </c>
      <c r="I177" s="6">
        <v>0.122</v>
      </c>
      <c r="J177" s="6" t="str">
        <f t="shared" si="47"/>
        <v>Ohms</v>
      </c>
      <c r="K177" s="2" t="str">
        <f t="shared" si="48"/>
        <v>RTG</v>
      </c>
      <c r="L177" s="2">
        <v>52187738</v>
      </c>
      <c r="M177" s="7">
        <v>45941</v>
      </c>
      <c r="N177" s="7">
        <f t="shared" si="49"/>
        <v>46306</v>
      </c>
      <c r="O177" s="7" t="str">
        <f t="shared" si="41"/>
        <v>Anual</v>
      </c>
      <c r="P177" s="2" t="str">
        <f t="shared" ca="1" si="42"/>
        <v>VIGENTE</v>
      </c>
      <c r="Q177" s="6" t="s">
        <v>25</v>
      </c>
      <c r="R177" s="2"/>
    </row>
    <row r="178" spans="1:18" x14ac:dyDescent="0.25">
      <c r="A178" s="23" t="s">
        <v>1332</v>
      </c>
      <c r="B178" s="19" t="s">
        <v>1338</v>
      </c>
      <c r="C178" s="3" t="s">
        <v>747</v>
      </c>
      <c r="D178" s="3" t="s">
        <v>23</v>
      </c>
      <c r="E178" s="2" t="s">
        <v>24</v>
      </c>
      <c r="F178" s="4">
        <v>0</v>
      </c>
      <c r="G178" s="8">
        <f t="shared" si="50"/>
        <v>1</v>
      </c>
      <c r="H178" s="4" t="str">
        <f t="shared" si="46"/>
        <v>Ohms</v>
      </c>
      <c r="I178" s="6">
        <v>0.16800000000000001</v>
      </c>
      <c r="J178" s="6" t="str">
        <f t="shared" si="47"/>
        <v>Ohms</v>
      </c>
      <c r="K178" s="2" t="str">
        <f t="shared" si="48"/>
        <v>RTG</v>
      </c>
      <c r="L178" s="2">
        <v>52187738</v>
      </c>
      <c r="M178" s="7">
        <v>45941</v>
      </c>
      <c r="N178" s="7">
        <f t="shared" si="49"/>
        <v>46306</v>
      </c>
      <c r="O178" s="7" t="str">
        <f t="shared" si="41"/>
        <v>Anual</v>
      </c>
      <c r="P178" s="2" t="str">
        <f t="shared" ca="1" si="42"/>
        <v>VIGENTE</v>
      </c>
      <c r="Q178" s="6" t="s">
        <v>25</v>
      </c>
      <c r="R178" s="2"/>
    </row>
    <row r="179" spans="1:18" x14ac:dyDescent="0.25">
      <c r="A179" s="23" t="s">
        <v>1332</v>
      </c>
      <c r="B179" s="19" t="s">
        <v>1339</v>
      </c>
      <c r="C179" s="3" t="s">
        <v>747</v>
      </c>
      <c r="D179" s="3" t="s">
        <v>23</v>
      </c>
      <c r="E179" s="2" t="s">
        <v>24</v>
      </c>
      <c r="F179" s="4">
        <v>0</v>
      </c>
      <c r="G179" s="8">
        <f t="shared" si="50"/>
        <v>1</v>
      </c>
      <c r="H179" s="4" t="str">
        <f t="shared" si="46"/>
        <v>Ohms</v>
      </c>
      <c r="I179" s="6">
        <v>0.121</v>
      </c>
      <c r="J179" s="6" t="str">
        <f t="shared" si="47"/>
        <v>Ohms</v>
      </c>
      <c r="K179" s="2" t="str">
        <f t="shared" si="48"/>
        <v>RTG</v>
      </c>
      <c r="L179" s="2">
        <v>52187738</v>
      </c>
      <c r="M179" s="7">
        <v>45941</v>
      </c>
      <c r="N179" s="7">
        <f t="shared" si="49"/>
        <v>46306</v>
      </c>
      <c r="O179" s="7" t="str">
        <f t="shared" si="41"/>
        <v>Anual</v>
      </c>
      <c r="P179" s="2" t="str">
        <f t="shared" ca="1" si="42"/>
        <v>VIGENTE</v>
      </c>
      <c r="Q179" s="6" t="s">
        <v>25</v>
      </c>
      <c r="R179" s="2"/>
    </row>
    <row r="180" spans="1:18" x14ac:dyDescent="0.25">
      <c r="A180" s="23" t="s">
        <v>1332</v>
      </c>
      <c r="B180" s="19" t="s">
        <v>1340</v>
      </c>
      <c r="C180" s="3" t="s">
        <v>747</v>
      </c>
      <c r="D180" s="3" t="s">
        <v>23</v>
      </c>
      <c r="E180" s="2" t="s">
        <v>24</v>
      </c>
      <c r="F180" s="4">
        <v>0</v>
      </c>
      <c r="G180" s="8">
        <f t="shared" si="50"/>
        <v>1</v>
      </c>
      <c r="H180" s="4" t="str">
        <f t="shared" si="46"/>
        <v>Ohms</v>
      </c>
      <c r="I180" s="6">
        <v>0.151</v>
      </c>
      <c r="J180" s="6" t="str">
        <f t="shared" si="47"/>
        <v>Ohms</v>
      </c>
      <c r="K180" s="2" t="str">
        <f t="shared" si="48"/>
        <v>RTG</v>
      </c>
      <c r="L180" s="2">
        <v>52187738</v>
      </c>
      <c r="M180" s="7">
        <v>45941</v>
      </c>
      <c r="N180" s="7">
        <f t="shared" si="49"/>
        <v>46306</v>
      </c>
      <c r="O180" s="7" t="str">
        <f t="shared" si="41"/>
        <v>Anual</v>
      </c>
      <c r="P180" s="2" t="str">
        <f t="shared" ca="1" si="42"/>
        <v>VIGENTE</v>
      </c>
      <c r="Q180" s="6" t="s">
        <v>25</v>
      </c>
      <c r="R180" s="2"/>
    </row>
    <row r="181" spans="1:18" x14ac:dyDescent="0.25">
      <c r="A181" s="23" t="s">
        <v>1332</v>
      </c>
      <c r="B181" s="19" t="s">
        <v>1341</v>
      </c>
      <c r="C181" s="3" t="s">
        <v>747</v>
      </c>
      <c r="D181" s="3" t="s">
        <v>23</v>
      </c>
      <c r="E181" s="2" t="s">
        <v>24</v>
      </c>
      <c r="F181" s="4">
        <v>0</v>
      </c>
      <c r="G181" s="8">
        <f t="shared" si="50"/>
        <v>1</v>
      </c>
      <c r="H181" s="4" t="str">
        <f t="shared" si="46"/>
        <v>Ohms</v>
      </c>
      <c r="I181" s="6">
        <v>0.249</v>
      </c>
      <c r="J181" s="6" t="str">
        <f t="shared" si="47"/>
        <v>Ohms</v>
      </c>
      <c r="K181" s="2" t="str">
        <f t="shared" si="48"/>
        <v>RTG</v>
      </c>
      <c r="L181" s="2">
        <v>52187738</v>
      </c>
      <c r="M181" s="7">
        <v>45941</v>
      </c>
      <c r="N181" s="7">
        <f t="shared" si="49"/>
        <v>46306</v>
      </c>
      <c r="O181" s="7" t="str">
        <f t="shared" si="41"/>
        <v>Anual</v>
      </c>
      <c r="P181" s="2" t="str">
        <f t="shared" ca="1" si="42"/>
        <v>VIGENTE</v>
      </c>
      <c r="Q181" s="6" t="s">
        <v>25</v>
      </c>
      <c r="R181" s="2"/>
    </row>
    <row r="182" spans="1:18" x14ac:dyDescent="0.25">
      <c r="A182" s="23" t="s">
        <v>1332</v>
      </c>
      <c r="B182" s="19" t="s">
        <v>1342</v>
      </c>
      <c r="C182" s="3" t="s">
        <v>747</v>
      </c>
      <c r="D182" s="3" t="s">
        <v>23</v>
      </c>
      <c r="E182" s="2" t="s">
        <v>24</v>
      </c>
      <c r="F182" s="4">
        <v>0</v>
      </c>
      <c r="G182" s="8">
        <f t="shared" si="50"/>
        <v>1</v>
      </c>
      <c r="H182" s="4" t="str">
        <f t="shared" si="46"/>
        <v>Ohms</v>
      </c>
      <c r="I182" s="6">
        <v>0.17399999999999999</v>
      </c>
      <c r="J182" s="6" t="str">
        <f t="shared" si="47"/>
        <v>Ohms</v>
      </c>
      <c r="K182" s="2" t="str">
        <f t="shared" si="48"/>
        <v>RTG</v>
      </c>
      <c r="L182" s="2">
        <v>52187738</v>
      </c>
      <c r="M182" s="7">
        <v>45941</v>
      </c>
      <c r="N182" s="7">
        <f t="shared" si="49"/>
        <v>46306</v>
      </c>
      <c r="O182" s="7" t="str">
        <f t="shared" si="41"/>
        <v>Anual</v>
      </c>
      <c r="P182" s="2" t="str">
        <f t="shared" ca="1" si="42"/>
        <v>VIGENTE</v>
      </c>
      <c r="Q182" s="6" t="s">
        <v>25</v>
      </c>
      <c r="R182" s="2"/>
    </row>
    <row r="183" spans="1:18" x14ac:dyDescent="0.25">
      <c r="A183" s="23" t="s">
        <v>1332</v>
      </c>
      <c r="B183" s="19" t="s">
        <v>1343</v>
      </c>
      <c r="C183" s="3" t="s">
        <v>747</v>
      </c>
      <c r="D183" s="3" t="s">
        <v>23</v>
      </c>
      <c r="E183" s="2" t="s">
        <v>24</v>
      </c>
      <c r="F183" s="4">
        <v>0</v>
      </c>
      <c r="G183" s="8">
        <f t="shared" si="50"/>
        <v>1</v>
      </c>
      <c r="H183" s="4" t="str">
        <f t="shared" si="46"/>
        <v>Ohms</v>
      </c>
      <c r="I183" s="6">
        <v>0.27400000000000002</v>
      </c>
      <c r="J183" s="6" t="str">
        <f t="shared" si="47"/>
        <v>Ohms</v>
      </c>
      <c r="K183" s="2" t="str">
        <f t="shared" si="48"/>
        <v>RTG</v>
      </c>
      <c r="L183" s="2">
        <v>52187738</v>
      </c>
      <c r="M183" s="7">
        <v>45941</v>
      </c>
      <c r="N183" s="7">
        <f t="shared" si="49"/>
        <v>46306</v>
      </c>
      <c r="O183" s="7" t="str">
        <f t="shared" si="41"/>
        <v>Anual</v>
      </c>
      <c r="P183" s="2" t="str">
        <f t="shared" ca="1" si="42"/>
        <v>VIGENTE</v>
      </c>
      <c r="Q183" s="6" t="s">
        <v>25</v>
      </c>
      <c r="R183" s="2"/>
    </row>
    <row r="184" spans="1:18" x14ac:dyDescent="0.25">
      <c r="A184" s="23" t="s">
        <v>1332</v>
      </c>
      <c r="B184" s="19" t="s">
        <v>1344</v>
      </c>
      <c r="C184" s="3" t="s">
        <v>747</v>
      </c>
      <c r="D184" s="3" t="s">
        <v>23</v>
      </c>
      <c r="E184" s="2" t="s">
        <v>24</v>
      </c>
      <c r="F184" s="4">
        <v>0</v>
      </c>
      <c r="G184" s="8">
        <f t="shared" si="50"/>
        <v>1</v>
      </c>
      <c r="H184" s="4" t="str">
        <f t="shared" si="46"/>
        <v>Ohms</v>
      </c>
      <c r="I184" s="6">
        <v>0.158</v>
      </c>
      <c r="J184" s="6" t="str">
        <f t="shared" si="47"/>
        <v>Ohms</v>
      </c>
      <c r="K184" s="2" t="str">
        <f t="shared" si="48"/>
        <v>RTG</v>
      </c>
      <c r="L184" s="2">
        <v>52187738</v>
      </c>
      <c r="M184" s="7">
        <v>45941</v>
      </c>
      <c r="N184" s="7">
        <f t="shared" si="49"/>
        <v>46306</v>
      </c>
      <c r="O184" s="7" t="str">
        <f t="shared" si="41"/>
        <v>Anual</v>
      </c>
      <c r="P184" s="2" t="str">
        <f t="shared" ca="1" si="42"/>
        <v>VIGENTE</v>
      </c>
      <c r="Q184" s="6" t="s">
        <v>25</v>
      </c>
      <c r="R184" s="2"/>
    </row>
    <row r="185" spans="1:18" x14ac:dyDescent="0.25">
      <c r="A185" s="23" t="s">
        <v>1332</v>
      </c>
      <c r="B185" s="19" t="s">
        <v>1345</v>
      </c>
      <c r="C185" s="3" t="s">
        <v>747</v>
      </c>
      <c r="D185" s="3" t="s">
        <v>23</v>
      </c>
      <c r="E185" s="2" t="s">
        <v>24</v>
      </c>
      <c r="F185" s="4">
        <v>0</v>
      </c>
      <c r="G185" s="8">
        <f t="shared" si="50"/>
        <v>1</v>
      </c>
      <c r="H185" s="4" t="str">
        <f t="shared" si="46"/>
        <v>Ohms</v>
      </c>
      <c r="I185" s="6">
        <v>0.159</v>
      </c>
      <c r="J185" s="6" t="str">
        <f t="shared" si="47"/>
        <v>Ohms</v>
      </c>
      <c r="K185" s="2" t="str">
        <f t="shared" si="48"/>
        <v>RTG</v>
      </c>
      <c r="L185" s="2">
        <v>52187738</v>
      </c>
      <c r="M185" s="7">
        <v>45941</v>
      </c>
      <c r="N185" s="7">
        <f t="shared" si="49"/>
        <v>46306</v>
      </c>
      <c r="O185" s="7" t="str">
        <f t="shared" si="41"/>
        <v>Anual</v>
      </c>
      <c r="P185" s="2" t="str">
        <f t="shared" ca="1" si="42"/>
        <v>VIGENTE</v>
      </c>
      <c r="Q185" s="6" t="s">
        <v>25</v>
      </c>
      <c r="R185" s="2"/>
    </row>
    <row r="186" spans="1:18" x14ac:dyDescent="0.25">
      <c r="A186" s="23" t="s">
        <v>1332</v>
      </c>
      <c r="B186" s="19" t="s">
        <v>1346</v>
      </c>
      <c r="C186" s="3" t="s">
        <v>747</v>
      </c>
      <c r="D186" s="3" t="s">
        <v>23</v>
      </c>
      <c r="E186" s="2" t="s">
        <v>24</v>
      </c>
      <c r="F186" s="4">
        <v>0</v>
      </c>
      <c r="G186" s="8">
        <f t="shared" si="50"/>
        <v>1</v>
      </c>
      <c r="H186" s="4" t="str">
        <f t="shared" si="46"/>
        <v>Ohms</v>
      </c>
      <c r="I186" s="6">
        <v>0.29599999999999999</v>
      </c>
      <c r="J186" s="6" t="str">
        <f t="shared" si="47"/>
        <v>Ohms</v>
      </c>
      <c r="K186" s="2" t="str">
        <f t="shared" si="48"/>
        <v>RTG</v>
      </c>
      <c r="L186" s="2">
        <v>52187738</v>
      </c>
      <c r="M186" s="7">
        <v>45941</v>
      </c>
      <c r="N186" s="7">
        <f t="shared" si="49"/>
        <v>46306</v>
      </c>
      <c r="O186" s="7" t="str">
        <f t="shared" si="41"/>
        <v>Anual</v>
      </c>
      <c r="P186" s="2" t="str">
        <f t="shared" ca="1" si="42"/>
        <v>VIGENTE</v>
      </c>
      <c r="Q186" s="6" t="s">
        <v>25</v>
      </c>
      <c r="R186" s="2"/>
    </row>
    <row r="187" spans="1:18" x14ac:dyDescent="0.25">
      <c r="A187" s="23" t="s">
        <v>1332</v>
      </c>
      <c r="B187" s="19" t="s">
        <v>1347</v>
      </c>
      <c r="C187" s="3" t="s">
        <v>747</v>
      </c>
      <c r="D187" s="3" t="s">
        <v>23</v>
      </c>
      <c r="E187" s="2" t="s">
        <v>24</v>
      </c>
      <c r="F187" s="4">
        <v>0</v>
      </c>
      <c r="G187" s="8">
        <f t="shared" si="50"/>
        <v>1</v>
      </c>
      <c r="H187" s="4" t="str">
        <f t="shared" si="46"/>
        <v>Ohms</v>
      </c>
      <c r="I187" s="6">
        <v>0.68300000000000005</v>
      </c>
      <c r="J187" s="6" t="str">
        <f t="shared" si="47"/>
        <v>Ohms</v>
      </c>
      <c r="K187" s="2" t="str">
        <f t="shared" si="48"/>
        <v>RTG</v>
      </c>
      <c r="L187" s="2">
        <v>52187738</v>
      </c>
      <c r="M187" s="7">
        <v>45941</v>
      </c>
      <c r="N187" s="7">
        <f t="shared" si="49"/>
        <v>46306</v>
      </c>
      <c r="O187" s="7" t="str">
        <f t="shared" si="41"/>
        <v>Anual</v>
      </c>
      <c r="P187" s="2" t="str">
        <f t="shared" ca="1" si="42"/>
        <v>VIGENTE</v>
      </c>
      <c r="Q187" s="6" t="s">
        <v>25</v>
      </c>
      <c r="R187" s="2"/>
    </row>
    <row r="188" spans="1:18" x14ac:dyDescent="0.25">
      <c r="A188" s="23" t="s">
        <v>1332</v>
      </c>
      <c r="B188" s="2" t="s">
        <v>1348</v>
      </c>
      <c r="C188" s="3" t="s">
        <v>800</v>
      </c>
      <c r="D188" s="3" t="s">
        <v>936</v>
      </c>
      <c r="E188" s="2" t="s">
        <v>24</v>
      </c>
      <c r="F188" s="4">
        <v>0</v>
      </c>
      <c r="G188" s="8">
        <f t="shared" si="50"/>
        <v>10</v>
      </c>
      <c r="H188" s="4" t="str">
        <f t="shared" si="46"/>
        <v>Segundos</v>
      </c>
      <c r="I188" s="6">
        <v>2</v>
      </c>
      <c r="J188" s="6" t="str">
        <f t="shared" si="47"/>
        <v>Segundos</v>
      </c>
      <c r="K188" s="2" t="str">
        <f t="shared" si="48"/>
        <v>Plato de carga</v>
      </c>
      <c r="L188" s="2"/>
      <c r="M188" s="7"/>
      <c r="N188" s="7">
        <f t="shared" si="49"/>
        <v>90</v>
      </c>
      <c r="O188" s="7" t="str">
        <f t="shared" ref="O188:O198" si="51">IF(C188="Ionizador", "Trimestral", IF(C188="Rack", "Semestral", IF(C188="Mesa", "Semestral", IF(C188="Tapete", "Semestral", IF(C188="Cautín", "Semestral", IF(C188="Silla", "Semestral", "Anual"))))))</f>
        <v>Trimestral</v>
      </c>
      <c r="P188" s="2" t="str">
        <f t="shared" ca="1" si="42"/>
        <v>VENCIDO</v>
      </c>
      <c r="Q188" s="13" t="s">
        <v>25</v>
      </c>
      <c r="R188" s="2"/>
    </row>
    <row r="189" spans="1:18" x14ac:dyDescent="0.25">
      <c r="A189" s="23" t="s">
        <v>1332</v>
      </c>
      <c r="B189" s="2" t="s">
        <v>1349</v>
      </c>
      <c r="C189" s="3" t="s">
        <v>800</v>
      </c>
      <c r="D189" s="3" t="s">
        <v>936</v>
      </c>
      <c r="E189" s="2" t="s">
        <v>24</v>
      </c>
      <c r="F189" s="4">
        <v>0</v>
      </c>
      <c r="G189" s="8">
        <f t="shared" si="50"/>
        <v>10</v>
      </c>
      <c r="H189" s="4" t="str">
        <f t="shared" si="46"/>
        <v>Segundos</v>
      </c>
      <c r="I189" s="6">
        <v>3</v>
      </c>
      <c r="J189" s="6" t="str">
        <f t="shared" si="47"/>
        <v>Segundos</v>
      </c>
      <c r="K189" s="2" t="str">
        <f t="shared" si="48"/>
        <v>Plato de carga</v>
      </c>
      <c r="L189" s="2"/>
      <c r="M189" s="7"/>
      <c r="N189" s="7">
        <f t="shared" si="49"/>
        <v>90</v>
      </c>
      <c r="O189" s="7" t="str">
        <f t="shared" si="51"/>
        <v>Trimestral</v>
      </c>
      <c r="P189" s="2" t="str">
        <f t="shared" ca="1" si="42"/>
        <v>VENCIDO</v>
      </c>
      <c r="Q189" s="13" t="s">
        <v>25</v>
      </c>
      <c r="R189" s="2"/>
    </row>
    <row r="190" spans="1:18" x14ac:dyDescent="0.25">
      <c r="A190" s="23" t="s">
        <v>76</v>
      </c>
      <c r="B190" s="2" t="s">
        <v>1350</v>
      </c>
      <c r="C190" s="3" t="s">
        <v>747</v>
      </c>
      <c r="D190" s="3" t="s">
        <v>23</v>
      </c>
      <c r="E190" s="2" t="s">
        <v>24</v>
      </c>
      <c r="F190" s="4">
        <v>0</v>
      </c>
      <c r="G190" s="8">
        <f t="shared" si="50"/>
        <v>1</v>
      </c>
      <c r="H190" s="4" t="str">
        <f t="shared" si="46"/>
        <v>Ohms</v>
      </c>
      <c r="I190" s="6">
        <v>0.23499999999999999</v>
      </c>
      <c r="J190" s="6" t="str">
        <f t="shared" si="47"/>
        <v>Ohms</v>
      </c>
      <c r="K190" s="2" t="str">
        <f t="shared" si="48"/>
        <v>RTG</v>
      </c>
      <c r="L190" s="2">
        <v>50308390</v>
      </c>
      <c r="M190" s="7">
        <v>45861</v>
      </c>
      <c r="N190" s="7">
        <f t="shared" si="49"/>
        <v>46226</v>
      </c>
      <c r="O190" s="7" t="str">
        <f t="shared" ref="O190:O192" si="52">IF(C190="Ionizador", "Trimestral", IF(C190="Rack", "Anual", IF(C190="Mesa", "Anual", IF(C190="Tapete", "Semestral", IF(C190="Cautín", "Semestral", IF(C190="Silla", "Semestral", "Anual"))))))</f>
        <v>Anual</v>
      </c>
      <c r="P190" s="2" t="str">
        <f t="shared" ca="1" si="42"/>
        <v>VIGENTE</v>
      </c>
      <c r="Q190" s="6" t="s">
        <v>25</v>
      </c>
      <c r="R190" s="2"/>
    </row>
    <row r="191" spans="1:18" x14ac:dyDescent="0.25">
      <c r="A191" s="23" t="s">
        <v>76</v>
      </c>
      <c r="B191" s="2" t="s">
        <v>1351</v>
      </c>
      <c r="C191" s="3" t="s">
        <v>747</v>
      </c>
      <c r="D191" s="3" t="s">
        <v>23</v>
      </c>
      <c r="E191" s="2" t="s">
        <v>24</v>
      </c>
      <c r="F191" s="4">
        <v>0</v>
      </c>
      <c r="G191" s="8">
        <f t="shared" si="50"/>
        <v>1</v>
      </c>
      <c r="H191" s="4" t="str">
        <f t="shared" si="46"/>
        <v>Ohms</v>
      </c>
      <c r="I191" s="6">
        <v>0.46</v>
      </c>
      <c r="J191" s="6" t="str">
        <f t="shared" si="47"/>
        <v>Ohms</v>
      </c>
      <c r="K191" s="2" t="str">
        <f t="shared" si="48"/>
        <v>RTG</v>
      </c>
      <c r="L191" s="2">
        <v>50308390</v>
      </c>
      <c r="M191" s="7">
        <v>45861</v>
      </c>
      <c r="N191" s="7">
        <f t="shared" si="49"/>
        <v>46226</v>
      </c>
      <c r="O191" s="7" t="str">
        <f t="shared" si="52"/>
        <v>Anual</v>
      </c>
      <c r="P191" s="2" t="str">
        <f t="shared" ca="1" si="42"/>
        <v>VIGENTE</v>
      </c>
      <c r="Q191" s="6" t="s">
        <v>25</v>
      </c>
      <c r="R191" s="2"/>
    </row>
    <row r="192" spans="1:18" x14ac:dyDescent="0.25">
      <c r="A192" s="23" t="s">
        <v>76</v>
      </c>
      <c r="B192" s="2" t="s">
        <v>1352</v>
      </c>
      <c r="C192" s="3" t="s">
        <v>747</v>
      </c>
      <c r="D192" s="3" t="s">
        <v>23</v>
      </c>
      <c r="E192" s="2" t="s">
        <v>24</v>
      </c>
      <c r="F192" s="4">
        <v>0</v>
      </c>
      <c r="G192" s="8">
        <f t="shared" si="50"/>
        <v>1</v>
      </c>
      <c r="H192" s="4" t="str">
        <f t="shared" si="46"/>
        <v>Ohms</v>
      </c>
      <c r="I192" s="6">
        <v>0.84</v>
      </c>
      <c r="J192" s="6" t="str">
        <f t="shared" si="47"/>
        <v>Ohms</v>
      </c>
      <c r="K192" s="2" t="str">
        <f t="shared" si="48"/>
        <v>RTG</v>
      </c>
      <c r="L192" s="2">
        <v>50308390</v>
      </c>
      <c r="M192" s="7">
        <v>45861</v>
      </c>
      <c r="N192" s="7">
        <f t="shared" si="49"/>
        <v>46226</v>
      </c>
      <c r="O192" s="7" t="str">
        <f t="shared" si="52"/>
        <v>Anual</v>
      </c>
      <c r="P192" s="2" t="str">
        <f t="shared" ca="1" si="42"/>
        <v>VIGENTE</v>
      </c>
      <c r="Q192" s="6" t="s">
        <v>25</v>
      </c>
      <c r="R192" s="2"/>
    </row>
    <row r="193" spans="1:18" x14ac:dyDescent="0.25">
      <c r="A193" s="23" t="s">
        <v>76</v>
      </c>
      <c r="B193" s="2" t="s">
        <v>1353</v>
      </c>
      <c r="C193" s="3" t="s">
        <v>800</v>
      </c>
      <c r="D193" s="3" t="s">
        <v>23</v>
      </c>
      <c r="E193" s="2" t="s">
        <v>1239</v>
      </c>
      <c r="F193" s="4">
        <v>0</v>
      </c>
      <c r="G193" s="8">
        <f t="shared" si="50"/>
        <v>10</v>
      </c>
      <c r="H193" s="4" t="str">
        <f t="shared" si="46"/>
        <v>Segundos</v>
      </c>
      <c r="I193" s="6">
        <v>3</v>
      </c>
      <c r="J193" s="6" t="str">
        <f t="shared" si="47"/>
        <v>Segundos</v>
      </c>
      <c r="K193" s="2" t="str">
        <f t="shared" si="48"/>
        <v>Plato de carga</v>
      </c>
      <c r="L193" s="2"/>
      <c r="M193" s="7">
        <v>46001</v>
      </c>
      <c r="N193" s="7">
        <f t="shared" si="49"/>
        <v>46091</v>
      </c>
      <c r="O193" s="7" t="str">
        <f t="shared" si="51"/>
        <v>Trimestral</v>
      </c>
      <c r="P193" s="2" t="str">
        <f t="shared" ca="1" si="42"/>
        <v>VENCIDO</v>
      </c>
      <c r="Q193" s="6" t="s">
        <v>25</v>
      </c>
      <c r="R193" s="2"/>
    </row>
    <row r="194" spans="1:18" x14ac:dyDescent="0.25">
      <c r="A194" s="23" t="s">
        <v>78</v>
      </c>
      <c r="B194" s="2" t="s">
        <v>1354</v>
      </c>
      <c r="C194" s="3" t="s">
        <v>747</v>
      </c>
      <c r="D194" s="3" t="s">
        <v>23</v>
      </c>
      <c r="E194" s="2" t="s">
        <v>24</v>
      </c>
      <c r="F194" s="4">
        <v>0</v>
      </c>
      <c r="G194" s="8">
        <f t="shared" si="50"/>
        <v>1</v>
      </c>
      <c r="H194" s="4" t="str">
        <f t="shared" si="46"/>
        <v>Ohms</v>
      </c>
      <c r="I194" s="6">
        <v>0.70399999999999996</v>
      </c>
      <c r="J194" s="6" t="str">
        <f t="shared" si="47"/>
        <v>Ohms</v>
      </c>
      <c r="K194" s="2" t="str">
        <f t="shared" si="48"/>
        <v>RTG</v>
      </c>
      <c r="L194" s="2">
        <v>50308419</v>
      </c>
      <c r="M194" s="7">
        <v>45862</v>
      </c>
      <c r="N194" s="7">
        <f t="shared" si="49"/>
        <v>46227</v>
      </c>
      <c r="O194" s="7" t="str">
        <f t="shared" ref="O194:O196" si="53">IF(C194="Ionizador", "Trimestral", IF(C194="Rack", "Anual", IF(C194="Mesa", "Anual", IF(C194="Tapete", "Semestral", IF(C194="Cautín", "Semestral", IF(C194="Silla", "Semestral", "Anual"))))))</f>
        <v>Anual</v>
      </c>
      <c r="P194" s="2" t="str">
        <f t="shared" ca="1" si="42"/>
        <v>VIGENTE</v>
      </c>
      <c r="Q194" s="6" t="s">
        <v>25</v>
      </c>
      <c r="R194" s="2"/>
    </row>
    <row r="195" spans="1:18" x14ac:dyDescent="0.25">
      <c r="A195" s="23" t="s">
        <v>78</v>
      </c>
      <c r="B195" s="2" t="s">
        <v>1355</v>
      </c>
      <c r="C195" s="3" t="s">
        <v>747</v>
      </c>
      <c r="D195" s="3" t="s">
        <v>23</v>
      </c>
      <c r="E195" s="2" t="s">
        <v>24</v>
      </c>
      <c r="F195" s="4">
        <v>0</v>
      </c>
      <c r="G195" s="8">
        <f t="shared" si="50"/>
        <v>1</v>
      </c>
      <c r="H195" s="4" t="str">
        <f t="shared" si="46"/>
        <v>Ohms</v>
      </c>
      <c r="I195" s="6">
        <v>0.49</v>
      </c>
      <c r="J195" s="6" t="str">
        <f t="shared" si="47"/>
        <v>Ohms</v>
      </c>
      <c r="K195" s="2" t="str">
        <f t="shared" si="48"/>
        <v>RTG</v>
      </c>
      <c r="L195" s="2">
        <v>50308419</v>
      </c>
      <c r="M195" s="7">
        <v>45862</v>
      </c>
      <c r="N195" s="7">
        <f t="shared" si="49"/>
        <v>46227</v>
      </c>
      <c r="O195" s="7" t="str">
        <f t="shared" si="53"/>
        <v>Anual</v>
      </c>
      <c r="P195" s="2" t="str">
        <f t="shared" ca="1" si="42"/>
        <v>VIGENTE</v>
      </c>
      <c r="Q195" s="6" t="s">
        <v>25</v>
      </c>
      <c r="R195" s="2"/>
    </row>
    <row r="196" spans="1:18" x14ac:dyDescent="0.25">
      <c r="A196" s="23" t="s">
        <v>78</v>
      </c>
      <c r="B196" s="2" t="s">
        <v>1356</v>
      </c>
      <c r="C196" s="3" t="s">
        <v>747</v>
      </c>
      <c r="D196" s="3" t="s">
        <v>23</v>
      </c>
      <c r="E196" s="2" t="s">
        <v>24</v>
      </c>
      <c r="F196" s="4">
        <v>0</v>
      </c>
      <c r="G196" s="8">
        <f t="shared" si="50"/>
        <v>1</v>
      </c>
      <c r="H196" s="4" t="str">
        <f t="shared" si="46"/>
        <v>Ohms</v>
      </c>
      <c r="I196" s="6">
        <v>0.87</v>
      </c>
      <c r="J196" s="6" t="str">
        <f t="shared" si="47"/>
        <v>Ohms</v>
      </c>
      <c r="K196" s="2" t="str">
        <f t="shared" si="48"/>
        <v>RTG</v>
      </c>
      <c r="L196" s="2">
        <v>50308419</v>
      </c>
      <c r="M196" s="7">
        <v>45862</v>
      </c>
      <c r="N196" s="7">
        <f t="shared" si="49"/>
        <v>46227</v>
      </c>
      <c r="O196" s="7" t="str">
        <f t="shared" si="53"/>
        <v>Anual</v>
      </c>
      <c r="P196" s="2" t="str">
        <f t="shared" ca="1" si="42"/>
        <v>VIGENTE</v>
      </c>
      <c r="Q196" s="6" t="s">
        <v>25</v>
      </c>
      <c r="R196" s="2"/>
    </row>
    <row r="197" spans="1:18" x14ac:dyDescent="0.25">
      <c r="A197" s="23" t="s">
        <v>78</v>
      </c>
      <c r="B197" s="2" t="s">
        <v>1357</v>
      </c>
      <c r="C197" s="3" t="s">
        <v>800</v>
      </c>
      <c r="D197" s="3" t="s">
        <v>936</v>
      </c>
      <c r="E197" s="2" t="s">
        <v>1239</v>
      </c>
      <c r="F197" s="4">
        <v>0</v>
      </c>
      <c r="G197" s="8">
        <f t="shared" si="50"/>
        <v>10</v>
      </c>
      <c r="H197" s="4" t="str">
        <f t="shared" si="46"/>
        <v>Segundos</v>
      </c>
      <c r="I197" s="6">
        <v>3</v>
      </c>
      <c r="J197" s="6" t="str">
        <f t="shared" si="47"/>
        <v>Segundos</v>
      </c>
      <c r="K197" s="2" t="str">
        <f t="shared" si="48"/>
        <v>Plato de carga</v>
      </c>
      <c r="L197" s="2"/>
      <c r="M197" s="7">
        <v>46001</v>
      </c>
      <c r="N197" s="7">
        <f t="shared" si="49"/>
        <v>46091</v>
      </c>
      <c r="O197" s="7" t="str">
        <f t="shared" si="51"/>
        <v>Trimestral</v>
      </c>
      <c r="P197" s="2" t="str">
        <f t="shared" ca="1" si="42"/>
        <v>VENCIDO</v>
      </c>
      <c r="Q197" s="6" t="s">
        <v>25</v>
      </c>
      <c r="R197" s="2"/>
    </row>
    <row r="198" spans="1:18" x14ac:dyDescent="0.25">
      <c r="A198" s="23" t="s">
        <v>78</v>
      </c>
      <c r="B198" s="2" t="s">
        <v>1358</v>
      </c>
      <c r="C198" s="3" t="s">
        <v>800</v>
      </c>
      <c r="D198" s="3" t="s">
        <v>936</v>
      </c>
      <c r="E198" s="2" t="s">
        <v>1239</v>
      </c>
      <c r="F198" s="4">
        <v>0</v>
      </c>
      <c r="G198" s="8">
        <f t="shared" si="50"/>
        <v>10</v>
      </c>
      <c r="H198" s="4" t="str">
        <f t="shared" si="46"/>
        <v>Segundos</v>
      </c>
      <c r="I198" s="6">
        <v>2</v>
      </c>
      <c r="J198" s="6" t="str">
        <f t="shared" si="47"/>
        <v>Segundos</v>
      </c>
      <c r="K198" s="2" t="str">
        <f t="shared" si="48"/>
        <v>Plato de carga</v>
      </c>
      <c r="L198" s="2"/>
      <c r="M198" s="7">
        <v>46001</v>
      </c>
      <c r="N198" s="7">
        <f t="shared" si="49"/>
        <v>46091</v>
      </c>
      <c r="O198" s="7" t="str">
        <f t="shared" si="51"/>
        <v>Trimestral</v>
      </c>
      <c r="P198" s="2" t="str">
        <f t="shared" ca="1" si="42"/>
        <v>VENCIDO</v>
      </c>
      <c r="Q198" s="6" t="s">
        <v>25</v>
      </c>
      <c r="R198" s="2"/>
    </row>
    <row r="199" spans="1:18" x14ac:dyDescent="0.25">
      <c r="A199" s="23" t="s">
        <v>1359</v>
      </c>
      <c r="B199" s="2" t="s">
        <v>1360</v>
      </c>
      <c r="C199" s="3" t="s">
        <v>259</v>
      </c>
      <c r="D199" s="3" t="s">
        <v>23</v>
      </c>
      <c r="E199" s="2" t="s">
        <v>24</v>
      </c>
      <c r="F199" s="4">
        <v>0</v>
      </c>
      <c r="G199" s="8">
        <v>1000000000</v>
      </c>
      <c r="H199" s="4" t="str">
        <f t="shared" si="46"/>
        <v>Ohms</v>
      </c>
      <c r="I199" s="6">
        <v>7870000</v>
      </c>
      <c r="J199" s="6" t="str">
        <f t="shared" si="47"/>
        <v>Ohms</v>
      </c>
      <c r="K199" s="2" t="str">
        <f t="shared" si="48"/>
        <v>RTG</v>
      </c>
      <c r="L199" s="2">
        <v>54957231</v>
      </c>
      <c r="M199" s="7">
        <v>46044</v>
      </c>
      <c r="N199" s="7">
        <f t="shared" ref="N199:N201" si="54">IF(O199="Trimestral", M199+90, IF(O199="Semestral", M199+180, IF(O199="Mensual", M199+30, M199+365)))</f>
        <v>46409</v>
      </c>
      <c r="O199" s="7" t="str">
        <f t="shared" ref="O199:O260" si="55">IF(C199="Ionizador", "Trimestral", IF(C199="Rack", "Anual", IF(C199="Mesa", "Anual", IF(C199="Tapete", "Semestral", IF(C199="Cautín", "Semestral", IF(C199="Silla", "Semestral", "Anual"))))))</f>
        <v>Anual</v>
      </c>
      <c r="P199" s="2" t="str">
        <f t="shared" ca="1" si="42"/>
        <v>VIGENTE</v>
      </c>
      <c r="Q199" s="6" t="s">
        <v>25</v>
      </c>
      <c r="R199" s="2"/>
    </row>
    <row r="200" spans="1:18" x14ac:dyDescent="0.25">
      <c r="A200" s="23" t="s">
        <v>1359</v>
      </c>
      <c r="B200" s="2" t="s">
        <v>1361</v>
      </c>
      <c r="C200" s="3" t="s">
        <v>1362</v>
      </c>
      <c r="D200" s="3" t="s">
        <v>23</v>
      </c>
      <c r="E200" s="2" t="s">
        <v>1363</v>
      </c>
      <c r="F200" s="4">
        <v>0</v>
      </c>
      <c r="G200" s="8">
        <f>IF(C200="Ionizador", 10, IF(C200="Mesa", 1000000000, IF(C200="Rack", 1000000000, IF(C200="Piso", 1000000000, IF(C200="Tapete", 1000000000, IF(C200="Carrito", 1000000000, IF(C200="Cautín", 10, 1)))))))</f>
        <v>1</v>
      </c>
      <c r="H200" s="4" t="str">
        <f t="shared" si="46"/>
        <v>Ohms</v>
      </c>
      <c r="I200" s="6">
        <v>0.57899999999999996</v>
      </c>
      <c r="J200" s="6" t="str">
        <f t="shared" si="47"/>
        <v>Ohms</v>
      </c>
      <c r="K200" s="2" t="str">
        <f t="shared" si="48"/>
        <v>RTG</v>
      </c>
      <c r="L200" s="2">
        <v>54957231</v>
      </c>
      <c r="M200" s="7">
        <v>46044</v>
      </c>
      <c r="N200" s="7">
        <f t="shared" si="54"/>
        <v>46409</v>
      </c>
      <c r="O200" s="7" t="str">
        <f t="shared" si="55"/>
        <v>Anual</v>
      </c>
      <c r="P200" s="2" t="str">
        <f t="shared" ca="1" si="42"/>
        <v>VIGENTE</v>
      </c>
      <c r="Q200" s="6" t="s">
        <v>25</v>
      </c>
      <c r="R200" s="2"/>
    </row>
    <row r="201" spans="1:18" x14ac:dyDescent="0.25">
      <c r="A201" s="23" t="s">
        <v>1359</v>
      </c>
      <c r="B201" s="2" t="s">
        <v>1364</v>
      </c>
      <c r="C201" s="3" t="s">
        <v>267</v>
      </c>
      <c r="D201" s="3" t="s">
        <v>23</v>
      </c>
      <c r="E201" s="2" t="s">
        <v>24</v>
      </c>
      <c r="F201" s="4">
        <v>0</v>
      </c>
      <c r="G201" s="8">
        <v>1000000000</v>
      </c>
      <c r="H201" s="4" t="str">
        <f t="shared" si="46"/>
        <v>Ohms</v>
      </c>
      <c r="I201" s="6">
        <v>4780000</v>
      </c>
      <c r="J201" s="6" t="str">
        <f t="shared" si="47"/>
        <v>Ohms</v>
      </c>
      <c r="K201" s="2" t="str">
        <f t="shared" si="48"/>
        <v>RTG</v>
      </c>
      <c r="L201" s="2">
        <v>54957231</v>
      </c>
      <c r="M201" s="7">
        <v>46044</v>
      </c>
      <c r="N201" s="7">
        <f t="shared" si="54"/>
        <v>46409</v>
      </c>
      <c r="O201" s="7" t="str">
        <f t="shared" si="55"/>
        <v>Anual</v>
      </c>
      <c r="P201" s="2" t="str">
        <f t="shared" ca="1" si="42"/>
        <v>VIGENTE</v>
      </c>
      <c r="Q201" s="6" t="s">
        <v>25</v>
      </c>
      <c r="R201" s="2"/>
    </row>
    <row r="202" spans="1:18" x14ac:dyDescent="0.25">
      <c r="A202" s="23" t="s">
        <v>1365</v>
      </c>
      <c r="B202" s="2" t="s">
        <v>1366</v>
      </c>
      <c r="C202" s="3" t="s">
        <v>259</v>
      </c>
      <c r="D202" s="3" t="s">
        <v>23</v>
      </c>
      <c r="E202" s="2" t="s">
        <v>24</v>
      </c>
      <c r="F202" s="4">
        <v>0</v>
      </c>
      <c r="G202" s="8">
        <f t="shared" ref="G202:G265" si="56">IF(C202="Ionizador", 10, IF(C202="Mesa", 1000000000, IF(C202="Rack", 1000000000, IF(C202="Piso", 1000000000, IF(C202="Tapete", 1000000000, IF(C202="Carrito", 1000000000, IF(C202="Cautín", 10, 1)))))))</f>
        <v>1</v>
      </c>
      <c r="H202" s="4" t="str">
        <f t="shared" si="46"/>
        <v>Ohms</v>
      </c>
      <c r="I202" s="6">
        <v>809000000</v>
      </c>
      <c r="J202" s="6" t="str">
        <f t="shared" si="47"/>
        <v>Ohms</v>
      </c>
      <c r="K202" s="2" t="str">
        <f t="shared" si="48"/>
        <v>RTG</v>
      </c>
      <c r="L202" s="2">
        <v>42784655</v>
      </c>
      <c r="M202" s="7">
        <v>45810</v>
      </c>
      <c r="N202" s="7">
        <f t="shared" ref="N202:N265" si="57">IF(O202="Trimestral", M202+90, IF(O202="Semestral", M202+180, IF(O202="Mensual", M202+30, M202+365)))</f>
        <v>46175</v>
      </c>
      <c r="O202" s="7" t="str">
        <f t="shared" si="55"/>
        <v>Anual</v>
      </c>
      <c r="P202" s="2" t="str">
        <f t="shared" ca="1" si="42"/>
        <v>VIGENTE</v>
      </c>
      <c r="Q202" s="6" t="s">
        <v>25</v>
      </c>
      <c r="R202" s="2"/>
    </row>
    <row r="203" spans="1:18" x14ac:dyDescent="0.25">
      <c r="A203" s="23" t="s">
        <v>1365</v>
      </c>
      <c r="B203" s="2" t="s">
        <v>1367</v>
      </c>
      <c r="C203" s="3" t="s">
        <v>1362</v>
      </c>
      <c r="D203" s="3" t="s">
        <v>23</v>
      </c>
      <c r="E203" s="2" t="s">
        <v>1363</v>
      </c>
      <c r="F203" s="4">
        <v>0</v>
      </c>
      <c r="G203" s="8">
        <f t="shared" si="56"/>
        <v>1</v>
      </c>
      <c r="H203" s="4" t="str">
        <f t="shared" si="46"/>
        <v>Ohms</v>
      </c>
      <c r="I203" s="6">
        <v>0.8</v>
      </c>
      <c r="J203" s="6" t="str">
        <f t="shared" si="47"/>
        <v>Ohms</v>
      </c>
      <c r="K203" s="2" t="str">
        <f t="shared" si="48"/>
        <v>RTG</v>
      </c>
      <c r="L203" s="2">
        <v>42784655</v>
      </c>
      <c r="M203" s="7">
        <v>45810</v>
      </c>
      <c r="N203" s="7">
        <f t="shared" si="57"/>
        <v>46175</v>
      </c>
      <c r="O203" s="7" t="str">
        <f t="shared" si="55"/>
        <v>Anual</v>
      </c>
      <c r="P203" s="2" t="str">
        <f t="shared" ca="1" si="42"/>
        <v>VIGENTE</v>
      </c>
      <c r="Q203" s="6" t="s">
        <v>25</v>
      </c>
      <c r="R203" s="2"/>
    </row>
    <row r="204" spans="1:18" x14ac:dyDescent="0.25">
      <c r="A204" s="23" t="s">
        <v>1365</v>
      </c>
      <c r="B204" s="2" t="s">
        <v>1368</v>
      </c>
      <c r="C204" s="3" t="s">
        <v>267</v>
      </c>
      <c r="D204" s="3" t="s">
        <v>23</v>
      </c>
      <c r="E204" s="2" t="s">
        <v>24</v>
      </c>
      <c r="F204" s="4">
        <v>0</v>
      </c>
      <c r="G204" s="8">
        <f t="shared" si="56"/>
        <v>1</v>
      </c>
      <c r="H204" s="4" t="str">
        <f t="shared" si="46"/>
        <v>Ohms</v>
      </c>
      <c r="I204" s="6">
        <v>166000000</v>
      </c>
      <c r="J204" s="6" t="str">
        <f t="shared" si="47"/>
        <v>Ohms</v>
      </c>
      <c r="K204" s="2" t="str">
        <f t="shared" si="48"/>
        <v>RTG</v>
      </c>
      <c r="L204" s="2">
        <v>42784655</v>
      </c>
      <c r="M204" s="7">
        <v>45810</v>
      </c>
      <c r="N204" s="7">
        <f t="shared" si="57"/>
        <v>46175</v>
      </c>
      <c r="O204" s="7" t="str">
        <f t="shared" si="55"/>
        <v>Anual</v>
      </c>
      <c r="P204" s="2" t="str">
        <f t="shared" ca="1" si="42"/>
        <v>VIGENTE</v>
      </c>
      <c r="Q204" s="6" t="s">
        <v>25</v>
      </c>
      <c r="R204" s="2"/>
    </row>
    <row r="205" spans="1:18" x14ac:dyDescent="0.25">
      <c r="A205" s="23" t="s">
        <v>1369</v>
      </c>
      <c r="B205" s="2" t="s">
        <v>1370</v>
      </c>
      <c r="C205" s="3" t="s">
        <v>1371</v>
      </c>
      <c r="D205" s="3" t="s">
        <v>23</v>
      </c>
      <c r="E205" s="2" t="s">
        <v>24</v>
      </c>
      <c r="F205" s="4">
        <v>0</v>
      </c>
      <c r="G205" s="8">
        <f t="shared" si="56"/>
        <v>1</v>
      </c>
      <c r="H205" s="4" t="str">
        <f t="shared" si="46"/>
        <v>Ohms</v>
      </c>
      <c r="I205" s="6">
        <v>0.2</v>
      </c>
      <c r="J205" s="6" t="str">
        <f t="shared" si="47"/>
        <v>Ohms</v>
      </c>
      <c r="K205" s="2" t="str">
        <f t="shared" si="48"/>
        <v>RTG</v>
      </c>
      <c r="L205" s="2">
        <v>49643326</v>
      </c>
      <c r="M205" s="7">
        <v>45741</v>
      </c>
      <c r="N205" s="7">
        <f t="shared" si="57"/>
        <v>46106</v>
      </c>
      <c r="O205" s="7" t="str">
        <f t="shared" si="55"/>
        <v>Anual</v>
      </c>
      <c r="P205" s="2" t="str">
        <f t="shared" ca="1" si="42"/>
        <v>VENCIDO</v>
      </c>
      <c r="Q205" s="6" t="s">
        <v>25</v>
      </c>
      <c r="R205" s="2"/>
    </row>
    <row r="206" spans="1:18" x14ac:dyDescent="0.25">
      <c r="A206" s="23" t="s">
        <v>1369</v>
      </c>
      <c r="B206" s="2" t="s">
        <v>1372</v>
      </c>
      <c r="C206" s="3" t="s">
        <v>813</v>
      </c>
      <c r="D206" s="3" t="s">
        <v>23</v>
      </c>
      <c r="E206" s="2" t="s">
        <v>24</v>
      </c>
      <c r="F206" s="4">
        <v>0</v>
      </c>
      <c r="G206" s="8">
        <f t="shared" si="56"/>
        <v>1</v>
      </c>
      <c r="H206" s="4" t="str">
        <f t="shared" si="46"/>
        <v>Ohms</v>
      </c>
      <c r="I206" s="6">
        <v>0.6</v>
      </c>
      <c r="J206" s="6" t="str">
        <f t="shared" si="47"/>
        <v>Ohms</v>
      </c>
      <c r="K206" s="2" t="str">
        <f t="shared" si="48"/>
        <v>RTG</v>
      </c>
      <c r="L206" s="2">
        <v>49643326</v>
      </c>
      <c r="M206" s="7">
        <v>45741</v>
      </c>
      <c r="N206" s="7">
        <f t="shared" si="57"/>
        <v>46106</v>
      </c>
      <c r="O206" s="7" t="str">
        <f t="shared" si="55"/>
        <v>Anual</v>
      </c>
      <c r="P206" s="2" t="str">
        <f t="shared" ca="1" si="42"/>
        <v>VENCIDO</v>
      </c>
      <c r="Q206" s="6" t="s">
        <v>25</v>
      </c>
      <c r="R206" s="2"/>
    </row>
    <row r="207" spans="1:18" x14ac:dyDescent="0.25">
      <c r="A207" s="23" t="s">
        <v>1369</v>
      </c>
      <c r="B207" s="2" t="s">
        <v>1373</v>
      </c>
      <c r="C207" s="3" t="s">
        <v>261</v>
      </c>
      <c r="D207" s="3" t="s">
        <v>23</v>
      </c>
      <c r="E207" s="2" t="s">
        <v>24</v>
      </c>
      <c r="F207" s="4">
        <v>0</v>
      </c>
      <c r="G207" s="8">
        <f t="shared" si="56"/>
        <v>1</v>
      </c>
      <c r="H207" s="4" t="str">
        <f t="shared" si="46"/>
        <v>Ohms</v>
      </c>
      <c r="I207" s="6">
        <v>0.1</v>
      </c>
      <c r="J207" s="6" t="str">
        <f t="shared" si="47"/>
        <v>Ohms</v>
      </c>
      <c r="K207" s="2" t="str">
        <f t="shared" si="48"/>
        <v>RTG</v>
      </c>
      <c r="L207" s="2">
        <v>49643326</v>
      </c>
      <c r="M207" s="7">
        <v>45741</v>
      </c>
      <c r="N207" s="7">
        <f t="shared" si="57"/>
        <v>46106</v>
      </c>
      <c r="O207" s="7" t="str">
        <f t="shared" si="55"/>
        <v>Anual</v>
      </c>
      <c r="P207" s="2" t="str">
        <f t="shared" ca="1" si="42"/>
        <v>VENCIDO</v>
      </c>
      <c r="Q207" s="6" t="s">
        <v>25</v>
      </c>
      <c r="R207" s="2"/>
    </row>
    <row r="208" spans="1:18" x14ac:dyDescent="0.25">
      <c r="A208" s="23" t="s">
        <v>1369</v>
      </c>
      <c r="B208" s="2" t="s">
        <v>1374</v>
      </c>
      <c r="C208" s="3" t="s">
        <v>1362</v>
      </c>
      <c r="D208" s="3" t="s">
        <v>23</v>
      </c>
      <c r="E208" s="2" t="s">
        <v>1363</v>
      </c>
      <c r="F208" s="4">
        <v>0</v>
      </c>
      <c r="G208" s="8">
        <f t="shared" si="56"/>
        <v>1</v>
      </c>
      <c r="H208" s="4" t="str">
        <f t="shared" si="46"/>
        <v>Ohms</v>
      </c>
      <c r="I208" s="6">
        <v>0.2</v>
      </c>
      <c r="J208" s="6" t="str">
        <f t="shared" si="47"/>
        <v>Ohms</v>
      </c>
      <c r="K208" s="2" t="str">
        <f t="shared" si="48"/>
        <v>RTG</v>
      </c>
      <c r="L208" s="2">
        <v>49643326</v>
      </c>
      <c r="M208" s="7">
        <v>45741</v>
      </c>
      <c r="N208" s="7">
        <f t="shared" si="57"/>
        <v>46106</v>
      </c>
      <c r="O208" s="7" t="str">
        <f t="shared" si="55"/>
        <v>Anual</v>
      </c>
      <c r="P208" s="2" t="str">
        <f t="shared" ca="1" si="42"/>
        <v>VENCIDO</v>
      </c>
      <c r="Q208" s="6" t="s">
        <v>25</v>
      </c>
      <c r="R208" s="2"/>
    </row>
    <row r="209" spans="1:18" x14ac:dyDescent="0.25">
      <c r="A209" s="23" t="s">
        <v>1369</v>
      </c>
      <c r="B209" s="2" t="s">
        <v>1375</v>
      </c>
      <c r="C209" s="3" t="s">
        <v>261</v>
      </c>
      <c r="D209" s="3" t="s">
        <v>23</v>
      </c>
      <c r="E209" s="2" t="s">
        <v>24</v>
      </c>
      <c r="F209" s="4">
        <v>0</v>
      </c>
      <c r="G209" s="8">
        <f t="shared" si="56"/>
        <v>1</v>
      </c>
      <c r="H209" s="4" t="str">
        <f t="shared" si="46"/>
        <v>Ohms</v>
      </c>
      <c r="I209" s="6">
        <v>0.2</v>
      </c>
      <c r="J209" s="6" t="str">
        <f t="shared" si="47"/>
        <v>Ohms</v>
      </c>
      <c r="K209" s="2" t="str">
        <f t="shared" si="48"/>
        <v>RTG</v>
      </c>
      <c r="L209" s="2">
        <v>49643326</v>
      </c>
      <c r="M209" s="7">
        <v>45741</v>
      </c>
      <c r="N209" s="7">
        <f t="shared" si="57"/>
        <v>46106</v>
      </c>
      <c r="O209" s="7" t="str">
        <f t="shared" si="55"/>
        <v>Anual</v>
      </c>
      <c r="P209" s="2" t="str">
        <f t="shared" ca="1" si="42"/>
        <v>VENCIDO</v>
      </c>
      <c r="Q209" s="6" t="s">
        <v>25</v>
      </c>
      <c r="R209" s="2"/>
    </row>
    <row r="210" spans="1:18" x14ac:dyDescent="0.25">
      <c r="A210" s="23" t="s">
        <v>1369</v>
      </c>
      <c r="B210" s="2" t="s">
        <v>1376</v>
      </c>
      <c r="C210" s="3" t="s">
        <v>267</v>
      </c>
      <c r="D210" s="3" t="s">
        <v>23</v>
      </c>
      <c r="E210" s="2" t="s">
        <v>24</v>
      </c>
      <c r="F210" s="4">
        <v>0</v>
      </c>
      <c r="G210" s="8">
        <f t="shared" si="56"/>
        <v>1</v>
      </c>
      <c r="H210" s="4" t="str">
        <f t="shared" si="46"/>
        <v>Ohms</v>
      </c>
      <c r="I210" s="6">
        <v>0.1</v>
      </c>
      <c r="J210" s="6" t="str">
        <f t="shared" si="47"/>
        <v>Ohms</v>
      </c>
      <c r="K210" s="2" t="str">
        <f t="shared" si="48"/>
        <v>RTG</v>
      </c>
      <c r="L210" s="2">
        <v>49643326</v>
      </c>
      <c r="M210" s="7">
        <v>45741</v>
      </c>
      <c r="N210" s="7">
        <f t="shared" si="57"/>
        <v>46106</v>
      </c>
      <c r="O210" s="7" t="str">
        <f t="shared" si="55"/>
        <v>Anual</v>
      </c>
      <c r="P210" s="2" t="str">
        <f t="shared" ca="1" si="42"/>
        <v>VENCIDO</v>
      </c>
      <c r="Q210" s="6" t="s">
        <v>25</v>
      </c>
      <c r="R210" s="2"/>
    </row>
    <row r="211" spans="1:18" x14ac:dyDescent="0.25">
      <c r="A211" s="23" t="s">
        <v>1377</v>
      </c>
      <c r="B211" s="2" t="s">
        <v>1378</v>
      </c>
      <c r="C211" s="3" t="s">
        <v>1371</v>
      </c>
      <c r="D211" s="3" t="s">
        <v>23</v>
      </c>
      <c r="E211" s="2" t="s">
        <v>24</v>
      </c>
      <c r="F211" s="4">
        <v>0</v>
      </c>
      <c r="G211" s="8">
        <f t="shared" si="56"/>
        <v>1</v>
      </c>
      <c r="H211" s="4" t="str">
        <f t="shared" si="46"/>
        <v>Ohms</v>
      </c>
      <c r="I211" s="6">
        <v>0.2</v>
      </c>
      <c r="J211" s="6" t="str">
        <f t="shared" si="47"/>
        <v>Ohms</v>
      </c>
      <c r="K211" s="2" t="str">
        <f t="shared" si="48"/>
        <v>RTG</v>
      </c>
      <c r="L211" s="2">
        <v>47077950</v>
      </c>
      <c r="M211" s="7">
        <v>45741</v>
      </c>
      <c r="N211" s="7">
        <f t="shared" si="57"/>
        <v>46106</v>
      </c>
      <c r="O211" s="7" t="str">
        <f t="shared" si="55"/>
        <v>Anual</v>
      </c>
      <c r="P211" s="2" t="str">
        <f t="shared" ca="1" si="42"/>
        <v>VENCIDO</v>
      </c>
      <c r="Q211" s="6" t="s">
        <v>25</v>
      </c>
      <c r="R211" s="2"/>
    </row>
    <row r="212" spans="1:18" x14ac:dyDescent="0.25">
      <c r="A212" s="23" t="s">
        <v>1377</v>
      </c>
      <c r="B212" s="2" t="s">
        <v>1379</v>
      </c>
      <c r="C212" s="3" t="s">
        <v>813</v>
      </c>
      <c r="D212" s="3" t="s">
        <v>23</v>
      </c>
      <c r="E212" s="2" t="s">
        <v>24</v>
      </c>
      <c r="F212" s="4">
        <v>0</v>
      </c>
      <c r="G212" s="8">
        <f t="shared" si="56"/>
        <v>1</v>
      </c>
      <c r="H212" s="4" t="str">
        <f t="shared" si="46"/>
        <v>Ohms</v>
      </c>
      <c r="I212" s="6">
        <v>0.1</v>
      </c>
      <c r="J212" s="6" t="str">
        <f t="shared" si="47"/>
        <v>Ohms</v>
      </c>
      <c r="K212" s="2" t="str">
        <f t="shared" si="48"/>
        <v>RTG</v>
      </c>
      <c r="L212" s="2">
        <v>47077950</v>
      </c>
      <c r="M212" s="7">
        <v>45741</v>
      </c>
      <c r="N212" s="7">
        <f t="shared" si="57"/>
        <v>46106</v>
      </c>
      <c r="O212" s="7" t="str">
        <f t="shared" si="55"/>
        <v>Anual</v>
      </c>
      <c r="P212" s="2" t="str">
        <f t="shared" ca="1" si="42"/>
        <v>VENCIDO</v>
      </c>
      <c r="Q212" s="6" t="s">
        <v>25</v>
      </c>
      <c r="R212" s="2"/>
    </row>
    <row r="213" spans="1:18" x14ac:dyDescent="0.25">
      <c r="A213" s="23" t="s">
        <v>1377</v>
      </c>
      <c r="B213" s="2" t="s">
        <v>1380</v>
      </c>
      <c r="C213" s="3" t="s">
        <v>261</v>
      </c>
      <c r="D213" s="3" t="s">
        <v>23</v>
      </c>
      <c r="E213" s="2" t="s">
        <v>24</v>
      </c>
      <c r="F213" s="4">
        <v>0</v>
      </c>
      <c r="G213" s="8">
        <f t="shared" si="56"/>
        <v>1</v>
      </c>
      <c r="H213" s="4" t="str">
        <f t="shared" si="46"/>
        <v>Ohms</v>
      </c>
      <c r="I213" s="6">
        <v>0.1</v>
      </c>
      <c r="J213" s="6" t="str">
        <f t="shared" si="47"/>
        <v>Ohms</v>
      </c>
      <c r="K213" s="2" t="str">
        <f t="shared" si="48"/>
        <v>RTG</v>
      </c>
      <c r="L213" s="2">
        <v>47077950</v>
      </c>
      <c r="M213" s="7">
        <v>45741</v>
      </c>
      <c r="N213" s="7">
        <f t="shared" si="57"/>
        <v>46106</v>
      </c>
      <c r="O213" s="7" t="str">
        <f t="shared" si="55"/>
        <v>Anual</v>
      </c>
      <c r="P213" s="2" t="str">
        <f t="shared" ca="1" si="42"/>
        <v>VENCIDO</v>
      </c>
      <c r="Q213" s="6" t="s">
        <v>25</v>
      </c>
      <c r="R213" s="2"/>
    </row>
    <row r="214" spans="1:18" x14ac:dyDescent="0.25">
      <c r="A214" s="23" t="s">
        <v>1377</v>
      </c>
      <c r="B214" s="2" t="s">
        <v>1381</v>
      </c>
      <c r="C214" s="3" t="s">
        <v>1362</v>
      </c>
      <c r="D214" s="3" t="s">
        <v>23</v>
      </c>
      <c r="E214" s="2" t="s">
        <v>1363</v>
      </c>
      <c r="F214" s="4">
        <v>0</v>
      </c>
      <c r="G214" s="8">
        <f t="shared" si="56"/>
        <v>1</v>
      </c>
      <c r="H214" s="4" t="str">
        <f t="shared" si="46"/>
        <v>Ohms</v>
      </c>
      <c r="I214" s="6">
        <v>0.1</v>
      </c>
      <c r="J214" s="6" t="str">
        <f t="shared" si="47"/>
        <v>Ohms</v>
      </c>
      <c r="K214" s="2" t="str">
        <f t="shared" si="48"/>
        <v>RTG</v>
      </c>
      <c r="L214" s="2">
        <v>47077950</v>
      </c>
      <c r="M214" s="7">
        <v>45741</v>
      </c>
      <c r="N214" s="7">
        <f t="shared" si="57"/>
        <v>46106</v>
      </c>
      <c r="O214" s="7" t="str">
        <f t="shared" si="55"/>
        <v>Anual</v>
      </c>
      <c r="P214" s="2" t="str">
        <f t="shared" ca="1" si="42"/>
        <v>VENCIDO</v>
      </c>
      <c r="Q214" s="6" t="s">
        <v>25</v>
      </c>
      <c r="R214" s="2"/>
    </row>
    <row r="215" spans="1:18" x14ac:dyDescent="0.25">
      <c r="A215" s="23" t="s">
        <v>1377</v>
      </c>
      <c r="B215" s="2" t="s">
        <v>1382</v>
      </c>
      <c r="C215" s="3" t="s">
        <v>261</v>
      </c>
      <c r="D215" s="3" t="s">
        <v>23</v>
      </c>
      <c r="E215" s="2" t="s">
        <v>24</v>
      </c>
      <c r="F215" s="4">
        <v>0</v>
      </c>
      <c r="G215" s="8">
        <f t="shared" si="56"/>
        <v>1</v>
      </c>
      <c r="H215" s="4" t="str">
        <f t="shared" si="46"/>
        <v>Ohms</v>
      </c>
      <c r="I215" s="6">
        <v>0.2</v>
      </c>
      <c r="J215" s="6" t="str">
        <f t="shared" si="47"/>
        <v>Ohms</v>
      </c>
      <c r="K215" s="2" t="str">
        <f t="shared" si="48"/>
        <v>RTG</v>
      </c>
      <c r="L215" s="2">
        <v>47077950</v>
      </c>
      <c r="M215" s="7">
        <v>45741</v>
      </c>
      <c r="N215" s="7">
        <f t="shared" si="57"/>
        <v>46106</v>
      </c>
      <c r="O215" s="7" t="str">
        <f t="shared" si="55"/>
        <v>Anual</v>
      </c>
      <c r="P215" s="2" t="str">
        <f t="shared" ca="1" si="42"/>
        <v>VENCIDO</v>
      </c>
      <c r="Q215" s="6" t="s">
        <v>25</v>
      </c>
      <c r="R215" s="2"/>
    </row>
    <row r="216" spans="1:18" x14ac:dyDescent="0.25">
      <c r="A216" s="23" t="s">
        <v>1377</v>
      </c>
      <c r="B216" s="2" t="s">
        <v>1383</v>
      </c>
      <c r="C216" s="3" t="s">
        <v>267</v>
      </c>
      <c r="D216" s="3" t="s">
        <v>23</v>
      </c>
      <c r="E216" s="2" t="s">
        <v>24</v>
      </c>
      <c r="F216" s="4">
        <v>0</v>
      </c>
      <c r="G216" s="8">
        <f t="shared" si="56"/>
        <v>1</v>
      </c>
      <c r="H216" s="4" t="str">
        <f t="shared" si="46"/>
        <v>Ohms</v>
      </c>
      <c r="I216" s="6">
        <v>0.01</v>
      </c>
      <c r="J216" s="6" t="str">
        <f t="shared" si="47"/>
        <v>Ohms</v>
      </c>
      <c r="K216" s="2" t="str">
        <f t="shared" si="48"/>
        <v>RTG</v>
      </c>
      <c r="L216" s="2">
        <v>47077950</v>
      </c>
      <c r="M216" s="7">
        <v>45741</v>
      </c>
      <c r="N216" s="7">
        <f t="shared" si="57"/>
        <v>46106</v>
      </c>
      <c r="O216" s="7" t="str">
        <f t="shared" si="55"/>
        <v>Anual</v>
      </c>
      <c r="P216" s="2" t="str">
        <f t="shared" ca="1" si="42"/>
        <v>VENCIDO</v>
      </c>
      <c r="Q216" s="6" t="s">
        <v>25</v>
      </c>
      <c r="R216" s="2"/>
    </row>
    <row r="217" spans="1:18" x14ac:dyDescent="0.25">
      <c r="A217" s="23" t="s">
        <v>1384</v>
      </c>
      <c r="B217" s="2" t="s">
        <v>1385</v>
      </c>
      <c r="C217" s="3" t="s">
        <v>259</v>
      </c>
      <c r="D217" s="3" t="s">
        <v>23</v>
      </c>
      <c r="E217" s="2" t="s">
        <v>24</v>
      </c>
      <c r="F217" s="4">
        <v>0</v>
      </c>
      <c r="G217" s="8">
        <f t="shared" si="56"/>
        <v>1</v>
      </c>
      <c r="H217" s="4" t="str">
        <f t="shared" si="46"/>
        <v>Ohms</v>
      </c>
      <c r="I217" s="6">
        <v>0.254</v>
      </c>
      <c r="J217" s="6" t="str">
        <f t="shared" si="47"/>
        <v>Ohms</v>
      </c>
      <c r="K217" s="2" t="str">
        <f t="shared" si="48"/>
        <v>RTG</v>
      </c>
      <c r="L217" s="2">
        <v>50395184</v>
      </c>
      <c r="M217" s="7">
        <v>45863</v>
      </c>
      <c r="N217" s="7">
        <f t="shared" si="57"/>
        <v>46228</v>
      </c>
      <c r="O217" s="7" t="str">
        <f t="shared" si="55"/>
        <v>Anual</v>
      </c>
      <c r="P217" s="2" t="str">
        <f t="shared" ca="1" si="42"/>
        <v>VIGENTE</v>
      </c>
      <c r="Q217" s="6" t="s">
        <v>25</v>
      </c>
      <c r="R217" s="2"/>
    </row>
    <row r="218" spans="1:18" x14ac:dyDescent="0.25">
      <c r="A218" s="23" t="s">
        <v>1384</v>
      </c>
      <c r="B218" s="2" t="s">
        <v>1386</v>
      </c>
      <c r="C218" s="3" t="s">
        <v>813</v>
      </c>
      <c r="D218" s="3" t="s">
        <v>23</v>
      </c>
      <c r="E218" s="2" t="s">
        <v>24</v>
      </c>
      <c r="F218" s="4">
        <v>0</v>
      </c>
      <c r="G218" s="8">
        <f t="shared" si="56"/>
        <v>1</v>
      </c>
      <c r="H218" s="4" t="str">
        <f t="shared" si="46"/>
        <v>Ohms</v>
      </c>
      <c r="I218" s="6">
        <v>0.21</v>
      </c>
      <c r="J218" s="6" t="str">
        <f t="shared" si="47"/>
        <v>Ohms</v>
      </c>
      <c r="K218" s="2" t="str">
        <f t="shared" si="48"/>
        <v>RTG</v>
      </c>
      <c r="L218" s="2">
        <v>50395184</v>
      </c>
      <c r="M218" s="7">
        <v>45863</v>
      </c>
      <c r="N218" s="7">
        <f t="shared" si="57"/>
        <v>46228</v>
      </c>
      <c r="O218" s="7" t="str">
        <f t="shared" si="55"/>
        <v>Anual</v>
      </c>
      <c r="P218" s="2" t="str">
        <f t="shared" ref="P218:P281" ca="1" si="58">IF(N218&lt;TODAY(),"VENCIDO",IF(N218=TODAY(),"VIGENTE",IF(N218&gt;TODAY(),"VIGENTE")))</f>
        <v>VIGENTE</v>
      </c>
      <c r="Q218" s="6" t="s">
        <v>25</v>
      </c>
      <c r="R218" s="2"/>
    </row>
    <row r="219" spans="1:18" x14ac:dyDescent="0.25">
      <c r="A219" s="23" t="s">
        <v>1384</v>
      </c>
      <c r="B219" s="2" t="s">
        <v>1387</v>
      </c>
      <c r="C219" s="3" t="s">
        <v>261</v>
      </c>
      <c r="D219" s="3" t="s">
        <v>23</v>
      </c>
      <c r="E219" s="2" t="s">
        <v>24</v>
      </c>
      <c r="F219" s="4">
        <v>0</v>
      </c>
      <c r="G219" s="8">
        <f t="shared" si="56"/>
        <v>1</v>
      </c>
      <c r="H219" s="4" t="str">
        <f t="shared" si="46"/>
        <v>Ohms</v>
      </c>
      <c r="I219" s="6">
        <v>0.57099999999999995</v>
      </c>
      <c r="J219" s="6" t="str">
        <f t="shared" si="47"/>
        <v>Ohms</v>
      </c>
      <c r="K219" s="2" t="str">
        <f t="shared" si="48"/>
        <v>RTG</v>
      </c>
      <c r="L219" s="2">
        <v>50395184</v>
      </c>
      <c r="M219" s="7">
        <v>45863</v>
      </c>
      <c r="N219" s="7">
        <f t="shared" si="57"/>
        <v>46228</v>
      </c>
      <c r="O219" s="7" t="str">
        <f t="shared" si="55"/>
        <v>Anual</v>
      </c>
      <c r="P219" s="2" t="str">
        <f t="shared" ca="1" si="58"/>
        <v>VIGENTE</v>
      </c>
      <c r="Q219" s="6" t="s">
        <v>25</v>
      </c>
      <c r="R219" s="2"/>
    </row>
    <row r="220" spans="1:18" x14ac:dyDescent="0.25">
      <c r="A220" s="23" t="s">
        <v>1384</v>
      </c>
      <c r="B220" s="2" t="s">
        <v>1388</v>
      </c>
      <c r="C220" s="3" t="s">
        <v>1362</v>
      </c>
      <c r="D220" s="3" t="s">
        <v>23</v>
      </c>
      <c r="E220" s="2" t="s">
        <v>1363</v>
      </c>
      <c r="F220" s="4">
        <v>0</v>
      </c>
      <c r="G220" s="8">
        <f t="shared" si="56"/>
        <v>1</v>
      </c>
      <c r="H220" s="4" t="str">
        <f t="shared" si="46"/>
        <v>Ohms</v>
      </c>
      <c r="I220" s="6">
        <v>0.155</v>
      </c>
      <c r="J220" s="6" t="str">
        <f t="shared" si="47"/>
        <v>Ohms</v>
      </c>
      <c r="K220" s="2" t="str">
        <f t="shared" si="48"/>
        <v>RTG</v>
      </c>
      <c r="L220" s="2">
        <v>50395184</v>
      </c>
      <c r="M220" s="7">
        <v>45863</v>
      </c>
      <c r="N220" s="7">
        <f t="shared" si="57"/>
        <v>46228</v>
      </c>
      <c r="O220" s="7" t="str">
        <f t="shared" si="55"/>
        <v>Anual</v>
      </c>
      <c r="P220" s="2" t="str">
        <f t="shared" ca="1" si="58"/>
        <v>VIGENTE</v>
      </c>
      <c r="Q220" s="6" t="s">
        <v>25</v>
      </c>
      <c r="R220" s="2"/>
    </row>
    <row r="221" spans="1:18" x14ac:dyDescent="0.25">
      <c r="A221" s="23" t="s">
        <v>1384</v>
      </c>
      <c r="B221" s="2" t="s">
        <v>1389</v>
      </c>
      <c r="C221" s="3" t="s">
        <v>267</v>
      </c>
      <c r="D221" s="3" t="s">
        <v>23</v>
      </c>
      <c r="E221" s="2" t="s">
        <v>24</v>
      </c>
      <c r="F221" s="4">
        <v>0</v>
      </c>
      <c r="G221" s="8">
        <f t="shared" si="56"/>
        <v>1</v>
      </c>
      <c r="H221" s="4" t="str">
        <f t="shared" si="46"/>
        <v>Ohms</v>
      </c>
      <c r="I221" s="6">
        <v>0.441</v>
      </c>
      <c r="J221" s="6" t="str">
        <f t="shared" si="47"/>
        <v>Ohms</v>
      </c>
      <c r="K221" s="2" t="str">
        <f t="shared" si="48"/>
        <v>RTG</v>
      </c>
      <c r="L221" s="2">
        <v>50395184</v>
      </c>
      <c r="M221" s="7">
        <v>45863</v>
      </c>
      <c r="N221" s="7">
        <f t="shared" si="57"/>
        <v>46228</v>
      </c>
      <c r="O221" s="7" t="str">
        <f t="shared" si="55"/>
        <v>Anual</v>
      </c>
      <c r="P221" s="2" t="str">
        <f t="shared" ca="1" si="58"/>
        <v>VIGENTE</v>
      </c>
      <c r="Q221" s="6" t="s">
        <v>25</v>
      </c>
      <c r="R221" s="2"/>
    </row>
    <row r="222" spans="1:18" x14ac:dyDescent="0.25">
      <c r="A222" s="23" t="s">
        <v>1390</v>
      </c>
      <c r="B222" s="2" t="s">
        <v>1391</v>
      </c>
      <c r="C222" s="3" t="s">
        <v>259</v>
      </c>
      <c r="D222" s="3" t="s">
        <v>23</v>
      </c>
      <c r="E222" s="2" t="s">
        <v>24</v>
      </c>
      <c r="F222" s="4">
        <v>0</v>
      </c>
      <c r="G222" s="8">
        <f t="shared" si="56"/>
        <v>1</v>
      </c>
      <c r="H222" s="4" t="str">
        <f t="shared" si="46"/>
        <v>Ohms</v>
      </c>
      <c r="I222" s="14">
        <v>23200000</v>
      </c>
      <c r="J222" s="6" t="str">
        <f t="shared" si="47"/>
        <v>Ohms</v>
      </c>
      <c r="K222" s="2" t="str">
        <f t="shared" si="48"/>
        <v>RTG</v>
      </c>
      <c r="L222" s="2">
        <v>49678719</v>
      </c>
      <c r="M222" s="7">
        <v>45908</v>
      </c>
      <c r="N222" s="7">
        <f t="shared" si="57"/>
        <v>46273</v>
      </c>
      <c r="O222" s="7" t="str">
        <f t="shared" si="55"/>
        <v>Anual</v>
      </c>
      <c r="P222" s="2" t="str">
        <f t="shared" ca="1" si="58"/>
        <v>VIGENTE</v>
      </c>
      <c r="Q222" s="6" t="s">
        <v>25</v>
      </c>
      <c r="R222" s="2"/>
    </row>
    <row r="223" spans="1:18" x14ac:dyDescent="0.25">
      <c r="A223" s="23" t="s">
        <v>1390</v>
      </c>
      <c r="B223" s="2" t="s">
        <v>1392</v>
      </c>
      <c r="C223" s="3" t="s">
        <v>1362</v>
      </c>
      <c r="D223" s="3" t="s">
        <v>23</v>
      </c>
      <c r="E223" s="2" t="s">
        <v>1363</v>
      </c>
      <c r="F223" s="4">
        <v>0</v>
      </c>
      <c r="G223" s="8">
        <f t="shared" si="56"/>
        <v>1</v>
      </c>
      <c r="H223" s="4" t="str">
        <f t="shared" si="46"/>
        <v>Ohms</v>
      </c>
      <c r="I223" s="6">
        <v>0.63</v>
      </c>
      <c r="J223" s="6" t="str">
        <f t="shared" si="47"/>
        <v>Ohms</v>
      </c>
      <c r="K223" s="2" t="str">
        <f t="shared" si="48"/>
        <v>RTG</v>
      </c>
      <c r="L223" s="2">
        <v>49678719</v>
      </c>
      <c r="M223" s="7">
        <v>45908</v>
      </c>
      <c r="N223" s="7">
        <f t="shared" si="57"/>
        <v>46273</v>
      </c>
      <c r="O223" s="7" t="str">
        <f t="shared" si="55"/>
        <v>Anual</v>
      </c>
      <c r="P223" s="2" t="str">
        <f t="shared" ca="1" si="58"/>
        <v>VIGENTE</v>
      </c>
      <c r="Q223" s="6" t="s">
        <v>25</v>
      </c>
      <c r="R223" s="2"/>
    </row>
    <row r="224" spans="1:18" x14ac:dyDescent="0.25">
      <c r="A224" s="23" t="s">
        <v>1390</v>
      </c>
      <c r="B224" s="2" t="s">
        <v>1393</v>
      </c>
      <c r="C224" s="3" t="s">
        <v>267</v>
      </c>
      <c r="D224" s="3" t="s">
        <v>23</v>
      </c>
      <c r="E224" s="2" t="s">
        <v>24</v>
      </c>
      <c r="F224" s="4">
        <v>0</v>
      </c>
      <c r="G224" s="8">
        <f t="shared" si="56"/>
        <v>1</v>
      </c>
      <c r="H224" s="4" t="str">
        <f t="shared" si="46"/>
        <v>Ohms</v>
      </c>
      <c r="I224" s="14">
        <v>59400000</v>
      </c>
      <c r="J224" s="6" t="str">
        <f t="shared" si="47"/>
        <v>Ohms</v>
      </c>
      <c r="K224" s="2" t="str">
        <f t="shared" si="48"/>
        <v>RTG</v>
      </c>
      <c r="L224" s="2">
        <v>49678719</v>
      </c>
      <c r="M224" s="7">
        <v>45908</v>
      </c>
      <c r="N224" s="7">
        <f t="shared" si="57"/>
        <v>46273</v>
      </c>
      <c r="O224" s="7" t="str">
        <f t="shared" si="55"/>
        <v>Anual</v>
      </c>
      <c r="P224" s="2" t="str">
        <f t="shared" ca="1" si="58"/>
        <v>VIGENTE</v>
      </c>
      <c r="Q224" s="6" t="s">
        <v>25</v>
      </c>
      <c r="R224" s="2"/>
    </row>
    <row r="225" spans="1:18" x14ac:dyDescent="0.25">
      <c r="A225" s="23" t="s">
        <v>1394</v>
      </c>
      <c r="B225" s="2" t="s">
        <v>1395</v>
      </c>
      <c r="C225" s="3" t="s">
        <v>259</v>
      </c>
      <c r="D225" s="3" t="s">
        <v>23</v>
      </c>
      <c r="E225" s="2" t="s">
        <v>24</v>
      </c>
      <c r="F225" s="4">
        <v>0</v>
      </c>
      <c r="G225" s="8">
        <f t="shared" si="56"/>
        <v>1</v>
      </c>
      <c r="H225" s="4" t="str">
        <f t="shared" si="46"/>
        <v>Ohms</v>
      </c>
      <c r="I225" s="14">
        <v>7460000</v>
      </c>
      <c r="J225" s="6" t="str">
        <f t="shared" si="47"/>
        <v>Ohms</v>
      </c>
      <c r="K225" s="2" t="str">
        <f t="shared" si="48"/>
        <v>RTG</v>
      </c>
      <c r="L225" s="2">
        <v>49678736</v>
      </c>
      <c r="M225" s="7">
        <v>45909</v>
      </c>
      <c r="N225" s="7">
        <f t="shared" si="57"/>
        <v>46274</v>
      </c>
      <c r="O225" s="7" t="str">
        <f t="shared" si="55"/>
        <v>Anual</v>
      </c>
      <c r="P225" s="2" t="str">
        <f t="shared" ca="1" si="58"/>
        <v>VIGENTE</v>
      </c>
      <c r="Q225" s="6" t="s">
        <v>25</v>
      </c>
      <c r="R225" s="2"/>
    </row>
    <row r="226" spans="1:18" x14ac:dyDescent="0.25">
      <c r="A226" s="23" t="s">
        <v>1394</v>
      </c>
      <c r="B226" s="2" t="s">
        <v>1396</v>
      </c>
      <c r="C226" s="3" t="s">
        <v>1362</v>
      </c>
      <c r="D226" s="3" t="s">
        <v>23</v>
      </c>
      <c r="E226" s="2" t="s">
        <v>1363</v>
      </c>
      <c r="F226" s="4">
        <v>0</v>
      </c>
      <c r="G226" s="8">
        <f t="shared" si="56"/>
        <v>1</v>
      </c>
      <c r="H226" s="4" t="str">
        <f t="shared" si="46"/>
        <v>Ohms</v>
      </c>
      <c r="I226" s="6">
        <v>0.33200000000000002</v>
      </c>
      <c r="J226" s="6" t="str">
        <f t="shared" si="47"/>
        <v>Ohms</v>
      </c>
      <c r="K226" s="2" t="str">
        <f t="shared" si="48"/>
        <v>RTG</v>
      </c>
      <c r="L226" s="2">
        <v>49678736</v>
      </c>
      <c r="M226" s="7">
        <v>45909</v>
      </c>
      <c r="N226" s="7">
        <f t="shared" si="57"/>
        <v>46274</v>
      </c>
      <c r="O226" s="7" t="str">
        <f t="shared" si="55"/>
        <v>Anual</v>
      </c>
      <c r="P226" s="2" t="str">
        <f t="shared" ca="1" si="58"/>
        <v>VIGENTE</v>
      </c>
      <c r="Q226" s="6" t="s">
        <v>25</v>
      </c>
      <c r="R226" s="2"/>
    </row>
    <row r="227" spans="1:18" x14ac:dyDescent="0.25">
      <c r="A227" s="23" t="s">
        <v>1394</v>
      </c>
      <c r="B227" s="2" t="s">
        <v>1397</v>
      </c>
      <c r="C227" s="3" t="s">
        <v>267</v>
      </c>
      <c r="D227" s="3" t="s">
        <v>23</v>
      </c>
      <c r="E227" s="2" t="s">
        <v>24</v>
      </c>
      <c r="F227" s="4">
        <v>0</v>
      </c>
      <c r="G227" s="8">
        <f t="shared" si="56"/>
        <v>1</v>
      </c>
      <c r="H227" s="4" t="str">
        <f t="shared" si="46"/>
        <v>Ohms</v>
      </c>
      <c r="I227" s="14">
        <v>2560000</v>
      </c>
      <c r="J227" s="6" t="str">
        <f t="shared" si="47"/>
        <v>Ohms</v>
      </c>
      <c r="K227" s="2" t="str">
        <f t="shared" si="48"/>
        <v>RTG</v>
      </c>
      <c r="L227" s="2">
        <v>49678736</v>
      </c>
      <c r="M227" s="7">
        <v>45909</v>
      </c>
      <c r="N227" s="7">
        <f t="shared" si="57"/>
        <v>46274</v>
      </c>
      <c r="O227" s="7" t="str">
        <f t="shared" si="55"/>
        <v>Anual</v>
      </c>
      <c r="P227" s="2" t="str">
        <f t="shared" ca="1" si="58"/>
        <v>VIGENTE</v>
      </c>
      <c r="Q227" s="6" t="s">
        <v>25</v>
      </c>
      <c r="R227" s="2"/>
    </row>
    <row r="228" spans="1:18" x14ac:dyDescent="0.25">
      <c r="A228" s="23" t="s">
        <v>574</v>
      </c>
      <c r="B228" s="2" t="s">
        <v>1398</v>
      </c>
      <c r="C228" s="3" t="s">
        <v>259</v>
      </c>
      <c r="D228" s="3" t="s">
        <v>23</v>
      </c>
      <c r="E228" s="2" t="s">
        <v>24</v>
      </c>
      <c r="F228" s="4">
        <v>0</v>
      </c>
      <c r="G228" s="8">
        <f t="shared" si="56"/>
        <v>1</v>
      </c>
      <c r="H228" s="4" t="str">
        <f t="shared" si="46"/>
        <v>Ohms</v>
      </c>
      <c r="I228" s="6">
        <v>0.20100000000000001</v>
      </c>
      <c r="J228" s="6" t="str">
        <f t="shared" si="47"/>
        <v>Ohms</v>
      </c>
      <c r="K228" s="2" t="str">
        <f t="shared" si="48"/>
        <v>RTG</v>
      </c>
      <c r="L228" s="2">
        <v>42784696</v>
      </c>
      <c r="M228" s="7">
        <v>45821</v>
      </c>
      <c r="N228" s="7">
        <f t="shared" si="57"/>
        <v>46186</v>
      </c>
      <c r="O228" s="7" t="str">
        <f t="shared" si="55"/>
        <v>Anual</v>
      </c>
      <c r="P228" s="2" t="str">
        <f t="shared" ca="1" si="58"/>
        <v>VIGENTE</v>
      </c>
      <c r="Q228" s="6" t="s">
        <v>25</v>
      </c>
      <c r="R228" s="2"/>
    </row>
    <row r="229" spans="1:18" x14ac:dyDescent="0.25">
      <c r="A229" s="23" t="s">
        <v>574</v>
      </c>
      <c r="B229" s="2" t="s">
        <v>1399</v>
      </c>
      <c r="C229" s="3" t="s">
        <v>261</v>
      </c>
      <c r="D229" s="3" t="s">
        <v>23</v>
      </c>
      <c r="E229" s="2" t="s">
        <v>24</v>
      </c>
      <c r="F229" s="4">
        <v>0</v>
      </c>
      <c r="G229" s="8">
        <f t="shared" si="56"/>
        <v>1</v>
      </c>
      <c r="H229" s="4" t="str">
        <f t="shared" si="46"/>
        <v>Ohms</v>
      </c>
      <c r="I229" s="6">
        <v>0.34699999999999998</v>
      </c>
      <c r="J229" s="6" t="str">
        <f t="shared" si="47"/>
        <v>Ohms</v>
      </c>
      <c r="K229" s="2" t="str">
        <f t="shared" si="48"/>
        <v>RTG</v>
      </c>
      <c r="L229" s="2">
        <v>42784696</v>
      </c>
      <c r="M229" s="7">
        <v>45821</v>
      </c>
      <c r="N229" s="7">
        <f t="shared" si="57"/>
        <v>46186</v>
      </c>
      <c r="O229" s="7" t="str">
        <f t="shared" si="55"/>
        <v>Anual</v>
      </c>
      <c r="P229" s="2" t="str">
        <f t="shared" ca="1" si="58"/>
        <v>VIGENTE</v>
      </c>
      <c r="Q229" s="6" t="s">
        <v>25</v>
      </c>
      <c r="R229" s="2"/>
    </row>
    <row r="230" spans="1:18" x14ac:dyDescent="0.25">
      <c r="A230" s="23" t="s">
        <v>574</v>
      </c>
      <c r="B230" s="2" t="s">
        <v>1400</v>
      </c>
      <c r="C230" s="3" t="s">
        <v>1362</v>
      </c>
      <c r="D230" s="3" t="s">
        <v>23</v>
      </c>
      <c r="E230" s="2" t="s">
        <v>1363</v>
      </c>
      <c r="F230" s="4">
        <v>0</v>
      </c>
      <c r="G230" s="8">
        <f t="shared" si="56"/>
        <v>1</v>
      </c>
      <c r="H230" s="4" t="str">
        <f t="shared" si="46"/>
        <v>Ohms</v>
      </c>
      <c r="I230" s="6">
        <v>0.151</v>
      </c>
      <c r="J230" s="6" t="str">
        <f t="shared" si="47"/>
        <v>Ohms</v>
      </c>
      <c r="K230" s="2" t="str">
        <f t="shared" si="48"/>
        <v>RTG</v>
      </c>
      <c r="L230" s="2">
        <v>42784696</v>
      </c>
      <c r="M230" s="7">
        <v>45821</v>
      </c>
      <c r="N230" s="7">
        <f t="shared" si="57"/>
        <v>46186</v>
      </c>
      <c r="O230" s="7" t="str">
        <f t="shared" si="55"/>
        <v>Anual</v>
      </c>
      <c r="P230" s="2" t="str">
        <f t="shared" ca="1" si="58"/>
        <v>VIGENTE</v>
      </c>
      <c r="Q230" s="6" t="s">
        <v>25</v>
      </c>
      <c r="R230" s="2"/>
    </row>
    <row r="231" spans="1:18" x14ac:dyDescent="0.25">
      <c r="A231" s="23" t="s">
        <v>574</v>
      </c>
      <c r="B231" s="2" t="s">
        <v>1401</v>
      </c>
      <c r="C231" s="3" t="s">
        <v>265</v>
      </c>
      <c r="D231" s="3" t="s">
        <v>23</v>
      </c>
      <c r="E231" s="2" t="s">
        <v>24</v>
      </c>
      <c r="F231" s="4">
        <v>0</v>
      </c>
      <c r="G231" s="8">
        <f t="shared" si="56"/>
        <v>1</v>
      </c>
      <c r="H231" s="4" t="str">
        <f t="shared" si="46"/>
        <v>Ohms</v>
      </c>
      <c r="I231" s="6">
        <v>0.18</v>
      </c>
      <c r="J231" s="6" t="str">
        <f t="shared" si="47"/>
        <v>Ohms</v>
      </c>
      <c r="K231" s="2" t="str">
        <f t="shared" si="48"/>
        <v>RTG</v>
      </c>
      <c r="L231" s="2">
        <v>42784696</v>
      </c>
      <c r="M231" s="7">
        <v>45821</v>
      </c>
      <c r="N231" s="7">
        <f t="shared" si="57"/>
        <v>46186</v>
      </c>
      <c r="O231" s="7" t="str">
        <f t="shared" si="55"/>
        <v>Anual</v>
      </c>
      <c r="P231" s="2" t="str">
        <f t="shared" ca="1" si="58"/>
        <v>VIGENTE</v>
      </c>
      <c r="Q231" s="6" t="s">
        <v>25</v>
      </c>
      <c r="R231" s="2"/>
    </row>
    <row r="232" spans="1:18" x14ac:dyDescent="0.25">
      <c r="A232" s="23" t="s">
        <v>574</v>
      </c>
      <c r="B232" s="2" t="s">
        <v>1402</v>
      </c>
      <c r="C232" s="3" t="s">
        <v>267</v>
      </c>
      <c r="D232" s="3" t="s">
        <v>23</v>
      </c>
      <c r="E232" s="2" t="s">
        <v>24</v>
      </c>
      <c r="F232" s="4">
        <v>0</v>
      </c>
      <c r="G232" s="8">
        <f t="shared" si="56"/>
        <v>1</v>
      </c>
      <c r="H232" s="4" t="str">
        <f t="shared" si="46"/>
        <v>Ohms</v>
      </c>
      <c r="I232" s="6">
        <v>0.495</v>
      </c>
      <c r="J232" s="6" t="str">
        <f t="shared" si="47"/>
        <v>Ohms</v>
      </c>
      <c r="K232" s="2" t="str">
        <f t="shared" si="48"/>
        <v>RTG</v>
      </c>
      <c r="L232" s="2">
        <v>42784696</v>
      </c>
      <c r="M232" s="7">
        <v>45821</v>
      </c>
      <c r="N232" s="7">
        <f t="shared" si="57"/>
        <v>46186</v>
      </c>
      <c r="O232" s="7" t="str">
        <f t="shared" si="55"/>
        <v>Anual</v>
      </c>
      <c r="P232" s="2" t="str">
        <f t="shared" ca="1" si="58"/>
        <v>VIGENTE</v>
      </c>
      <c r="Q232" s="6" t="s">
        <v>25</v>
      </c>
      <c r="R232" s="2"/>
    </row>
    <row r="233" spans="1:18" x14ac:dyDescent="0.25">
      <c r="A233" s="23" t="s">
        <v>1403</v>
      </c>
      <c r="B233" s="2" t="s">
        <v>1404</v>
      </c>
      <c r="C233" s="3" t="s">
        <v>259</v>
      </c>
      <c r="D233" s="3" t="s">
        <v>23</v>
      </c>
      <c r="E233" s="2" t="s">
        <v>24</v>
      </c>
      <c r="F233" s="4">
        <v>0</v>
      </c>
      <c r="G233" s="8">
        <f t="shared" si="56"/>
        <v>1</v>
      </c>
      <c r="H233" s="4" t="str">
        <f t="shared" si="46"/>
        <v>Ohms</v>
      </c>
      <c r="I233" s="6">
        <v>0.72499999999999998</v>
      </c>
      <c r="J233" s="6" t="str">
        <f t="shared" si="47"/>
        <v>Ohms</v>
      </c>
      <c r="K233" s="2" t="str">
        <f t="shared" si="48"/>
        <v>RTG</v>
      </c>
      <c r="L233" s="2">
        <v>42784709</v>
      </c>
      <c r="M233" s="7">
        <v>45821</v>
      </c>
      <c r="N233" s="7">
        <f t="shared" si="57"/>
        <v>46186</v>
      </c>
      <c r="O233" s="7" t="str">
        <f t="shared" si="55"/>
        <v>Anual</v>
      </c>
      <c r="P233" s="2" t="str">
        <f t="shared" ca="1" si="58"/>
        <v>VIGENTE</v>
      </c>
      <c r="Q233" s="6" t="s">
        <v>25</v>
      </c>
      <c r="R233" s="2"/>
    </row>
    <row r="234" spans="1:18" x14ac:dyDescent="0.25">
      <c r="A234" s="23" t="s">
        <v>1403</v>
      </c>
      <c r="B234" s="2" t="s">
        <v>1405</v>
      </c>
      <c r="C234" s="3" t="s">
        <v>261</v>
      </c>
      <c r="D234" s="3" t="s">
        <v>23</v>
      </c>
      <c r="E234" s="2" t="s">
        <v>24</v>
      </c>
      <c r="F234" s="4">
        <v>0</v>
      </c>
      <c r="G234" s="8">
        <f t="shared" si="56"/>
        <v>1</v>
      </c>
      <c r="H234" s="4" t="str">
        <f t="shared" si="46"/>
        <v>Ohms</v>
      </c>
      <c r="I234" s="6">
        <v>0.58099999999999996</v>
      </c>
      <c r="J234" s="6" t="str">
        <f t="shared" si="47"/>
        <v>Ohms</v>
      </c>
      <c r="K234" s="2" t="str">
        <f t="shared" si="48"/>
        <v>RTG</v>
      </c>
      <c r="L234" s="2">
        <v>42784709</v>
      </c>
      <c r="M234" s="7">
        <v>45821</v>
      </c>
      <c r="N234" s="7">
        <f t="shared" si="57"/>
        <v>46186</v>
      </c>
      <c r="O234" s="7" t="str">
        <f t="shared" si="55"/>
        <v>Anual</v>
      </c>
      <c r="P234" s="2" t="str">
        <f t="shared" ca="1" si="58"/>
        <v>VIGENTE</v>
      </c>
      <c r="Q234" s="6" t="s">
        <v>25</v>
      </c>
      <c r="R234" s="2"/>
    </row>
    <row r="235" spans="1:18" x14ac:dyDescent="0.25">
      <c r="A235" s="23" t="s">
        <v>1403</v>
      </c>
      <c r="B235" s="2" t="s">
        <v>1406</v>
      </c>
      <c r="C235" s="3" t="s">
        <v>1362</v>
      </c>
      <c r="D235" s="3" t="s">
        <v>23</v>
      </c>
      <c r="E235" s="2" t="s">
        <v>1363</v>
      </c>
      <c r="F235" s="4">
        <v>0</v>
      </c>
      <c r="G235" s="8">
        <f t="shared" si="56"/>
        <v>1</v>
      </c>
      <c r="H235" s="4" t="str">
        <f t="shared" ref="H235:H298" si="59">IF(C235="Ionizador", "Segundos", "Ohms")</f>
        <v>Ohms</v>
      </c>
      <c r="I235" s="6">
        <v>0.59899999999999998</v>
      </c>
      <c r="J235" s="6" t="str">
        <f t="shared" ref="J235:J298" si="60">H235</f>
        <v>Ohms</v>
      </c>
      <c r="K235" s="2" t="str">
        <f t="shared" ref="K235:K298" si="61">IF(C235="Ionizador", "Plato de carga", IF(C235="Cautín", "PTG", IF(C235="ESD Tester", "PTP Deviation", "RTG")))</f>
        <v>RTG</v>
      </c>
      <c r="L235" s="2">
        <v>42784709</v>
      </c>
      <c r="M235" s="7">
        <v>45821</v>
      </c>
      <c r="N235" s="7">
        <f t="shared" si="57"/>
        <v>46186</v>
      </c>
      <c r="O235" s="7" t="str">
        <f t="shared" si="55"/>
        <v>Anual</v>
      </c>
      <c r="P235" s="2" t="str">
        <f t="shared" ca="1" si="58"/>
        <v>VIGENTE</v>
      </c>
      <c r="Q235" s="6" t="s">
        <v>25</v>
      </c>
      <c r="R235" s="2"/>
    </row>
    <row r="236" spans="1:18" x14ac:dyDescent="0.25">
      <c r="A236" s="23" t="s">
        <v>1403</v>
      </c>
      <c r="B236" s="2" t="s">
        <v>1407</v>
      </c>
      <c r="C236" s="3" t="s">
        <v>265</v>
      </c>
      <c r="D236" s="3" t="s">
        <v>23</v>
      </c>
      <c r="E236" s="2" t="s">
        <v>24</v>
      </c>
      <c r="F236" s="4">
        <v>0</v>
      </c>
      <c r="G236" s="8">
        <f t="shared" si="56"/>
        <v>1</v>
      </c>
      <c r="H236" s="4" t="str">
        <f t="shared" si="59"/>
        <v>Ohms</v>
      </c>
      <c r="I236" s="6">
        <v>0.56599999999999995</v>
      </c>
      <c r="J236" s="6" t="str">
        <f t="shared" si="60"/>
        <v>Ohms</v>
      </c>
      <c r="K236" s="2" t="str">
        <f t="shared" si="61"/>
        <v>RTG</v>
      </c>
      <c r="L236" s="2">
        <v>42784709</v>
      </c>
      <c r="M236" s="7">
        <v>45821</v>
      </c>
      <c r="N236" s="7">
        <f t="shared" si="57"/>
        <v>46186</v>
      </c>
      <c r="O236" s="7" t="str">
        <f t="shared" si="55"/>
        <v>Anual</v>
      </c>
      <c r="P236" s="2" t="str">
        <f t="shared" ca="1" si="58"/>
        <v>VIGENTE</v>
      </c>
      <c r="Q236" s="6" t="s">
        <v>25</v>
      </c>
      <c r="R236" s="2"/>
    </row>
    <row r="237" spans="1:18" x14ac:dyDescent="0.25">
      <c r="A237" s="23" t="s">
        <v>1403</v>
      </c>
      <c r="B237" s="2" t="s">
        <v>1408</v>
      </c>
      <c r="C237" s="3" t="s">
        <v>267</v>
      </c>
      <c r="D237" s="3" t="s">
        <v>23</v>
      </c>
      <c r="E237" s="2" t="s">
        <v>24</v>
      </c>
      <c r="F237" s="4">
        <v>0</v>
      </c>
      <c r="G237" s="8">
        <f t="shared" si="56"/>
        <v>1</v>
      </c>
      <c r="H237" s="4" t="str">
        <f t="shared" si="59"/>
        <v>Ohms</v>
      </c>
      <c r="I237" s="6">
        <v>0.70199999999999996</v>
      </c>
      <c r="J237" s="6" t="str">
        <f t="shared" si="60"/>
        <v>Ohms</v>
      </c>
      <c r="K237" s="2" t="str">
        <f t="shared" si="61"/>
        <v>RTG</v>
      </c>
      <c r="L237" s="2">
        <v>42784709</v>
      </c>
      <c r="M237" s="7">
        <v>45821</v>
      </c>
      <c r="N237" s="7">
        <f t="shared" si="57"/>
        <v>46186</v>
      </c>
      <c r="O237" s="7" t="str">
        <f t="shared" si="55"/>
        <v>Anual</v>
      </c>
      <c r="P237" s="2" t="str">
        <f t="shared" ca="1" si="58"/>
        <v>VIGENTE</v>
      </c>
      <c r="Q237" s="6" t="s">
        <v>25</v>
      </c>
      <c r="R237" s="2"/>
    </row>
    <row r="238" spans="1:18" x14ac:dyDescent="0.25">
      <c r="A238" s="23" t="s">
        <v>576</v>
      </c>
      <c r="B238" s="2" t="s">
        <v>1409</v>
      </c>
      <c r="C238" s="3" t="s">
        <v>259</v>
      </c>
      <c r="D238" s="3" t="s">
        <v>23</v>
      </c>
      <c r="E238" s="2" t="s">
        <v>24</v>
      </c>
      <c r="F238" s="4">
        <v>0</v>
      </c>
      <c r="G238" s="8">
        <f t="shared" si="56"/>
        <v>1</v>
      </c>
      <c r="H238" s="4" t="str">
        <f t="shared" si="59"/>
        <v>Ohms</v>
      </c>
      <c r="I238" s="6">
        <v>0.7</v>
      </c>
      <c r="J238" s="6" t="str">
        <f t="shared" si="60"/>
        <v>Ohms</v>
      </c>
      <c r="K238" s="2" t="str">
        <f t="shared" si="61"/>
        <v>RTG</v>
      </c>
      <c r="L238" s="2">
        <v>42784721</v>
      </c>
      <c r="M238" s="7">
        <v>45821</v>
      </c>
      <c r="N238" s="7">
        <f t="shared" si="57"/>
        <v>46186</v>
      </c>
      <c r="O238" s="7" t="str">
        <f t="shared" si="55"/>
        <v>Anual</v>
      </c>
      <c r="P238" s="2" t="str">
        <f t="shared" ca="1" si="58"/>
        <v>VIGENTE</v>
      </c>
      <c r="Q238" s="6" t="s">
        <v>25</v>
      </c>
      <c r="R238" s="2"/>
    </row>
    <row r="239" spans="1:18" x14ac:dyDescent="0.25">
      <c r="A239" s="23" t="s">
        <v>576</v>
      </c>
      <c r="B239" s="2" t="s">
        <v>1410</v>
      </c>
      <c r="C239" s="3" t="s">
        <v>261</v>
      </c>
      <c r="D239" s="3" t="s">
        <v>23</v>
      </c>
      <c r="E239" s="2" t="s">
        <v>24</v>
      </c>
      <c r="F239" s="4">
        <v>0</v>
      </c>
      <c r="G239" s="8">
        <f t="shared" si="56"/>
        <v>1</v>
      </c>
      <c r="H239" s="4" t="str">
        <f t="shared" si="59"/>
        <v>Ohms</v>
      </c>
      <c r="I239" s="6">
        <v>0.51500000000000001</v>
      </c>
      <c r="J239" s="6" t="str">
        <f t="shared" si="60"/>
        <v>Ohms</v>
      </c>
      <c r="K239" s="2" t="str">
        <f t="shared" si="61"/>
        <v>RTG</v>
      </c>
      <c r="L239" s="2">
        <v>42784721</v>
      </c>
      <c r="M239" s="7">
        <v>45821</v>
      </c>
      <c r="N239" s="7">
        <f t="shared" si="57"/>
        <v>46186</v>
      </c>
      <c r="O239" s="7" t="str">
        <f t="shared" si="55"/>
        <v>Anual</v>
      </c>
      <c r="P239" s="2" t="str">
        <f t="shared" ca="1" si="58"/>
        <v>VIGENTE</v>
      </c>
      <c r="Q239" s="6" t="s">
        <v>25</v>
      </c>
      <c r="R239" s="2"/>
    </row>
    <row r="240" spans="1:18" x14ac:dyDescent="0.25">
      <c r="A240" s="23" t="s">
        <v>576</v>
      </c>
      <c r="B240" s="2" t="s">
        <v>1411</v>
      </c>
      <c r="C240" s="3" t="s">
        <v>1362</v>
      </c>
      <c r="D240" s="3" t="s">
        <v>23</v>
      </c>
      <c r="E240" s="2" t="s">
        <v>1363</v>
      </c>
      <c r="F240" s="4">
        <v>0</v>
      </c>
      <c r="G240" s="8">
        <f t="shared" si="56"/>
        <v>1</v>
      </c>
      <c r="H240" s="4" t="str">
        <f t="shared" si="59"/>
        <v>Ohms</v>
      </c>
      <c r="I240" s="6">
        <v>0.55000000000000004</v>
      </c>
      <c r="J240" s="6" t="str">
        <f t="shared" si="60"/>
        <v>Ohms</v>
      </c>
      <c r="K240" s="2" t="str">
        <f t="shared" si="61"/>
        <v>RTG</v>
      </c>
      <c r="L240" s="2">
        <v>42784721</v>
      </c>
      <c r="M240" s="7">
        <v>45821</v>
      </c>
      <c r="N240" s="7">
        <f t="shared" si="57"/>
        <v>46186</v>
      </c>
      <c r="O240" s="7" t="str">
        <f t="shared" si="55"/>
        <v>Anual</v>
      </c>
      <c r="P240" s="2" t="str">
        <f t="shared" ca="1" si="58"/>
        <v>VIGENTE</v>
      </c>
      <c r="Q240" s="6" t="s">
        <v>25</v>
      </c>
      <c r="R240" s="2"/>
    </row>
    <row r="241" spans="1:18" x14ac:dyDescent="0.25">
      <c r="A241" s="23" t="s">
        <v>576</v>
      </c>
      <c r="B241" s="2" t="s">
        <v>1412</v>
      </c>
      <c r="C241" s="3" t="s">
        <v>265</v>
      </c>
      <c r="D241" s="3" t="s">
        <v>23</v>
      </c>
      <c r="E241" s="2" t="s">
        <v>24</v>
      </c>
      <c r="F241" s="4">
        <v>0</v>
      </c>
      <c r="G241" s="8">
        <f t="shared" si="56"/>
        <v>1</v>
      </c>
      <c r="H241" s="4" t="str">
        <f t="shared" si="59"/>
        <v>Ohms</v>
      </c>
      <c r="I241" s="6">
        <v>0.54</v>
      </c>
      <c r="J241" s="6" t="str">
        <f t="shared" si="60"/>
        <v>Ohms</v>
      </c>
      <c r="K241" s="2" t="str">
        <f t="shared" si="61"/>
        <v>RTG</v>
      </c>
      <c r="L241" s="2">
        <v>42784721</v>
      </c>
      <c r="M241" s="7">
        <v>45821</v>
      </c>
      <c r="N241" s="7">
        <f t="shared" si="57"/>
        <v>46186</v>
      </c>
      <c r="O241" s="7" t="str">
        <f t="shared" si="55"/>
        <v>Anual</v>
      </c>
      <c r="P241" s="2" t="str">
        <f t="shared" ca="1" si="58"/>
        <v>VIGENTE</v>
      </c>
      <c r="Q241" s="6" t="s">
        <v>25</v>
      </c>
      <c r="R241" s="2"/>
    </row>
    <row r="242" spans="1:18" x14ac:dyDescent="0.25">
      <c r="A242" s="23" t="s">
        <v>576</v>
      </c>
      <c r="B242" s="2" t="s">
        <v>1413</v>
      </c>
      <c r="C242" s="3" t="s">
        <v>267</v>
      </c>
      <c r="D242" s="3" t="s">
        <v>23</v>
      </c>
      <c r="E242" s="2" t="s">
        <v>24</v>
      </c>
      <c r="F242" s="4">
        <v>0</v>
      </c>
      <c r="G242" s="8">
        <f t="shared" si="56"/>
        <v>1</v>
      </c>
      <c r="H242" s="4" t="str">
        <f t="shared" si="59"/>
        <v>Ohms</v>
      </c>
      <c r="I242" s="6">
        <v>0.13200000000000001</v>
      </c>
      <c r="J242" s="6" t="str">
        <f t="shared" si="60"/>
        <v>Ohms</v>
      </c>
      <c r="K242" s="2" t="str">
        <f t="shared" si="61"/>
        <v>RTG</v>
      </c>
      <c r="L242" s="2">
        <v>42784721</v>
      </c>
      <c r="M242" s="7">
        <v>45821</v>
      </c>
      <c r="N242" s="7">
        <f t="shared" si="57"/>
        <v>46186</v>
      </c>
      <c r="O242" s="7" t="str">
        <f t="shared" si="55"/>
        <v>Anual</v>
      </c>
      <c r="P242" s="2" t="str">
        <f t="shared" ca="1" si="58"/>
        <v>VIGENTE</v>
      </c>
      <c r="Q242" s="6" t="s">
        <v>25</v>
      </c>
      <c r="R242" s="2"/>
    </row>
    <row r="243" spans="1:18" x14ac:dyDescent="0.25">
      <c r="A243" s="23" t="s">
        <v>1414</v>
      </c>
      <c r="B243" s="2" t="s">
        <v>1415</v>
      </c>
      <c r="C243" s="3" t="s">
        <v>259</v>
      </c>
      <c r="D243" s="3" t="s">
        <v>23</v>
      </c>
      <c r="E243" s="2" t="s">
        <v>24</v>
      </c>
      <c r="F243" s="4">
        <v>0</v>
      </c>
      <c r="G243" s="8">
        <f t="shared" si="56"/>
        <v>1</v>
      </c>
      <c r="H243" s="4" t="str">
        <f t="shared" si="59"/>
        <v>Ohms</v>
      </c>
      <c r="I243" s="14">
        <v>145000</v>
      </c>
      <c r="J243" s="6" t="str">
        <f t="shared" si="60"/>
        <v>Ohms</v>
      </c>
      <c r="K243" s="2" t="str">
        <f t="shared" si="61"/>
        <v>RTG</v>
      </c>
      <c r="L243" s="2">
        <v>49643326</v>
      </c>
      <c r="M243" s="7">
        <v>46276</v>
      </c>
      <c r="N243" s="7">
        <f t="shared" si="57"/>
        <v>46641</v>
      </c>
      <c r="O243" s="7" t="str">
        <f t="shared" si="55"/>
        <v>Anual</v>
      </c>
      <c r="P243" s="2" t="str">
        <f t="shared" ca="1" si="58"/>
        <v>VIGENTE</v>
      </c>
      <c r="Q243" s="6" t="s">
        <v>25</v>
      </c>
      <c r="R243" s="2"/>
    </row>
    <row r="244" spans="1:18" x14ac:dyDescent="0.25">
      <c r="A244" s="23" t="s">
        <v>1414</v>
      </c>
      <c r="B244" s="2" t="s">
        <v>1416</v>
      </c>
      <c r="C244" s="3" t="s">
        <v>1362</v>
      </c>
      <c r="D244" s="3" t="s">
        <v>23</v>
      </c>
      <c r="E244" s="2" t="s">
        <v>1363</v>
      </c>
      <c r="F244" s="4">
        <v>0</v>
      </c>
      <c r="G244" s="8">
        <f t="shared" si="56"/>
        <v>1</v>
      </c>
      <c r="H244" s="4" t="str">
        <f t="shared" si="59"/>
        <v>Ohms</v>
      </c>
      <c r="I244" s="6">
        <v>0.19500000000000001</v>
      </c>
      <c r="J244" s="6" t="str">
        <f t="shared" si="60"/>
        <v>Ohms</v>
      </c>
      <c r="K244" s="2" t="str">
        <f t="shared" si="61"/>
        <v>RTG</v>
      </c>
      <c r="L244" s="2">
        <v>49643326</v>
      </c>
      <c r="M244" s="7">
        <v>46276</v>
      </c>
      <c r="N244" s="7">
        <f t="shared" si="57"/>
        <v>46641</v>
      </c>
      <c r="O244" s="7" t="str">
        <f t="shared" si="55"/>
        <v>Anual</v>
      </c>
      <c r="P244" s="2" t="str">
        <f t="shared" ca="1" si="58"/>
        <v>VIGENTE</v>
      </c>
      <c r="Q244" s="6" t="s">
        <v>25</v>
      </c>
      <c r="R244" s="2"/>
    </row>
    <row r="245" spans="1:18" x14ac:dyDescent="0.25">
      <c r="A245" s="23" t="s">
        <v>1414</v>
      </c>
      <c r="B245" s="2" t="s">
        <v>1417</v>
      </c>
      <c r="C245" s="3" t="s">
        <v>267</v>
      </c>
      <c r="D245" s="3" t="s">
        <v>23</v>
      </c>
      <c r="E245" s="2" t="s">
        <v>24</v>
      </c>
      <c r="F245" s="4">
        <v>0</v>
      </c>
      <c r="G245" s="8">
        <f t="shared" si="56"/>
        <v>1</v>
      </c>
      <c r="H245" s="4" t="str">
        <f t="shared" si="59"/>
        <v>Ohms</v>
      </c>
      <c r="I245" s="14">
        <v>225000000</v>
      </c>
      <c r="J245" s="6" t="str">
        <f t="shared" si="60"/>
        <v>Ohms</v>
      </c>
      <c r="K245" s="2" t="str">
        <f t="shared" si="61"/>
        <v>RTG</v>
      </c>
      <c r="L245" s="2">
        <v>49643326</v>
      </c>
      <c r="M245" s="7">
        <v>46276</v>
      </c>
      <c r="N245" s="7">
        <f t="shared" si="57"/>
        <v>46641</v>
      </c>
      <c r="O245" s="7" t="str">
        <f t="shared" si="55"/>
        <v>Anual</v>
      </c>
      <c r="P245" s="2" t="str">
        <f t="shared" ca="1" si="58"/>
        <v>VIGENTE</v>
      </c>
      <c r="Q245" s="6" t="s">
        <v>25</v>
      </c>
      <c r="R245" s="2"/>
    </row>
    <row r="246" spans="1:18" x14ac:dyDescent="0.25">
      <c r="A246" s="23" t="s">
        <v>1418</v>
      </c>
      <c r="B246" s="2" t="s">
        <v>1419</v>
      </c>
      <c r="C246" s="3" t="s">
        <v>267</v>
      </c>
      <c r="D246" s="3" t="s">
        <v>23</v>
      </c>
      <c r="E246" s="2" t="s">
        <v>24</v>
      </c>
      <c r="F246" s="4">
        <v>0</v>
      </c>
      <c r="G246" s="8">
        <f t="shared" si="56"/>
        <v>1</v>
      </c>
      <c r="H246" s="4" t="str">
        <f t="shared" si="59"/>
        <v>Ohms</v>
      </c>
      <c r="I246" s="6">
        <v>0.128</v>
      </c>
      <c r="J246" s="6" t="str">
        <f t="shared" si="60"/>
        <v>Ohms</v>
      </c>
      <c r="K246" s="2" t="str">
        <f t="shared" si="61"/>
        <v>RTG</v>
      </c>
      <c r="L246" s="2">
        <v>49093359</v>
      </c>
      <c r="M246" s="7">
        <v>46175</v>
      </c>
      <c r="N246" s="7">
        <f t="shared" si="57"/>
        <v>46540</v>
      </c>
      <c r="O246" s="7" t="str">
        <f t="shared" si="55"/>
        <v>Anual</v>
      </c>
      <c r="P246" s="2" t="str">
        <f t="shared" ca="1" si="58"/>
        <v>VIGENTE</v>
      </c>
      <c r="Q246" s="6" t="s">
        <v>25</v>
      </c>
      <c r="R246" s="2"/>
    </row>
    <row r="247" spans="1:18" x14ac:dyDescent="0.25">
      <c r="A247" s="23" t="s">
        <v>1418</v>
      </c>
      <c r="B247" s="2" t="s">
        <v>1420</v>
      </c>
      <c r="C247" s="3" t="s">
        <v>813</v>
      </c>
      <c r="D247" s="3" t="s">
        <v>23</v>
      </c>
      <c r="E247" s="2" t="s">
        <v>24</v>
      </c>
      <c r="F247" s="4">
        <v>0</v>
      </c>
      <c r="G247" s="8">
        <f t="shared" si="56"/>
        <v>1</v>
      </c>
      <c r="H247" s="4" t="str">
        <f t="shared" si="59"/>
        <v>Ohms</v>
      </c>
      <c r="I247" s="6">
        <v>0.13400000000000001</v>
      </c>
      <c r="J247" s="6" t="str">
        <f t="shared" si="60"/>
        <v>Ohms</v>
      </c>
      <c r="K247" s="2" t="str">
        <f t="shared" si="61"/>
        <v>RTG</v>
      </c>
      <c r="L247" s="2">
        <v>49093359</v>
      </c>
      <c r="M247" s="7">
        <v>46175</v>
      </c>
      <c r="N247" s="7">
        <f t="shared" si="57"/>
        <v>46540</v>
      </c>
      <c r="O247" s="7" t="str">
        <f t="shared" si="55"/>
        <v>Anual</v>
      </c>
      <c r="P247" s="2" t="str">
        <f t="shared" ca="1" si="58"/>
        <v>VIGENTE</v>
      </c>
      <c r="Q247" s="6" t="s">
        <v>25</v>
      </c>
      <c r="R247" s="2"/>
    </row>
    <row r="248" spans="1:18" x14ac:dyDescent="0.25">
      <c r="A248" s="23" t="s">
        <v>1418</v>
      </c>
      <c r="B248" s="2" t="s">
        <v>1421</v>
      </c>
      <c r="C248" s="3" t="s">
        <v>261</v>
      </c>
      <c r="D248" s="3" t="s">
        <v>23</v>
      </c>
      <c r="E248" s="2" t="s">
        <v>24</v>
      </c>
      <c r="F248" s="4">
        <v>0</v>
      </c>
      <c r="G248" s="8">
        <f t="shared" si="56"/>
        <v>1</v>
      </c>
      <c r="H248" s="4" t="str">
        <f t="shared" si="59"/>
        <v>Ohms</v>
      </c>
      <c r="I248" s="6">
        <v>0.16</v>
      </c>
      <c r="J248" s="6" t="str">
        <f t="shared" si="60"/>
        <v>Ohms</v>
      </c>
      <c r="K248" s="2" t="str">
        <f t="shared" si="61"/>
        <v>RTG</v>
      </c>
      <c r="L248" s="2">
        <v>49093359</v>
      </c>
      <c r="M248" s="7">
        <v>46175</v>
      </c>
      <c r="N248" s="7">
        <f t="shared" si="57"/>
        <v>46540</v>
      </c>
      <c r="O248" s="7" t="str">
        <f t="shared" si="55"/>
        <v>Anual</v>
      </c>
      <c r="P248" s="2" t="str">
        <f t="shared" ca="1" si="58"/>
        <v>VIGENTE</v>
      </c>
      <c r="Q248" s="6" t="s">
        <v>25</v>
      </c>
      <c r="R248" s="2"/>
    </row>
    <row r="249" spans="1:18" x14ac:dyDescent="0.25">
      <c r="A249" s="23" t="s">
        <v>1418</v>
      </c>
      <c r="B249" s="2" t="s">
        <v>1422</v>
      </c>
      <c r="C249" s="3" t="s">
        <v>1362</v>
      </c>
      <c r="D249" s="3" t="s">
        <v>23</v>
      </c>
      <c r="E249" s="2" t="s">
        <v>1363</v>
      </c>
      <c r="F249" s="4">
        <v>0</v>
      </c>
      <c r="G249" s="8">
        <f t="shared" si="56"/>
        <v>1</v>
      </c>
      <c r="H249" s="4" t="str">
        <f t="shared" si="59"/>
        <v>Ohms</v>
      </c>
      <c r="I249" s="6">
        <v>0.11899999999999999</v>
      </c>
      <c r="J249" s="6" t="str">
        <f t="shared" si="60"/>
        <v>Ohms</v>
      </c>
      <c r="K249" s="2" t="str">
        <f t="shared" si="61"/>
        <v>RTG</v>
      </c>
      <c r="L249" s="2">
        <v>49093359</v>
      </c>
      <c r="M249" s="7">
        <v>46175</v>
      </c>
      <c r="N249" s="7">
        <f t="shared" si="57"/>
        <v>46540</v>
      </c>
      <c r="O249" s="7" t="str">
        <f t="shared" si="55"/>
        <v>Anual</v>
      </c>
      <c r="P249" s="2" t="str">
        <f t="shared" ca="1" si="58"/>
        <v>VIGENTE</v>
      </c>
      <c r="Q249" s="6" t="s">
        <v>25</v>
      </c>
      <c r="R249" s="2"/>
    </row>
    <row r="250" spans="1:18" x14ac:dyDescent="0.25">
      <c r="A250" s="23" t="s">
        <v>1418</v>
      </c>
      <c r="B250" s="2" t="s">
        <v>1423</v>
      </c>
      <c r="C250" s="3" t="s">
        <v>265</v>
      </c>
      <c r="D250" s="3" t="s">
        <v>23</v>
      </c>
      <c r="E250" s="2" t="s">
        <v>24</v>
      </c>
      <c r="F250" s="4">
        <v>0</v>
      </c>
      <c r="G250" s="8">
        <f t="shared" si="56"/>
        <v>1</v>
      </c>
      <c r="H250" s="4" t="str">
        <f t="shared" si="59"/>
        <v>Ohms</v>
      </c>
      <c r="I250" s="6">
        <v>0.18</v>
      </c>
      <c r="J250" s="6" t="str">
        <f t="shared" si="60"/>
        <v>Ohms</v>
      </c>
      <c r="K250" s="2" t="str">
        <f t="shared" si="61"/>
        <v>RTG</v>
      </c>
      <c r="L250" s="2">
        <v>49093359</v>
      </c>
      <c r="M250" s="7">
        <v>46175</v>
      </c>
      <c r="N250" s="7">
        <f t="shared" si="57"/>
        <v>46540</v>
      </c>
      <c r="O250" s="7" t="str">
        <f t="shared" si="55"/>
        <v>Anual</v>
      </c>
      <c r="P250" s="2" t="str">
        <f t="shared" ca="1" si="58"/>
        <v>VIGENTE</v>
      </c>
      <c r="Q250" s="6" t="s">
        <v>25</v>
      </c>
      <c r="R250" s="2"/>
    </row>
    <row r="251" spans="1:18" x14ac:dyDescent="0.25">
      <c r="A251" s="23" t="s">
        <v>1418</v>
      </c>
      <c r="B251" s="2" t="s">
        <v>1424</v>
      </c>
      <c r="C251" s="3" t="s">
        <v>259</v>
      </c>
      <c r="D251" s="3" t="s">
        <v>23</v>
      </c>
      <c r="E251" s="2" t="s">
        <v>24</v>
      </c>
      <c r="F251" s="4">
        <v>0</v>
      </c>
      <c r="G251" s="8">
        <f t="shared" si="56"/>
        <v>1</v>
      </c>
      <c r="H251" s="4" t="str">
        <f t="shared" si="59"/>
        <v>Ohms</v>
      </c>
      <c r="I251" s="6">
        <v>0.11799999999999999</v>
      </c>
      <c r="J251" s="6" t="str">
        <f t="shared" si="60"/>
        <v>Ohms</v>
      </c>
      <c r="K251" s="2" t="str">
        <f t="shared" si="61"/>
        <v>RTG</v>
      </c>
      <c r="L251" s="2">
        <v>49093359</v>
      </c>
      <c r="M251" s="7">
        <v>46175</v>
      </c>
      <c r="N251" s="7">
        <f t="shared" si="57"/>
        <v>46540</v>
      </c>
      <c r="O251" s="7" t="str">
        <f t="shared" si="55"/>
        <v>Anual</v>
      </c>
      <c r="P251" s="2" t="str">
        <f t="shared" ca="1" si="58"/>
        <v>VIGENTE</v>
      </c>
      <c r="Q251" s="6" t="s">
        <v>25</v>
      </c>
      <c r="R251" s="2"/>
    </row>
    <row r="252" spans="1:18" x14ac:dyDescent="0.25">
      <c r="A252" s="23" t="s">
        <v>449</v>
      </c>
      <c r="B252" s="2" t="s">
        <v>1425</v>
      </c>
      <c r="C252" s="3" t="s">
        <v>1169</v>
      </c>
      <c r="D252" s="3" t="s">
        <v>23</v>
      </c>
      <c r="E252" s="2" t="s">
        <v>24</v>
      </c>
      <c r="F252" s="4">
        <v>0</v>
      </c>
      <c r="G252" s="8">
        <f t="shared" si="56"/>
        <v>1</v>
      </c>
      <c r="H252" s="4" t="str">
        <f t="shared" si="59"/>
        <v>Ohms</v>
      </c>
      <c r="I252" s="6">
        <v>0.11799999999999999</v>
      </c>
      <c r="J252" s="6" t="str">
        <f t="shared" si="60"/>
        <v>Ohms</v>
      </c>
      <c r="K252" s="2" t="str">
        <f t="shared" si="61"/>
        <v>RTG</v>
      </c>
      <c r="L252" s="2">
        <v>51524052</v>
      </c>
      <c r="M252" s="7">
        <v>45910</v>
      </c>
      <c r="N252" s="7">
        <f t="shared" si="57"/>
        <v>46275</v>
      </c>
      <c r="O252" s="7" t="str">
        <f t="shared" si="55"/>
        <v>Anual</v>
      </c>
      <c r="P252" s="2" t="str">
        <f t="shared" ca="1" si="58"/>
        <v>VIGENTE</v>
      </c>
      <c r="Q252" s="6" t="s">
        <v>25</v>
      </c>
      <c r="R252" s="2"/>
    </row>
    <row r="253" spans="1:18" x14ac:dyDescent="0.25">
      <c r="A253" s="23" t="s">
        <v>449</v>
      </c>
      <c r="B253" s="2" t="s">
        <v>1426</v>
      </c>
      <c r="C253" s="3" t="s">
        <v>747</v>
      </c>
      <c r="D253" s="3" t="s">
        <v>23</v>
      </c>
      <c r="E253" s="2" t="s">
        <v>24</v>
      </c>
      <c r="F253" s="4">
        <v>0</v>
      </c>
      <c r="G253" s="8">
        <f t="shared" si="56"/>
        <v>1</v>
      </c>
      <c r="H253" s="4" t="str">
        <f t="shared" si="59"/>
        <v>Ohms</v>
      </c>
      <c r="I253" s="6">
        <v>0.96099999999999997</v>
      </c>
      <c r="J253" s="6" t="str">
        <f t="shared" si="60"/>
        <v>Ohms</v>
      </c>
      <c r="K253" s="2" t="str">
        <f t="shared" si="61"/>
        <v>RTG</v>
      </c>
      <c r="L253" s="2">
        <v>51524052</v>
      </c>
      <c r="M253" s="7">
        <v>45910</v>
      </c>
      <c r="N253" s="7">
        <f t="shared" si="57"/>
        <v>46275</v>
      </c>
      <c r="O253" s="7" t="str">
        <f t="shared" si="55"/>
        <v>Anual</v>
      </c>
      <c r="P253" s="2" t="str">
        <f t="shared" ca="1" si="58"/>
        <v>VIGENTE</v>
      </c>
      <c r="Q253" s="6" t="s">
        <v>25</v>
      </c>
      <c r="R253" s="2"/>
    </row>
    <row r="254" spans="1:18" x14ac:dyDescent="0.25">
      <c r="A254" s="23" t="s">
        <v>449</v>
      </c>
      <c r="B254" s="2" t="s">
        <v>1427</v>
      </c>
      <c r="C254" s="3" t="s">
        <v>747</v>
      </c>
      <c r="D254" s="3" t="s">
        <v>23</v>
      </c>
      <c r="E254" s="2" t="s">
        <v>24</v>
      </c>
      <c r="F254" s="4">
        <v>0</v>
      </c>
      <c r="G254" s="8">
        <f t="shared" si="56"/>
        <v>1</v>
      </c>
      <c r="H254" s="4" t="str">
        <f t="shared" si="59"/>
        <v>Ohms</v>
      </c>
      <c r="I254" s="6">
        <v>0.75700000000000001</v>
      </c>
      <c r="J254" s="6" t="str">
        <f t="shared" si="60"/>
        <v>Ohms</v>
      </c>
      <c r="K254" s="2" t="str">
        <f t="shared" si="61"/>
        <v>RTG</v>
      </c>
      <c r="L254" s="2">
        <v>51524052</v>
      </c>
      <c r="M254" s="7">
        <v>45910</v>
      </c>
      <c r="N254" s="7">
        <f t="shared" si="57"/>
        <v>46275</v>
      </c>
      <c r="O254" s="7" t="str">
        <f t="shared" si="55"/>
        <v>Anual</v>
      </c>
      <c r="P254" s="2" t="str">
        <f t="shared" ca="1" si="58"/>
        <v>VIGENTE</v>
      </c>
      <c r="Q254" s="6" t="s">
        <v>25</v>
      </c>
      <c r="R254" s="2"/>
    </row>
    <row r="255" spans="1:18" x14ac:dyDescent="0.25">
      <c r="A255" s="23" t="s">
        <v>449</v>
      </c>
      <c r="B255" s="2" t="s">
        <v>1428</v>
      </c>
      <c r="C255" s="3" t="s">
        <v>747</v>
      </c>
      <c r="D255" s="3" t="s">
        <v>23</v>
      </c>
      <c r="E255" s="2" t="s">
        <v>24</v>
      </c>
      <c r="F255" s="4">
        <v>0</v>
      </c>
      <c r="G255" s="8">
        <f t="shared" si="56"/>
        <v>1</v>
      </c>
      <c r="H255" s="4" t="str">
        <f t="shared" si="59"/>
        <v>Ohms</v>
      </c>
      <c r="I255" s="6">
        <v>0.57399999999999995</v>
      </c>
      <c r="J255" s="6" t="str">
        <f t="shared" si="60"/>
        <v>Ohms</v>
      </c>
      <c r="K255" s="2" t="str">
        <f t="shared" si="61"/>
        <v>RTG</v>
      </c>
      <c r="L255" s="2">
        <v>51524052</v>
      </c>
      <c r="M255" s="7">
        <v>45910</v>
      </c>
      <c r="N255" s="7">
        <f t="shared" si="57"/>
        <v>46275</v>
      </c>
      <c r="O255" s="7" t="str">
        <f t="shared" si="55"/>
        <v>Anual</v>
      </c>
      <c r="P255" s="2" t="str">
        <f t="shared" ca="1" si="58"/>
        <v>VIGENTE</v>
      </c>
      <c r="Q255" s="6" t="s">
        <v>25</v>
      </c>
      <c r="R255" s="2"/>
    </row>
    <row r="256" spans="1:18" x14ac:dyDescent="0.25">
      <c r="A256" s="23" t="s">
        <v>449</v>
      </c>
      <c r="B256" s="2" t="s">
        <v>1429</v>
      </c>
      <c r="C256" s="3" t="s">
        <v>1169</v>
      </c>
      <c r="D256" s="3" t="s">
        <v>23</v>
      </c>
      <c r="E256" s="2" t="s">
        <v>24</v>
      </c>
      <c r="F256" s="4">
        <v>0</v>
      </c>
      <c r="G256" s="8">
        <f t="shared" si="56"/>
        <v>1</v>
      </c>
      <c r="H256" s="4" t="str">
        <f t="shared" si="59"/>
        <v>Ohms</v>
      </c>
      <c r="I256" s="6">
        <v>0.23599999999999999</v>
      </c>
      <c r="J256" s="6" t="str">
        <f t="shared" si="60"/>
        <v>Ohms</v>
      </c>
      <c r="K256" s="2" t="str">
        <f t="shared" si="61"/>
        <v>RTG</v>
      </c>
      <c r="L256" s="2">
        <v>51524052</v>
      </c>
      <c r="M256" s="7">
        <v>45910</v>
      </c>
      <c r="N256" s="7">
        <f t="shared" si="57"/>
        <v>46275</v>
      </c>
      <c r="O256" s="7" t="str">
        <f t="shared" si="55"/>
        <v>Anual</v>
      </c>
      <c r="P256" s="2" t="str">
        <f t="shared" ca="1" si="58"/>
        <v>VIGENTE</v>
      </c>
      <c r="Q256" s="6" t="s">
        <v>25</v>
      </c>
      <c r="R256" s="2"/>
    </row>
    <row r="257" spans="1:18" x14ac:dyDescent="0.25">
      <c r="A257" s="23" t="s">
        <v>449</v>
      </c>
      <c r="B257" s="2" t="s">
        <v>1430</v>
      </c>
      <c r="C257" s="3" t="s">
        <v>747</v>
      </c>
      <c r="D257" s="3" t="s">
        <v>23</v>
      </c>
      <c r="E257" s="2" t="s">
        <v>24</v>
      </c>
      <c r="F257" s="4">
        <v>0</v>
      </c>
      <c r="G257" s="8">
        <f t="shared" si="56"/>
        <v>1</v>
      </c>
      <c r="H257" s="4" t="str">
        <f t="shared" si="59"/>
        <v>Ohms</v>
      </c>
      <c r="I257" s="6">
        <v>0.48</v>
      </c>
      <c r="J257" s="6" t="str">
        <f t="shared" si="60"/>
        <v>Ohms</v>
      </c>
      <c r="K257" s="2" t="str">
        <f t="shared" si="61"/>
        <v>RTG</v>
      </c>
      <c r="L257" s="2">
        <v>51524052</v>
      </c>
      <c r="M257" s="7">
        <v>45910</v>
      </c>
      <c r="N257" s="7">
        <f t="shared" si="57"/>
        <v>46275</v>
      </c>
      <c r="O257" s="7" t="str">
        <f t="shared" si="55"/>
        <v>Anual</v>
      </c>
      <c r="P257" s="2" t="str">
        <f t="shared" ca="1" si="58"/>
        <v>VIGENTE</v>
      </c>
      <c r="Q257" s="6" t="s">
        <v>25</v>
      </c>
      <c r="R257" s="2"/>
    </row>
    <row r="258" spans="1:18" x14ac:dyDescent="0.25">
      <c r="A258" s="23" t="s">
        <v>449</v>
      </c>
      <c r="B258" s="2" t="s">
        <v>1431</v>
      </c>
      <c r="C258" s="3" t="s">
        <v>747</v>
      </c>
      <c r="D258" s="3" t="s">
        <v>23</v>
      </c>
      <c r="E258" s="2" t="s">
        <v>24</v>
      </c>
      <c r="F258" s="4">
        <v>0</v>
      </c>
      <c r="G258" s="8">
        <f t="shared" si="56"/>
        <v>1</v>
      </c>
      <c r="H258" s="4" t="str">
        <f t="shared" si="59"/>
        <v>Ohms</v>
      </c>
      <c r="I258" s="6">
        <v>0.76</v>
      </c>
      <c r="J258" s="6" t="str">
        <f t="shared" si="60"/>
        <v>Ohms</v>
      </c>
      <c r="K258" s="2" t="str">
        <f t="shared" si="61"/>
        <v>RTG</v>
      </c>
      <c r="L258" s="2">
        <v>51524052</v>
      </c>
      <c r="M258" s="7">
        <v>45910</v>
      </c>
      <c r="N258" s="7">
        <f t="shared" si="57"/>
        <v>46275</v>
      </c>
      <c r="O258" s="7" t="str">
        <f t="shared" si="55"/>
        <v>Anual</v>
      </c>
      <c r="P258" s="2" t="str">
        <f t="shared" ca="1" si="58"/>
        <v>VIGENTE</v>
      </c>
      <c r="Q258" s="6" t="s">
        <v>25</v>
      </c>
      <c r="R258" s="2"/>
    </row>
    <row r="259" spans="1:18" x14ac:dyDescent="0.25">
      <c r="A259" s="23" t="s">
        <v>449</v>
      </c>
      <c r="B259" s="2" t="s">
        <v>1432</v>
      </c>
      <c r="C259" s="3" t="s">
        <v>747</v>
      </c>
      <c r="D259" s="3" t="s">
        <v>23</v>
      </c>
      <c r="E259" s="2" t="s">
        <v>24</v>
      </c>
      <c r="F259" s="4">
        <v>0</v>
      </c>
      <c r="G259" s="8">
        <f t="shared" si="56"/>
        <v>1</v>
      </c>
      <c r="H259" s="4" t="str">
        <f t="shared" si="59"/>
        <v>Ohms</v>
      </c>
      <c r="I259" s="6">
        <v>0.72</v>
      </c>
      <c r="J259" s="6" t="str">
        <f t="shared" si="60"/>
        <v>Ohms</v>
      </c>
      <c r="K259" s="2" t="str">
        <f t="shared" si="61"/>
        <v>RTG</v>
      </c>
      <c r="L259" s="2">
        <v>51524052</v>
      </c>
      <c r="M259" s="7">
        <v>45910</v>
      </c>
      <c r="N259" s="7">
        <f t="shared" si="57"/>
        <v>46275</v>
      </c>
      <c r="O259" s="7" t="str">
        <f t="shared" si="55"/>
        <v>Anual</v>
      </c>
      <c r="P259" s="2" t="str">
        <f t="shared" ca="1" si="58"/>
        <v>VIGENTE</v>
      </c>
      <c r="Q259" s="6" t="s">
        <v>25</v>
      </c>
      <c r="R259" s="2"/>
    </row>
    <row r="260" spans="1:18" x14ac:dyDescent="0.25">
      <c r="A260" s="23" t="s">
        <v>449</v>
      </c>
      <c r="B260" s="2" t="s">
        <v>1433</v>
      </c>
      <c r="C260" s="3" t="s">
        <v>747</v>
      </c>
      <c r="D260" s="3" t="s">
        <v>23</v>
      </c>
      <c r="E260" s="2" t="s">
        <v>24</v>
      </c>
      <c r="F260" s="4">
        <v>0</v>
      </c>
      <c r="G260" s="8">
        <f t="shared" si="56"/>
        <v>1</v>
      </c>
      <c r="H260" s="4" t="str">
        <f t="shared" si="59"/>
        <v>Ohms</v>
      </c>
      <c r="I260" s="6">
        <v>0.16700000000000001</v>
      </c>
      <c r="J260" s="6" t="str">
        <f t="shared" si="60"/>
        <v>Ohms</v>
      </c>
      <c r="K260" s="2" t="str">
        <f t="shared" si="61"/>
        <v>RTG</v>
      </c>
      <c r="L260" s="2">
        <v>51524052</v>
      </c>
      <c r="M260" s="7">
        <v>45910</v>
      </c>
      <c r="N260" s="7">
        <f t="shared" si="57"/>
        <v>46275</v>
      </c>
      <c r="O260" s="7" t="str">
        <f t="shared" si="55"/>
        <v>Anual</v>
      </c>
      <c r="P260" s="2" t="str">
        <f t="shared" ca="1" si="58"/>
        <v>VIGENTE</v>
      </c>
      <c r="Q260" s="6" t="s">
        <v>25</v>
      </c>
      <c r="R260" s="2"/>
    </row>
    <row r="261" spans="1:18" x14ac:dyDescent="0.25">
      <c r="A261" s="23" t="s">
        <v>449</v>
      </c>
      <c r="B261" s="2" t="s">
        <v>1434</v>
      </c>
      <c r="C261" s="3" t="s">
        <v>800</v>
      </c>
      <c r="D261" s="3" t="s">
        <v>23</v>
      </c>
      <c r="E261" s="2" t="s">
        <v>1239</v>
      </c>
      <c r="F261" s="4">
        <v>1</v>
      </c>
      <c r="G261" s="8">
        <f t="shared" si="56"/>
        <v>10</v>
      </c>
      <c r="H261" s="4" t="str">
        <f t="shared" si="59"/>
        <v>Segundos</v>
      </c>
      <c r="I261" s="6">
        <v>3</v>
      </c>
      <c r="J261" s="6" t="str">
        <f t="shared" si="60"/>
        <v>Segundos</v>
      </c>
      <c r="K261" s="2" t="str">
        <f t="shared" si="61"/>
        <v>Plato de carga</v>
      </c>
      <c r="L261" s="2"/>
      <c r="M261" s="7">
        <v>45999</v>
      </c>
      <c r="N261" s="7">
        <f t="shared" si="57"/>
        <v>46089</v>
      </c>
      <c r="O261" s="7" t="str">
        <f t="shared" ref="O261:O263" si="62">IF(C261="Ionizador", "Trimestral", IF(C261="Rack", "Semestral", IF(C261="Mesa", "Semestral", IF(C261="Tapete", "Semestral", IF(C261="Cautín", "Semestral", IF(C261="Silla", "Semestral", "Anual"))))))</f>
        <v>Trimestral</v>
      </c>
      <c r="P261" s="2" t="str">
        <f t="shared" ca="1" si="58"/>
        <v>VENCIDO</v>
      </c>
      <c r="Q261" s="6" t="s">
        <v>25</v>
      </c>
      <c r="R261" s="2"/>
    </row>
    <row r="262" spans="1:18" x14ac:dyDescent="0.25">
      <c r="A262" s="23" t="s">
        <v>402</v>
      </c>
      <c r="B262" s="2" t="s">
        <v>1435</v>
      </c>
      <c r="C262" s="3" t="s">
        <v>747</v>
      </c>
      <c r="D262" s="3" t="s">
        <v>23</v>
      </c>
      <c r="E262" s="2" t="s">
        <v>24</v>
      </c>
      <c r="F262" s="4">
        <v>0</v>
      </c>
      <c r="G262" s="8">
        <f t="shared" si="56"/>
        <v>1</v>
      </c>
      <c r="H262" s="4" t="str">
        <f t="shared" si="59"/>
        <v>Ohms</v>
      </c>
      <c r="I262" s="6">
        <v>0.10299999999999999</v>
      </c>
      <c r="J262" s="6" t="str">
        <f t="shared" si="60"/>
        <v>Ohms</v>
      </c>
      <c r="K262" s="2" t="str">
        <f t="shared" si="61"/>
        <v>RTG</v>
      </c>
      <c r="L262" s="2">
        <v>46319381</v>
      </c>
      <c r="M262" s="7">
        <v>45714</v>
      </c>
      <c r="N262" s="7">
        <f t="shared" si="57"/>
        <v>46079</v>
      </c>
      <c r="O262" s="7" t="str">
        <f t="shared" si="62"/>
        <v>Anual</v>
      </c>
      <c r="P262" s="2" t="str">
        <f t="shared" ca="1" si="58"/>
        <v>VENCIDO</v>
      </c>
      <c r="Q262" s="6" t="s">
        <v>25</v>
      </c>
      <c r="R262" s="2"/>
    </row>
    <row r="263" spans="1:18" x14ac:dyDescent="0.25">
      <c r="A263" s="23" t="s">
        <v>402</v>
      </c>
      <c r="B263" s="2" t="s">
        <v>1436</v>
      </c>
      <c r="C263" s="3" t="s">
        <v>747</v>
      </c>
      <c r="D263" s="3" t="s">
        <v>23</v>
      </c>
      <c r="E263" s="2" t="s">
        <v>24</v>
      </c>
      <c r="F263" s="4">
        <v>0</v>
      </c>
      <c r="G263" s="8">
        <f t="shared" si="56"/>
        <v>1</v>
      </c>
      <c r="H263" s="4" t="str">
        <f t="shared" si="59"/>
        <v>Ohms</v>
      </c>
      <c r="I263" s="6">
        <v>5.8999999999999997E-2</v>
      </c>
      <c r="J263" s="6" t="str">
        <f t="shared" si="60"/>
        <v>Ohms</v>
      </c>
      <c r="K263" s="2" t="str">
        <f t="shared" si="61"/>
        <v>RTG</v>
      </c>
      <c r="L263" s="2">
        <v>46319381</v>
      </c>
      <c r="M263" s="7">
        <v>45714</v>
      </c>
      <c r="N263" s="7">
        <f t="shared" si="57"/>
        <v>46079</v>
      </c>
      <c r="O263" s="7" t="str">
        <f t="shared" si="62"/>
        <v>Anual</v>
      </c>
      <c r="P263" s="2" t="str">
        <f t="shared" ca="1" si="58"/>
        <v>VENCIDO</v>
      </c>
      <c r="Q263" s="6" t="s">
        <v>25</v>
      </c>
      <c r="R263" s="2"/>
    </row>
    <row r="264" spans="1:18" x14ac:dyDescent="0.25">
      <c r="A264" s="23" t="s">
        <v>473</v>
      </c>
      <c r="B264" s="2" t="s">
        <v>1437</v>
      </c>
      <c r="C264" s="3" t="s">
        <v>747</v>
      </c>
      <c r="D264" s="3" t="s">
        <v>23</v>
      </c>
      <c r="E264" s="2" t="s">
        <v>24</v>
      </c>
      <c r="F264" s="4">
        <v>0</v>
      </c>
      <c r="G264" s="8">
        <f t="shared" si="56"/>
        <v>1</v>
      </c>
      <c r="H264" s="4" t="str">
        <f t="shared" si="59"/>
        <v>Ohms</v>
      </c>
      <c r="I264" s="6">
        <v>0.63300000000000001</v>
      </c>
      <c r="J264" s="6" t="str">
        <f t="shared" si="60"/>
        <v>Ohms</v>
      </c>
      <c r="K264" s="2" t="str">
        <f t="shared" si="61"/>
        <v>RTG</v>
      </c>
      <c r="L264" s="2">
        <v>52298036</v>
      </c>
      <c r="M264" s="7">
        <v>45940</v>
      </c>
      <c r="N264" s="7">
        <f t="shared" si="57"/>
        <v>46305</v>
      </c>
      <c r="O264" s="7" t="str">
        <f t="shared" ref="O264:O304" si="63">IF(C264="Ionizador", "Trimestral", IF(C264="Rack", "Anual", IF(C264="Mesa", "Anual", IF(C264="Tapete", "Semestral", IF(C264="Cautín", "Semestral", IF(C264="Silla", "Semestral", "Anual"))))))</f>
        <v>Anual</v>
      </c>
      <c r="P264" s="2" t="str">
        <f t="shared" ca="1" si="58"/>
        <v>VIGENTE</v>
      </c>
      <c r="Q264" s="6" t="s">
        <v>25</v>
      </c>
      <c r="R264" s="2"/>
    </row>
    <row r="265" spans="1:18" x14ac:dyDescent="0.25">
      <c r="A265" s="23" t="s">
        <v>473</v>
      </c>
      <c r="B265" s="2" t="s">
        <v>1438</v>
      </c>
      <c r="C265" s="3" t="s">
        <v>747</v>
      </c>
      <c r="D265" s="3" t="s">
        <v>23</v>
      </c>
      <c r="E265" s="2" t="s">
        <v>24</v>
      </c>
      <c r="F265" s="4">
        <v>0</v>
      </c>
      <c r="G265" s="8">
        <f t="shared" si="56"/>
        <v>1</v>
      </c>
      <c r="H265" s="4" t="str">
        <f t="shared" si="59"/>
        <v>Ohms</v>
      </c>
      <c r="I265" s="6">
        <v>0.30299999999999999</v>
      </c>
      <c r="J265" s="6" t="str">
        <f t="shared" si="60"/>
        <v>Ohms</v>
      </c>
      <c r="K265" s="2" t="str">
        <f t="shared" si="61"/>
        <v>RTG</v>
      </c>
      <c r="L265" s="2">
        <v>52298039</v>
      </c>
      <c r="M265" s="7">
        <v>45940</v>
      </c>
      <c r="N265" s="7">
        <f t="shared" si="57"/>
        <v>46305</v>
      </c>
      <c r="O265" s="7" t="str">
        <f t="shared" si="63"/>
        <v>Anual</v>
      </c>
      <c r="P265" s="2" t="str">
        <f t="shared" ca="1" si="58"/>
        <v>VIGENTE</v>
      </c>
      <c r="Q265" s="6" t="s">
        <v>25</v>
      </c>
      <c r="R265" s="2"/>
    </row>
    <row r="266" spans="1:18" x14ac:dyDescent="0.25">
      <c r="A266" s="23" t="s">
        <v>473</v>
      </c>
      <c r="B266" s="2" t="s">
        <v>1439</v>
      </c>
      <c r="C266" s="3" t="s">
        <v>747</v>
      </c>
      <c r="D266" s="3" t="s">
        <v>23</v>
      </c>
      <c r="E266" s="2" t="s">
        <v>24</v>
      </c>
      <c r="F266" s="4">
        <v>0</v>
      </c>
      <c r="G266" s="8">
        <f t="shared" ref="G266:G329" si="64">IF(C266="Ionizador", 10, IF(C266="Mesa", 1000000000, IF(C266="Rack", 1000000000, IF(C266="Piso", 1000000000, IF(C266="Tapete", 1000000000, IF(C266="Carrito", 1000000000, IF(C266="Cautín", 10, 1)))))))</f>
        <v>1</v>
      </c>
      <c r="H266" s="4" t="str">
        <f t="shared" si="59"/>
        <v>Ohms</v>
      </c>
      <c r="I266" s="6">
        <v>0.187</v>
      </c>
      <c r="J266" s="6" t="str">
        <f t="shared" si="60"/>
        <v>Ohms</v>
      </c>
      <c r="K266" s="2" t="str">
        <f t="shared" si="61"/>
        <v>RTG</v>
      </c>
      <c r="L266" s="2">
        <v>52298113</v>
      </c>
      <c r="M266" s="7">
        <v>45940</v>
      </c>
      <c r="N266" s="7">
        <f t="shared" ref="N266:N329" si="65">IF(O266="Trimestral", M266+90, IF(O266="Semestral", M266+180, IF(O266="Mensual", M266+30, M266+365)))</f>
        <v>46305</v>
      </c>
      <c r="O266" s="7" t="str">
        <f t="shared" si="63"/>
        <v>Anual</v>
      </c>
      <c r="P266" s="2" t="str">
        <f t="shared" ca="1" si="58"/>
        <v>VIGENTE</v>
      </c>
      <c r="Q266" s="6" t="s">
        <v>25</v>
      </c>
      <c r="R266" s="2"/>
    </row>
    <row r="267" spans="1:18" x14ac:dyDescent="0.25">
      <c r="A267" s="23" t="s">
        <v>473</v>
      </c>
      <c r="B267" s="2" t="s">
        <v>1440</v>
      </c>
      <c r="C267" s="3" t="s">
        <v>747</v>
      </c>
      <c r="D267" s="3" t="s">
        <v>23</v>
      </c>
      <c r="E267" s="2" t="s">
        <v>24</v>
      </c>
      <c r="F267" s="4">
        <v>0</v>
      </c>
      <c r="G267" s="8">
        <f t="shared" si="64"/>
        <v>1</v>
      </c>
      <c r="H267" s="4" t="str">
        <f t="shared" si="59"/>
        <v>Ohms</v>
      </c>
      <c r="I267" s="6">
        <v>0.50900000000000001</v>
      </c>
      <c r="J267" s="6" t="str">
        <f t="shared" si="60"/>
        <v>Ohms</v>
      </c>
      <c r="K267" s="2" t="str">
        <f t="shared" si="61"/>
        <v>RTG</v>
      </c>
      <c r="L267" s="2">
        <v>52298120</v>
      </c>
      <c r="M267" s="7">
        <v>45940</v>
      </c>
      <c r="N267" s="7">
        <f t="shared" si="65"/>
        <v>46305</v>
      </c>
      <c r="O267" s="7" t="str">
        <f t="shared" si="63"/>
        <v>Anual</v>
      </c>
      <c r="P267" s="2" t="str">
        <f t="shared" ca="1" si="58"/>
        <v>VIGENTE</v>
      </c>
      <c r="Q267" s="6" t="s">
        <v>25</v>
      </c>
      <c r="R267" s="2"/>
    </row>
    <row r="268" spans="1:18" x14ac:dyDescent="0.25">
      <c r="A268" s="23" t="s">
        <v>473</v>
      </c>
      <c r="B268" s="2" t="s">
        <v>1441</v>
      </c>
      <c r="C268" s="3" t="s">
        <v>747</v>
      </c>
      <c r="D268" s="3" t="s">
        <v>23</v>
      </c>
      <c r="E268" s="2" t="s">
        <v>24</v>
      </c>
      <c r="F268" s="4">
        <v>0</v>
      </c>
      <c r="G268" s="8">
        <f t="shared" si="64"/>
        <v>1</v>
      </c>
      <c r="H268" s="4" t="str">
        <f t="shared" si="59"/>
        <v>Ohms</v>
      </c>
      <c r="I268" s="6">
        <v>0.77200000000000002</v>
      </c>
      <c r="J268" s="6" t="str">
        <f t="shared" si="60"/>
        <v>Ohms</v>
      </c>
      <c r="K268" s="2" t="str">
        <f t="shared" si="61"/>
        <v>RTG</v>
      </c>
      <c r="L268" s="2">
        <v>52298128</v>
      </c>
      <c r="M268" s="7">
        <v>45940</v>
      </c>
      <c r="N268" s="7">
        <f t="shared" si="65"/>
        <v>46305</v>
      </c>
      <c r="O268" s="7" t="str">
        <f t="shared" si="63"/>
        <v>Anual</v>
      </c>
      <c r="P268" s="2" t="str">
        <f t="shared" ca="1" si="58"/>
        <v>VIGENTE</v>
      </c>
      <c r="Q268" s="6" t="s">
        <v>25</v>
      </c>
      <c r="R268" s="2"/>
    </row>
    <row r="269" spans="1:18" x14ac:dyDescent="0.25">
      <c r="A269" s="23" t="s">
        <v>1442</v>
      </c>
      <c r="B269" s="2" t="s">
        <v>1443</v>
      </c>
      <c r="C269" s="3" t="s">
        <v>747</v>
      </c>
      <c r="D269" s="3" t="s">
        <v>23</v>
      </c>
      <c r="E269" s="2" t="s">
        <v>24</v>
      </c>
      <c r="F269" s="4">
        <v>0</v>
      </c>
      <c r="G269" s="8">
        <f t="shared" si="64"/>
        <v>1</v>
      </c>
      <c r="H269" s="4" t="str">
        <f t="shared" si="59"/>
        <v>Ohms</v>
      </c>
      <c r="I269" s="6">
        <v>0.28499999999999998</v>
      </c>
      <c r="J269" s="6" t="str">
        <f t="shared" si="60"/>
        <v>Ohms</v>
      </c>
      <c r="K269" s="2" t="str">
        <f t="shared" si="61"/>
        <v>RTG</v>
      </c>
      <c r="L269" s="2">
        <v>52297472</v>
      </c>
      <c r="M269" s="7">
        <v>45940</v>
      </c>
      <c r="N269" s="7">
        <f t="shared" si="65"/>
        <v>46305</v>
      </c>
      <c r="O269" s="7" t="str">
        <f t="shared" si="63"/>
        <v>Anual</v>
      </c>
      <c r="P269" s="2" t="str">
        <f t="shared" ca="1" si="58"/>
        <v>VIGENTE</v>
      </c>
      <c r="Q269" s="6" t="s">
        <v>25</v>
      </c>
      <c r="R269" s="2"/>
    </row>
    <row r="270" spans="1:18" x14ac:dyDescent="0.25">
      <c r="A270" s="23" t="s">
        <v>1442</v>
      </c>
      <c r="B270" s="2" t="s">
        <v>1444</v>
      </c>
      <c r="C270" s="3" t="s">
        <v>261</v>
      </c>
      <c r="D270" s="3" t="s">
        <v>23</v>
      </c>
      <c r="E270" s="2" t="s">
        <v>24</v>
      </c>
      <c r="F270" s="4">
        <v>0</v>
      </c>
      <c r="G270" s="8">
        <f t="shared" si="64"/>
        <v>1</v>
      </c>
      <c r="H270" s="4" t="str">
        <f t="shared" si="59"/>
        <v>Ohms</v>
      </c>
      <c r="I270" s="6">
        <v>0.13400000000000001</v>
      </c>
      <c r="J270" s="6" t="str">
        <f t="shared" si="60"/>
        <v>Ohms</v>
      </c>
      <c r="K270" s="2" t="str">
        <f t="shared" si="61"/>
        <v>RTG</v>
      </c>
      <c r="L270" s="2">
        <v>52297472</v>
      </c>
      <c r="M270" s="7">
        <v>45940</v>
      </c>
      <c r="N270" s="7">
        <f t="shared" si="65"/>
        <v>46305</v>
      </c>
      <c r="O270" s="7" t="str">
        <f t="shared" si="63"/>
        <v>Anual</v>
      </c>
      <c r="P270" s="2" t="str">
        <f t="shared" ca="1" si="58"/>
        <v>VIGENTE</v>
      </c>
      <c r="Q270" s="6" t="s">
        <v>25</v>
      </c>
      <c r="R270" s="2"/>
    </row>
    <row r="271" spans="1:18" x14ac:dyDescent="0.25">
      <c r="A271" s="23" t="s">
        <v>1442</v>
      </c>
      <c r="B271" s="2" t="s">
        <v>1445</v>
      </c>
      <c r="C271" s="3" t="s">
        <v>747</v>
      </c>
      <c r="D271" s="3" t="s">
        <v>23</v>
      </c>
      <c r="E271" s="2" t="s">
        <v>24</v>
      </c>
      <c r="F271" s="4">
        <v>0</v>
      </c>
      <c r="G271" s="8">
        <f t="shared" si="64"/>
        <v>1</v>
      </c>
      <c r="H271" s="4" t="str">
        <f t="shared" si="59"/>
        <v>Ohms</v>
      </c>
      <c r="I271" s="6">
        <v>0.184</v>
      </c>
      <c r="J271" s="6" t="str">
        <f t="shared" si="60"/>
        <v>Ohms</v>
      </c>
      <c r="K271" s="2" t="str">
        <f t="shared" si="61"/>
        <v>RTG</v>
      </c>
      <c r="L271" s="2">
        <v>52297472</v>
      </c>
      <c r="M271" s="7">
        <v>45940</v>
      </c>
      <c r="N271" s="7">
        <f t="shared" si="65"/>
        <v>46305</v>
      </c>
      <c r="O271" s="7" t="str">
        <f t="shared" si="63"/>
        <v>Anual</v>
      </c>
      <c r="P271" s="2" t="str">
        <f t="shared" ca="1" si="58"/>
        <v>VIGENTE</v>
      </c>
      <c r="Q271" s="6" t="s">
        <v>25</v>
      </c>
      <c r="R271" s="2"/>
    </row>
    <row r="272" spans="1:18" x14ac:dyDescent="0.25">
      <c r="A272" s="23" t="s">
        <v>206</v>
      </c>
      <c r="B272" s="2" t="s">
        <v>1446</v>
      </c>
      <c r="C272" s="3" t="s">
        <v>259</v>
      </c>
      <c r="D272" s="3" t="s">
        <v>23</v>
      </c>
      <c r="E272" s="2" t="s">
        <v>24</v>
      </c>
      <c r="F272" s="4">
        <v>0</v>
      </c>
      <c r="G272" s="8">
        <f t="shared" si="64"/>
        <v>1</v>
      </c>
      <c r="H272" s="4" t="str">
        <f t="shared" si="59"/>
        <v>Ohms</v>
      </c>
      <c r="I272" s="6">
        <v>0.64700000000000002</v>
      </c>
      <c r="J272" s="6" t="str">
        <f t="shared" si="60"/>
        <v>Ohms</v>
      </c>
      <c r="K272" s="2" t="str">
        <f t="shared" si="61"/>
        <v>RTG</v>
      </c>
      <c r="L272" s="2">
        <v>46568796</v>
      </c>
      <c r="M272" s="7">
        <v>45831</v>
      </c>
      <c r="N272" s="7">
        <f t="shared" si="65"/>
        <v>46196</v>
      </c>
      <c r="O272" s="7" t="str">
        <f t="shared" si="63"/>
        <v>Anual</v>
      </c>
      <c r="P272" s="2" t="str">
        <f t="shared" ca="1" si="58"/>
        <v>VIGENTE</v>
      </c>
      <c r="Q272" s="6" t="s">
        <v>25</v>
      </c>
      <c r="R272" s="2"/>
    </row>
    <row r="273" spans="1:18" x14ac:dyDescent="0.25">
      <c r="A273" s="23" t="s">
        <v>206</v>
      </c>
      <c r="B273" s="2" t="s">
        <v>1447</v>
      </c>
      <c r="C273" s="3" t="s">
        <v>261</v>
      </c>
      <c r="D273" s="3" t="s">
        <v>23</v>
      </c>
      <c r="E273" s="2" t="s">
        <v>24</v>
      </c>
      <c r="F273" s="4">
        <v>0</v>
      </c>
      <c r="G273" s="8">
        <f t="shared" si="64"/>
        <v>1</v>
      </c>
      <c r="H273" s="4" t="str">
        <f t="shared" si="59"/>
        <v>Ohms</v>
      </c>
      <c r="I273" s="6">
        <v>0.63800000000000001</v>
      </c>
      <c r="J273" s="6" t="str">
        <f t="shared" si="60"/>
        <v>Ohms</v>
      </c>
      <c r="K273" s="2" t="str">
        <f t="shared" si="61"/>
        <v>RTG</v>
      </c>
      <c r="L273" s="2">
        <v>46568796</v>
      </c>
      <c r="M273" s="7">
        <v>45831</v>
      </c>
      <c r="N273" s="7">
        <f t="shared" si="65"/>
        <v>46196</v>
      </c>
      <c r="O273" s="7" t="str">
        <f t="shared" si="63"/>
        <v>Anual</v>
      </c>
      <c r="P273" s="2" t="str">
        <f t="shared" ca="1" si="58"/>
        <v>VIGENTE</v>
      </c>
      <c r="Q273" s="6" t="s">
        <v>25</v>
      </c>
      <c r="R273" s="2"/>
    </row>
    <row r="274" spans="1:18" x14ac:dyDescent="0.25">
      <c r="A274" s="23" t="s">
        <v>206</v>
      </c>
      <c r="B274" s="2" t="s">
        <v>1448</v>
      </c>
      <c r="C274" s="3" t="s">
        <v>1449</v>
      </c>
      <c r="D274" s="3" t="s">
        <v>23</v>
      </c>
      <c r="E274" s="2" t="s">
        <v>24</v>
      </c>
      <c r="F274" s="4">
        <v>0</v>
      </c>
      <c r="G274" s="8">
        <f t="shared" si="64"/>
        <v>1</v>
      </c>
      <c r="H274" s="4" t="str">
        <f t="shared" si="59"/>
        <v>Ohms</v>
      </c>
      <c r="I274" s="6">
        <v>0.73499999999999999</v>
      </c>
      <c r="J274" s="6" t="str">
        <f t="shared" si="60"/>
        <v>Ohms</v>
      </c>
      <c r="K274" s="2" t="str">
        <f t="shared" si="61"/>
        <v>RTG</v>
      </c>
      <c r="L274" s="2">
        <v>46568796</v>
      </c>
      <c r="M274" s="7">
        <v>45831</v>
      </c>
      <c r="N274" s="7">
        <f t="shared" si="65"/>
        <v>46196</v>
      </c>
      <c r="O274" s="7" t="str">
        <f t="shared" si="63"/>
        <v>Anual</v>
      </c>
      <c r="P274" s="2" t="str">
        <f t="shared" ca="1" si="58"/>
        <v>VIGENTE</v>
      </c>
      <c r="Q274" s="6" t="s">
        <v>25</v>
      </c>
      <c r="R274" s="2"/>
    </row>
    <row r="275" spans="1:18" x14ac:dyDescent="0.25">
      <c r="A275" s="23" t="s">
        <v>206</v>
      </c>
      <c r="B275" s="2" t="s">
        <v>1450</v>
      </c>
      <c r="C275" s="3" t="s">
        <v>847</v>
      </c>
      <c r="D275" s="3" t="s">
        <v>23</v>
      </c>
      <c r="E275" s="2" t="s">
        <v>24</v>
      </c>
      <c r="F275" s="4">
        <v>0</v>
      </c>
      <c r="G275" s="8">
        <f t="shared" si="64"/>
        <v>1</v>
      </c>
      <c r="H275" s="4" t="str">
        <f t="shared" si="59"/>
        <v>Ohms</v>
      </c>
      <c r="I275" s="6">
        <v>0.442</v>
      </c>
      <c r="J275" s="6" t="str">
        <f t="shared" si="60"/>
        <v>Ohms</v>
      </c>
      <c r="K275" s="2" t="str">
        <f t="shared" si="61"/>
        <v>RTG</v>
      </c>
      <c r="L275" s="2">
        <v>46568796</v>
      </c>
      <c r="M275" s="7">
        <v>45831</v>
      </c>
      <c r="N275" s="7">
        <f t="shared" si="65"/>
        <v>46196</v>
      </c>
      <c r="O275" s="7" t="str">
        <f t="shared" si="63"/>
        <v>Anual</v>
      </c>
      <c r="P275" s="2" t="str">
        <f t="shared" ca="1" si="58"/>
        <v>VIGENTE</v>
      </c>
      <c r="Q275" s="6" t="s">
        <v>25</v>
      </c>
      <c r="R275" s="2"/>
    </row>
    <row r="276" spans="1:18" x14ac:dyDescent="0.25">
      <c r="A276" s="23" t="s">
        <v>206</v>
      </c>
      <c r="B276" s="2" t="s">
        <v>1451</v>
      </c>
      <c r="C276" s="3" t="s">
        <v>265</v>
      </c>
      <c r="D276" s="3" t="s">
        <v>23</v>
      </c>
      <c r="E276" s="2" t="s">
        <v>24</v>
      </c>
      <c r="F276" s="4">
        <v>0</v>
      </c>
      <c r="G276" s="8">
        <f t="shared" si="64"/>
        <v>1</v>
      </c>
      <c r="H276" s="4" t="str">
        <f t="shared" si="59"/>
        <v>Ohms</v>
      </c>
      <c r="I276" s="6">
        <v>0.60499999999999998</v>
      </c>
      <c r="J276" s="6" t="str">
        <f t="shared" si="60"/>
        <v>Ohms</v>
      </c>
      <c r="K276" s="2" t="str">
        <f t="shared" si="61"/>
        <v>RTG</v>
      </c>
      <c r="L276" s="2">
        <v>46568796</v>
      </c>
      <c r="M276" s="7">
        <v>45831</v>
      </c>
      <c r="N276" s="7">
        <f t="shared" si="65"/>
        <v>46196</v>
      </c>
      <c r="O276" s="7" t="str">
        <f t="shared" si="63"/>
        <v>Anual</v>
      </c>
      <c r="P276" s="2" t="str">
        <f t="shared" ca="1" si="58"/>
        <v>VIGENTE</v>
      </c>
      <c r="Q276" s="6" t="s">
        <v>25</v>
      </c>
      <c r="R276" s="2"/>
    </row>
    <row r="277" spans="1:18" x14ac:dyDescent="0.25">
      <c r="A277" s="23" t="s">
        <v>206</v>
      </c>
      <c r="B277" s="2" t="s">
        <v>1452</v>
      </c>
      <c r="C277" s="3" t="s">
        <v>813</v>
      </c>
      <c r="D277" s="3" t="s">
        <v>23</v>
      </c>
      <c r="E277" s="2" t="s">
        <v>24</v>
      </c>
      <c r="F277" s="4">
        <v>0</v>
      </c>
      <c r="G277" s="8">
        <f t="shared" si="64"/>
        <v>1</v>
      </c>
      <c r="H277" s="4" t="str">
        <f t="shared" si="59"/>
        <v>Ohms</v>
      </c>
      <c r="I277" s="6">
        <v>0.48199999999999998</v>
      </c>
      <c r="J277" s="6" t="str">
        <f t="shared" si="60"/>
        <v>Ohms</v>
      </c>
      <c r="K277" s="2" t="str">
        <f t="shared" si="61"/>
        <v>RTG</v>
      </c>
      <c r="L277" s="2">
        <v>46568796</v>
      </c>
      <c r="M277" s="7">
        <v>45831</v>
      </c>
      <c r="N277" s="7">
        <f t="shared" si="65"/>
        <v>46196</v>
      </c>
      <c r="O277" s="7" t="str">
        <f t="shared" si="63"/>
        <v>Anual</v>
      </c>
      <c r="P277" s="2" t="str">
        <f t="shared" ca="1" si="58"/>
        <v>VIGENTE</v>
      </c>
      <c r="Q277" s="6" t="s">
        <v>25</v>
      </c>
      <c r="R277" s="2"/>
    </row>
    <row r="278" spans="1:18" x14ac:dyDescent="0.25">
      <c r="A278" s="23" t="s">
        <v>206</v>
      </c>
      <c r="B278" s="2" t="s">
        <v>1453</v>
      </c>
      <c r="C278" s="3" t="s">
        <v>261</v>
      </c>
      <c r="D278" s="3" t="s">
        <v>23</v>
      </c>
      <c r="E278" s="2" t="s">
        <v>24</v>
      </c>
      <c r="F278" s="4">
        <v>0</v>
      </c>
      <c r="G278" s="8">
        <f t="shared" si="64"/>
        <v>1</v>
      </c>
      <c r="H278" s="4" t="str">
        <f t="shared" si="59"/>
        <v>Ohms</v>
      </c>
      <c r="I278" s="6">
        <v>0.77900000000000003</v>
      </c>
      <c r="J278" s="6" t="str">
        <f t="shared" si="60"/>
        <v>Ohms</v>
      </c>
      <c r="K278" s="2" t="str">
        <f t="shared" si="61"/>
        <v>RTG</v>
      </c>
      <c r="L278" s="2">
        <v>46568796</v>
      </c>
      <c r="M278" s="7">
        <v>45831</v>
      </c>
      <c r="N278" s="7">
        <f t="shared" si="65"/>
        <v>46196</v>
      </c>
      <c r="O278" s="7" t="str">
        <f t="shared" si="63"/>
        <v>Anual</v>
      </c>
      <c r="P278" s="2" t="str">
        <f t="shared" ca="1" si="58"/>
        <v>VIGENTE</v>
      </c>
      <c r="Q278" s="6" t="s">
        <v>25</v>
      </c>
      <c r="R278" s="2"/>
    </row>
    <row r="279" spans="1:18" x14ac:dyDescent="0.25">
      <c r="A279" s="23" t="s">
        <v>206</v>
      </c>
      <c r="B279" s="2" t="s">
        <v>1454</v>
      </c>
      <c r="C279" s="3" t="s">
        <v>1455</v>
      </c>
      <c r="D279" s="3" t="s">
        <v>23</v>
      </c>
      <c r="E279" s="2" t="s">
        <v>24</v>
      </c>
      <c r="F279" s="4">
        <v>0</v>
      </c>
      <c r="G279" s="8">
        <f t="shared" si="64"/>
        <v>1</v>
      </c>
      <c r="H279" s="4" t="str">
        <f t="shared" si="59"/>
        <v>Ohms</v>
      </c>
      <c r="I279" s="6">
        <v>0.11</v>
      </c>
      <c r="J279" s="6" t="str">
        <f t="shared" si="60"/>
        <v>Ohms</v>
      </c>
      <c r="K279" s="2" t="str">
        <f t="shared" si="61"/>
        <v>RTG</v>
      </c>
      <c r="L279" s="2">
        <v>46568796</v>
      </c>
      <c r="M279" s="7">
        <v>45831</v>
      </c>
      <c r="N279" s="7">
        <f t="shared" si="65"/>
        <v>46196</v>
      </c>
      <c r="O279" s="7" t="str">
        <f t="shared" si="63"/>
        <v>Anual</v>
      </c>
      <c r="P279" s="2" t="str">
        <f t="shared" ca="1" si="58"/>
        <v>VIGENTE</v>
      </c>
      <c r="Q279" s="6" t="s">
        <v>25</v>
      </c>
      <c r="R279" s="2"/>
    </row>
    <row r="280" spans="1:18" x14ac:dyDescent="0.25">
      <c r="A280" s="23" t="s">
        <v>206</v>
      </c>
      <c r="B280" s="2" t="s">
        <v>1456</v>
      </c>
      <c r="C280" s="3" t="s">
        <v>261</v>
      </c>
      <c r="D280" s="3" t="s">
        <v>23</v>
      </c>
      <c r="E280" s="2" t="s">
        <v>24</v>
      </c>
      <c r="F280" s="4">
        <v>0</v>
      </c>
      <c r="G280" s="8">
        <f t="shared" si="64"/>
        <v>1</v>
      </c>
      <c r="H280" s="4" t="str">
        <f t="shared" si="59"/>
        <v>Ohms</v>
      </c>
      <c r="I280" s="6">
        <v>0.93799999999999994</v>
      </c>
      <c r="J280" s="6" t="str">
        <f t="shared" si="60"/>
        <v>Ohms</v>
      </c>
      <c r="K280" s="2" t="str">
        <f t="shared" si="61"/>
        <v>RTG</v>
      </c>
      <c r="L280" s="2">
        <v>46568796</v>
      </c>
      <c r="M280" s="7">
        <v>45831</v>
      </c>
      <c r="N280" s="7">
        <f t="shared" si="65"/>
        <v>46196</v>
      </c>
      <c r="O280" s="7" t="str">
        <f t="shared" si="63"/>
        <v>Anual</v>
      </c>
      <c r="P280" s="2" t="str">
        <f t="shared" ca="1" si="58"/>
        <v>VIGENTE</v>
      </c>
      <c r="Q280" s="6" t="s">
        <v>25</v>
      </c>
      <c r="R280" s="2"/>
    </row>
    <row r="281" spans="1:18" x14ac:dyDescent="0.25">
      <c r="A281" s="23" t="s">
        <v>206</v>
      </c>
      <c r="B281" s="2" t="s">
        <v>1457</v>
      </c>
      <c r="C281" s="3" t="s">
        <v>1458</v>
      </c>
      <c r="D281" s="3" t="s">
        <v>23</v>
      </c>
      <c r="E281" s="2" t="s">
        <v>24</v>
      </c>
      <c r="F281" s="4">
        <v>0</v>
      </c>
      <c r="G281" s="8">
        <f t="shared" si="64"/>
        <v>1</v>
      </c>
      <c r="H281" s="4" t="str">
        <f t="shared" si="59"/>
        <v>Ohms</v>
      </c>
      <c r="I281" s="6">
        <v>7.0999999999999994E-2</v>
      </c>
      <c r="J281" s="6" t="str">
        <f t="shared" si="60"/>
        <v>Ohms</v>
      </c>
      <c r="K281" s="2" t="str">
        <f t="shared" si="61"/>
        <v>RTG</v>
      </c>
      <c r="L281" s="2">
        <v>46568796</v>
      </c>
      <c r="M281" s="7">
        <v>45831</v>
      </c>
      <c r="N281" s="7">
        <f t="shared" si="65"/>
        <v>46196</v>
      </c>
      <c r="O281" s="7" t="str">
        <f t="shared" si="63"/>
        <v>Anual</v>
      </c>
      <c r="P281" s="2" t="str">
        <f t="shared" ca="1" si="58"/>
        <v>VIGENTE</v>
      </c>
      <c r="Q281" s="6" t="s">
        <v>25</v>
      </c>
      <c r="R281" s="2"/>
    </row>
    <row r="282" spans="1:18" x14ac:dyDescent="0.25">
      <c r="A282" s="23" t="s">
        <v>206</v>
      </c>
      <c r="B282" s="2" t="s">
        <v>1459</v>
      </c>
      <c r="C282" s="3" t="s">
        <v>263</v>
      </c>
      <c r="D282" s="3" t="s">
        <v>23</v>
      </c>
      <c r="E282" s="2" t="s">
        <v>24</v>
      </c>
      <c r="F282" s="4">
        <v>0</v>
      </c>
      <c r="G282" s="8">
        <f t="shared" si="64"/>
        <v>1</v>
      </c>
      <c r="H282" s="4" t="str">
        <f t="shared" si="59"/>
        <v>Ohms</v>
      </c>
      <c r="I282" s="6">
        <v>0.98599999999999999</v>
      </c>
      <c r="J282" s="6" t="str">
        <f t="shared" si="60"/>
        <v>Ohms</v>
      </c>
      <c r="K282" s="2" t="str">
        <f t="shared" si="61"/>
        <v>RTG</v>
      </c>
      <c r="L282" s="2">
        <v>46568796</v>
      </c>
      <c r="M282" s="7">
        <v>45831</v>
      </c>
      <c r="N282" s="7">
        <f t="shared" si="65"/>
        <v>46196</v>
      </c>
      <c r="O282" s="7" t="str">
        <f t="shared" si="63"/>
        <v>Anual</v>
      </c>
      <c r="P282" s="2" t="str">
        <f t="shared" ref="P282:P345" ca="1" si="66">IF(N282&lt;TODAY(),"VENCIDO",IF(N282=TODAY(),"VIGENTE",IF(N282&gt;TODAY(),"VIGENTE")))</f>
        <v>VIGENTE</v>
      </c>
      <c r="Q282" s="6" t="s">
        <v>25</v>
      </c>
      <c r="R282" s="2"/>
    </row>
    <row r="283" spans="1:18" x14ac:dyDescent="0.25">
      <c r="A283" s="23" t="s">
        <v>206</v>
      </c>
      <c r="B283" s="2" t="s">
        <v>1460</v>
      </c>
      <c r="C283" s="3" t="s">
        <v>263</v>
      </c>
      <c r="D283" s="3" t="s">
        <v>23</v>
      </c>
      <c r="E283" s="2" t="s">
        <v>24</v>
      </c>
      <c r="F283" s="4">
        <v>0</v>
      </c>
      <c r="G283" s="8">
        <f t="shared" si="64"/>
        <v>1</v>
      </c>
      <c r="H283" s="4" t="str">
        <f t="shared" si="59"/>
        <v>Ohms</v>
      </c>
      <c r="I283" s="6">
        <v>0.97799999999999998</v>
      </c>
      <c r="J283" s="6" t="str">
        <f t="shared" si="60"/>
        <v>Ohms</v>
      </c>
      <c r="K283" s="2" t="str">
        <f t="shared" si="61"/>
        <v>RTG</v>
      </c>
      <c r="L283" s="2">
        <v>46568796</v>
      </c>
      <c r="M283" s="7">
        <v>45831</v>
      </c>
      <c r="N283" s="7">
        <f t="shared" si="65"/>
        <v>46196</v>
      </c>
      <c r="O283" s="7" t="str">
        <f t="shared" si="63"/>
        <v>Anual</v>
      </c>
      <c r="P283" s="2" t="str">
        <f t="shared" ca="1" si="66"/>
        <v>VIGENTE</v>
      </c>
      <c r="Q283" s="6" t="s">
        <v>25</v>
      </c>
      <c r="R283" s="2"/>
    </row>
    <row r="284" spans="1:18" x14ac:dyDescent="0.25">
      <c r="A284" s="23" t="s">
        <v>206</v>
      </c>
      <c r="B284" s="2" t="s">
        <v>1461</v>
      </c>
      <c r="C284" s="3" t="s">
        <v>813</v>
      </c>
      <c r="D284" s="3" t="s">
        <v>23</v>
      </c>
      <c r="E284" s="2" t="s">
        <v>24</v>
      </c>
      <c r="F284" s="4">
        <v>0</v>
      </c>
      <c r="G284" s="8">
        <f t="shared" si="64"/>
        <v>1</v>
      </c>
      <c r="H284" s="4" t="str">
        <f t="shared" si="59"/>
        <v>Ohms</v>
      </c>
      <c r="I284" s="6">
        <v>1.0169999999999999</v>
      </c>
      <c r="J284" s="6" t="str">
        <f t="shared" si="60"/>
        <v>Ohms</v>
      </c>
      <c r="K284" s="2" t="str">
        <f t="shared" si="61"/>
        <v>RTG</v>
      </c>
      <c r="L284" s="2">
        <v>46568796</v>
      </c>
      <c r="M284" s="7">
        <v>45831</v>
      </c>
      <c r="N284" s="7">
        <f t="shared" si="65"/>
        <v>46196</v>
      </c>
      <c r="O284" s="7" t="str">
        <f t="shared" si="63"/>
        <v>Anual</v>
      </c>
      <c r="P284" s="2" t="str">
        <f t="shared" ca="1" si="66"/>
        <v>VIGENTE</v>
      </c>
      <c r="Q284" s="6" t="s">
        <v>25</v>
      </c>
      <c r="R284" s="2"/>
    </row>
    <row r="285" spans="1:18" x14ac:dyDescent="0.25">
      <c r="A285" s="23" t="s">
        <v>1462</v>
      </c>
      <c r="B285" s="2" t="s">
        <v>1463</v>
      </c>
      <c r="C285" s="3" t="s">
        <v>259</v>
      </c>
      <c r="D285" s="3" t="s">
        <v>23</v>
      </c>
      <c r="E285" s="2" t="s">
        <v>24</v>
      </c>
      <c r="F285" s="4">
        <v>0</v>
      </c>
      <c r="G285" s="8">
        <f t="shared" si="64"/>
        <v>1</v>
      </c>
      <c r="H285" s="4" t="str">
        <f t="shared" si="59"/>
        <v>Ohms</v>
      </c>
      <c r="I285" s="6">
        <v>0.746</v>
      </c>
      <c r="J285" s="6" t="str">
        <f t="shared" si="60"/>
        <v>Ohms</v>
      </c>
      <c r="K285" s="2" t="str">
        <f t="shared" si="61"/>
        <v>RTG</v>
      </c>
      <c r="L285" s="2">
        <v>49643508</v>
      </c>
      <c r="M285" s="7">
        <v>46104</v>
      </c>
      <c r="N285" s="7">
        <f t="shared" si="65"/>
        <v>46469</v>
      </c>
      <c r="O285" s="7" t="str">
        <f t="shared" si="63"/>
        <v>Anual</v>
      </c>
      <c r="P285" s="2" t="str">
        <f t="shared" ca="1" si="66"/>
        <v>VIGENTE</v>
      </c>
      <c r="Q285" s="6" t="s">
        <v>25</v>
      </c>
      <c r="R285" s="2"/>
    </row>
    <row r="286" spans="1:18" x14ac:dyDescent="0.25">
      <c r="A286" s="23" t="s">
        <v>1462</v>
      </c>
      <c r="B286" s="2" t="s">
        <v>1464</v>
      </c>
      <c r="C286" s="3" t="s">
        <v>261</v>
      </c>
      <c r="D286" s="3" t="s">
        <v>23</v>
      </c>
      <c r="E286" s="2" t="s">
        <v>24</v>
      </c>
      <c r="F286" s="4">
        <v>0</v>
      </c>
      <c r="G286" s="8">
        <f t="shared" si="64"/>
        <v>1</v>
      </c>
      <c r="H286" s="4" t="str">
        <f t="shared" si="59"/>
        <v>Ohms</v>
      </c>
      <c r="I286" s="6">
        <v>0.54200000000000004</v>
      </c>
      <c r="J286" s="6" t="str">
        <f t="shared" si="60"/>
        <v>Ohms</v>
      </c>
      <c r="K286" s="2" t="str">
        <f t="shared" si="61"/>
        <v>RTG</v>
      </c>
      <c r="L286" s="2">
        <v>49643508</v>
      </c>
      <c r="M286" s="7">
        <v>46104</v>
      </c>
      <c r="N286" s="7">
        <f t="shared" si="65"/>
        <v>46469</v>
      </c>
      <c r="O286" s="7" t="str">
        <f t="shared" si="63"/>
        <v>Anual</v>
      </c>
      <c r="P286" s="2" t="str">
        <f t="shared" ca="1" si="66"/>
        <v>VIGENTE</v>
      </c>
      <c r="Q286" s="6" t="s">
        <v>25</v>
      </c>
      <c r="R286" s="2"/>
    </row>
    <row r="287" spans="1:18" x14ac:dyDescent="0.25">
      <c r="A287" s="23" t="s">
        <v>1462</v>
      </c>
      <c r="B287" s="2" t="s">
        <v>1465</v>
      </c>
      <c r="C287" s="3" t="s">
        <v>1466</v>
      </c>
      <c r="D287" s="3" t="s">
        <v>23</v>
      </c>
      <c r="E287" s="2" t="s">
        <v>24</v>
      </c>
      <c r="F287" s="4">
        <v>0</v>
      </c>
      <c r="G287" s="8">
        <f t="shared" si="64"/>
        <v>1</v>
      </c>
      <c r="H287" s="4" t="str">
        <f t="shared" si="59"/>
        <v>Ohms</v>
      </c>
      <c r="J287" s="6" t="str">
        <f t="shared" si="60"/>
        <v>Ohms</v>
      </c>
      <c r="K287" s="2" t="str">
        <f t="shared" si="61"/>
        <v>RTG</v>
      </c>
      <c r="L287" s="2">
        <v>49643508</v>
      </c>
      <c r="M287" s="7">
        <v>46104</v>
      </c>
      <c r="N287" s="7">
        <f t="shared" si="65"/>
        <v>46469</v>
      </c>
      <c r="O287" s="7" t="str">
        <f t="shared" si="63"/>
        <v>Anual</v>
      </c>
      <c r="P287" s="2" t="str">
        <f t="shared" ca="1" si="66"/>
        <v>VIGENTE</v>
      </c>
      <c r="Q287" s="6" t="s">
        <v>25</v>
      </c>
      <c r="R287" s="2"/>
    </row>
    <row r="288" spans="1:18" x14ac:dyDescent="0.25">
      <c r="A288" s="23" t="s">
        <v>1462</v>
      </c>
      <c r="B288" s="2" t="s">
        <v>1467</v>
      </c>
      <c r="C288" s="3" t="s">
        <v>847</v>
      </c>
      <c r="D288" s="3" t="s">
        <v>23</v>
      </c>
      <c r="E288" s="2" t="s">
        <v>24</v>
      </c>
      <c r="F288" s="4">
        <v>0</v>
      </c>
      <c r="G288" s="8">
        <f t="shared" si="64"/>
        <v>1</v>
      </c>
      <c r="H288" s="4" t="str">
        <f t="shared" si="59"/>
        <v>Ohms</v>
      </c>
      <c r="I288" s="6">
        <v>0.41199999999999998</v>
      </c>
      <c r="J288" s="6" t="str">
        <f t="shared" si="60"/>
        <v>Ohms</v>
      </c>
      <c r="K288" s="2" t="str">
        <f t="shared" si="61"/>
        <v>RTG</v>
      </c>
      <c r="L288" s="2">
        <v>49643508</v>
      </c>
      <c r="M288" s="7">
        <v>46104</v>
      </c>
      <c r="N288" s="7">
        <f t="shared" si="65"/>
        <v>46469</v>
      </c>
      <c r="O288" s="7" t="str">
        <f t="shared" si="63"/>
        <v>Anual</v>
      </c>
      <c r="P288" s="2" t="str">
        <f t="shared" ca="1" si="66"/>
        <v>VIGENTE</v>
      </c>
      <c r="Q288" s="6" t="s">
        <v>25</v>
      </c>
      <c r="R288" s="2"/>
    </row>
    <row r="289" spans="1:18" x14ac:dyDescent="0.25">
      <c r="A289" s="23" t="s">
        <v>1462</v>
      </c>
      <c r="B289" s="2" t="s">
        <v>1468</v>
      </c>
      <c r="C289" s="3" t="s">
        <v>265</v>
      </c>
      <c r="D289" s="3" t="s">
        <v>23</v>
      </c>
      <c r="E289" s="2" t="s">
        <v>24</v>
      </c>
      <c r="F289" s="4">
        <v>0</v>
      </c>
      <c r="G289" s="8">
        <f t="shared" si="64"/>
        <v>1</v>
      </c>
      <c r="H289" s="4" t="str">
        <f t="shared" si="59"/>
        <v>Ohms</v>
      </c>
      <c r="I289" s="6">
        <v>0.872</v>
      </c>
      <c r="J289" s="6" t="str">
        <f t="shared" si="60"/>
        <v>Ohms</v>
      </c>
      <c r="K289" s="2" t="str">
        <f t="shared" si="61"/>
        <v>RTG</v>
      </c>
      <c r="L289" s="2">
        <v>49643508</v>
      </c>
      <c r="M289" s="7">
        <v>46104</v>
      </c>
      <c r="N289" s="7">
        <f t="shared" si="65"/>
        <v>46469</v>
      </c>
      <c r="O289" s="7" t="str">
        <f t="shared" si="63"/>
        <v>Anual</v>
      </c>
      <c r="P289" s="2" t="str">
        <f t="shared" ca="1" si="66"/>
        <v>VIGENTE</v>
      </c>
      <c r="Q289" s="6" t="s">
        <v>25</v>
      </c>
      <c r="R289" s="2"/>
    </row>
    <row r="290" spans="1:18" x14ac:dyDescent="0.25">
      <c r="A290" s="23" t="s">
        <v>1462</v>
      </c>
      <c r="B290" s="2" t="s">
        <v>1469</v>
      </c>
      <c r="C290" s="3" t="s">
        <v>813</v>
      </c>
      <c r="D290" s="3" t="s">
        <v>23</v>
      </c>
      <c r="E290" s="2" t="s">
        <v>24</v>
      </c>
      <c r="F290" s="4">
        <v>0</v>
      </c>
      <c r="G290" s="8">
        <f t="shared" si="64"/>
        <v>1</v>
      </c>
      <c r="H290" s="4" t="str">
        <f t="shared" si="59"/>
        <v>Ohms</v>
      </c>
      <c r="I290" s="6">
        <v>0.48799999999999999</v>
      </c>
      <c r="J290" s="6" t="str">
        <f t="shared" si="60"/>
        <v>Ohms</v>
      </c>
      <c r="K290" s="2" t="str">
        <f t="shared" si="61"/>
        <v>RTG</v>
      </c>
      <c r="L290" s="2">
        <v>49643508</v>
      </c>
      <c r="M290" s="7">
        <v>46104</v>
      </c>
      <c r="N290" s="7">
        <f t="shared" si="65"/>
        <v>46469</v>
      </c>
      <c r="O290" s="7" t="str">
        <f t="shared" si="63"/>
        <v>Anual</v>
      </c>
      <c r="P290" s="2" t="str">
        <f t="shared" ca="1" si="66"/>
        <v>VIGENTE</v>
      </c>
      <c r="Q290" s="6" t="s">
        <v>25</v>
      </c>
      <c r="R290" s="2"/>
    </row>
    <row r="291" spans="1:18" x14ac:dyDescent="0.25">
      <c r="A291" s="23" t="s">
        <v>1462</v>
      </c>
      <c r="B291" s="2" t="s">
        <v>1470</v>
      </c>
      <c r="C291" s="3" t="s">
        <v>261</v>
      </c>
      <c r="D291" s="3" t="s">
        <v>23</v>
      </c>
      <c r="E291" s="2" t="s">
        <v>24</v>
      </c>
      <c r="F291" s="4">
        <v>0</v>
      </c>
      <c r="G291" s="8">
        <f t="shared" si="64"/>
        <v>1</v>
      </c>
      <c r="H291" s="4" t="str">
        <f t="shared" si="59"/>
        <v>Ohms</v>
      </c>
      <c r="I291" s="6">
        <v>0.59599999999999997</v>
      </c>
      <c r="J291" s="6" t="str">
        <f t="shared" si="60"/>
        <v>Ohms</v>
      </c>
      <c r="K291" s="2" t="str">
        <f t="shared" si="61"/>
        <v>RTG</v>
      </c>
      <c r="L291" s="2">
        <v>49643508</v>
      </c>
      <c r="M291" s="7">
        <v>46104</v>
      </c>
      <c r="N291" s="7">
        <f t="shared" si="65"/>
        <v>46469</v>
      </c>
      <c r="O291" s="7" t="str">
        <f t="shared" si="63"/>
        <v>Anual</v>
      </c>
      <c r="P291" s="2" t="str">
        <f t="shared" ca="1" si="66"/>
        <v>VIGENTE</v>
      </c>
      <c r="Q291" s="6" t="s">
        <v>25</v>
      </c>
      <c r="R291" s="2"/>
    </row>
    <row r="292" spans="1:18" x14ac:dyDescent="0.25">
      <c r="A292" s="23" t="s">
        <v>1462</v>
      </c>
      <c r="B292" s="2" t="s">
        <v>1471</v>
      </c>
      <c r="C292" s="3" t="s">
        <v>1455</v>
      </c>
      <c r="D292" s="3" t="s">
        <v>23</v>
      </c>
      <c r="E292" s="2" t="s">
        <v>24</v>
      </c>
      <c r="F292" s="4">
        <v>0</v>
      </c>
      <c r="G292" s="8">
        <f t="shared" si="64"/>
        <v>1</v>
      </c>
      <c r="H292" s="4" t="str">
        <f t="shared" si="59"/>
        <v>Ohms</v>
      </c>
      <c r="I292" s="6">
        <v>0.39500000000000002</v>
      </c>
      <c r="J292" s="6" t="str">
        <f t="shared" si="60"/>
        <v>Ohms</v>
      </c>
      <c r="K292" s="2" t="str">
        <f t="shared" si="61"/>
        <v>RTG</v>
      </c>
      <c r="L292" s="2">
        <v>49643508</v>
      </c>
      <c r="M292" s="7">
        <v>46104</v>
      </c>
      <c r="N292" s="7">
        <f t="shared" si="65"/>
        <v>46469</v>
      </c>
      <c r="O292" s="7" t="str">
        <f t="shared" si="63"/>
        <v>Anual</v>
      </c>
      <c r="P292" s="2" t="str">
        <f t="shared" ca="1" si="66"/>
        <v>VIGENTE</v>
      </c>
      <c r="Q292" s="6" t="s">
        <v>25</v>
      </c>
      <c r="R292" s="2"/>
    </row>
    <row r="293" spans="1:18" x14ac:dyDescent="0.25">
      <c r="A293" s="23" t="s">
        <v>1462</v>
      </c>
      <c r="B293" s="2" t="s">
        <v>1472</v>
      </c>
      <c r="C293" s="3" t="s">
        <v>1458</v>
      </c>
      <c r="D293" s="3" t="s">
        <v>23</v>
      </c>
      <c r="E293" s="2" t="s">
        <v>24</v>
      </c>
      <c r="F293" s="4">
        <v>0</v>
      </c>
      <c r="G293" s="8">
        <f t="shared" si="64"/>
        <v>1</v>
      </c>
      <c r="H293" s="4" t="str">
        <f t="shared" si="59"/>
        <v>Ohms</v>
      </c>
      <c r="I293" s="6"/>
      <c r="J293" s="6" t="str">
        <f t="shared" si="60"/>
        <v>Ohms</v>
      </c>
      <c r="K293" s="2" t="str">
        <f t="shared" si="61"/>
        <v>RTG</v>
      </c>
      <c r="L293" s="2">
        <v>49643508</v>
      </c>
      <c r="M293" s="7">
        <v>46104</v>
      </c>
      <c r="N293" s="7">
        <f t="shared" si="65"/>
        <v>46469</v>
      </c>
      <c r="O293" s="7" t="str">
        <f t="shared" si="63"/>
        <v>Anual</v>
      </c>
      <c r="P293" s="2" t="str">
        <f t="shared" ca="1" si="66"/>
        <v>VIGENTE</v>
      </c>
      <c r="Q293" s="6" t="s">
        <v>25</v>
      </c>
      <c r="R293" s="2"/>
    </row>
    <row r="294" spans="1:18" x14ac:dyDescent="0.25">
      <c r="A294" s="23" t="s">
        <v>1462</v>
      </c>
      <c r="B294" s="2" t="s">
        <v>1473</v>
      </c>
      <c r="C294" s="3" t="s">
        <v>1269</v>
      </c>
      <c r="D294" s="3" t="s">
        <v>23</v>
      </c>
      <c r="E294" s="2" t="s">
        <v>24</v>
      </c>
      <c r="F294" s="4">
        <v>0</v>
      </c>
      <c r="G294" s="8">
        <f t="shared" si="64"/>
        <v>1</v>
      </c>
      <c r="H294" s="4" t="str">
        <f t="shared" si="59"/>
        <v>Ohms</v>
      </c>
      <c r="I294" s="6">
        <v>0.35699999999999998</v>
      </c>
      <c r="J294" s="6" t="str">
        <f t="shared" si="60"/>
        <v>Ohms</v>
      </c>
      <c r="K294" s="2" t="str">
        <f t="shared" si="61"/>
        <v>RTG</v>
      </c>
      <c r="L294" s="2">
        <v>49643508</v>
      </c>
      <c r="M294" s="7">
        <v>46104</v>
      </c>
      <c r="N294" s="7">
        <f t="shared" si="65"/>
        <v>46469</v>
      </c>
      <c r="O294" s="7" t="str">
        <f t="shared" si="63"/>
        <v>Anual</v>
      </c>
      <c r="P294" s="2" t="str">
        <f t="shared" ca="1" si="66"/>
        <v>VIGENTE</v>
      </c>
      <c r="Q294" s="6" t="s">
        <v>25</v>
      </c>
      <c r="R294" s="2"/>
    </row>
    <row r="295" spans="1:18" x14ac:dyDescent="0.25">
      <c r="A295" s="23" t="s">
        <v>1462</v>
      </c>
      <c r="B295" s="2" t="s">
        <v>1474</v>
      </c>
      <c r="C295" s="3" t="s">
        <v>263</v>
      </c>
      <c r="D295" s="3" t="s">
        <v>23</v>
      </c>
      <c r="E295" s="2" t="s">
        <v>24</v>
      </c>
      <c r="F295" s="4">
        <v>0</v>
      </c>
      <c r="G295" s="8">
        <f t="shared" si="64"/>
        <v>1</v>
      </c>
      <c r="H295" s="4" t="str">
        <f t="shared" si="59"/>
        <v>Ohms</v>
      </c>
      <c r="I295" s="6"/>
      <c r="J295" s="6" t="str">
        <f t="shared" si="60"/>
        <v>Ohms</v>
      </c>
      <c r="K295" s="2" t="str">
        <f t="shared" si="61"/>
        <v>RTG</v>
      </c>
      <c r="L295" s="2">
        <v>49643508</v>
      </c>
      <c r="M295" s="7">
        <v>46104</v>
      </c>
      <c r="N295" s="7">
        <f t="shared" si="65"/>
        <v>46469</v>
      </c>
      <c r="O295" s="7" t="str">
        <f t="shared" si="63"/>
        <v>Anual</v>
      </c>
      <c r="P295" s="2" t="str">
        <f t="shared" ca="1" si="66"/>
        <v>VIGENTE</v>
      </c>
      <c r="Q295" s="6" t="s">
        <v>25</v>
      </c>
      <c r="R295" s="2"/>
    </row>
    <row r="296" spans="1:18" x14ac:dyDescent="0.25">
      <c r="A296" s="23" t="s">
        <v>1462</v>
      </c>
      <c r="B296" s="2" t="s">
        <v>1475</v>
      </c>
      <c r="C296" s="3" t="s">
        <v>1476</v>
      </c>
      <c r="D296" s="3" t="s">
        <v>23</v>
      </c>
      <c r="E296" s="2" t="s">
        <v>24</v>
      </c>
      <c r="F296" s="4">
        <v>0</v>
      </c>
      <c r="G296" s="8">
        <f t="shared" si="64"/>
        <v>1</v>
      </c>
      <c r="H296" s="4" t="str">
        <f t="shared" si="59"/>
        <v>Ohms</v>
      </c>
      <c r="I296" s="6"/>
      <c r="J296" s="6" t="str">
        <f t="shared" si="60"/>
        <v>Ohms</v>
      </c>
      <c r="K296" s="2" t="str">
        <f t="shared" si="61"/>
        <v>RTG</v>
      </c>
      <c r="L296" s="2">
        <v>49643508</v>
      </c>
      <c r="M296" s="7">
        <v>46104</v>
      </c>
      <c r="N296" s="7">
        <f t="shared" si="65"/>
        <v>46469</v>
      </c>
      <c r="O296" s="7" t="str">
        <f t="shared" si="63"/>
        <v>Anual</v>
      </c>
      <c r="P296" s="2" t="str">
        <f t="shared" ca="1" si="66"/>
        <v>VIGENTE</v>
      </c>
      <c r="Q296" s="6" t="s">
        <v>25</v>
      </c>
      <c r="R296" s="2"/>
    </row>
    <row r="297" spans="1:18" x14ac:dyDescent="0.25">
      <c r="A297" s="23" t="s">
        <v>1462</v>
      </c>
      <c r="B297" s="2" t="s">
        <v>1477</v>
      </c>
      <c r="C297" s="3" t="s">
        <v>1476</v>
      </c>
      <c r="D297" s="3" t="s">
        <v>23</v>
      </c>
      <c r="E297" s="2" t="s">
        <v>24</v>
      </c>
      <c r="F297" s="4">
        <v>0</v>
      </c>
      <c r="G297" s="8">
        <f t="shared" si="64"/>
        <v>1</v>
      </c>
      <c r="H297" s="4" t="str">
        <f t="shared" si="59"/>
        <v>Ohms</v>
      </c>
      <c r="I297" s="6"/>
      <c r="J297" s="6" t="str">
        <f t="shared" si="60"/>
        <v>Ohms</v>
      </c>
      <c r="K297" s="2" t="str">
        <f t="shared" si="61"/>
        <v>RTG</v>
      </c>
      <c r="L297" s="2">
        <v>49643508</v>
      </c>
      <c r="M297" s="7">
        <v>46104</v>
      </c>
      <c r="N297" s="7">
        <f t="shared" si="65"/>
        <v>46469</v>
      </c>
      <c r="O297" s="7" t="str">
        <f t="shared" si="63"/>
        <v>Anual</v>
      </c>
      <c r="P297" s="2" t="str">
        <f t="shared" ca="1" si="66"/>
        <v>VIGENTE</v>
      </c>
      <c r="Q297" s="6" t="s">
        <v>25</v>
      </c>
      <c r="R297" s="2"/>
    </row>
    <row r="298" spans="1:18" x14ac:dyDescent="0.25">
      <c r="A298" s="23" t="s">
        <v>424</v>
      </c>
      <c r="B298" s="2" t="s">
        <v>1478</v>
      </c>
      <c r="C298" s="3" t="s">
        <v>747</v>
      </c>
      <c r="D298" s="3" t="s">
        <v>23</v>
      </c>
      <c r="E298" s="2" t="s">
        <v>24</v>
      </c>
      <c r="F298" s="4">
        <v>0</v>
      </c>
      <c r="G298" s="8">
        <f t="shared" si="64"/>
        <v>1</v>
      </c>
      <c r="H298" s="4" t="str">
        <f t="shared" si="59"/>
        <v>Ohms</v>
      </c>
      <c r="I298" s="6">
        <v>0.14399999999999999</v>
      </c>
      <c r="J298" s="6" t="str">
        <f t="shared" si="60"/>
        <v>Ohms</v>
      </c>
      <c r="K298" s="2" t="str">
        <f t="shared" si="61"/>
        <v>RTG</v>
      </c>
      <c r="L298" s="2">
        <v>50835476</v>
      </c>
      <c r="M298" s="7">
        <v>46070</v>
      </c>
      <c r="N298" s="7">
        <f t="shared" si="65"/>
        <v>46435</v>
      </c>
      <c r="O298" s="7" t="str">
        <f t="shared" si="63"/>
        <v>Anual</v>
      </c>
      <c r="P298" s="2" t="str">
        <f t="shared" ca="1" si="66"/>
        <v>VIGENTE</v>
      </c>
      <c r="Q298" s="6" t="s">
        <v>25</v>
      </c>
      <c r="R298" s="2"/>
    </row>
    <row r="299" spans="1:18" x14ac:dyDescent="0.25">
      <c r="A299" s="23" t="s">
        <v>424</v>
      </c>
      <c r="B299" s="2" t="s">
        <v>1479</v>
      </c>
      <c r="C299" s="3" t="s">
        <v>747</v>
      </c>
      <c r="D299" s="3" t="s">
        <v>23</v>
      </c>
      <c r="E299" s="2" t="s">
        <v>24</v>
      </c>
      <c r="F299" s="4">
        <v>0</v>
      </c>
      <c r="G299" s="8">
        <f t="shared" si="64"/>
        <v>1</v>
      </c>
      <c r="H299" s="4" t="str">
        <f t="shared" ref="H299:H363" si="67">IF(C299="Ionizador", "Segundos", "Ohms")</f>
        <v>Ohms</v>
      </c>
      <c r="I299" s="6">
        <v>0.373</v>
      </c>
      <c r="J299" s="6" t="str">
        <f t="shared" ref="J299:J363" si="68">H299</f>
        <v>Ohms</v>
      </c>
      <c r="K299" s="2" t="str">
        <f t="shared" ref="K299:K363" si="69">IF(C299="Ionizador", "Plato de carga", IF(C299="Cautín", "PTG", IF(C299="ESD Tester", "PTP Deviation", "RTG")))</f>
        <v>RTG</v>
      </c>
      <c r="L299" s="2">
        <v>50835476</v>
      </c>
      <c r="M299" s="7">
        <v>46070</v>
      </c>
      <c r="N299" s="7">
        <f t="shared" si="65"/>
        <v>46435</v>
      </c>
      <c r="O299" s="7" t="str">
        <f t="shared" si="63"/>
        <v>Anual</v>
      </c>
      <c r="P299" s="2" t="str">
        <f t="shared" ca="1" si="66"/>
        <v>VIGENTE</v>
      </c>
      <c r="Q299" s="6" t="s">
        <v>25</v>
      </c>
      <c r="R299" s="2"/>
    </row>
    <row r="300" spans="1:18" x14ac:dyDescent="0.25">
      <c r="A300" s="23" t="s">
        <v>424</v>
      </c>
      <c r="B300" s="2" t="s">
        <v>1480</v>
      </c>
      <c r="C300" s="3" t="s">
        <v>747</v>
      </c>
      <c r="D300" s="3" t="s">
        <v>23</v>
      </c>
      <c r="E300" s="2" t="s">
        <v>24</v>
      </c>
      <c r="F300" s="4">
        <v>0</v>
      </c>
      <c r="G300" s="8">
        <f t="shared" si="64"/>
        <v>1</v>
      </c>
      <c r="H300" s="4" t="str">
        <f t="shared" si="67"/>
        <v>Ohms</v>
      </c>
      <c r="I300" s="6">
        <v>0.45100000000000001</v>
      </c>
      <c r="J300" s="6" t="str">
        <f t="shared" si="68"/>
        <v>Ohms</v>
      </c>
      <c r="K300" s="2" t="str">
        <f t="shared" si="69"/>
        <v>RTG</v>
      </c>
      <c r="L300" s="2">
        <v>50835476</v>
      </c>
      <c r="M300" s="7">
        <v>46070</v>
      </c>
      <c r="N300" s="7">
        <f t="shared" si="65"/>
        <v>46435</v>
      </c>
      <c r="O300" s="7" t="str">
        <f t="shared" si="63"/>
        <v>Anual</v>
      </c>
      <c r="P300" s="2" t="str">
        <f t="shared" ca="1" si="66"/>
        <v>VIGENTE</v>
      </c>
      <c r="Q300" s="6" t="s">
        <v>25</v>
      </c>
      <c r="R300" s="2"/>
    </row>
    <row r="301" spans="1:18" x14ac:dyDescent="0.25">
      <c r="A301" s="23" t="s">
        <v>424</v>
      </c>
      <c r="B301" s="2" t="s">
        <v>1481</v>
      </c>
      <c r="C301" s="3" t="s">
        <v>747</v>
      </c>
      <c r="D301" s="3" t="s">
        <v>23</v>
      </c>
      <c r="E301" s="2" t="s">
        <v>24</v>
      </c>
      <c r="F301" s="4">
        <v>0</v>
      </c>
      <c r="G301" s="8">
        <f t="shared" si="64"/>
        <v>1</v>
      </c>
      <c r="H301" s="4" t="str">
        <f t="shared" si="67"/>
        <v>Ohms</v>
      </c>
      <c r="I301" s="6">
        <v>0.80900000000000005</v>
      </c>
      <c r="J301" s="6" t="str">
        <f t="shared" si="68"/>
        <v>Ohms</v>
      </c>
      <c r="K301" s="2" t="str">
        <f t="shared" si="69"/>
        <v>RTG</v>
      </c>
      <c r="L301" s="2">
        <v>50835476</v>
      </c>
      <c r="M301" s="7">
        <v>46070</v>
      </c>
      <c r="N301" s="7">
        <f t="shared" si="65"/>
        <v>46435</v>
      </c>
      <c r="O301" s="7" t="str">
        <f t="shared" si="63"/>
        <v>Anual</v>
      </c>
      <c r="P301" s="2" t="str">
        <f t="shared" ca="1" si="66"/>
        <v>VIGENTE</v>
      </c>
      <c r="Q301" s="6" t="s">
        <v>25</v>
      </c>
      <c r="R301" s="2"/>
    </row>
    <row r="302" spans="1:18" x14ac:dyDescent="0.25">
      <c r="A302" s="23" t="s">
        <v>424</v>
      </c>
      <c r="B302" s="2" t="s">
        <v>1482</v>
      </c>
      <c r="C302" s="3" t="s">
        <v>1180</v>
      </c>
      <c r="D302" s="3" t="s">
        <v>23</v>
      </c>
      <c r="E302" s="2" t="s">
        <v>24</v>
      </c>
      <c r="F302" s="4">
        <v>0</v>
      </c>
      <c r="G302" s="8">
        <f t="shared" si="64"/>
        <v>1</v>
      </c>
      <c r="H302" s="4" t="str">
        <f t="shared" si="67"/>
        <v>Ohms</v>
      </c>
      <c r="I302" s="6">
        <v>0.89500000000000002</v>
      </c>
      <c r="J302" s="6" t="str">
        <f t="shared" si="68"/>
        <v>Ohms</v>
      </c>
      <c r="K302" s="2" t="str">
        <f t="shared" si="69"/>
        <v>RTG</v>
      </c>
      <c r="L302" s="2">
        <v>50835476</v>
      </c>
      <c r="M302" s="7">
        <v>46070</v>
      </c>
      <c r="N302" s="7">
        <f t="shared" si="65"/>
        <v>46435</v>
      </c>
      <c r="O302" s="7" t="str">
        <f t="shared" si="63"/>
        <v>Anual</v>
      </c>
      <c r="P302" s="2" t="str">
        <f t="shared" ca="1" si="66"/>
        <v>VIGENTE</v>
      </c>
      <c r="Q302" s="6" t="s">
        <v>25</v>
      </c>
      <c r="R302" s="2"/>
    </row>
    <row r="303" spans="1:18" x14ac:dyDescent="0.25">
      <c r="A303" s="23" t="s">
        <v>424</v>
      </c>
      <c r="B303" s="2" t="s">
        <v>1483</v>
      </c>
      <c r="C303" s="3" t="s">
        <v>1180</v>
      </c>
      <c r="D303" s="3" t="s">
        <v>23</v>
      </c>
      <c r="E303" s="2" t="s">
        <v>24</v>
      </c>
      <c r="F303" s="4">
        <v>0</v>
      </c>
      <c r="G303" s="8">
        <f t="shared" si="64"/>
        <v>1</v>
      </c>
      <c r="H303" s="4" t="str">
        <f t="shared" si="67"/>
        <v>Ohms</v>
      </c>
      <c r="I303" s="6">
        <v>0.16800000000000001</v>
      </c>
      <c r="J303" s="6" t="str">
        <f t="shared" si="68"/>
        <v>Ohms</v>
      </c>
      <c r="K303" s="2" t="str">
        <f t="shared" si="69"/>
        <v>RTG</v>
      </c>
      <c r="L303" s="2">
        <v>50835476</v>
      </c>
      <c r="M303" s="7">
        <v>46070</v>
      </c>
      <c r="N303" s="7">
        <f t="shared" si="65"/>
        <v>46435</v>
      </c>
      <c r="O303" s="7" t="str">
        <f t="shared" si="63"/>
        <v>Anual</v>
      </c>
      <c r="P303" s="2" t="str">
        <f t="shared" ca="1" si="66"/>
        <v>VIGENTE</v>
      </c>
      <c r="Q303" s="6" t="s">
        <v>25</v>
      </c>
      <c r="R303" s="2"/>
    </row>
    <row r="304" spans="1:18" x14ac:dyDescent="0.25">
      <c r="A304" s="23" t="s">
        <v>424</v>
      </c>
      <c r="B304" s="2" t="s">
        <v>1484</v>
      </c>
      <c r="C304" s="3" t="s">
        <v>1180</v>
      </c>
      <c r="D304" s="3" t="s">
        <v>23</v>
      </c>
      <c r="E304" s="2" t="s">
        <v>24</v>
      </c>
      <c r="F304" s="4">
        <v>0</v>
      </c>
      <c r="G304" s="8">
        <f t="shared" si="64"/>
        <v>1</v>
      </c>
      <c r="H304" s="4" t="str">
        <f t="shared" si="67"/>
        <v>Ohms</v>
      </c>
      <c r="I304" s="6">
        <v>0.18099999999999999</v>
      </c>
      <c r="J304" s="6" t="str">
        <f t="shared" si="68"/>
        <v>Ohms</v>
      </c>
      <c r="K304" s="2" t="str">
        <f t="shared" si="69"/>
        <v>RTG</v>
      </c>
      <c r="L304" s="2">
        <v>50835476</v>
      </c>
      <c r="M304" s="7">
        <v>46070</v>
      </c>
      <c r="N304" s="7">
        <f t="shared" si="65"/>
        <v>46435</v>
      </c>
      <c r="O304" s="7" t="str">
        <f t="shared" si="63"/>
        <v>Anual</v>
      </c>
      <c r="P304" s="2" t="str">
        <f t="shared" ca="1" si="66"/>
        <v>VIGENTE</v>
      </c>
      <c r="Q304" s="6" t="s">
        <v>25</v>
      </c>
      <c r="R304" s="2"/>
    </row>
    <row r="305" spans="1:18" x14ac:dyDescent="0.25">
      <c r="A305" s="23" t="s">
        <v>452</v>
      </c>
      <c r="B305" s="2" t="s">
        <v>1485</v>
      </c>
      <c r="C305" s="3" t="s">
        <v>1169</v>
      </c>
      <c r="D305" s="3" t="s">
        <v>23</v>
      </c>
      <c r="E305" s="2" t="s">
        <v>24</v>
      </c>
      <c r="F305" s="4">
        <v>0</v>
      </c>
      <c r="G305" s="8">
        <f t="shared" si="64"/>
        <v>1</v>
      </c>
      <c r="H305" s="4" t="str">
        <f t="shared" si="67"/>
        <v>Ohms</v>
      </c>
      <c r="I305" s="6">
        <v>7.5999999999999998E-2</v>
      </c>
      <c r="J305" s="6" t="str">
        <f t="shared" si="68"/>
        <v>Ohms</v>
      </c>
      <c r="K305" s="2" t="str">
        <f t="shared" si="69"/>
        <v>RTG</v>
      </c>
      <c r="L305" s="2">
        <v>46782244</v>
      </c>
      <c r="M305" s="7">
        <v>45728</v>
      </c>
      <c r="N305" s="7">
        <f t="shared" si="65"/>
        <v>46093</v>
      </c>
      <c r="O305" s="7" t="str">
        <f t="shared" ref="O305:O341" si="70">IF(C305="Ionizador", "Trimestral", IF(C305="Rack", "Semestral", IF(C305="Mesa", "Semestral", IF(C305="Tapete", "Semestral", IF(C305="Cautín", "Semestral", IF(C305="Silla", "Semestral", "Anual"))))))</f>
        <v>Anual</v>
      </c>
      <c r="P305" s="2" t="str">
        <f t="shared" ca="1" si="66"/>
        <v>VENCIDO</v>
      </c>
      <c r="Q305" s="6" t="s">
        <v>25</v>
      </c>
      <c r="R305" s="2"/>
    </row>
    <row r="306" spans="1:18" x14ac:dyDescent="0.25">
      <c r="A306" s="23" t="s">
        <v>452</v>
      </c>
      <c r="B306" s="2" t="s">
        <v>1486</v>
      </c>
      <c r="C306" s="3" t="s">
        <v>747</v>
      </c>
      <c r="D306" s="3" t="s">
        <v>23</v>
      </c>
      <c r="E306" s="2" t="s">
        <v>24</v>
      </c>
      <c r="F306" s="4">
        <v>0</v>
      </c>
      <c r="G306" s="8">
        <f t="shared" si="64"/>
        <v>1</v>
      </c>
      <c r="H306" s="4" t="str">
        <f t="shared" si="67"/>
        <v>Ohms</v>
      </c>
      <c r="I306" s="6">
        <v>8.8999999999999996E-2</v>
      </c>
      <c r="J306" s="6" t="str">
        <f t="shared" si="68"/>
        <v>Ohms</v>
      </c>
      <c r="K306" s="2" t="str">
        <f t="shared" si="69"/>
        <v>RTG</v>
      </c>
      <c r="L306" s="2">
        <v>46782244</v>
      </c>
      <c r="M306" s="7">
        <v>45728</v>
      </c>
      <c r="N306" s="7">
        <f t="shared" si="65"/>
        <v>46093</v>
      </c>
      <c r="O306" s="7" t="str">
        <f t="shared" si="70"/>
        <v>Anual</v>
      </c>
      <c r="P306" s="2" t="str">
        <f t="shared" ca="1" si="66"/>
        <v>VENCIDO</v>
      </c>
      <c r="Q306" s="6" t="s">
        <v>25</v>
      </c>
      <c r="R306" s="2"/>
    </row>
    <row r="307" spans="1:18" x14ac:dyDescent="0.25">
      <c r="A307" s="23" t="s">
        <v>452</v>
      </c>
      <c r="B307" s="2" t="s">
        <v>1487</v>
      </c>
      <c r="C307" s="3" t="s">
        <v>747</v>
      </c>
      <c r="D307" s="3" t="s">
        <v>23</v>
      </c>
      <c r="E307" s="2" t="s">
        <v>24</v>
      </c>
      <c r="F307" s="4">
        <v>0</v>
      </c>
      <c r="G307" s="8">
        <f t="shared" si="64"/>
        <v>1</v>
      </c>
      <c r="H307" s="4" t="str">
        <f t="shared" si="67"/>
        <v>Ohms</v>
      </c>
      <c r="I307" s="6">
        <v>6.6000000000000003E-2</v>
      </c>
      <c r="J307" s="6" t="str">
        <f t="shared" si="68"/>
        <v>Ohms</v>
      </c>
      <c r="K307" s="2" t="str">
        <f t="shared" si="69"/>
        <v>RTG</v>
      </c>
      <c r="L307" s="2">
        <v>46782244</v>
      </c>
      <c r="M307" s="7">
        <v>45728</v>
      </c>
      <c r="N307" s="7">
        <f t="shared" si="65"/>
        <v>46093</v>
      </c>
      <c r="O307" s="7" t="str">
        <f t="shared" si="70"/>
        <v>Anual</v>
      </c>
      <c r="P307" s="2" t="str">
        <f t="shared" ca="1" si="66"/>
        <v>VENCIDO</v>
      </c>
      <c r="Q307" s="6" t="s">
        <v>25</v>
      </c>
      <c r="R307" s="2"/>
    </row>
    <row r="308" spans="1:18" x14ac:dyDescent="0.25">
      <c r="A308" s="23" t="s">
        <v>452</v>
      </c>
      <c r="B308" s="2" t="s">
        <v>1488</v>
      </c>
      <c r="C308" s="3" t="s">
        <v>747</v>
      </c>
      <c r="D308" s="3" t="s">
        <v>23</v>
      </c>
      <c r="E308" s="2" t="s">
        <v>24</v>
      </c>
      <c r="F308" s="4">
        <v>0</v>
      </c>
      <c r="G308" s="8">
        <f t="shared" si="64"/>
        <v>1</v>
      </c>
      <c r="H308" s="4" t="str">
        <f t="shared" si="67"/>
        <v>Ohms</v>
      </c>
      <c r="I308" s="6">
        <v>5.3999999999999999E-2</v>
      </c>
      <c r="J308" s="6" t="str">
        <f t="shared" si="68"/>
        <v>Ohms</v>
      </c>
      <c r="K308" s="2" t="str">
        <f t="shared" si="69"/>
        <v>RTG</v>
      </c>
      <c r="L308" s="2">
        <v>46782244</v>
      </c>
      <c r="M308" s="7">
        <v>45728</v>
      </c>
      <c r="N308" s="7">
        <f t="shared" si="65"/>
        <v>46093</v>
      </c>
      <c r="O308" s="7" t="str">
        <f t="shared" si="70"/>
        <v>Anual</v>
      </c>
      <c r="P308" s="2" t="str">
        <f t="shared" ca="1" si="66"/>
        <v>VENCIDO</v>
      </c>
      <c r="Q308" s="6" t="s">
        <v>25</v>
      </c>
      <c r="R308" s="2"/>
    </row>
    <row r="309" spans="1:18" x14ac:dyDescent="0.25">
      <c r="A309" s="23" t="s">
        <v>452</v>
      </c>
      <c r="B309" s="2" t="s">
        <v>1489</v>
      </c>
      <c r="C309" s="3" t="s">
        <v>800</v>
      </c>
      <c r="D309" s="3" t="s">
        <v>23</v>
      </c>
      <c r="E309" s="2" t="s">
        <v>24</v>
      </c>
      <c r="F309" s="4">
        <v>0</v>
      </c>
      <c r="G309" s="8">
        <f t="shared" si="64"/>
        <v>10</v>
      </c>
      <c r="H309" s="4" t="str">
        <f t="shared" si="67"/>
        <v>Segundos</v>
      </c>
      <c r="I309" s="6">
        <v>4</v>
      </c>
      <c r="J309" s="6" t="str">
        <f t="shared" si="68"/>
        <v>Segundos</v>
      </c>
      <c r="K309" s="2" t="str">
        <f t="shared" si="69"/>
        <v>Plato de carga</v>
      </c>
      <c r="L309" s="2"/>
      <c r="M309" s="7">
        <v>45975</v>
      </c>
      <c r="N309" s="7">
        <f t="shared" si="65"/>
        <v>46065</v>
      </c>
      <c r="O309" s="7" t="str">
        <f t="shared" si="70"/>
        <v>Trimestral</v>
      </c>
      <c r="P309" s="2" t="str">
        <f t="shared" ca="1" si="66"/>
        <v>VENCIDO</v>
      </c>
      <c r="Q309" s="6" t="s">
        <v>25</v>
      </c>
      <c r="R309" s="2"/>
    </row>
    <row r="310" spans="1:18" x14ac:dyDescent="0.25">
      <c r="A310" s="23" t="s">
        <v>452</v>
      </c>
      <c r="B310" s="2" t="s">
        <v>1490</v>
      </c>
      <c r="C310" s="3" t="s">
        <v>261</v>
      </c>
      <c r="D310" s="3" t="s">
        <v>23</v>
      </c>
      <c r="E310" s="2" t="s">
        <v>24</v>
      </c>
      <c r="F310" s="4">
        <v>0</v>
      </c>
      <c r="G310" s="8">
        <f t="shared" si="64"/>
        <v>1</v>
      </c>
      <c r="H310" s="4" t="str">
        <f t="shared" si="67"/>
        <v>Ohms</v>
      </c>
      <c r="I310" s="6">
        <v>5.0999999999999997E-2</v>
      </c>
      <c r="J310" s="6" t="str">
        <f t="shared" si="68"/>
        <v>Ohms</v>
      </c>
      <c r="K310" s="2" t="str">
        <f t="shared" si="69"/>
        <v>RTG</v>
      </c>
      <c r="L310" s="2">
        <v>46782244</v>
      </c>
      <c r="M310" s="7">
        <v>45728</v>
      </c>
      <c r="N310" s="7">
        <f t="shared" si="65"/>
        <v>46093</v>
      </c>
      <c r="O310" s="7" t="str">
        <f t="shared" si="70"/>
        <v>Anual</v>
      </c>
      <c r="P310" s="2" t="str">
        <f t="shared" ca="1" si="66"/>
        <v>VENCIDO</v>
      </c>
      <c r="Q310" s="6" t="s">
        <v>25</v>
      </c>
      <c r="R310" s="2"/>
    </row>
    <row r="311" spans="1:18" x14ac:dyDescent="0.25">
      <c r="A311" s="23" t="s">
        <v>452</v>
      </c>
      <c r="B311" s="2" t="s">
        <v>1491</v>
      </c>
      <c r="C311" s="3" t="s">
        <v>747</v>
      </c>
      <c r="D311" s="3" t="s">
        <v>23</v>
      </c>
      <c r="E311" s="2" t="s">
        <v>24</v>
      </c>
      <c r="F311" s="4">
        <v>0</v>
      </c>
      <c r="G311" s="8">
        <f t="shared" si="64"/>
        <v>1</v>
      </c>
      <c r="H311" s="4" t="str">
        <f t="shared" si="67"/>
        <v>Ohms</v>
      </c>
      <c r="I311" s="6">
        <v>7.5999999999999998E-2</v>
      </c>
      <c r="J311" s="6" t="str">
        <f t="shared" si="68"/>
        <v>Ohms</v>
      </c>
      <c r="K311" s="2" t="str">
        <f t="shared" si="69"/>
        <v>RTG</v>
      </c>
      <c r="L311" s="2">
        <v>46782244</v>
      </c>
      <c r="M311" s="7">
        <v>45728</v>
      </c>
      <c r="N311" s="7">
        <f t="shared" si="65"/>
        <v>46093</v>
      </c>
      <c r="O311" s="7" t="str">
        <f t="shared" si="70"/>
        <v>Anual</v>
      </c>
      <c r="P311" s="2" t="str">
        <f t="shared" ca="1" si="66"/>
        <v>VENCIDO</v>
      </c>
      <c r="Q311" s="6" t="s">
        <v>25</v>
      </c>
      <c r="R311" s="2"/>
    </row>
    <row r="312" spans="1:18" x14ac:dyDescent="0.25">
      <c r="A312" s="23" t="s">
        <v>452</v>
      </c>
      <c r="B312" s="2" t="s">
        <v>1492</v>
      </c>
      <c r="C312" s="3" t="s">
        <v>747</v>
      </c>
      <c r="D312" s="3" t="s">
        <v>23</v>
      </c>
      <c r="E312" s="2" t="s">
        <v>24</v>
      </c>
      <c r="F312" s="4">
        <v>0</v>
      </c>
      <c r="G312" s="8">
        <f t="shared" si="64"/>
        <v>1</v>
      </c>
      <c r="H312" s="4" t="str">
        <f t="shared" si="67"/>
        <v>Ohms</v>
      </c>
      <c r="I312" s="6">
        <v>0.58699999999999997</v>
      </c>
      <c r="J312" s="6" t="str">
        <f t="shared" si="68"/>
        <v>Ohms</v>
      </c>
      <c r="K312" s="2" t="str">
        <f t="shared" si="69"/>
        <v>RTG</v>
      </c>
      <c r="L312" s="2">
        <v>46782244</v>
      </c>
      <c r="M312" s="7">
        <v>45728</v>
      </c>
      <c r="N312" s="7">
        <f t="shared" si="65"/>
        <v>46093</v>
      </c>
      <c r="O312" s="7" t="str">
        <f t="shared" si="70"/>
        <v>Anual</v>
      </c>
      <c r="P312" s="2" t="str">
        <f t="shared" ca="1" si="66"/>
        <v>VENCIDO</v>
      </c>
      <c r="Q312" s="6" t="s">
        <v>25</v>
      </c>
      <c r="R312" s="2"/>
    </row>
    <row r="313" spans="1:18" x14ac:dyDescent="0.25">
      <c r="A313" s="23" t="s">
        <v>454</v>
      </c>
      <c r="B313" s="2" t="s">
        <v>1493</v>
      </c>
      <c r="C313" s="3" t="s">
        <v>1169</v>
      </c>
      <c r="D313" s="3" t="s">
        <v>23</v>
      </c>
      <c r="E313" s="2" t="s">
        <v>24</v>
      </c>
      <c r="F313" s="4">
        <v>0</v>
      </c>
      <c r="G313" s="8">
        <f t="shared" si="64"/>
        <v>1</v>
      </c>
      <c r="H313" s="4" t="str">
        <f t="shared" si="67"/>
        <v>Ohms</v>
      </c>
      <c r="I313" s="6">
        <v>0.45200000000000001</v>
      </c>
      <c r="J313" s="6" t="str">
        <f t="shared" si="68"/>
        <v>Ohms</v>
      </c>
      <c r="K313" s="2" t="str">
        <f t="shared" si="69"/>
        <v>RTG</v>
      </c>
      <c r="L313" s="2">
        <v>46781359</v>
      </c>
      <c r="M313" s="7">
        <v>45728</v>
      </c>
      <c r="N313" s="7">
        <f t="shared" si="65"/>
        <v>46093</v>
      </c>
      <c r="O313" s="7" t="str">
        <f t="shared" si="70"/>
        <v>Anual</v>
      </c>
      <c r="P313" s="2" t="str">
        <f t="shared" ca="1" si="66"/>
        <v>VENCIDO</v>
      </c>
      <c r="Q313" s="6" t="s">
        <v>25</v>
      </c>
      <c r="R313" s="2"/>
    </row>
    <row r="314" spans="1:18" x14ac:dyDescent="0.25">
      <c r="A314" s="23" t="s">
        <v>454</v>
      </c>
      <c r="B314" s="2" t="s">
        <v>1494</v>
      </c>
      <c r="C314" s="3" t="s">
        <v>747</v>
      </c>
      <c r="D314" s="3" t="s">
        <v>23</v>
      </c>
      <c r="E314" s="2" t="s">
        <v>24</v>
      </c>
      <c r="F314" s="4">
        <v>0</v>
      </c>
      <c r="G314" s="8">
        <f t="shared" si="64"/>
        <v>1</v>
      </c>
      <c r="H314" s="4" t="str">
        <f t="shared" si="67"/>
        <v>Ohms</v>
      </c>
      <c r="I314" s="6">
        <v>4.5999999999999999E-2</v>
      </c>
      <c r="J314" s="6" t="str">
        <f t="shared" si="68"/>
        <v>Ohms</v>
      </c>
      <c r="K314" s="2" t="str">
        <f t="shared" si="69"/>
        <v>RTG</v>
      </c>
      <c r="L314" s="2">
        <v>46781359</v>
      </c>
      <c r="M314" s="7">
        <v>45728</v>
      </c>
      <c r="N314" s="7">
        <f t="shared" si="65"/>
        <v>46093</v>
      </c>
      <c r="O314" s="7" t="str">
        <f t="shared" si="70"/>
        <v>Anual</v>
      </c>
      <c r="P314" s="2" t="str">
        <f t="shared" ca="1" si="66"/>
        <v>VENCIDO</v>
      </c>
      <c r="Q314" s="6" t="s">
        <v>25</v>
      </c>
      <c r="R314" s="2"/>
    </row>
    <row r="315" spans="1:18" x14ac:dyDescent="0.25">
      <c r="A315" s="23" t="s">
        <v>454</v>
      </c>
      <c r="B315" s="2" t="s">
        <v>1495</v>
      </c>
      <c r="C315" s="3" t="s">
        <v>747</v>
      </c>
      <c r="D315" s="3" t="s">
        <v>23</v>
      </c>
      <c r="E315" s="2" t="s">
        <v>24</v>
      </c>
      <c r="F315" s="4">
        <v>0</v>
      </c>
      <c r="G315" s="8">
        <f t="shared" si="64"/>
        <v>1</v>
      </c>
      <c r="H315" s="4" t="str">
        <f t="shared" si="67"/>
        <v>Ohms</v>
      </c>
      <c r="I315" s="6">
        <v>5.3999999999999999E-2</v>
      </c>
      <c r="J315" s="6" t="str">
        <f t="shared" si="68"/>
        <v>Ohms</v>
      </c>
      <c r="K315" s="2" t="str">
        <f t="shared" si="69"/>
        <v>RTG</v>
      </c>
      <c r="L315" s="2">
        <v>46781359</v>
      </c>
      <c r="M315" s="7">
        <v>45728</v>
      </c>
      <c r="N315" s="7">
        <f t="shared" si="65"/>
        <v>46093</v>
      </c>
      <c r="O315" s="7" t="str">
        <f t="shared" si="70"/>
        <v>Anual</v>
      </c>
      <c r="P315" s="2" t="str">
        <f t="shared" ca="1" si="66"/>
        <v>VENCIDO</v>
      </c>
      <c r="Q315" s="6" t="s">
        <v>25</v>
      </c>
      <c r="R315" s="2"/>
    </row>
    <row r="316" spans="1:18" x14ac:dyDescent="0.25">
      <c r="A316" s="23" t="s">
        <v>454</v>
      </c>
      <c r="B316" s="2" t="s">
        <v>1496</v>
      </c>
      <c r="C316" s="3" t="s">
        <v>747</v>
      </c>
      <c r="D316" s="3" t="s">
        <v>23</v>
      </c>
      <c r="E316" s="2" t="s">
        <v>24</v>
      </c>
      <c r="F316" s="4">
        <v>0</v>
      </c>
      <c r="G316" s="8">
        <f t="shared" si="64"/>
        <v>1</v>
      </c>
      <c r="H316" s="4" t="str">
        <f t="shared" si="67"/>
        <v>Ohms</v>
      </c>
      <c r="I316" s="6">
        <v>8.4000000000000005E-2</v>
      </c>
      <c r="J316" s="6" t="str">
        <f t="shared" si="68"/>
        <v>Ohms</v>
      </c>
      <c r="K316" s="2" t="str">
        <f t="shared" si="69"/>
        <v>RTG</v>
      </c>
      <c r="L316" s="2">
        <v>46781359</v>
      </c>
      <c r="M316" s="7">
        <v>45728</v>
      </c>
      <c r="N316" s="7">
        <f t="shared" si="65"/>
        <v>46093</v>
      </c>
      <c r="O316" s="7" t="str">
        <f t="shared" si="70"/>
        <v>Anual</v>
      </c>
      <c r="P316" s="2" t="str">
        <f t="shared" ca="1" si="66"/>
        <v>VENCIDO</v>
      </c>
      <c r="Q316" s="6" t="s">
        <v>25</v>
      </c>
      <c r="R316" s="2"/>
    </row>
    <row r="317" spans="1:18" x14ac:dyDescent="0.25">
      <c r="A317" s="23" t="s">
        <v>454</v>
      </c>
      <c r="B317" s="2" t="s">
        <v>1497</v>
      </c>
      <c r="C317" s="3" t="s">
        <v>747</v>
      </c>
      <c r="D317" s="3" t="s">
        <v>23</v>
      </c>
      <c r="E317" s="2" t="s">
        <v>24</v>
      </c>
      <c r="F317" s="4">
        <v>0</v>
      </c>
      <c r="G317" s="8">
        <f t="shared" si="64"/>
        <v>1</v>
      </c>
      <c r="H317" s="4" t="str">
        <f t="shared" si="67"/>
        <v>Ohms</v>
      </c>
      <c r="I317" s="6">
        <v>6.3E-2</v>
      </c>
      <c r="J317" s="6" t="str">
        <f t="shared" si="68"/>
        <v>Ohms</v>
      </c>
      <c r="K317" s="2" t="str">
        <f t="shared" si="69"/>
        <v>RTG</v>
      </c>
      <c r="L317" s="2">
        <v>46781359</v>
      </c>
      <c r="M317" s="7">
        <v>45728</v>
      </c>
      <c r="N317" s="7">
        <f t="shared" si="65"/>
        <v>46093</v>
      </c>
      <c r="O317" s="7" t="str">
        <f t="shared" si="70"/>
        <v>Anual</v>
      </c>
      <c r="P317" s="2" t="str">
        <f t="shared" ca="1" si="66"/>
        <v>VENCIDO</v>
      </c>
      <c r="Q317" s="6" t="s">
        <v>25</v>
      </c>
      <c r="R317" s="2"/>
    </row>
    <row r="318" spans="1:18" x14ac:dyDescent="0.25">
      <c r="A318" s="23" t="s">
        <v>454</v>
      </c>
      <c r="B318" s="2" t="s">
        <v>1498</v>
      </c>
      <c r="C318" s="3" t="s">
        <v>800</v>
      </c>
      <c r="D318" s="3" t="s">
        <v>23</v>
      </c>
      <c r="E318" s="2" t="s">
        <v>24</v>
      </c>
      <c r="F318" s="4">
        <v>1</v>
      </c>
      <c r="G318" s="8">
        <f t="shared" si="64"/>
        <v>10</v>
      </c>
      <c r="H318" s="4" t="str">
        <f t="shared" si="67"/>
        <v>Segundos</v>
      </c>
      <c r="I318" s="6">
        <v>3</v>
      </c>
      <c r="J318" s="6" t="str">
        <f t="shared" si="68"/>
        <v>Segundos</v>
      </c>
      <c r="K318" s="2" t="str">
        <f t="shared" si="69"/>
        <v>Plato de carga</v>
      </c>
      <c r="L318" s="2"/>
      <c r="M318" s="7">
        <v>45976</v>
      </c>
      <c r="N318" s="7">
        <f t="shared" si="65"/>
        <v>46066</v>
      </c>
      <c r="O318" s="7" t="str">
        <f t="shared" si="70"/>
        <v>Trimestral</v>
      </c>
      <c r="P318" s="2" t="str">
        <f t="shared" ca="1" si="66"/>
        <v>VENCIDO</v>
      </c>
      <c r="Q318" s="6" t="s">
        <v>25</v>
      </c>
      <c r="R318" s="2"/>
    </row>
    <row r="319" spans="1:18" x14ac:dyDescent="0.25">
      <c r="A319" s="23" t="s">
        <v>454</v>
      </c>
      <c r="B319" s="2" t="s">
        <v>1499</v>
      </c>
      <c r="C319" s="3" t="s">
        <v>261</v>
      </c>
      <c r="D319" s="3" t="s">
        <v>23</v>
      </c>
      <c r="E319" s="2" t="s">
        <v>24</v>
      </c>
      <c r="F319" s="4">
        <v>0</v>
      </c>
      <c r="G319" s="8">
        <f t="shared" si="64"/>
        <v>1</v>
      </c>
      <c r="H319" s="4" t="str">
        <f t="shared" si="67"/>
        <v>Ohms</v>
      </c>
      <c r="I319" s="6">
        <v>4.7E-2</v>
      </c>
      <c r="J319" s="6" t="str">
        <f t="shared" si="68"/>
        <v>Ohms</v>
      </c>
      <c r="K319" s="2" t="str">
        <f t="shared" si="69"/>
        <v>RTG</v>
      </c>
      <c r="L319" s="2">
        <v>46781359</v>
      </c>
      <c r="M319" s="7">
        <v>45728</v>
      </c>
      <c r="N319" s="7">
        <f t="shared" si="65"/>
        <v>46093</v>
      </c>
      <c r="O319" s="7" t="str">
        <f t="shared" si="70"/>
        <v>Anual</v>
      </c>
      <c r="P319" s="2" t="str">
        <f t="shared" ca="1" si="66"/>
        <v>VENCIDO</v>
      </c>
      <c r="Q319" s="6" t="s">
        <v>25</v>
      </c>
      <c r="R319" s="2"/>
    </row>
    <row r="320" spans="1:18" x14ac:dyDescent="0.25">
      <c r="A320" s="23" t="s">
        <v>454</v>
      </c>
      <c r="B320" s="2" t="s">
        <v>1500</v>
      </c>
      <c r="C320" s="3" t="s">
        <v>747</v>
      </c>
      <c r="D320" s="3" t="s">
        <v>23</v>
      </c>
      <c r="E320" s="2" t="s">
        <v>24</v>
      </c>
      <c r="F320" s="4">
        <v>0</v>
      </c>
      <c r="G320" s="8">
        <f t="shared" si="64"/>
        <v>1</v>
      </c>
      <c r="H320" s="4" t="str">
        <f t="shared" si="67"/>
        <v>Ohms</v>
      </c>
      <c r="I320" s="6">
        <v>4.3999999999999997E-2</v>
      </c>
      <c r="J320" s="6" t="str">
        <f t="shared" si="68"/>
        <v>Ohms</v>
      </c>
      <c r="K320" s="2" t="str">
        <f t="shared" si="69"/>
        <v>RTG</v>
      </c>
      <c r="L320" s="2">
        <v>46781359</v>
      </c>
      <c r="M320" s="7">
        <v>45728</v>
      </c>
      <c r="N320" s="7">
        <f t="shared" si="65"/>
        <v>46093</v>
      </c>
      <c r="O320" s="7" t="str">
        <f t="shared" si="70"/>
        <v>Anual</v>
      </c>
      <c r="P320" s="2" t="str">
        <f t="shared" ca="1" si="66"/>
        <v>VENCIDO</v>
      </c>
      <c r="Q320" s="6" t="s">
        <v>25</v>
      </c>
      <c r="R320" s="2"/>
    </row>
    <row r="321" spans="1:18" x14ac:dyDescent="0.25">
      <c r="A321" s="23" t="s">
        <v>454</v>
      </c>
      <c r="B321" s="2" t="s">
        <v>1501</v>
      </c>
      <c r="C321" s="3" t="s">
        <v>747</v>
      </c>
      <c r="D321" s="3" t="s">
        <v>23</v>
      </c>
      <c r="E321" s="2" t="s">
        <v>24</v>
      </c>
      <c r="F321" s="4">
        <v>0</v>
      </c>
      <c r="G321" s="8">
        <f t="shared" si="64"/>
        <v>1</v>
      </c>
      <c r="H321" s="4" t="str">
        <f t="shared" si="67"/>
        <v>Ohms</v>
      </c>
      <c r="I321" s="6">
        <v>0.129</v>
      </c>
      <c r="J321" s="6" t="str">
        <f t="shared" si="68"/>
        <v>Ohms</v>
      </c>
      <c r="K321" s="2" t="str">
        <f t="shared" si="69"/>
        <v>RTG</v>
      </c>
      <c r="L321" s="2">
        <v>46781359</v>
      </c>
      <c r="M321" s="7">
        <v>45728</v>
      </c>
      <c r="N321" s="7">
        <f t="shared" si="65"/>
        <v>46093</v>
      </c>
      <c r="O321" s="7" t="str">
        <f t="shared" si="70"/>
        <v>Anual</v>
      </c>
      <c r="P321" s="2" t="str">
        <f t="shared" ca="1" si="66"/>
        <v>VENCIDO</v>
      </c>
      <c r="Q321" s="6" t="s">
        <v>25</v>
      </c>
      <c r="R321" s="2"/>
    </row>
    <row r="322" spans="1:18" x14ac:dyDescent="0.25">
      <c r="A322" s="23" t="s">
        <v>456</v>
      </c>
      <c r="B322" s="2" t="s">
        <v>1502</v>
      </c>
      <c r="C322" s="3" t="s">
        <v>1169</v>
      </c>
      <c r="D322" s="3" t="s">
        <v>23</v>
      </c>
      <c r="E322" s="2" t="s">
        <v>24</v>
      </c>
      <c r="F322" s="4">
        <v>0</v>
      </c>
      <c r="G322" s="8">
        <f t="shared" si="64"/>
        <v>1</v>
      </c>
      <c r="H322" s="4" t="str">
        <f t="shared" si="67"/>
        <v>Ohms</v>
      </c>
      <c r="I322" s="6">
        <v>0.377</v>
      </c>
      <c r="J322" s="6" t="str">
        <f t="shared" si="68"/>
        <v>Ohms</v>
      </c>
      <c r="K322" s="2" t="str">
        <f t="shared" si="69"/>
        <v>RTG</v>
      </c>
      <c r="L322" s="2">
        <v>46786462</v>
      </c>
      <c r="M322" s="7">
        <v>45728</v>
      </c>
      <c r="N322" s="7">
        <f t="shared" si="65"/>
        <v>46093</v>
      </c>
      <c r="O322" s="7" t="str">
        <f t="shared" si="70"/>
        <v>Anual</v>
      </c>
      <c r="P322" s="2" t="str">
        <f t="shared" ca="1" si="66"/>
        <v>VENCIDO</v>
      </c>
      <c r="Q322" s="6" t="s">
        <v>25</v>
      </c>
      <c r="R322" s="2"/>
    </row>
    <row r="323" spans="1:18" x14ac:dyDescent="0.25">
      <c r="A323" s="23" t="s">
        <v>456</v>
      </c>
      <c r="B323" s="2" t="s">
        <v>1503</v>
      </c>
      <c r="C323" s="3" t="s">
        <v>747</v>
      </c>
      <c r="D323" s="3" t="s">
        <v>23</v>
      </c>
      <c r="E323" s="2" t="s">
        <v>24</v>
      </c>
      <c r="F323" s="4">
        <v>0</v>
      </c>
      <c r="G323" s="8">
        <f t="shared" si="64"/>
        <v>1</v>
      </c>
      <c r="H323" s="4" t="str">
        <f t="shared" si="67"/>
        <v>Ohms</v>
      </c>
      <c r="I323" s="6">
        <v>0.11</v>
      </c>
      <c r="J323" s="6" t="str">
        <f t="shared" si="68"/>
        <v>Ohms</v>
      </c>
      <c r="K323" s="2" t="str">
        <f t="shared" si="69"/>
        <v>RTG</v>
      </c>
      <c r="L323" s="2">
        <v>46786462</v>
      </c>
      <c r="M323" s="7">
        <v>45728</v>
      </c>
      <c r="N323" s="7">
        <f t="shared" si="65"/>
        <v>46093</v>
      </c>
      <c r="O323" s="7" t="str">
        <f t="shared" si="70"/>
        <v>Anual</v>
      </c>
      <c r="P323" s="2" t="str">
        <f t="shared" ca="1" si="66"/>
        <v>VENCIDO</v>
      </c>
      <c r="Q323" s="6" t="s">
        <v>25</v>
      </c>
      <c r="R323" s="2"/>
    </row>
    <row r="324" spans="1:18" x14ac:dyDescent="0.25">
      <c r="A324" s="23" t="s">
        <v>456</v>
      </c>
      <c r="B324" s="2" t="s">
        <v>1504</v>
      </c>
      <c r="C324" s="3" t="s">
        <v>747</v>
      </c>
      <c r="D324" s="3" t="s">
        <v>23</v>
      </c>
      <c r="E324" s="2" t="s">
        <v>24</v>
      </c>
      <c r="F324" s="4">
        <v>0</v>
      </c>
      <c r="G324" s="8">
        <f t="shared" si="64"/>
        <v>1</v>
      </c>
      <c r="H324" s="4" t="str">
        <f t="shared" si="67"/>
        <v>Ohms</v>
      </c>
      <c r="I324" s="6">
        <v>4.9000000000000002E-2</v>
      </c>
      <c r="J324" s="6" t="str">
        <f t="shared" si="68"/>
        <v>Ohms</v>
      </c>
      <c r="K324" s="2" t="str">
        <f t="shared" si="69"/>
        <v>RTG</v>
      </c>
      <c r="L324" s="2">
        <v>46786462</v>
      </c>
      <c r="M324" s="7">
        <v>45728</v>
      </c>
      <c r="N324" s="7">
        <f t="shared" si="65"/>
        <v>46093</v>
      </c>
      <c r="O324" s="7" t="str">
        <f t="shared" si="70"/>
        <v>Anual</v>
      </c>
      <c r="P324" s="2" t="str">
        <f t="shared" ca="1" si="66"/>
        <v>VENCIDO</v>
      </c>
      <c r="Q324" s="6" t="s">
        <v>25</v>
      </c>
      <c r="R324" s="2"/>
    </row>
    <row r="325" spans="1:18" x14ac:dyDescent="0.25">
      <c r="A325" s="23" t="s">
        <v>456</v>
      </c>
      <c r="B325" s="2" t="s">
        <v>1505</v>
      </c>
      <c r="C325" s="3" t="s">
        <v>747</v>
      </c>
      <c r="D325" s="3" t="s">
        <v>23</v>
      </c>
      <c r="E325" s="2" t="s">
        <v>24</v>
      </c>
      <c r="F325" s="4">
        <v>0</v>
      </c>
      <c r="G325" s="8">
        <f t="shared" si="64"/>
        <v>1</v>
      </c>
      <c r="H325" s="4" t="str">
        <f t="shared" si="67"/>
        <v>Ohms</v>
      </c>
      <c r="I325" s="6">
        <v>4.7E-2</v>
      </c>
      <c r="J325" s="6" t="str">
        <f t="shared" si="68"/>
        <v>Ohms</v>
      </c>
      <c r="K325" s="2" t="str">
        <f t="shared" si="69"/>
        <v>RTG</v>
      </c>
      <c r="L325" s="2">
        <v>46786462</v>
      </c>
      <c r="M325" s="7">
        <v>45728</v>
      </c>
      <c r="N325" s="7">
        <f t="shared" si="65"/>
        <v>46093</v>
      </c>
      <c r="O325" s="7" t="str">
        <f t="shared" si="70"/>
        <v>Anual</v>
      </c>
      <c r="P325" s="2" t="str">
        <f t="shared" ca="1" si="66"/>
        <v>VENCIDO</v>
      </c>
      <c r="Q325" s="6" t="s">
        <v>25</v>
      </c>
      <c r="R325" s="2"/>
    </row>
    <row r="326" spans="1:18" x14ac:dyDescent="0.25">
      <c r="A326" s="23" t="s">
        <v>456</v>
      </c>
      <c r="B326" s="2" t="s">
        <v>1506</v>
      </c>
      <c r="C326" s="3" t="s">
        <v>800</v>
      </c>
      <c r="D326" s="3" t="s">
        <v>23</v>
      </c>
      <c r="E326" s="2" t="s">
        <v>24</v>
      </c>
      <c r="F326" s="4">
        <v>0</v>
      </c>
      <c r="G326" s="8">
        <f t="shared" si="64"/>
        <v>10</v>
      </c>
      <c r="H326" s="4" t="str">
        <f t="shared" si="67"/>
        <v>Segundos</v>
      </c>
      <c r="I326" s="6">
        <v>3</v>
      </c>
      <c r="J326" s="6" t="str">
        <f t="shared" si="68"/>
        <v>Segundos</v>
      </c>
      <c r="K326" s="2" t="str">
        <f t="shared" si="69"/>
        <v>Plato de carga</v>
      </c>
      <c r="L326" s="2"/>
      <c r="M326" s="7">
        <v>45965</v>
      </c>
      <c r="N326" s="7">
        <f t="shared" si="65"/>
        <v>46055</v>
      </c>
      <c r="O326" s="7" t="str">
        <f t="shared" si="70"/>
        <v>Trimestral</v>
      </c>
      <c r="P326" s="2" t="str">
        <f t="shared" ca="1" si="66"/>
        <v>VENCIDO</v>
      </c>
      <c r="Q326" s="6" t="s">
        <v>25</v>
      </c>
      <c r="R326" s="2"/>
    </row>
    <row r="327" spans="1:18" x14ac:dyDescent="0.25">
      <c r="A327" s="23" t="s">
        <v>456</v>
      </c>
      <c r="B327" s="2" t="s">
        <v>1507</v>
      </c>
      <c r="C327" s="3" t="s">
        <v>261</v>
      </c>
      <c r="D327" s="3" t="s">
        <v>23</v>
      </c>
      <c r="E327" s="2" t="s">
        <v>24</v>
      </c>
      <c r="F327" s="4">
        <v>0</v>
      </c>
      <c r="G327" s="8">
        <f t="shared" si="64"/>
        <v>1</v>
      </c>
      <c r="H327" s="4" t="str">
        <f t="shared" si="67"/>
        <v>Ohms</v>
      </c>
      <c r="I327" s="6">
        <v>9.0999999999999998E-2</v>
      </c>
      <c r="J327" s="6" t="str">
        <f t="shared" si="68"/>
        <v>Ohms</v>
      </c>
      <c r="K327" s="2" t="str">
        <f t="shared" si="69"/>
        <v>RTG</v>
      </c>
      <c r="L327" s="2">
        <v>46786462</v>
      </c>
      <c r="M327" s="7">
        <v>45728</v>
      </c>
      <c r="N327" s="7">
        <f t="shared" si="65"/>
        <v>46093</v>
      </c>
      <c r="O327" s="7" t="str">
        <f t="shared" si="70"/>
        <v>Anual</v>
      </c>
      <c r="P327" s="2" t="str">
        <f t="shared" ca="1" si="66"/>
        <v>VENCIDO</v>
      </c>
      <c r="Q327" s="6" t="s">
        <v>25</v>
      </c>
      <c r="R327" s="2"/>
    </row>
    <row r="328" spans="1:18" x14ac:dyDescent="0.25">
      <c r="A328" s="23" t="s">
        <v>456</v>
      </c>
      <c r="B328" s="2" t="s">
        <v>1508</v>
      </c>
      <c r="C328" s="3" t="s">
        <v>747</v>
      </c>
      <c r="D328" s="3" t="s">
        <v>23</v>
      </c>
      <c r="E328" s="2" t="s">
        <v>24</v>
      </c>
      <c r="F328" s="4">
        <v>0</v>
      </c>
      <c r="G328" s="8">
        <f t="shared" si="64"/>
        <v>1</v>
      </c>
      <c r="H328" s="4" t="str">
        <f t="shared" si="67"/>
        <v>Ohms</v>
      </c>
      <c r="I328" s="6">
        <v>6.9000000000000006E-2</v>
      </c>
      <c r="J328" s="6" t="str">
        <f t="shared" si="68"/>
        <v>Ohms</v>
      </c>
      <c r="K328" s="2" t="str">
        <f t="shared" si="69"/>
        <v>RTG</v>
      </c>
      <c r="L328" s="2">
        <v>46786462</v>
      </c>
      <c r="M328" s="7">
        <v>45728</v>
      </c>
      <c r="N328" s="7">
        <f t="shared" si="65"/>
        <v>46093</v>
      </c>
      <c r="O328" s="7" t="str">
        <f t="shared" si="70"/>
        <v>Anual</v>
      </c>
      <c r="P328" s="2" t="str">
        <f t="shared" ca="1" si="66"/>
        <v>VENCIDO</v>
      </c>
      <c r="Q328" s="6" t="s">
        <v>25</v>
      </c>
      <c r="R328" s="2"/>
    </row>
    <row r="329" spans="1:18" x14ac:dyDescent="0.25">
      <c r="A329" s="23" t="s">
        <v>456</v>
      </c>
      <c r="B329" s="2" t="s">
        <v>1509</v>
      </c>
      <c r="C329" s="3" t="s">
        <v>747</v>
      </c>
      <c r="D329" s="3" t="s">
        <v>23</v>
      </c>
      <c r="E329" s="2" t="s">
        <v>24</v>
      </c>
      <c r="F329" s="4">
        <v>0</v>
      </c>
      <c r="G329" s="8">
        <f t="shared" si="64"/>
        <v>1</v>
      </c>
      <c r="H329" s="4" t="str">
        <f t="shared" si="67"/>
        <v>Ohms</v>
      </c>
      <c r="I329" s="6">
        <v>0.23100000000000001</v>
      </c>
      <c r="J329" s="6" t="str">
        <f t="shared" si="68"/>
        <v>Ohms</v>
      </c>
      <c r="K329" s="2" t="str">
        <f t="shared" si="69"/>
        <v>RTG</v>
      </c>
      <c r="L329" s="2">
        <v>46786462</v>
      </c>
      <c r="M329" s="7">
        <v>45728</v>
      </c>
      <c r="N329" s="7">
        <f t="shared" si="65"/>
        <v>46093</v>
      </c>
      <c r="O329" s="7" t="str">
        <f t="shared" si="70"/>
        <v>Anual</v>
      </c>
      <c r="P329" s="2" t="str">
        <f t="shared" ca="1" si="66"/>
        <v>VENCIDO</v>
      </c>
      <c r="Q329" s="6" t="s">
        <v>25</v>
      </c>
      <c r="R329" s="2"/>
    </row>
    <row r="330" spans="1:18" x14ac:dyDescent="0.25">
      <c r="A330" s="23" t="s">
        <v>523</v>
      </c>
      <c r="B330" s="2" t="s">
        <v>1510</v>
      </c>
      <c r="C330" s="3" t="s">
        <v>1169</v>
      </c>
      <c r="D330" s="3" t="s">
        <v>23</v>
      </c>
      <c r="E330" s="2" t="s">
        <v>24</v>
      </c>
      <c r="F330" s="4">
        <v>0</v>
      </c>
      <c r="G330" s="8">
        <f t="shared" ref="G330:G411" si="71">IF(C330="Ionizador", 10, IF(C330="Mesa", 1000000000, IF(C330="Rack", 1000000000, IF(C330="Piso", 1000000000, IF(C330="Tapete", 1000000000, IF(C330="Carrito", 1000000000, IF(C330="Cautín", 10, 1)))))))</f>
        <v>1</v>
      </c>
      <c r="H330" s="4" t="str">
        <f t="shared" si="67"/>
        <v>Ohms</v>
      </c>
      <c r="I330" s="6">
        <v>0.129</v>
      </c>
      <c r="J330" s="6" t="str">
        <f t="shared" si="68"/>
        <v>Ohms</v>
      </c>
      <c r="K330" s="2" t="str">
        <f t="shared" si="69"/>
        <v>RTG</v>
      </c>
      <c r="L330" s="2">
        <v>46782352</v>
      </c>
      <c r="M330" s="7">
        <v>45728</v>
      </c>
      <c r="N330" s="7">
        <f t="shared" ref="N330:N411" si="72">IF(O330="Trimestral", M330+90, IF(O330="Semestral", M330+180, IF(O330="Mensual", M330+30, M330+365)))</f>
        <v>46093</v>
      </c>
      <c r="O330" s="7" t="str">
        <f t="shared" si="70"/>
        <v>Anual</v>
      </c>
      <c r="P330" s="2" t="str">
        <f t="shared" ca="1" si="66"/>
        <v>VENCIDO</v>
      </c>
      <c r="Q330" s="6" t="s">
        <v>25</v>
      </c>
      <c r="R330" s="2"/>
    </row>
    <row r="331" spans="1:18" x14ac:dyDescent="0.25">
      <c r="A331" s="23" t="s">
        <v>523</v>
      </c>
      <c r="B331" s="2" t="s">
        <v>1511</v>
      </c>
      <c r="C331" s="3" t="s">
        <v>747</v>
      </c>
      <c r="D331" s="3" t="s">
        <v>23</v>
      </c>
      <c r="E331" s="2" t="s">
        <v>24</v>
      </c>
      <c r="F331" s="4">
        <v>0</v>
      </c>
      <c r="G331" s="8">
        <f t="shared" si="71"/>
        <v>1</v>
      </c>
      <c r="H331" s="4" t="str">
        <f t="shared" si="67"/>
        <v>Ohms</v>
      </c>
      <c r="I331" s="6">
        <v>7.9000000000000001E-2</v>
      </c>
      <c r="J331" s="6" t="str">
        <f t="shared" si="68"/>
        <v>Ohms</v>
      </c>
      <c r="K331" s="2" t="str">
        <f t="shared" si="69"/>
        <v>RTG</v>
      </c>
      <c r="L331" s="2">
        <v>46782352</v>
      </c>
      <c r="M331" s="7">
        <v>45728</v>
      </c>
      <c r="N331" s="7">
        <f t="shared" si="72"/>
        <v>46093</v>
      </c>
      <c r="O331" s="7" t="str">
        <f t="shared" si="70"/>
        <v>Anual</v>
      </c>
      <c r="P331" s="2" t="str">
        <f t="shared" ca="1" si="66"/>
        <v>VENCIDO</v>
      </c>
      <c r="Q331" s="6" t="s">
        <v>25</v>
      </c>
      <c r="R331" s="2"/>
    </row>
    <row r="332" spans="1:18" x14ac:dyDescent="0.25">
      <c r="A332" s="23" t="s">
        <v>523</v>
      </c>
      <c r="B332" s="2" t="s">
        <v>1512</v>
      </c>
      <c r="C332" s="3" t="s">
        <v>747</v>
      </c>
      <c r="D332" s="3" t="s">
        <v>23</v>
      </c>
      <c r="E332" s="2" t="s">
        <v>24</v>
      </c>
      <c r="F332" s="4">
        <v>0</v>
      </c>
      <c r="G332" s="8">
        <f t="shared" si="71"/>
        <v>1</v>
      </c>
      <c r="H332" s="4" t="str">
        <f t="shared" si="67"/>
        <v>Ohms</v>
      </c>
      <c r="I332" s="6">
        <v>5.7000000000000002E-2</v>
      </c>
      <c r="J332" s="6" t="str">
        <f t="shared" si="68"/>
        <v>Ohms</v>
      </c>
      <c r="K332" s="2" t="str">
        <f t="shared" si="69"/>
        <v>RTG</v>
      </c>
      <c r="L332" s="2">
        <v>46782352</v>
      </c>
      <c r="M332" s="7">
        <v>45728</v>
      </c>
      <c r="N332" s="7">
        <f t="shared" si="72"/>
        <v>46093</v>
      </c>
      <c r="O332" s="7" t="str">
        <f t="shared" si="70"/>
        <v>Anual</v>
      </c>
      <c r="P332" s="2" t="str">
        <f t="shared" ca="1" si="66"/>
        <v>VENCIDO</v>
      </c>
      <c r="Q332" s="6" t="s">
        <v>25</v>
      </c>
      <c r="R332" s="2"/>
    </row>
    <row r="333" spans="1:18" x14ac:dyDescent="0.25">
      <c r="A333" s="23" t="s">
        <v>523</v>
      </c>
      <c r="B333" s="2" t="s">
        <v>1513</v>
      </c>
      <c r="C333" s="3" t="s">
        <v>747</v>
      </c>
      <c r="D333" s="3" t="s">
        <v>23</v>
      </c>
      <c r="E333" s="2" t="s">
        <v>24</v>
      </c>
      <c r="F333" s="4">
        <v>0</v>
      </c>
      <c r="G333" s="8">
        <f t="shared" si="71"/>
        <v>1</v>
      </c>
      <c r="H333" s="4" t="str">
        <f t="shared" si="67"/>
        <v>Ohms</v>
      </c>
      <c r="I333" s="6">
        <v>4.4999999999999998E-2</v>
      </c>
      <c r="J333" s="6" t="str">
        <f t="shared" si="68"/>
        <v>Ohms</v>
      </c>
      <c r="K333" s="2" t="str">
        <f t="shared" si="69"/>
        <v>RTG</v>
      </c>
      <c r="L333" s="2">
        <v>46782352</v>
      </c>
      <c r="M333" s="7">
        <v>45728</v>
      </c>
      <c r="N333" s="7">
        <f t="shared" si="72"/>
        <v>46093</v>
      </c>
      <c r="O333" s="7" t="str">
        <f t="shared" si="70"/>
        <v>Anual</v>
      </c>
      <c r="P333" s="2" t="str">
        <f t="shared" ca="1" si="66"/>
        <v>VENCIDO</v>
      </c>
      <c r="Q333" s="6" t="s">
        <v>25</v>
      </c>
      <c r="R333" s="2"/>
    </row>
    <row r="334" spans="1:18" x14ac:dyDescent="0.25">
      <c r="A334" s="23" t="s">
        <v>523</v>
      </c>
      <c r="B334" s="2" t="s">
        <v>1514</v>
      </c>
      <c r="C334" s="3" t="s">
        <v>800</v>
      </c>
      <c r="D334" s="3" t="s">
        <v>23</v>
      </c>
      <c r="E334" s="2" t="s">
        <v>24</v>
      </c>
      <c r="F334" s="4">
        <v>1</v>
      </c>
      <c r="G334" s="8">
        <f t="shared" si="71"/>
        <v>10</v>
      </c>
      <c r="H334" s="4" t="str">
        <f t="shared" si="67"/>
        <v>Segundos</v>
      </c>
      <c r="I334" s="6">
        <v>3</v>
      </c>
      <c r="J334" s="6" t="str">
        <f t="shared" si="68"/>
        <v>Segundos</v>
      </c>
      <c r="K334" s="2" t="str">
        <f t="shared" si="69"/>
        <v>Plato de carga</v>
      </c>
      <c r="L334" s="2"/>
      <c r="M334" s="7">
        <v>45996</v>
      </c>
      <c r="N334" s="7">
        <f t="shared" si="72"/>
        <v>46086</v>
      </c>
      <c r="O334" s="7" t="str">
        <f t="shared" si="70"/>
        <v>Trimestral</v>
      </c>
      <c r="P334" s="2" t="str">
        <f t="shared" ca="1" si="66"/>
        <v>VENCIDO</v>
      </c>
      <c r="Q334" s="6" t="s">
        <v>25</v>
      </c>
      <c r="R334" s="2"/>
    </row>
    <row r="335" spans="1:18" x14ac:dyDescent="0.25">
      <c r="A335" s="23" t="s">
        <v>523</v>
      </c>
      <c r="B335" s="2" t="s">
        <v>1515</v>
      </c>
      <c r="C335" s="3" t="s">
        <v>261</v>
      </c>
      <c r="D335" s="3" t="s">
        <v>23</v>
      </c>
      <c r="E335" s="2" t="s">
        <v>24</v>
      </c>
      <c r="F335" s="4">
        <v>0</v>
      </c>
      <c r="G335" s="8">
        <f t="shared" si="71"/>
        <v>1</v>
      </c>
      <c r="H335" s="4" t="str">
        <f t="shared" si="67"/>
        <v>Ohms</v>
      </c>
      <c r="I335" s="6">
        <v>5.8999999999999997E-2</v>
      </c>
      <c r="J335" s="6" t="str">
        <f t="shared" si="68"/>
        <v>Ohms</v>
      </c>
      <c r="K335" s="2" t="str">
        <f t="shared" si="69"/>
        <v>RTG</v>
      </c>
      <c r="L335" s="2">
        <v>46782352</v>
      </c>
      <c r="M335" s="7">
        <v>45728</v>
      </c>
      <c r="N335" s="7">
        <f t="shared" si="72"/>
        <v>46093</v>
      </c>
      <c r="O335" s="7" t="str">
        <f t="shared" si="70"/>
        <v>Anual</v>
      </c>
      <c r="P335" s="2" t="str">
        <f t="shared" ca="1" si="66"/>
        <v>VENCIDO</v>
      </c>
      <c r="Q335" s="6" t="s">
        <v>25</v>
      </c>
      <c r="R335" s="2"/>
    </row>
    <row r="336" spans="1:18" x14ac:dyDescent="0.25">
      <c r="A336" s="23" t="s">
        <v>523</v>
      </c>
      <c r="B336" s="2" t="s">
        <v>1516</v>
      </c>
      <c r="C336" s="3" t="s">
        <v>747</v>
      </c>
      <c r="D336" s="3" t="s">
        <v>23</v>
      </c>
      <c r="E336" s="2" t="s">
        <v>24</v>
      </c>
      <c r="F336" s="4">
        <v>0</v>
      </c>
      <c r="G336" s="8">
        <f t="shared" si="71"/>
        <v>1</v>
      </c>
      <c r="H336" s="4" t="str">
        <f t="shared" si="67"/>
        <v>Ohms</v>
      </c>
      <c r="I336" s="6">
        <v>0.14799999999999999</v>
      </c>
      <c r="J336" s="6" t="str">
        <f t="shared" si="68"/>
        <v>Ohms</v>
      </c>
      <c r="K336" s="2" t="str">
        <f t="shared" si="69"/>
        <v>RTG</v>
      </c>
      <c r="L336" s="2">
        <v>46782352</v>
      </c>
      <c r="M336" s="7">
        <v>45728</v>
      </c>
      <c r="N336" s="7">
        <f t="shared" si="72"/>
        <v>46093</v>
      </c>
      <c r="O336" s="7" t="str">
        <f t="shared" si="70"/>
        <v>Anual</v>
      </c>
      <c r="P336" s="2" t="str">
        <f t="shared" ca="1" si="66"/>
        <v>VENCIDO</v>
      </c>
      <c r="Q336" s="6" t="s">
        <v>25</v>
      </c>
      <c r="R336" s="2"/>
    </row>
    <row r="337" spans="1:18" x14ac:dyDescent="0.25">
      <c r="A337" s="23" t="s">
        <v>523</v>
      </c>
      <c r="B337" s="2" t="s">
        <v>1517</v>
      </c>
      <c r="C337" s="3" t="s">
        <v>747</v>
      </c>
      <c r="D337" s="3" t="s">
        <v>23</v>
      </c>
      <c r="E337" s="2" t="s">
        <v>24</v>
      </c>
      <c r="F337" s="4">
        <v>0</v>
      </c>
      <c r="G337" s="8">
        <f t="shared" si="71"/>
        <v>1</v>
      </c>
      <c r="H337" s="4" t="str">
        <f t="shared" si="67"/>
        <v>Ohms</v>
      </c>
      <c r="I337" s="6">
        <v>0.16200000000000001</v>
      </c>
      <c r="J337" s="6" t="str">
        <f t="shared" si="68"/>
        <v>Ohms</v>
      </c>
      <c r="K337" s="2" t="str">
        <f t="shared" si="69"/>
        <v>RTG</v>
      </c>
      <c r="L337" s="2">
        <v>46782352</v>
      </c>
      <c r="M337" s="7">
        <v>45728</v>
      </c>
      <c r="N337" s="7">
        <f t="shared" si="72"/>
        <v>46093</v>
      </c>
      <c r="O337" s="7" t="str">
        <f t="shared" si="70"/>
        <v>Anual</v>
      </c>
      <c r="P337" s="2" t="str">
        <f t="shared" ca="1" si="66"/>
        <v>VENCIDO</v>
      </c>
      <c r="Q337" s="6" t="s">
        <v>25</v>
      </c>
      <c r="R337" s="2"/>
    </row>
    <row r="338" spans="1:18" x14ac:dyDescent="0.25">
      <c r="A338" s="23" t="s">
        <v>147</v>
      </c>
      <c r="B338" s="2" t="s">
        <v>148</v>
      </c>
      <c r="C338" s="3" t="s">
        <v>149</v>
      </c>
      <c r="D338" s="3" t="s">
        <v>23</v>
      </c>
      <c r="E338" s="2" t="s">
        <v>24</v>
      </c>
      <c r="F338" s="4">
        <v>0</v>
      </c>
      <c r="G338" s="8">
        <f t="shared" si="71"/>
        <v>10</v>
      </c>
      <c r="H338" s="4" t="str">
        <f t="shared" si="67"/>
        <v>Ohms</v>
      </c>
      <c r="I338" s="6">
        <v>1.7</v>
      </c>
      <c r="J338" s="6" t="str">
        <f t="shared" si="68"/>
        <v>Ohms</v>
      </c>
      <c r="K338" s="2" t="str">
        <f t="shared" si="69"/>
        <v>PTG</v>
      </c>
      <c r="L338" s="2"/>
      <c r="M338" s="7">
        <v>45846</v>
      </c>
      <c r="N338" s="7">
        <f t="shared" si="72"/>
        <v>46026</v>
      </c>
      <c r="O338" s="7" t="str">
        <f t="shared" si="70"/>
        <v>Semestral</v>
      </c>
      <c r="P338" s="2" t="str">
        <f t="shared" ca="1" si="66"/>
        <v>VENCIDO</v>
      </c>
      <c r="Q338" s="6" t="s">
        <v>25</v>
      </c>
      <c r="R338" s="2" t="s">
        <v>150</v>
      </c>
    </row>
    <row r="339" spans="1:18" x14ac:dyDescent="0.25">
      <c r="A339" s="23" t="s">
        <v>147</v>
      </c>
      <c r="B339" s="2" t="s">
        <v>158</v>
      </c>
      <c r="C339" s="3" t="s">
        <v>149</v>
      </c>
      <c r="D339" s="3" t="s">
        <v>23</v>
      </c>
      <c r="E339" s="2" t="s">
        <v>24</v>
      </c>
      <c r="F339" s="4">
        <v>0</v>
      </c>
      <c r="G339" s="8">
        <f t="shared" si="71"/>
        <v>10</v>
      </c>
      <c r="H339" s="4" t="str">
        <f t="shared" si="67"/>
        <v>Ohms</v>
      </c>
      <c r="I339" s="6">
        <v>0.8</v>
      </c>
      <c r="J339" s="6" t="str">
        <f t="shared" si="68"/>
        <v>Ohms</v>
      </c>
      <c r="K339" s="2" t="str">
        <f t="shared" si="69"/>
        <v>PTG</v>
      </c>
      <c r="L339" s="2"/>
      <c r="M339" s="7">
        <v>45846</v>
      </c>
      <c r="N339" s="7">
        <f t="shared" si="72"/>
        <v>46026</v>
      </c>
      <c r="O339" s="7" t="str">
        <f t="shared" si="70"/>
        <v>Semestral</v>
      </c>
      <c r="P339" s="2" t="str">
        <f t="shared" ca="1" si="66"/>
        <v>VENCIDO</v>
      </c>
      <c r="Q339" s="6" t="s">
        <v>25</v>
      </c>
      <c r="R339" s="2" t="s">
        <v>159</v>
      </c>
    </row>
    <row r="340" spans="1:18" x14ac:dyDescent="0.25">
      <c r="A340" s="23" t="s">
        <v>147</v>
      </c>
      <c r="B340" s="2" t="s">
        <v>160</v>
      </c>
      <c r="C340" s="3" t="s">
        <v>149</v>
      </c>
      <c r="D340" s="3" t="s">
        <v>23</v>
      </c>
      <c r="E340" s="2" t="s">
        <v>24</v>
      </c>
      <c r="F340" s="4">
        <v>0</v>
      </c>
      <c r="G340" s="8">
        <f t="shared" si="71"/>
        <v>10</v>
      </c>
      <c r="H340" s="4" t="str">
        <f t="shared" si="67"/>
        <v>Ohms</v>
      </c>
      <c r="I340" s="6">
        <v>0.4</v>
      </c>
      <c r="J340" s="6" t="str">
        <f t="shared" si="68"/>
        <v>Ohms</v>
      </c>
      <c r="K340" s="2" t="str">
        <f t="shared" si="69"/>
        <v>PTG</v>
      </c>
      <c r="L340" s="2"/>
      <c r="M340" s="7">
        <v>45846</v>
      </c>
      <c r="N340" s="7">
        <f t="shared" si="72"/>
        <v>46026</v>
      </c>
      <c r="O340" s="7" t="str">
        <f t="shared" si="70"/>
        <v>Semestral</v>
      </c>
      <c r="P340" s="2" t="str">
        <f t="shared" ca="1" si="66"/>
        <v>VENCIDO</v>
      </c>
      <c r="Q340" s="6" t="s">
        <v>25</v>
      </c>
      <c r="R340" s="2" t="s">
        <v>161</v>
      </c>
    </row>
    <row r="341" spans="1:18" x14ac:dyDescent="0.25">
      <c r="A341" s="23" t="s">
        <v>147</v>
      </c>
      <c r="B341" s="2" t="s">
        <v>162</v>
      </c>
      <c r="C341" s="3" t="s">
        <v>149</v>
      </c>
      <c r="D341" s="3" t="s">
        <v>23</v>
      </c>
      <c r="E341" s="2" t="s">
        <v>24</v>
      </c>
      <c r="F341" s="4">
        <v>0</v>
      </c>
      <c r="G341" s="8">
        <f t="shared" si="71"/>
        <v>10</v>
      </c>
      <c r="H341" s="4" t="str">
        <f t="shared" si="67"/>
        <v>Ohms</v>
      </c>
      <c r="I341" s="6">
        <v>1.1000000000000001</v>
      </c>
      <c r="J341" s="6" t="str">
        <f t="shared" si="68"/>
        <v>Ohms</v>
      </c>
      <c r="K341" s="2" t="str">
        <f t="shared" si="69"/>
        <v>PTG</v>
      </c>
      <c r="L341" s="2"/>
      <c r="M341" s="7">
        <v>45846</v>
      </c>
      <c r="N341" s="7">
        <f t="shared" si="72"/>
        <v>46026</v>
      </c>
      <c r="O341" s="7" t="str">
        <f t="shared" si="70"/>
        <v>Semestral</v>
      </c>
      <c r="P341" s="2" t="str">
        <f t="shared" ca="1" si="66"/>
        <v>VENCIDO</v>
      </c>
      <c r="Q341" s="6" t="s">
        <v>25</v>
      </c>
      <c r="R341" s="2" t="s">
        <v>163</v>
      </c>
    </row>
    <row r="342" spans="1:18" x14ac:dyDescent="0.25">
      <c r="A342" s="23" t="s">
        <v>677</v>
      </c>
      <c r="B342" s="2" t="s">
        <v>1518</v>
      </c>
      <c r="C342" s="3" t="s">
        <v>259</v>
      </c>
      <c r="D342" s="3" t="s">
        <v>23</v>
      </c>
      <c r="E342" s="2" t="s">
        <v>24</v>
      </c>
      <c r="F342" s="4">
        <v>0</v>
      </c>
      <c r="G342" s="8">
        <f t="shared" si="71"/>
        <v>1</v>
      </c>
      <c r="H342" s="4" t="str">
        <f t="shared" si="67"/>
        <v>Ohms</v>
      </c>
      <c r="I342" s="6">
        <v>0.8</v>
      </c>
      <c r="J342" s="6" t="str">
        <f t="shared" si="68"/>
        <v>Ohms</v>
      </c>
      <c r="K342" s="2" t="str">
        <f t="shared" si="69"/>
        <v>RTG</v>
      </c>
      <c r="L342" s="2">
        <v>42784778</v>
      </c>
      <c r="M342" s="7">
        <v>45831</v>
      </c>
      <c r="N342" s="7">
        <f t="shared" si="72"/>
        <v>46196</v>
      </c>
      <c r="O342" s="7" t="str">
        <f t="shared" ref="O342:O373" si="73">IF(C342="Ionizador", "Trimestral", IF(C342="Rack", "Anual", IF(C342="Mesa", "Anual", IF(C342="Tapete", "Semestral", IF(C342="Cautín", "Semestral", IF(C342="Silla", "Semestral", "Anual"))))))</f>
        <v>Anual</v>
      </c>
      <c r="P342" s="2" t="str">
        <f t="shared" ca="1" si="66"/>
        <v>VIGENTE</v>
      </c>
      <c r="Q342" s="6" t="s">
        <v>25</v>
      </c>
      <c r="R342" s="2"/>
    </row>
    <row r="343" spans="1:18" x14ac:dyDescent="0.25">
      <c r="A343" s="23" t="s">
        <v>677</v>
      </c>
      <c r="B343" s="2" t="s">
        <v>1519</v>
      </c>
      <c r="C343" s="3" t="s">
        <v>813</v>
      </c>
      <c r="D343" s="3" t="s">
        <v>23</v>
      </c>
      <c r="E343" s="2" t="s">
        <v>24</v>
      </c>
      <c r="F343" s="4">
        <v>0</v>
      </c>
      <c r="G343" s="8">
        <f t="shared" si="71"/>
        <v>1</v>
      </c>
      <c r="H343" s="4" t="str">
        <f t="shared" si="67"/>
        <v>Ohms</v>
      </c>
      <c r="I343" s="6">
        <v>0.9</v>
      </c>
      <c r="J343" s="6" t="str">
        <f t="shared" si="68"/>
        <v>Ohms</v>
      </c>
      <c r="K343" s="2" t="str">
        <f t="shared" si="69"/>
        <v>RTG</v>
      </c>
      <c r="L343" s="2">
        <v>42784778</v>
      </c>
      <c r="M343" s="7">
        <v>45831</v>
      </c>
      <c r="N343" s="7">
        <f t="shared" si="72"/>
        <v>46196</v>
      </c>
      <c r="O343" s="7" t="str">
        <f t="shared" si="73"/>
        <v>Anual</v>
      </c>
      <c r="P343" s="2" t="str">
        <f t="shared" ca="1" si="66"/>
        <v>VIGENTE</v>
      </c>
      <c r="Q343" s="6" t="s">
        <v>25</v>
      </c>
      <c r="R343" s="2"/>
    </row>
    <row r="344" spans="1:18" x14ac:dyDescent="0.25">
      <c r="A344" s="23" t="s">
        <v>677</v>
      </c>
      <c r="B344" s="2" t="s">
        <v>1520</v>
      </c>
      <c r="C344" s="3" t="s">
        <v>261</v>
      </c>
      <c r="D344" s="3" t="s">
        <v>23</v>
      </c>
      <c r="E344" s="2" t="s">
        <v>24</v>
      </c>
      <c r="F344" s="4">
        <v>0</v>
      </c>
      <c r="G344" s="8">
        <f t="shared" si="71"/>
        <v>1</v>
      </c>
      <c r="H344" s="4" t="str">
        <f t="shared" si="67"/>
        <v>Ohms</v>
      </c>
      <c r="I344" s="6">
        <v>0.8</v>
      </c>
      <c r="J344" s="6" t="str">
        <f t="shared" si="68"/>
        <v>Ohms</v>
      </c>
      <c r="K344" s="2" t="str">
        <f t="shared" si="69"/>
        <v>RTG</v>
      </c>
      <c r="L344" s="2">
        <v>42784778</v>
      </c>
      <c r="M344" s="7">
        <v>45831</v>
      </c>
      <c r="N344" s="7">
        <f t="shared" si="72"/>
        <v>46196</v>
      </c>
      <c r="O344" s="7" t="str">
        <f t="shared" si="73"/>
        <v>Anual</v>
      </c>
      <c r="P344" s="2" t="str">
        <f t="shared" ca="1" si="66"/>
        <v>VIGENTE</v>
      </c>
      <c r="Q344" s="6" t="s">
        <v>25</v>
      </c>
      <c r="R344" s="2"/>
    </row>
    <row r="345" spans="1:18" x14ac:dyDescent="0.25">
      <c r="A345" s="23" t="s">
        <v>677</v>
      </c>
      <c r="B345" s="2" t="s">
        <v>1521</v>
      </c>
      <c r="C345" s="3" t="s">
        <v>1455</v>
      </c>
      <c r="D345" s="3" t="s">
        <v>23</v>
      </c>
      <c r="E345" s="2" t="s">
        <v>24</v>
      </c>
      <c r="F345" s="4">
        <v>0</v>
      </c>
      <c r="G345" s="8">
        <f t="shared" si="71"/>
        <v>1</v>
      </c>
      <c r="H345" s="4" t="str">
        <f t="shared" si="67"/>
        <v>Ohms</v>
      </c>
      <c r="I345" s="6">
        <v>0.6</v>
      </c>
      <c r="J345" s="6" t="str">
        <f t="shared" si="68"/>
        <v>Ohms</v>
      </c>
      <c r="K345" s="2" t="str">
        <f t="shared" si="69"/>
        <v>RTG</v>
      </c>
      <c r="L345" s="2"/>
      <c r="M345" s="7">
        <v>45831</v>
      </c>
      <c r="N345" s="7">
        <f t="shared" si="72"/>
        <v>46196</v>
      </c>
      <c r="O345" s="7" t="str">
        <f t="shared" si="73"/>
        <v>Anual</v>
      </c>
      <c r="P345" s="2" t="str">
        <f t="shared" ca="1" si="66"/>
        <v>VIGENTE</v>
      </c>
      <c r="Q345" s="6" t="s">
        <v>25</v>
      </c>
      <c r="R345" s="2"/>
    </row>
    <row r="346" spans="1:18" x14ac:dyDescent="0.25">
      <c r="A346" s="23" t="s">
        <v>131</v>
      </c>
      <c r="B346" s="2" t="s">
        <v>1522</v>
      </c>
      <c r="C346" s="3" t="s">
        <v>267</v>
      </c>
      <c r="D346" s="3" t="s">
        <v>23</v>
      </c>
      <c r="E346" s="2" t="s">
        <v>24</v>
      </c>
      <c r="F346" s="4">
        <v>0</v>
      </c>
      <c r="G346" s="8">
        <f t="shared" si="71"/>
        <v>1</v>
      </c>
      <c r="H346" s="4" t="str">
        <f t="shared" si="67"/>
        <v>Ohms</v>
      </c>
      <c r="I346" s="6">
        <v>0.44800000000000001</v>
      </c>
      <c r="J346" s="6" t="str">
        <f t="shared" si="68"/>
        <v>Ohms</v>
      </c>
      <c r="K346" s="2" t="str">
        <f t="shared" si="69"/>
        <v>RTG</v>
      </c>
      <c r="L346" s="2"/>
      <c r="M346" s="7">
        <v>46077</v>
      </c>
      <c r="N346" s="7">
        <f t="shared" si="72"/>
        <v>46442</v>
      </c>
      <c r="O346" s="7" t="str">
        <f t="shared" si="73"/>
        <v>Anual</v>
      </c>
      <c r="P346" s="2" t="str">
        <f t="shared" ref="P346:P409" ca="1" si="74">IF(N346&lt;TODAY(),"VENCIDO",IF(N346=TODAY(),"VIGENTE",IF(N346&gt;TODAY(),"VIGENTE")))</f>
        <v>VIGENTE</v>
      </c>
      <c r="Q346" s="6" t="s">
        <v>25</v>
      </c>
      <c r="R346" s="2"/>
    </row>
    <row r="347" spans="1:18" x14ac:dyDescent="0.25">
      <c r="A347" s="23" t="s">
        <v>131</v>
      </c>
      <c r="B347" s="2" t="s">
        <v>1523</v>
      </c>
      <c r="C347" s="3" t="s">
        <v>813</v>
      </c>
      <c r="D347" s="3" t="s">
        <v>23</v>
      </c>
      <c r="E347" s="2" t="s">
        <v>24</v>
      </c>
      <c r="F347" s="4">
        <v>0</v>
      </c>
      <c r="G347" s="8">
        <f t="shared" si="71"/>
        <v>1</v>
      </c>
      <c r="H347" s="4" t="str">
        <f t="shared" si="67"/>
        <v>Ohms</v>
      </c>
      <c r="I347" s="6">
        <v>0.247</v>
      </c>
      <c r="J347" s="6" t="str">
        <f t="shared" si="68"/>
        <v>Ohms</v>
      </c>
      <c r="K347" s="2" t="str">
        <f t="shared" si="69"/>
        <v>RTG</v>
      </c>
      <c r="L347" s="2"/>
      <c r="M347" s="7">
        <v>46077</v>
      </c>
      <c r="N347" s="7">
        <f t="shared" si="72"/>
        <v>46442</v>
      </c>
      <c r="O347" s="7" t="str">
        <f t="shared" si="73"/>
        <v>Anual</v>
      </c>
      <c r="P347" s="2" t="str">
        <f t="shared" ca="1" si="74"/>
        <v>VIGENTE</v>
      </c>
      <c r="Q347" s="6" t="s">
        <v>25</v>
      </c>
      <c r="R347" s="2"/>
    </row>
    <row r="348" spans="1:18" x14ac:dyDescent="0.25">
      <c r="A348" s="23" t="s">
        <v>131</v>
      </c>
      <c r="B348" s="2" t="s">
        <v>1524</v>
      </c>
      <c r="C348" s="3" t="s">
        <v>261</v>
      </c>
      <c r="D348" s="3" t="s">
        <v>23</v>
      </c>
      <c r="E348" s="2" t="s">
        <v>24</v>
      </c>
      <c r="F348" s="4">
        <v>0</v>
      </c>
      <c r="G348" s="8">
        <f t="shared" si="71"/>
        <v>1</v>
      </c>
      <c r="H348" s="4" t="str">
        <f t="shared" si="67"/>
        <v>Ohms</v>
      </c>
      <c r="I348" s="6">
        <v>0.26900000000000002</v>
      </c>
      <c r="J348" s="6" t="str">
        <f t="shared" si="68"/>
        <v>Ohms</v>
      </c>
      <c r="K348" s="2" t="str">
        <f t="shared" si="69"/>
        <v>RTG</v>
      </c>
      <c r="L348" s="2"/>
      <c r="M348" s="7">
        <v>46077</v>
      </c>
      <c r="N348" s="7">
        <f t="shared" si="72"/>
        <v>46442</v>
      </c>
      <c r="O348" s="7" t="str">
        <f t="shared" si="73"/>
        <v>Anual</v>
      </c>
      <c r="P348" s="2" t="str">
        <f t="shared" ca="1" si="74"/>
        <v>VIGENTE</v>
      </c>
      <c r="Q348" s="6" t="s">
        <v>25</v>
      </c>
      <c r="R348" s="2"/>
    </row>
    <row r="349" spans="1:18" x14ac:dyDescent="0.25">
      <c r="A349" s="23" t="s">
        <v>131</v>
      </c>
      <c r="B349" s="2" t="s">
        <v>1525</v>
      </c>
      <c r="C349" s="3" t="s">
        <v>1455</v>
      </c>
      <c r="D349" s="3" t="s">
        <v>23</v>
      </c>
      <c r="E349" s="2" t="s">
        <v>24</v>
      </c>
      <c r="F349" s="4">
        <v>0</v>
      </c>
      <c r="G349" s="8">
        <f t="shared" si="71"/>
        <v>1</v>
      </c>
      <c r="H349" s="4" t="str">
        <f t="shared" si="67"/>
        <v>Ohms</v>
      </c>
      <c r="I349" s="6">
        <v>0.36399999999999999</v>
      </c>
      <c r="J349" s="6" t="str">
        <f t="shared" si="68"/>
        <v>Ohms</v>
      </c>
      <c r="K349" s="2" t="str">
        <f t="shared" si="69"/>
        <v>RTG</v>
      </c>
      <c r="L349" s="2"/>
      <c r="M349" s="7">
        <v>46077</v>
      </c>
      <c r="N349" s="7">
        <f t="shared" si="72"/>
        <v>46442</v>
      </c>
      <c r="O349" s="7" t="str">
        <f t="shared" si="73"/>
        <v>Anual</v>
      </c>
      <c r="P349" s="2" t="str">
        <f t="shared" ca="1" si="74"/>
        <v>VIGENTE</v>
      </c>
      <c r="Q349" s="6" t="s">
        <v>25</v>
      </c>
      <c r="R349" s="2"/>
    </row>
    <row r="350" spans="1:18" x14ac:dyDescent="0.25">
      <c r="A350" s="23" t="s">
        <v>656</v>
      </c>
      <c r="B350" s="2" t="s">
        <v>1526</v>
      </c>
      <c r="C350" s="3" t="s">
        <v>1455</v>
      </c>
      <c r="D350" s="3" t="s">
        <v>23</v>
      </c>
      <c r="E350" s="2" t="s">
        <v>24</v>
      </c>
      <c r="F350" s="4">
        <v>0</v>
      </c>
      <c r="G350" s="8">
        <f>IF(C350="Ionizador", 10, IF(C350="Mesa", 1000000000, IF(C350="Rack", 1000000000, IF(C350="Piso", 1000000000, IF(C350="Tapete", 1000000000, IF(C350="Carrito", 1000000000, IF(C350="Cautín", 10, 1)))))))</f>
        <v>1</v>
      </c>
      <c r="H350" s="4" t="str">
        <f>IF(C350="Ionizador", "Segundos", "Ohms")</f>
        <v>Ohms</v>
      </c>
      <c r="I350" s="6">
        <v>0.436</v>
      </c>
      <c r="J350" s="6" t="str">
        <f>H350</f>
        <v>Ohms</v>
      </c>
      <c r="K350" s="2" t="str">
        <f>IF(C350="Ionizador", "Plato de carga", IF(C350="Cautín", "PTG", IF(C350="ESD Tester", "PTP Deviation", "RTG")))</f>
        <v>RTG</v>
      </c>
      <c r="L350" s="2">
        <v>56422482</v>
      </c>
      <c r="M350" s="7">
        <v>46077</v>
      </c>
      <c r="N350" s="7">
        <f>IF(O350="Trimestral", M350+90, IF(O350="Semestral", M350+180, IF(O350="Mensual", M350+30, M350+365)))</f>
        <v>46442</v>
      </c>
      <c r="O350" s="7" t="str">
        <f t="shared" si="73"/>
        <v>Anual</v>
      </c>
      <c r="P350" s="2" t="str">
        <f t="shared" ca="1" si="74"/>
        <v>VIGENTE</v>
      </c>
      <c r="Q350" s="6" t="s">
        <v>25</v>
      </c>
      <c r="R350" s="2"/>
    </row>
    <row r="351" spans="1:18" x14ac:dyDescent="0.25">
      <c r="A351" s="23" t="s">
        <v>688</v>
      </c>
      <c r="B351" s="2" t="s">
        <v>1527</v>
      </c>
      <c r="C351" s="3" t="s">
        <v>259</v>
      </c>
      <c r="D351" s="3" t="s">
        <v>23</v>
      </c>
      <c r="E351" s="2" t="s">
        <v>24</v>
      </c>
      <c r="F351" s="4">
        <v>0</v>
      </c>
      <c r="G351" s="8">
        <f t="shared" si="71"/>
        <v>1</v>
      </c>
      <c r="H351" s="4" t="str">
        <f t="shared" si="67"/>
        <v>Ohms</v>
      </c>
      <c r="I351" s="6">
        <v>0.21</v>
      </c>
      <c r="J351" s="6" t="str">
        <f t="shared" si="68"/>
        <v>Ohms</v>
      </c>
      <c r="K351" s="2" t="str">
        <f t="shared" si="69"/>
        <v>RTG</v>
      </c>
      <c r="L351" s="2">
        <v>54570250</v>
      </c>
      <c r="M351" s="7">
        <v>46029</v>
      </c>
      <c r="N351" s="7">
        <f t="shared" si="72"/>
        <v>46394</v>
      </c>
      <c r="O351" s="7" t="str">
        <f t="shared" si="73"/>
        <v>Anual</v>
      </c>
      <c r="P351" s="2" t="str">
        <f t="shared" ca="1" si="74"/>
        <v>VIGENTE</v>
      </c>
      <c r="Q351" s="6" t="s">
        <v>25</v>
      </c>
      <c r="R351" s="2"/>
    </row>
    <row r="352" spans="1:18" x14ac:dyDescent="0.25">
      <c r="A352" s="23" t="s">
        <v>688</v>
      </c>
      <c r="B352" s="2" t="s">
        <v>1528</v>
      </c>
      <c r="C352" s="3" t="s">
        <v>813</v>
      </c>
      <c r="D352" s="3" t="s">
        <v>23</v>
      </c>
      <c r="E352" s="2" t="s">
        <v>24</v>
      </c>
      <c r="F352" s="4">
        <v>0</v>
      </c>
      <c r="G352" s="8">
        <f t="shared" si="71"/>
        <v>1</v>
      </c>
      <c r="H352" s="4" t="str">
        <f t="shared" si="67"/>
        <v>Ohms</v>
      </c>
      <c r="I352" s="6">
        <v>0.13100000000000001</v>
      </c>
      <c r="J352" s="6" t="str">
        <f t="shared" si="68"/>
        <v>Ohms</v>
      </c>
      <c r="K352" s="2" t="str">
        <f t="shared" si="69"/>
        <v>RTG</v>
      </c>
      <c r="L352" s="2">
        <v>54570250</v>
      </c>
      <c r="M352" s="7">
        <v>46029</v>
      </c>
      <c r="N352" s="7">
        <f t="shared" si="72"/>
        <v>46394</v>
      </c>
      <c r="O352" s="7" t="str">
        <f t="shared" si="73"/>
        <v>Anual</v>
      </c>
      <c r="P352" s="2" t="str">
        <f t="shared" ca="1" si="74"/>
        <v>VIGENTE</v>
      </c>
      <c r="Q352" s="6" t="s">
        <v>25</v>
      </c>
      <c r="R352" s="2"/>
    </row>
    <row r="353" spans="1:18" x14ac:dyDescent="0.25">
      <c r="A353" s="23" t="s">
        <v>688</v>
      </c>
      <c r="B353" s="2" t="s">
        <v>1529</v>
      </c>
      <c r="C353" s="3" t="s">
        <v>261</v>
      </c>
      <c r="D353" s="3" t="s">
        <v>23</v>
      </c>
      <c r="E353" s="2" t="s">
        <v>24</v>
      </c>
      <c r="F353" s="4">
        <v>0</v>
      </c>
      <c r="G353" s="8">
        <f t="shared" si="71"/>
        <v>1</v>
      </c>
      <c r="H353" s="4" t="str">
        <f t="shared" si="67"/>
        <v>Ohms</v>
      </c>
      <c r="I353" s="6">
        <v>0.11899999999999999</v>
      </c>
      <c r="J353" s="6" t="str">
        <f t="shared" si="68"/>
        <v>Ohms</v>
      </c>
      <c r="K353" s="2" t="str">
        <f t="shared" si="69"/>
        <v>RTG</v>
      </c>
      <c r="L353" s="2">
        <v>54570250</v>
      </c>
      <c r="M353" s="7">
        <v>46029</v>
      </c>
      <c r="N353" s="7">
        <f t="shared" si="72"/>
        <v>46394</v>
      </c>
      <c r="O353" s="7" t="str">
        <f t="shared" si="73"/>
        <v>Anual</v>
      </c>
      <c r="P353" s="2" t="str">
        <f t="shared" ca="1" si="74"/>
        <v>VIGENTE</v>
      </c>
      <c r="Q353" s="6" t="s">
        <v>25</v>
      </c>
      <c r="R353" s="2"/>
    </row>
    <row r="354" spans="1:18" x14ac:dyDescent="0.25">
      <c r="A354" s="23" t="s">
        <v>688</v>
      </c>
      <c r="B354" s="2" t="s">
        <v>1530</v>
      </c>
      <c r="C354" s="3" t="s">
        <v>1455</v>
      </c>
      <c r="D354" s="3" t="s">
        <v>23</v>
      </c>
      <c r="E354" s="2" t="s">
        <v>24</v>
      </c>
      <c r="F354" s="4">
        <v>0</v>
      </c>
      <c r="G354" s="8">
        <f t="shared" si="71"/>
        <v>1</v>
      </c>
      <c r="H354" s="4" t="str">
        <f t="shared" si="67"/>
        <v>Ohms</v>
      </c>
      <c r="I354" s="6">
        <v>0.24</v>
      </c>
      <c r="J354" s="6" t="str">
        <f t="shared" si="68"/>
        <v>Ohms</v>
      </c>
      <c r="K354" s="2" t="str">
        <f t="shared" si="69"/>
        <v>RTG</v>
      </c>
      <c r="L354" s="2">
        <v>54570250</v>
      </c>
      <c r="M354" s="7">
        <v>46029</v>
      </c>
      <c r="N354" s="7">
        <f t="shared" si="72"/>
        <v>46394</v>
      </c>
      <c r="O354" s="7" t="str">
        <f t="shared" si="73"/>
        <v>Anual</v>
      </c>
      <c r="P354" s="2" t="str">
        <f t="shared" ca="1" si="74"/>
        <v>VIGENTE</v>
      </c>
      <c r="Q354" s="6" t="s">
        <v>25</v>
      </c>
      <c r="R354" s="2"/>
    </row>
    <row r="355" spans="1:18" x14ac:dyDescent="0.25">
      <c r="A355" s="23" t="s">
        <v>688</v>
      </c>
      <c r="B355" s="2" t="s">
        <v>1531</v>
      </c>
      <c r="C355" s="3" t="s">
        <v>267</v>
      </c>
      <c r="D355" s="3" t="s">
        <v>23</v>
      </c>
      <c r="E355" s="2" t="s">
        <v>24</v>
      </c>
      <c r="F355" s="4">
        <v>0</v>
      </c>
      <c r="G355" s="8">
        <f t="shared" si="71"/>
        <v>1</v>
      </c>
      <c r="H355" s="4" t="str">
        <f t="shared" si="67"/>
        <v>Ohms</v>
      </c>
      <c r="I355" s="6">
        <v>0.25</v>
      </c>
      <c r="J355" s="6" t="str">
        <f t="shared" si="68"/>
        <v>Ohms</v>
      </c>
      <c r="K355" s="2" t="str">
        <f t="shared" si="69"/>
        <v>RTG</v>
      </c>
      <c r="L355" s="2">
        <v>54570250</v>
      </c>
      <c r="M355" s="7">
        <v>46029</v>
      </c>
      <c r="N355" s="7">
        <f t="shared" si="72"/>
        <v>46394</v>
      </c>
      <c r="O355" s="7" t="str">
        <f t="shared" si="73"/>
        <v>Anual</v>
      </c>
      <c r="P355" s="2" t="str">
        <f t="shared" ca="1" si="74"/>
        <v>VIGENTE</v>
      </c>
      <c r="Q355" s="6" t="s">
        <v>25</v>
      </c>
      <c r="R355" s="2"/>
    </row>
    <row r="356" spans="1:18" x14ac:dyDescent="0.25">
      <c r="A356" s="23" t="s">
        <v>436</v>
      </c>
      <c r="B356" s="2" t="s">
        <v>1532</v>
      </c>
      <c r="C356" s="3" t="s">
        <v>259</v>
      </c>
      <c r="D356" s="3" t="s">
        <v>23</v>
      </c>
      <c r="E356" s="2" t="s">
        <v>24</v>
      </c>
      <c r="F356" s="4">
        <v>0</v>
      </c>
      <c r="G356" s="8">
        <f t="shared" si="71"/>
        <v>1</v>
      </c>
      <c r="H356" s="4" t="str">
        <f t="shared" si="67"/>
        <v>Ohms</v>
      </c>
      <c r="I356" s="6">
        <v>0.19800000000000001</v>
      </c>
      <c r="J356" s="6" t="str">
        <f t="shared" si="68"/>
        <v>Ohms</v>
      </c>
      <c r="K356" s="2" t="str">
        <f t="shared" si="69"/>
        <v>RTG</v>
      </c>
      <c r="L356" s="2">
        <v>54533066</v>
      </c>
      <c r="M356" s="7">
        <v>46029</v>
      </c>
      <c r="N356" s="7">
        <f t="shared" si="72"/>
        <v>46394</v>
      </c>
      <c r="O356" s="7" t="str">
        <f t="shared" si="73"/>
        <v>Anual</v>
      </c>
      <c r="P356" s="2" t="str">
        <f t="shared" ca="1" si="74"/>
        <v>VIGENTE</v>
      </c>
      <c r="Q356" s="6" t="s">
        <v>25</v>
      </c>
      <c r="R356" s="2"/>
    </row>
    <row r="357" spans="1:18" x14ac:dyDescent="0.25">
      <c r="A357" s="23" t="s">
        <v>436</v>
      </c>
      <c r="B357" s="2" t="s">
        <v>1533</v>
      </c>
      <c r="C357" s="3" t="s">
        <v>813</v>
      </c>
      <c r="D357" s="3" t="s">
        <v>23</v>
      </c>
      <c r="E357" s="2" t="s">
        <v>24</v>
      </c>
      <c r="F357" s="4">
        <v>0</v>
      </c>
      <c r="G357" s="8">
        <f t="shared" si="71"/>
        <v>1</v>
      </c>
      <c r="H357" s="4" t="str">
        <f t="shared" si="67"/>
        <v>Ohms</v>
      </c>
      <c r="I357" s="6">
        <v>0.312</v>
      </c>
      <c r="J357" s="6" t="str">
        <f t="shared" si="68"/>
        <v>Ohms</v>
      </c>
      <c r="K357" s="2" t="str">
        <f t="shared" si="69"/>
        <v>RTG</v>
      </c>
      <c r="L357" s="2">
        <v>54533066</v>
      </c>
      <c r="M357" s="7">
        <v>46029</v>
      </c>
      <c r="N357" s="7">
        <f t="shared" si="72"/>
        <v>46394</v>
      </c>
      <c r="O357" s="7" t="str">
        <f t="shared" si="73"/>
        <v>Anual</v>
      </c>
      <c r="P357" s="2" t="str">
        <f t="shared" ca="1" si="74"/>
        <v>VIGENTE</v>
      </c>
      <c r="Q357" s="6" t="s">
        <v>25</v>
      </c>
      <c r="R357" s="2"/>
    </row>
    <row r="358" spans="1:18" x14ac:dyDescent="0.25">
      <c r="A358" s="23" t="s">
        <v>436</v>
      </c>
      <c r="B358" s="2" t="s">
        <v>1534</v>
      </c>
      <c r="C358" s="3" t="s">
        <v>261</v>
      </c>
      <c r="D358" s="3" t="s">
        <v>23</v>
      </c>
      <c r="E358" s="2" t="s">
        <v>24</v>
      </c>
      <c r="F358" s="4">
        <v>0</v>
      </c>
      <c r="G358" s="8">
        <f t="shared" si="71"/>
        <v>1</v>
      </c>
      <c r="H358" s="4" t="str">
        <f t="shared" si="67"/>
        <v>Ohms</v>
      </c>
      <c r="I358" s="6">
        <v>0.182</v>
      </c>
      <c r="J358" s="6" t="str">
        <f t="shared" si="68"/>
        <v>Ohms</v>
      </c>
      <c r="K358" s="2" t="str">
        <f t="shared" si="69"/>
        <v>RTG</v>
      </c>
      <c r="L358" s="2">
        <v>54533066</v>
      </c>
      <c r="M358" s="7">
        <v>46029</v>
      </c>
      <c r="N358" s="7">
        <f t="shared" si="72"/>
        <v>46394</v>
      </c>
      <c r="O358" s="7" t="str">
        <f t="shared" si="73"/>
        <v>Anual</v>
      </c>
      <c r="P358" s="2" t="str">
        <f t="shared" ca="1" si="74"/>
        <v>VIGENTE</v>
      </c>
      <c r="Q358" s="6" t="s">
        <v>25</v>
      </c>
      <c r="R358" s="2"/>
    </row>
    <row r="359" spans="1:18" x14ac:dyDescent="0.25">
      <c r="A359" s="23" t="s">
        <v>436</v>
      </c>
      <c r="B359" s="2" t="s">
        <v>1535</v>
      </c>
      <c r="C359" s="3" t="s">
        <v>1455</v>
      </c>
      <c r="D359" s="3" t="s">
        <v>23</v>
      </c>
      <c r="E359" s="2" t="s">
        <v>24</v>
      </c>
      <c r="F359" s="4">
        <v>0</v>
      </c>
      <c r="G359" s="8">
        <f t="shared" si="71"/>
        <v>1</v>
      </c>
      <c r="H359" s="4" t="str">
        <f t="shared" si="67"/>
        <v>Ohms</v>
      </c>
      <c r="I359" s="6">
        <v>0.16500000000000001</v>
      </c>
      <c r="J359" s="6" t="str">
        <f t="shared" si="68"/>
        <v>Ohms</v>
      </c>
      <c r="K359" s="2" t="str">
        <f t="shared" si="69"/>
        <v>RTG</v>
      </c>
      <c r="L359" s="2">
        <v>54533066</v>
      </c>
      <c r="M359" s="7">
        <v>46029</v>
      </c>
      <c r="N359" s="7">
        <f t="shared" si="72"/>
        <v>46394</v>
      </c>
      <c r="O359" s="7" t="str">
        <f t="shared" si="73"/>
        <v>Anual</v>
      </c>
      <c r="P359" s="2" t="str">
        <f t="shared" ca="1" si="74"/>
        <v>VIGENTE</v>
      </c>
      <c r="Q359" s="6" t="s">
        <v>25</v>
      </c>
      <c r="R359" s="2"/>
    </row>
    <row r="360" spans="1:18" x14ac:dyDescent="0.25">
      <c r="A360" s="23" t="s">
        <v>436</v>
      </c>
      <c r="B360" s="2" t="s">
        <v>1536</v>
      </c>
      <c r="C360" s="3" t="s">
        <v>267</v>
      </c>
      <c r="D360" s="3" t="s">
        <v>23</v>
      </c>
      <c r="E360" s="2" t="s">
        <v>24</v>
      </c>
      <c r="F360" s="4">
        <v>0</v>
      </c>
      <c r="G360" s="8">
        <f t="shared" si="71"/>
        <v>1</v>
      </c>
      <c r="H360" s="4" t="str">
        <f t="shared" si="67"/>
        <v>Ohms</v>
      </c>
      <c r="I360" s="6">
        <v>0.18</v>
      </c>
      <c r="J360" s="6" t="str">
        <f t="shared" si="68"/>
        <v>Ohms</v>
      </c>
      <c r="K360" s="2" t="str">
        <f t="shared" si="69"/>
        <v>RTG</v>
      </c>
      <c r="L360" s="2">
        <v>54533066</v>
      </c>
      <c r="M360" s="7">
        <v>46029</v>
      </c>
      <c r="N360" s="7">
        <f t="shared" si="72"/>
        <v>46394</v>
      </c>
      <c r="O360" s="7" t="str">
        <f t="shared" si="73"/>
        <v>Anual</v>
      </c>
      <c r="P360" s="2" t="str">
        <f t="shared" ca="1" si="74"/>
        <v>VIGENTE</v>
      </c>
      <c r="Q360" s="6" t="s">
        <v>25</v>
      </c>
      <c r="R360" s="2"/>
    </row>
    <row r="361" spans="1:18" x14ac:dyDescent="0.25">
      <c r="A361" s="23" t="s">
        <v>1537</v>
      </c>
      <c r="B361" s="2" t="s">
        <v>1538</v>
      </c>
      <c r="C361" s="3" t="s">
        <v>259</v>
      </c>
      <c r="D361" s="3" t="s">
        <v>23</v>
      </c>
      <c r="E361" s="2" t="s">
        <v>24</v>
      </c>
      <c r="F361" s="4">
        <v>0</v>
      </c>
      <c r="G361" s="8">
        <f t="shared" si="71"/>
        <v>1</v>
      </c>
      <c r="H361" s="4" t="str">
        <f t="shared" si="67"/>
        <v>Ohms</v>
      </c>
      <c r="I361" s="6">
        <v>0.251</v>
      </c>
      <c r="J361" s="6" t="str">
        <f t="shared" si="68"/>
        <v>Ohms</v>
      </c>
      <c r="K361" s="2" t="str">
        <f t="shared" si="69"/>
        <v>RTG</v>
      </c>
      <c r="L361" s="2">
        <v>51603129</v>
      </c>
      <c r="M361" s="7">
        <v>45912</v>
      </c>
      <c r="N361" s="7">
        <f t="shared" si="72"/>
        <v>46277</v>
      </c>
      <c r="O361" s="7" t="str">
        <f t="shared" si="73"/>
        <v>Anual</v>
      </c>
      <c r="P361" s="2" t="str">
        <f t="shared" ca="1" si="74"/>
        <v>VIGENTE</v>
      </c>
      <c r="Q361" s="6" t="s">
        <v>25</v>
      </c>
      <c r="R361" s="2"/>
    </row>
    <row r="362" spans="1:18" x14ac:dyDescent="0.25">
      <c r="A362" s="23" t="s">
        <v>1537</v>
      </c>
      <c r="B362" s="2" t="s">
        <v>1539</v>
      </c>
      <c r="C362" s="3" t="s">
        <v>813</v>
      </c>
      <c r="D362" s="3" t="s">
        <v>23</v>
      </c>
      <c r="E362" s="2" t="s">
        <v>24</v>
      </c>
      <c r="F362" s="4">
        <v>0</v>
      </c>
      <c r="G362" s="8">
        <f t="shared" si="71"/>
        <v>1</v>
      </c>
      <c r="H362" s="4" t="str">
        <f t="shared" si="67"/>
        <v>Ohms</v>
      </c>
      <c r="I362" s="6">
        <v>0.8</v>
      </c>
      <c r="J362" s="6" t="str">
        <f t="shared" si="68"/>
        <v>Ohms</v>
      </c>
      <c r="K362" s="2" t="str">
        <f t="shared" si="69"/>
        <v>RTG</v>
      </c>
      <c r="L362" s="2">
        <v>51603129</v>
      </c>
      <c r="M362" s="7">
        <v>45912</v>
      </c>
      <c r="N362" s="7">
        <f t="shared" si="72"/>
        <v>46277</v>
      </c>
      <c r="O362" s="7" t="str">
        <f t="shared" si="73"/>
        <v>Anual</v>
      </c>
      <c r="P362" s="2" t="str">
        <f t="shared" ca="1" si="74"/>
        <v>VIGENTE</v>
      </c>
      <c r="Q362" s="6" t="s">
        <v>25</v>
      </c>
      <c r="R362" s="2"/>
    </row>
    <row r="363" spans="1:18" x14ac:dyDescent="0.25">
      <c r="A363" s="23" t="s">
        <v>1537</v>
      </c>
      <c r="B363" s="2" t="s">
        <v>1540</v>
      </c>
      <c r="C363" s="3" t="s">
        <v>261</v>
      </c>
      <c r="D363" s="3" t="s">
        <v>23</v>
      </c>
      <c r="E363" s="2" t="s">
        <v>24</v>
      </c>
      <c r="F363" s="4">
        <v>0</v>
      </c>
      <c r="G363" s="8">
        <f t="shared" si="71"/>
        <v>1</v>
      </c>
      <c r="H363" s="4" t="str">
        <f t="shared" si="67"/>
        <v>Ohms</v>
      </c>
      <c r="I363" s="6">
        <v>0.48499999999999999</v>
      </c>
      <c r="J363" s="6" t="str">
        <f t="shared" si="68"/>
        <v>Ohms</v>
      </c>
      <c r="K363" s="2" t="str">
        <f t="shared" si="69"/>
        <v>RTG</v>
      </c>
      <c r="L363" s="2">
        <v>51603129</v>
      </c>
      <c r="M363" s="7">
        <v>45912</v>
      </c>
      <c r="N363" s="7">
        <f t="shared" si="72"/>
        <v>46277</v>
      </c>
      <c r="O363" s="7" t="str">
        <f t="shared" si="73"/>
        <v>Anual</v>
      </c>
      <c r="P363" s="2" t="str">
        <f t="shared" ca="1" si="74"/>
        <v>VIGENTE</v>
      </c>
      <c r="Q363" s="6" t="s">
        <v>25</v>
      </c>
      <c r="R363" s="2"/>
    </row>
    <row r="364" spans="1:18" x14ac:dyDescent="0.25">
      <c r="A364" s="23" t="s">
        <v>1537</v>
      </c>
      <c r="B364" s="2" t="s">
        <v>1541</v>
      </c>
      <c r="C364" s="3" t="s">
        <v>1455</v>
      </c>
      <c r="D364" s="3" t="s">
        <v>23</v>
      </c>
      <c r="E364" s="2" t="s">
        <v>24</v>
      </c>
      <c r="F364" s="4">
        <v>0</v>
      </c>
      <c r="G364" s="8">
        <f t="shared" si="71"/>
        <v>1</v>
      </c>
      <c r="H364" s="4" t="str">
        <f t="shared" ref="H364:H444" si="75">IF(C364="Ionizador", "Segundos", "Ohms")</f>
        <v>Ohms</v>
      </c>
      <c r="I364" s="6">
        <v>0.23200000000000001</v>
      </c>
      <c r="J364" s="6" t="str">
        <f t="shared" ref="J364:J444" si="76">H364</f>
        <v>Ohms</v>
      </c>
      <c r="K364" s="2" t="str">
        <f t="shared" ref="K364:K444" si="77">IF(C364="Ionizador", "Plato de carga", IF(C364="Cautín", "PTG", IF(C364="ESD Tester", "PTP Deviation", "RTG")))</f>
        <v>RTG</v>
      </c>
      <c r="L364" s="2">
        <v>51603129</v>
      </c>
      <c r="M364" s="7">
        <v>45912</v>
      </c>
      <c r="N364" s="7">
        <f t="shared" si="72"/>
        <v>46277</v>
      </c>
      <c r="O364" s="7" t="str">
        <f t="shared" si="73"/>
        <v>Anual</v>
      </c>
      <c r="P364" s="2" t="str">
        <f t="shared" ca="1" si="74"/>
        <v>VIGENTE</v>
      </c>
      <c r="Q364" s="6" t="s">
        <v>25</v>
      </c>
      <c r="R364" s="2"/>
    </row>
    <row r="365" spans="1:18" x14ac:dyDescent="0.25">
      <c r="A365" s="23" t="s">
        <v>1537</v>
      </c>
      <c r="B365" s="2" t="s">
        <v>1542</v>
      </c>
      <c r="C365" s="3" t="s">
        <v>267</v>
      </c>
      <c r="D365" s="3" t="s">
        <v>23</v>
      </c>
      <c r="E365" s="2" t="s">
        <v>24</v>
      </c>
      <c r="F365" s="4">
        <v>0</v>
      </c>
      <c r="G365" s="8">
        <f t="shared" si="71"/>
        <v>1</v>
      </c>
      <c r="H365" s="4" t="str">
        <f t="shared" si="75"/>
        <v>Ohms</v>
      </c>
      <c r="I365" s="6">
        <v>0.40500000000000003</v>
      </c>
      <c r="J365" s="6" t="str">
        <f t="shared" si="76"/>
        <v>Ohms</v>
      </c>
      <c r="K365" s="2" t="str">
        <f t="shared" si="77"/>
        <v>RTG</v>
      </c>
      <c r="L365" s="2">
        <v>51603129</v>
      </c>
      <c r="M365" s="7">
        <v>45912</v>
      </c>
      <c r="N365" s="7">
        <f t="shared" si="72"/>
        <v>46277</v>
      </c>
      <c r="O365" s="7" t="str">
        <f t="shared" si="73"/>
        <v>Anual</v>
      </c>
      <c r="P365" s="2" t="str">
        <f t="shared" ca="1" si="74"/>
        <v>VIGENTE</v>
      </c>
      <c r="Q365" s="6" t="s">
        <v>25</v>
      </c>
      <c r="R365" s="2"/>
    </row>
    <row r="366" spans="1:18" x14ac:dyDescent="0.25">
      <c r="A366" s="23" t="s">
        <v>134</v>
      </c>
      <c r="B366" s="2" t="s">
        <v>1543</v>
      </c>
      <c r="C366" s="3" t="s">
        <v>267</v>
      </c>
      <c r="D366" s="3" t="s">
        <v>23</v>
      </c>
      <c r="E366" s="2" t="s">
        <v>24</v>
      </c>
      <c r="F366" s="4">
        <v>0</v>
      </c>
      <c r="G366" s="8">
        <f t="shared" si="71"/>
        <v>1</v>
      </c>
      <c r="H366" s="4" t="str">
        <f t="shared" si="75"/>
        <v>Ohms</v>
      </c>
      <c r="I366" s="14">
        <v>13800000</v>
      </c>
      <c r="J366" s="6" t="str">
        <f t="shared" si="76"/>
        <v>Ohms</v>
      </c>
      <c r="K366" s="2" t="str">
        <f t="shared" si="77"/>
        <v>RTG</v>
      </c>
      <c r="L366" s="2">
        <v>42785369</v>
      </c>
      <c r="M366" s="7">
        <v>45834</v>
      </c>
      <c r="N366" s="7">
        <f t="shared" si="72"/>
        <v>46199</v>
      </c>
      <c r="O366" s="7" t="str">
        <f t="shared" si="73"/>
        <v>Anual</v>
      </c>
      <c r="P366" s="2" t="str">
        <f t="shared" ca="1" si="74"/>
        <v>VIGENTE</v>
      </c>
      <c r="Q366" s="6" t="s">
        <v>25</v>
      </c>
      <c r="R366" s="2"/>
    </row>
    <row r="367" spans="1:18" x14ac:dyDescent="0.25">
      <c r="A367" s="23" t="s">
        <v>134</v>
      </c>
      <c r="B367" s="2" t="s">
        <v>1544</v>
      </c>
      <c r="C367" s="3" t="s">
        <v>813</v>
      </c>
      <c r="D367" s="3" t="s">
        <v>23</v>
      </c>
      <c r="E367" s="2" t="s">
        <v>24</v>
      </c>
      <c r="F367" s="4">
        <v>0</v>
      </c>
      <c r="G367" s="8">
        <f t="shared" si="71"/>
        <v>1</v>
      </c>
      <c r="H367" s="4" t="str">
        <f t="shared" si="75"/>
        <v>Ohms</v>
      </c>
      <c r="I367" s="6">
        <v>0.97799999999999998</v>
      </c>
      <c r="J367" s="6" t="str">
        <f t="shared" si="76"/>
        <v>Ohms</v>
      </c>
      <c r="K367" s="2" t="str">
        <f t="shared" si="77"/>
        <v>RTG</v>
      </c>
      <c r="L367" s="2">
        <v>42785369</v>
      </c>
      <c r="M367" s="7">
        <v>45834</v>
      </c>
      <c r="N367" s="7">
        <f t="shared" si="72"/>
        <v>46199</v>
      </c>
      <c r="O367" s="7" t="str">
        <f t="shared" si="73"/>
        <v>Anual</v>
      </c>
      <c r="P367" s="2" t="str">
        <f t="shared" ca="1" si="74"/>
        <v>VIGENTE</v>
      </c>
      <c r="Q367" s="6" t="s">
        <v>25</v>
      </c>
      <c r="R367" s="2"/>
    </row>
    <row r="368" spans="1:18" x14ac:dyDescent="0.25">
      <c r="A368" s="23" t="s">
        <v>134</v>
      </c>
      <c r="B368" s="2" t="s">
        <v>1545</v>
      </c>
      <c r="C368" s="3" t="s">
        <v>261</v>
      </c>
      <c r="D368" s="3" t="s">
        <v>23</v>
      </c>
      <c r="E368" s="2" t="s">
        <v>24</v>
      </c>
      <c r="F368" s="4">
        <v>0</v>
      </c>
      <c r="G368" s="8">
        <f t="shared" si="71"/>
        <v>1</v>
      </c>
      <c r="H368" s="4" t="str">
        <f t="shared" si="75"/>
        <v>Ohms</v>
      </c>
      <c r="I368" s="6">
        <v>0.96199999999999997</v>
      </c>
      <c r="J368" s="6" t="str">
        <f t="shared" si="76"/>
        <v>Ohms</v>
      </c>
      <c r="K368" s="2" t="str">
        <f t="shared" si="77"/>
        <v>RTG</v>
      </c>
      <c r="L368" s="2">
        <v>42785369</v>
      </c>
      <c r="M368" s="7">
        <v>45834</v>
      </c>
      <c r="N368" s="7">
        <f t="shared" si="72"/>
        <v>46199</v>
      </c>
      <c r="O368" s="7" t="str">
        <f t="shared" si="73"/>
        <v>Anual</v>
      </c>
      <c r="P368" s="2" t="str">
        <f t="shared" ca="1" si="74"/>
        <v>VIGENTE</v>
      </c>
      <c r="Q368" s="6" t="s">
        <v>25</v>
      </c>
      <c r="R368" s="2"/>
    </row>
    <row r="369" spans="1:18" x14ac:dyDescent="0.25">
      <c r="A369" s="23" t="s">
        <v>134</v>
      </c>
      <c r="B369" s="2" t="s">
        <v>1546</v>
      </c>
      <c r="C369" s="3" t="s">
        <v>1455</v>
      </c>
      <c r="D369" s="3" t="s">
        <v>23</v>
      </c>
      <c r="E369" s="2" t="s">
        <v>24</v>
      </c>
      <c r="F369" s="4">
        <v>0</v>
      </c>
      <c r="G369" s="8">
        <f t="shared" si="71"/>
        <v>1</v>
      </c>
      <c r="H369" s="4" t="str">
        <f t="shared" si="75"/>
        <v>Ohms</v>
      </c>
      <c r="I369" s="6">
        <v>0.23100000000000001</v>
      </c>
      <c r="J369" s="6" t="str">
        <f t="shared" si="76"/>
        <v>Ohms</v>
      </c>
      <c r="K369" s="2" t="str">
        <f t="shared" si="77"/>
        <v>RTG</v>
      </c>
      <c r="L369" s="2">
        <v>42785369</v>
      </c>
      <c r="M369" s="7">
        <v>45834</v>
      </c>
      <c r="N369" s="7">
        <f t="shared" si="72"/>
        <v>46199</v>
      </c>
      <c r="O369" s="7" t="str">
        <f t="shared" si="73"/>
        <v>Anual</v>
      </c>
      <c r="P369" s="2" t="str">
        <f t="shared" ca="1" si="74"/>
        <v>VIGENTE</v>
      </c>
      <c r="Q369" s="6" t="s">
        <v>25</v>
      </c>
      <c r="R369" s="2"/>
    </row>
    <row r="370" spans="1:18" x14ac:dyDescent="0.25">
      <c r="A370" s="23" t="s">
        <v>136</v>
      </c>
      <c r="B370" s="2" t="s">
        <v>1547</v>
      </c>
      <c r="C370" s="3" t="s">
        <v>1548</v>
      </c>
      <c r="D370" s="3" t="s">
        <v>23</v>
      </c>
      <c r="E370" s="2" t="s">
        <v>24</v>
      </c>
      <c r="F370" s="4">
        <v>0</v>
      </c>
      <c r="G370" s="8">
        <f t="shared" si="71"/>
        <v>1</v>
      </c>
      <c r="H370" s="4" t="str">
        <f t="shared" si="75"/>
        <v>Ohms</v>
      </c>
      <c r="I370" s="14">
        <v>75200000</v>
      </c>
      <c r="J370" s="6" t="str">
        <f t="shared" si="76"/>
        <v>Ohms</v>
      </c>
      <c r="K370" s="2" t="str">
        <f t="shared" si="77"/>
        <v>RTG</v>
      </c>
      <c r="L370" s="2">
        <v>42785382</v>
      </c>
      <c r="M370" s="7">
        <v>46201</v>
      </c>
      <c r="N370" s="7">
        <f t="shared" si="72"/>
        <v>46566</v>
      </c>
      <c r="O370" s="7" t="str">
        <f t="shared" si="73"/>
        <v>Anual</v>
      </c>
      <c r="P370" s="2" t="str">
        <f t="shared" ca="1" si="74"/>
        <v>VIGENTE</v>
      </c>
      <c r="Q370" s="6" t="s">
        <v>25</v>
      </c>
      <c r="R370" s="2"/>
    </row>
    <row r="371" spans="1:18" x14ac:dyDescent="0.25">
      <c r="A371" s="23" t="s">
        <v>136</v>
      </c>
      <c r="B371" s="2" t="s">
        <v>1549</v>
      </c>
      <c r="C371" s="3" t="s">
        <v>813</v>
      </c>
      <c r="D371" s="3" t="s">
        <v>23</v>
      </c>
      <c r="E371" s="2" t="s">
        <v>24</v>
      </c>
      <c r="F371" s="4">
        <v>0</v>
      </c>
      <c r="G371" s="8">
        <f t="shared" si="71"/>
        <v>1</v>
      </c>
      <c r="H371" s="4" t="str">
        <f t="shared" si="75"/>
        <v>Ohms</v>
      </c>
      <c r="I371" s="6">
        <v>0.55000000000000004</v>
      </c>
      <c r="J371" s="6" t="str">
        <f t="shared" si="76"/>
        <v>Ohms</v>
      </c>
      <c r="K371" s="2" t="str">
        <f t="shared" si="77"/>
        <v>RTG</v>
      </c>
      <c r="L371" s="2">
        <v>42785382</v>
      </c>
      <c r="M371" s="7">
        <v>46201</v>
      </c>
      <c r="N371" s="7">
        <f t="shared" si="72"/>
        <v>46566</v>
      </c>
      <c r="O371" s="7" t="str">
        <f t="shared" si="73"/>
        <v>Anual</v>
      </c>
      <c r="P371" s="2" t="str">
        <f t="shared" ca="1" si="74"/>
        <v>VIGENTE</v>
      </c>
      <c r="Q371" s="6" t="s">
        <v>25</v>
      </c>
      <c r="R371" s="2"/>
    </row>
    <row r="372" spans="1:18" x14ac:dyDescent="0.25">
      <c r="A372" s="23" t="s">
        <v>136</v>
      </c>
      <c r="B372" s="2" t="s">
        <v>1550</v>
      </c>
      <c r="C372" s="3" t="s">
        <v>261</v>
      </c>
      <c r="D372" s="3" t="s">
        <v>23</v>
      </c>
      <c r="E372" s="2" t="s">
        <v>24</v>
      </c>
      <c r="F372" s="4">
        <v>0</v>
      </c>
      <c r="G372" s="8">
        <f t="shared" si="71"/>
        <v>1</v>
      </c>
      <c r="H372" s="4" t="str">
        <f t="shared" si="75"/>
        <v>Ohms</v>
      </c>
      <c r="I372" s="6">
        <v>0.23799999999999999</v>
      </c>
      <c r="J372" s="6" t="str">
        <f t="shared" si="76"/>
        <v>Ohms</v>
      </c>
      <c r="K372" s="2" t="str">
        <f t="shared" si="77"/>
        <v>RTG</v>
      </c>
      <c r="L372" s="2">
        <v>42785382</v>
      </c>
      <c r="M372" s="7">
        <v>46201</v>
      </c>
      <c r="N372" s="7">
        <f t="shared" si="72"/>
        <v>46566</v>
      </c>
      <c r="O372" s="7" t="str">
        <f t="shared" si="73"/>
        <v>Anual</v>
      </c>
      <c r="P372" s="2" t="str">
        <f t="shared" ca="1" si="74"/>
        <v>VIGENTE</v>
      </c>
      <c r="Q372" s="6" t="s">
        <v>25</v>
      </c>
      <c r="R372" s="2"/>
    </row>
    <row r="373" spans="1:18" x14ac:dyDescent="0.25">
      <c r="A373" s="23" t="s">
        <v>136</v>
      </c>
      <c r="B373" s="2" t="s">
        <v>1551</v>
      </c>
      <c r="C373" s="3" t="s">
        <v>1455</v>
      </c>
      <c r="D373" s="3" t="s">
        <v>23</v>
      </c>
      <c r="E373" s="2" t="s">
        <v>24</v>
      </c>
      <c r="F373" s="4">
        <v>0</v>
      </c>
      <c r="G373" s="8">
        <f t="shared" si="71"/>
        <v>1</v>
      </c>
      <c r="H373" s="4" t="str">
        <f t="shared" si="75"/>
        <v>Ohms</v>
      </c>
      <c r="I373" s="6">
        <v>0.14099999999999999</v>
      </c>
      <c r="J373" s="6" t="str">
        <f t="shared" si="76"/>
        <v>Ohms</v>
      </c>
      <c r="K373" s="2" t="str">
        <f t="shared" si="77"/>
        <v>RTG</v>
      </c>
      <c r="L373" s="2">
        <v>42785382</v>
      </c>
      <c r="M373" s="7">
        <v>46201</v>
      </c>
      <c r="N373" s="7">
        <f t="shared" si="72"/>
        <v>46566</v>
      </c>
      <c r="O373" s="7" t="str">
        <f t="shared" si="73"/>
        <v>Anual</v>
      </c>
      <c r="P373" s="2" t="str">
        <f t="shared" ca="1" si="74"/>
        <v>VIGENTE</v>
      </c>
      <c r="Q373" s="6" t="s">
        <v>25</v>
      </c>
      <c r="R373" s="2"/>
    </row>
    <row r="374" spans="1:18" x14ac:dyDescent="0.25">
      <c r="A374" s="23" t="s">
        <v>1552</v>
      </c>
      <c r="B374" s="2" t="s">
        <v>1553</v>
      </c>
      <c r="C374" s="3" t="s">
        <v>800</v>
      </c>
      <c r="D374" s="3" t="s">
        <v>23</v>
      </c>
      <c r="E374" s="2" t="s">
        <v>829</v>
      </c>
      <c r="F374" s="4">
        <v>0</v>
      </c>
      <c r="G374" s="8">
        <f t="shared" si="71"/>
        <v>10</v>
      </c>
      <c r="H374" s="4" t="str">
        <f t="shared" si="75"/>
        <v>Segundos</v>
      </c>
      <c r="I374" s="6">
        <v>2</v>
      </c>
      <c r="J374" s="6" t="str">
        <f t="shared" si="76"/>
        <v>Segundos</v>
      </c>
      <c r="K374" s="2" t="str">
        <f t="shared" si="77"/>
        <v>Plato de carga</v>
      </c>
      <c r="L374" s="2"/>
      <c r="M374" s="7">
        <v>46006</v>
      </c>
      <c r="N374" s="7">
        <f t="shared" si="72"/>
        <v>46096</v>
      </c>
      <c r="O374" s="7" t="str">
        <f t="shared" ref="O374:O444" si="78">IF(C374="Ionizador", "Trimestral", IF(C374="Rack", "Semestral", IF(C374="Mesa", "Semestral", IF(C374="Tapete", "Semestral", IF(C374="Cautín", "Semestral", IF(C374="Silla", "Semestral", "Anual"))))))</f>
        <v>Trimestral</v>
      </c>
      <c r="P374" s="2" t="str">
        <f t="shared" ca="1" si="74"/>
        <v>VENCIDO</v>
      </c>
      <c r="Q374" s="6" t="s">
        <v>25</v>
      </c>
      <c r="R374" s="2"/>
    </row>
    <row r="375" spans="1:18" x14ac:dyDescent="0.25">
      <c r="A375" s="23" t="s">
        <v>1554</v>
      </c>
      <c r="B375" s="2" t="s">
        <v>1555</v>
      </c>
      <c r="C375" s="3" t="s">
        <v>747</v>
      </c>
      <c r="D375" s="3" t="s">
        <v>23</v>
      </c>
      <c r="E375" s="2" t="s">
        <v>24</v>
      </c>
      <c r="F375" s="4">
        <v>0</v>
      </c>
      <c r="G375" s="8">
        <f t="shared" ref="G375:G391" si="79">IF(C375="Ionizador", 10, IF(C375="Mesa", 1000000000, IF(C375="Rack", 1000000000, IF(C375="Piso", 1000000000, IF(C375="Tapete", 1000000000, IF(C375="Carrito", 1000000000, IF(C375="Cautín", 10, 1)))))))</f>
        <v>1</v>
      </c>
      <c r="H375" s="4" t="str">
        <f t="shared" ref="H375:H391" si="80">IF(C375="Ionizador", "Segundos", "Ohms")</f>
        <v>Ohms</v>
      </c>
      <c r="I375" s="6">
        <v>0.14000000000000001</v>
      </c>
      <c r="J375" s="6" t="str">
        <f t="shared" ref="J375:J391" si="81">H375</f>
        <v>Ohms</v>
      </c>
      <c r="K375" s="2" t="str">
        <f t="shared" ref="K375:K391" si="82">IF(C375="Ionizador", "Plato de carga", IF(C375="Cautín", "PTG", IF(C375="ESD Tester", "PTP Deviation", "RTG")))</f>
        <v>RTG</v>
      </c>
      <c r="L375" s="2">
        <v>56765748</v>
      </c>
      <c r="M375" s="7">
        <v>46086</v>
      </c>
      <c r="N375" s="7">
        <f t="shared" ref="N375:N387" si="83">M375+365</f>
        <v>46451</v>
      </c>
      <c r="O375" s="7" t="str">
        <f t="shared" ref="O375:O408" si="84">IF(C375="Ionizador", "Trimestral", IF(C375="Rack", "Anual", IF(C375="Mesa", "Anual", IF(C375="Tapete", "Semestral", IF(C375="Cautín", "Semestral", IF(C375="Silla", "Semestral", "Anual"))))))</f>
        <v>Anual</v>
      </c>
      <c r="P375" s="2" t="str">
        <f t="shared" ca="1" si="74"/>
        <v>VIGENTE</v>
      </c>
      <c r="Q375" s="6" t="s">
        <v>25</v>
      </c>
      <c r="R375" s="2"/>
    </row>
    <row r="376" spans="1:18" x14ac:dyDescent="0.25">
      <c r="A376" s="23" t="s">
        <v>1554</v>
      </c>
      <c r="B376" s="2" t="s">
        <v>1556</v>
      </c>
      <c r="C376" s="3" t="s">
        <v>747</v>
      </c>
      <c r="D376" s="3" t="s">
        <v>23</v>
      </c>
      <c r="E376" s="2" t="s">
        <v>24</v>
      </c>
      <c r="F376" s="4">
        <v>0</v>
      </c>
      <c r="G376" s="8">
        <f t="shared" si="79"/>
        <v>1</v>
      </c>
      <c r="H376" s="4" t="str">
        <f t="shared" si="80"/>
        <v>Ohms</v>
      </c>
      <c r="I376" s="6">
        <v>0.20300000000000001</v>
      </c>
      <c r="J376" s="6" t="str">
        <f t="shared" si="81"/>
        <v>Ohms</v>
      </c>
      <c r="K376" s="2" t="str">
        <f t="shared" si="82"/>
        <v>RTG</v>
      </c>
      <c r="L376" s="2">
        <v>56765748</v>
      </c>
      <c r="M376" s="7">
        <v>46086</v>
      </c>
      <c r="N376" s="7">
        <f t="shared" si="83"/>
        <v>46451</v>
      </c>
      <c r="O376" s="7" t="str">
        <f t="shared" si="84"/>
        <v>Anual</v>
      </c>
      <c r="P376" s="2" t="str">
        <f t="shared" ca="1" si="74"/>
        <v>VIGENTE</v>
      </c>
      <c r="Q376" s="6" t="s">
        <v>25</v>
      </c>
      <c r="R376" s="2"/>
    </row>
    <row r="377" spans="1:18" x14ac:dyDescent="0.25">
      <c r="A377" s="23" t="s">
        <v>1554</v>
      </c>
      <c r="B377" s="2" t="s">
        <v>1557</v>
      </c>
      <c r="C377" s="3" t="s">
        <v>747</v>
      </c>
      <c r="D377" s="3" t="s">
        <v>23</v>
      </c>
      <c r="E377" s="2" t="s">
        <v>24</v>
      </c>
      <c r="F377" s="4">
        <v>0</v>
      </c>
      <c r="G377" s="8">
        <f t="shared" si="79"/>
        <v>1</v>
      </c>
      <c r="H377" s="4" t="str">
        <f t="shared" si="80"/>
        <v>Ohms</v>
      </c>
      <c r="I377" s="6">
        <v>0.14399999999999999</v>
      </c>
      <c r="J377" s="6" t="str">
        <f t="shared" si="81"/>
        <v>Ohms</v>
      </c>
      <c r="K377" s="2" t="str">
        <f t="shared" si="82"/>
        <v>RTG</v>
      </c>
      <c r="L377" s="2">
        <v>56765748</v>
      </c>
      <c r="M377" s="7">
        <v>46086</v>
      </c>
      <c r="N377" s="7">
        <f t="shared" si="83"/>
        <v>46451</v>
      </c>
      <c r="O377" s="7" t="str">
        <f t="shared" si="84"/>
        <v>Anual</v>
      </c>
      <c r="P377" s="2" t="str">
        <f t="shared" ca="1" si="74"/>
        <v>VIGENTE</v>
      </c>
      <c r="Q377" s="6" t="s">
        <v>25</v>
      </c>
      <c r="R377" s="2"/>
    </row>
    <row r="378" spans="1:18" x14ac:dyDescent="0.25">
      <c r="A378" s="23" t="s">
        <v>1554</v>
      </c>
      <c r="B378" s="2" t="s">
        <v>1558</v>
      </c>
      <c r="C378" s="3" t="s">
        <v>747</v>
      </c>
      <c r="D378" s="3" t="s">
        <v>23</v>
      </c>
      <c r="E378" s="2" t="s">
        <v>24</v>
      </c>
      <c r="F378" s="4">
        <v>0</v>
      </c>
      <c r="G378" s="8">
        <f t="shared" si="79"/>
        <v>1</v>
      </c>
      <c r="H378" s="4" t="str">
        <f t="shared" si="80"/>
        <v>Ohms</v>
      </c>
      <c r="I378" s="6">
        <v>0.157</v>
      </c>
      <c r="J378" s="6" t="str">
        <f t="shared" si="81"/>
        <v>Ohms</v>
      </c>
      <c r="K378" s="2" t="str">
        <f t="shared" si="82"/>
        <v>RTG</v>
      </c>
      <c r="L378" s="2">
        <v>56765748</v>
      </c>
      <c r="M378" s="7">
        <v>46086</v>
      </c>
      <c r="N378" s="7">
        <f t="shared" si="83"/>
        <v>46451</v>
      </c>
      <c r="O378" s="7" t="str">
        <f t="shared" si="84"/>
        <v>Anual</v>
      </c>
      <c r="P378" s="2" t="str">
        <f t="shared" ca="1" si="74"/>
        <v>VIGENTE</v>
      </c>
      <c r="Q378" s="6" t="s">
        <v>25</v>
      </c>
      <c r="R378" s="2"/>
    </row>
    <row r="379" spans="1:18" x14ac:dyDescent="0.25">
      <c r="A379" s="23" t="s">
        <v>1554</v>
      </c>
      <c r="B379" s="2" t="s">
        <v>1559</v>
      </c>
      <c r="C379" s="3" t="s">
        <v>747</v>
      </c>
      <c r="D379" s="3" t="s">
        <v>23</v>
      </c>
      <c r="E379" s="2" t="s">
        <v>24</v>
      </c>
      <c r="F379" s="4">
        <v>0</v>
      </c>
      <c r="G379" s="8">
        <f t="shared" si="79"/>
        <v>1</v>
      </c>
      <c r="H379" s="4" t="str">
        <f t="shared" si="80"/>
        <v>Ohms</v>
      </c>
      <c r="I379" s="6">
        <v>0.30599999999999999</v>
      </c>
      <c r="J379" s="6" t="str">
        <f t="shared" si="81"/>
        <v>Ohms</v>
      </c>
      <c r="K379" s="2" t="str">
        <f t="shared" si="82"/>
        <v>RTG</v>
      </c>
      <c r="L379" s="2">
        <v>56765748</v>
      </c>
      <c r="M379" s="7">
        <v>46086</v>
      </c>
      <c r="N379" s="7">
        <f t="shared" si="83"/>
        <v>46451</v>
      </c>
      <c r="O379" s="7" t="str">
        <f t="shared" si="84"/>
        <v>Anual</v>
      </c>
      <c r="P379" s="2" t="str">
        <f t="shared" ca="1" si="74"/>
        <v>VIGENTE</v>
      </c>
      <c r="Q379" s="6" t="s">
        <v>25</v>
      </c>
      <c r="R379" s="2"/>
    </row>
    <row r="380" spans="1:18" x14ac:dyDescent="0.25">
      <c r="A380" s="23" t="s">
        <v>1554</v>
      </c>
      <c r="B380" s="2" t="s">
        <v>1560</v>
      </c>
      <c r="C380" s="3" t="s">
        <v>747</v>
      </c>
      <c r="D380" s="3" t="s">
        <v>23</v>
      </c>
      <c r="E380" s="2" t="s">
        <v>24</v>
      </c>
      <c r="F380" s="4">
        <v>0</v>
      </c>
      <c r="G380" s="8">
        <f t="shared" si="79"/>
        <v>1</v>
      </c>
      <c r="H380" s="4" t="str">
        <f t="shared" si="80"/>
        <v>Ohms</v>
      </c>
      <c r="I380" s="6">
        <v>0.17399999999999999</v>
      </c>
      <c r="J380" s="6" t="str">
        <f t="shared" si="81"/>
        <v>Ohms</v>
      </c>
      <c r="K380" s="2" t="str">
        <f t="shared" si="82"/>
        <v>RTG</v>
      </c>
      <c r="L380" s="2">
        <v>56765748</v>
      </c>
      <c r="M380" s="7">
        <v>46086</v>
      </c>
      <c r="N380" s="7">
        <f t="shared" si="83"/>
        <v>46451</v>
      </c>
      <c r="O380" s="7" t="str">
        <f t="shared" si="84"/>
        <v>Anual</v>
      </c>
      <c r="P380" s="2" t="str">
        <f t="shared" ca="1" si="74"/>
        <v>VIGENTE</v>
      </c>
      <c r="Q380" s="6" t="s">
        <v>25</v>
      </c>
      <c r="R380" s="2"/>
    </row>
    <row r="381" spans="1:18" x14ac:dyDescent="0.25">
      <c r="A381" s="23" t="s">
        <v>1554</v>
      </c>
      <c r="B381" s="2" t="s">
        <v>1561</v>
      </c>
      <c r="C381" s="3" t="s">
        <v>747</v>
      </c>
      <c r="D381" s="3" t="s">
        <v>23</v>
      </c>
      <c r="E381" s="2" t="s">
        <v>24</v>
      </c>
      <c r="F381" s="4">
        <v>0</v>
      </c>
      <c r="G381" s="8">
        <f t="shared" si="79"/>
        <v>1</v>
      </c>
      <c r="H381" s="4" t="str">
        <f t="shared" si="80"/>
        <v>Ohms</v>
      </c>
      <c r="I381" s="6">
        <v>0.153</v>
      </c>
      <c r="J381" s="6" t="str">
        <f t="shared" si="81"/>
        <v>Ohms</v>
      </c>
      <c r="K381" s="2" t="str">
        <f t="shared" si="82"/>
        <v>RTG</v>
      </c>
      <c r="L381" s="2">
        <v>56765748</v>
      </c>
      <c r="M381" s="7">
        <v>46086</v>
      </c>
      <c r="N381" s="7">
        <f t="shared" si="83"/>
        <v>46451</v>
      </c>
      <c r="O381" s="7" t="str">
        <f t="shared" si="84"/>
        <v>Anual</v>
      </c>
      <c r="P381" s="2" t="str">
        <f t="shared" ca="1" si="74"/>
        <v>VIGENTE</v>
      </c>
      <c r="Q381" s="6" t="s">
        <v>25</v>
      </c>
      <c r="R381" s="2"/>
    </row>
    <row r="382" spans="1:18" x14ac:dyDescent="0.25">
      <c r="A382" s="23" t="s">
        <v>1554</v>
      </c>
      <c r="B382" s="2" t="s">
        <v>1562</v>
      </c>
      <c r="C382" s="3" t="s">
        <v>747</v>
      </c>
      <c r="D382" s="3" t="s">
        <v>23</v>
      </c>
      <c r="E382" s="2" t="s">
        <v>24</v>
      </c>
      <c r="F382" s="4">
        <v>0</v>
      </c>
      <c r="G382" s="8">
        <f t="shared" si="79"/>
        <v>1</v>
      </c>
      <c r="H382" s="4" t="str">
        <f t="shared" si="80"/>
        <v>Ohms</v>
      </c>
      <c r="I382" s="6">
        <v>0.38400000000000001</v>
      </c>
      <c r="J382" s="6" t="str">
        <f t="shared" si="81"/>
        <v>Ohms</v>
      </c>
      <c r="K382" s="2" t="str">
        <f t="shared" si="82"/>
        <v>RTG</v>
      </c>
      <c r="L382" s="2">
        <v>56765748</v>
      </c>
      <c r="M382" s="7">
        <v>46086</v>
      </c>
      <c r="N382" s="7">
        <f t="shared" si="83"/>
        <v>46451</v>
      </c>
      <c r="O382" s="7" t="str">
        <f t="shared" si="84"/>
        <v>Anual</v>
      </c>
      <c r="P382" s="2" t="str">
        <f t="shared" ca="1" si="74"/>
        <v>VIGENTE</v>
      </c>
      <c r="Q382" s="6" t="s">
        <v>25</v>
      </c>
      <c r="R382" s="2"/>
    </row>
    <row r="383" spans="1:18" x14ac:dyDescent="0.25">
      <c r="A383" s="23" t="s">
        <v>1554</v>
      </c>
      <c r="B383" s="2" t="s">
        <v>1563</v>
      </c>
      <c r="C383" s="3" t="s">
        <v>747</v>
      </c>
      <c r="D383" s="3" t="s">
        <v>23</v>
      </c>
      <c r="E383" s="2" t="s">
        <v>24</v>
      </c>
      <c r="F383" s="4">
        <v>0</v>
      </c>
      <c r="G383" s="8">
        <f t="shared" si="79"/>
        <v>1</v>
      </c>
      <c r="H383" s="4" t="str">
        <f t="shared" si="80"/>
        <v>Ohms</v>
      </c>
      <c r="I383" s="6">
        <v>0.46100000000000002</v>
      </c>
      <c r="J383" s="6" t="str">
        <f t="shared" si="81"/>
        <v>Ohms</v>
      </c>
      <c r="K383" s="2" t="str">
        <f t="shared" si="82"/>
        <v>RTG</v>
      </c>
      <c r="L383" s="2">
        <v>56765748</v>
      </c>
      <c r="M383" s="7">
        <v>46086</v>
      </c>
      <c r="N383" s="7">
        <f t="shared" si="83"/>
        <v>46451</v>
      </c>
      <c r="O383" s="7" t="str">
        <f t="shared" si="84"/>
        <v>Anual</v>
      </c>
      <c r="P383" s="2" t="str">
        <f t="shared" ca="1" si="74"/>
        <v>VIGENTE</v>
      </c>
      <c r="Q383" s="6" t="s">
        <v>25</v>
      </c>
      <c r="R383" s="2"/>
    </row>
    <row r="384" spans="1:18" x14ac:dyDescent="0.25">
      <c r="A384" s="23" t="s">
        <v>1554</v>
      </c>
      <c r="B384" s="2" t="s">
        <v>1564</v>
      </c>
      <c r="C384" s="3" t="s">
        <v>747</v>
      </c>
      <c r="D384" s="3" t="s">
        <v>23</v>
      </c>
      <c r="E384" s="2" t="s">
        <v>24</v>
      </c>
      <c r="F384" s="4">
        <v>0</v>
      </c>
      <c r="G384" s="8">
        <f t="shared" si="79"/>
        <v>1</v>
      </c>
      <c r="H384" s="4" t="str">
        <f t="shared" si="80"/>
        <v>Ohms</v>
      </c>
      <c r="I384" s="6">
        <v>0.56100000000000005</v>
      </c>
      <c r="J384" s="6" t="str">
        <f t="shared" si="81"/>
        <v>Ohms</v>
      </c>
      <c r="K384" s="2" t="str">
        <f t="shared" si="82"/>
        <v>RTG</v>
      </c>
      <c r="L384" s="2">
        <v>56765748</v>
      </c>
      <c r="M384" s="7">
        <v>46086</v>
      </c>
      <c r="N384" s="7">
        <f t="shared" si="83"/>
        <v>46451</v>
      </c>
      <c r="O384" s="7" t="str">
        <f t="shared" si="84"/>
        <v>Anual</v>
      </c>
      <c r="P384" s="2" t="str">
        <f t="shared" ca="1" si="74"/>
        <v>VIGENTE</v>
      </c>
      <c r="Q384" s="6" t="s">
        <v>25</v>
      </c>
      <c r="R384" s="2"/>
    </row>
    <row r="385" spans="1:18" x14ac:dyDescent="0.25">
      <c r="A385" s="23" t="s">
        <v>1554</v>
      </c>
      <c r="B385" s="2" t="s">
        <v>1565</v>
      </c>
      <c r="C385" s="3" t="s">
        <v>747</v>
      </c>
      <c r="D385" s="3" t="s">
        <v>23</v>
      </c>
      <c r="E385" s="2" t="s">
        <v>24</v>
      </c>
      <c r="F385" s="4">
        <v>0</v>
      </c>
      <c r="G385" s="8">
        <f t="shared" si="79"/>
        <v>1</v>
      </c>
      <c r="H385" s="4" t="str">
        <f t="shared" si="80"/>
        <v>Ohms</v>
      </c>
      <c r="I385" s="6">
        <v>0.72</v>
      </c>
      <c r="J385" s="6" t="str">
        <f t="shared" si="81"/>
        <v>Ohms</v>
      </c>
      <c r="K385" s="2" t="str">
        <f t="shared" si="82"/>
        <v>RTG</v>
      </c>
      <c r="L385" s="2">
        <v>56765748</v>
      </c>
      <c r="M385" s="7">
        <v>46086</v>
      </c>
      <c r="N385" s="7">
        <f t="shared" si="83"/>
        <v>46451</v>
      </c>
      <c r="O385" s="7" t="str">
        <f t="shared" si="84"/>
        <v>Anual</v>
      </c>
      <c r="P385" s="2" t="str">
        <f t="shared" ca="1" si="74"/>
        <v>VIGENTE</v>
      </c>
      <c r="Q385" s="6" t="s">
        <v>25</v>
      </c>
      <c r="R385" s="2"/>
    </row>
    <row r="386" spans="1:18" x14ac:dyDescent="0.25">
      <c r="A386" s="23" t="s">
        <v>1554</v>
      </c>
      <c r="B386" s="2" t="s">
        <v>1566</v>
      </c>
      <c r="C386" s="3" t="s">
        <v>747</v>
      </c>
      <c r="D386" s="3" t="s">
        <v>23</v>
      </c>
      <c r="E386" s="2" t="s">
        <v>24</v>
      </c>
      <c r="F386" s="4">
        <v>0</v>
      </c>
      <c r="G386" s="8">
        <f t="shared" si="79"/>
        <v>1</v>
      </c>
      <c r="H386" s="4" t="str">
        <f t="shared" si="80"/>
        <v>Ohms</v>
      </c>
      <c r="I386" s="6">
        <v>0.495</v>
      </c>
      <c r="J386" s="6" t="str">
        <f t="shared" si="81"/>
        <v>Ohms</v>
      </c>
      <c r="K386" s="2" t="str">
        <f t="shared" si="82"/>
        <v>RTG</v>
      </c>
      <c r="L386" s="2">
        <v>56765748</v>
      </c>
      <c r="M386" s="7">
        <v>46086</v>
      </c>
      <c r="N386" s="7">
        <f t="shared" si="83"/>
        <v>46451</v>
      </c>
      <c r="O386" s="7" t="str">
        <f t="shared" si="84"/>
        <v>Anual</v>
      </c>
      <c r="P386" s="2" t="str">
        <f t="shared" ca="1" si="74"/>
        <v>VIGENTE</v>
      </c>
      <c r="Q386" s="6" t="s">
        <v>25</v>
      </c>
      <c r="R386" s="2"/>
    </row>
    <row r="387" spans="1:18" x14ac:dyDescent="0.25">
      <c r="A387" s="23" t="s">
        <v>1554</v>
      </c>
      <c r="B387" s="2" t="s">
        <v>1567</v>
      </c>
      <c r="C387" s="3" t="s">
        <v>747</v>
      </c>
      <c r="D387" s="3" t="s">
        <v>23</v>
      </c>
      <c r="E387" s="2" t="s">
        <v>24</v>
      </c>
      <c r="F387" s="4">
        <v>0</v>
      </c>
      <c r="G387" s="8">
        <f t="shared" si="79"/>
        <v>1</v>
      </c>
      <c r="H387" s="4" t="str">
        <f t="shared" si="80"/>
        <v>Ohms</v>
      </c>
      <c r="I387" s="6">
        <v>0.47099999999999997</v>
      </c>
      <c r="J387" s="6" t="str">
        <f t="shared" si="81"/>
        <v>Ohms</v>
      </c>
      <c r="K387" s="2" t="str">
        <f t="shared" si="82"/>
        <v>RTG</v>
      </c>
      <c r="L387" s="2">
        <v>56765748</v>
      </c>
      <c r="M387" s="7">
        <v>46086</v>
      </c>
      <c r="N387" s="7">
        <f t="shared" si="83"/>
        <v>46451</v>
      </c>
      <c r="O387" s="7" t="str">
        <f t="shared" si="84"/>
        <v>Anual</v>
      </c>
      <c r="P387" s="2" t="str">
        <f t="shared" ca="1" si="74"/>
        <v>VIGENTE</v>
      </c>
      <c r="Q387" s="6" t="s">
        <v>25</v>
      </c>
      <c r="R387" s="2"/>
    </row>
    <row r="388" spans="1:18" x14ac:dyDescent="0.25">
      <c r="A388" s="23" t="s">
        <v>1554</v>
      </c>
      <c r="B388" s="2" t="s">
        <v>1568</v>
      </c>
      <c r="C388" s="3" t="s">
        <v>800</v>
      </c>
      <c r="D388" s="3" t="s">
        <v>23</v>
      </c>
      <c r="E388" s="2" t="s">
        <v>24</v>
      </c>
      <c r="F388" s="4">
        <v>0</v>
      </c>
      <c r="G388" s="8">
        <f t="shared" si="79"/>
        <v>10</v>
      </c>
      <c r="H388" s="4" t="str">
        <f t="shared" si="80"/>
        <v>Segundos</v>
      </c>
      <c r="I388" s="6">
        <v>3</v>
      </c>
      <c r="J388" s="6" t="str">
        <f t="shared" si="81"/>
        <v>Segundos</v>
      </c>
      <c r="K388" s="2" t="str">
        <f t="shared" si="82"/>
        <v>Plato de carga</v>
      </c>
      <c r="L388" s="2"/>
      <c r="M388" s="7">
        <v>46086</v>
      </c>
      <c r="N388" s="7">
        <f>IF(O388="Trimestral", M388+90, IF(O388="Semestral", M388+180, IF(O388="Mensual", M388+30, M388+365)))</f>
        <v>46176</v>
      </c>
      <c r="O388" s="7" t="str">
        <f t="shared" si="84"/>
        <v>Trimestral</v>
      </c>
      <c r="P388" s="2" t="str">
        <f t="shared" ca="1" si="74"/>
        <v>VIGENTE</v>
      </c>
      <c r="Q388" s="6" t="s">
        <v>25</v>
      </c>
      <c r="R388" s="2"/>
    </row>
    <row r="389" spans="1:18" x14ac:dyDescent="0.25">
      <c r="A389" s="23" t="s">
        <v>1554</v>
      </c>
      <c r="B389" s="2" t="s">
        <v>1569</v>
      </c>
      <c r="C389" s="3" t="s">
        <v>800</v>
      </c>
      <c r="D389" s="3" t="s">
        <v>23</v>
      </c>
      <c r="E389" s="2" t="s">
        <v>24</v>
      </c>
      <c r="F389" s="4">
        <v>0</v>
      </c>
      <c r="G389" s="8">
        <f t="shared" si="79"/>
        <v>10</v>
      </c>
      <c r="H389" s="4" t="str">
        <f t="shared" si="80"/>
        <v>Segundos</v>
      </c>
      <c r="I389" s="6">
        <v>2</v>
      </c>
      <c r="J389" s="6" t="str">
        <f t="shared" si="81"/>
        <v>Segundos</v>
      </c>
      <c r="K389" s="2" t="str">
        <f t="shared" si="82"/>
        <v>Plato de carga</v>
      </c>
      <c r="L389" s="2"/>
      <c r="M389" s="7">
        <v>46086</v>
      </c>
      <c r="N389" s="7">
        <f>IF(O389="Trimestral", M389+90, IF(O389="Semestral", M389+180, IF(O389="Mensual", M389+30, M389+365)))</f>
        <v>46176</v>
      </c>
      <c r="O389" s="7" t="str">
        <f t="shared" si="84"/>
        <v>Trimestral</v>
      </c>
      <c r="P389" s="2" t="str">
        <f t="shared" ca="1" si="74"/>
        <v>VIGENTE</v>
      </c>
      <c r="Q389" s="6" t="s">
        <v>25</v>
      </c>
      <c r="R389" s="2"/>
    </row>
    <row r="390" spans="1:18" x14ac:dyDescent="0.25">
      <c r="A390" s="23" t="s">
        <v>1554</v>
      </c>
      <c r="B390" s="2" t="s">
        <v>1570</v>
      </c>
      <c r="C390" s="3" t="s">
        <v>800</v>
      </c>
      <c r="D390" s="3" t="s">
        <v>23</v>
      </c>
      <c r="E390" s="2" t="s">
        <v>24</v>
      </c>
      <c r="F390" s="4">
        <v>0</v>
      </c>
      <c r="G390" s="8">
        <f t="shared" si="79"/>
        <v>10</v>
      </c>
      <c r="H390" s="4" t="str">
        <f t="shared" si="80"/>
        <v>Segundos</v>
      </c>
      <c r="I390" s="6">
        <v>3</v>
      </c>
      <c r="J390" s="6" t="str">
        <f t="shared" si="81"/>
        <v>Segundos</v>
      </c>
      <c r="K390" s="2" t="str">
        <f t="shared" si="82"/>
        <v>Plato de carga</v>
      </c>
      <c r="L390" s="2"/>
      <c r="M390" s="7">
        <v>46086</v>
      </c>
      <c r="N390" s="7">
        <f>IF(O390="Trimestral", M390+90, IF(O390="Semestral", M390+180, IF(O390="Mensual", M390+30, M390+365)))</f>
        <v>46176</v>
      </c>
      <c r="O390" s="7" t="str">
        <f t="shared" si="84"/>
        <v>Trimestral</v>
      </c>
      <c r="P390" s="2" t="str">
        <f t="shared" ca="1" si="74"/>
        <v>VIGENTE</v>
      </c>
      <c r="Q390" s="6" t="s">
        <v>25</v>
      </c>
      <c r="R390" s="2"/>
    </row>
    <row r="391" spans="1:18" x14ac:dyDescent="0.25">
      <c r="A391" s="23" t="s">
        <v>1554</v>
      </c>
      <c r="B391" s="2" t="s">
        <v>1571</v>
      </c>
      <c r="C391" s="3" t="s">
        <v>800</v>
      </c>
      <c r="D391" s="3" t="s">
        <v>23</v>
      </c>
      <c r="E391" s="2" t="s">
        <v>24</v>
      </c>
      <c r="F391" s="4">
        <v>0</v>
      </c>
      <c r="G391" s="8">
        <f t="shared" si="79"/>
        <v>10</v>
      </c>
      <c r="H391" s="4" t="str">
        <f t="shared" si="80"/>
        <v>Segundos</v>
      </c>
      <c r="I391" s="6">
        <v>4</v>
      </c>
      <c r="J391" s="6" t="str">
        <f t="shared" si="81"/>
        <v>Segundos</v>
      </c>
      <c r="K391" s="2" t="str">
        <f t="shared" si="82"/>
        <v>Plato de carga</v>
      </c>
      <c r="L391" s="2"/>
      <c r="M391" s="7">
        <v>46086</v>
      </c>
      <c r="N391" s="7">
        <f>IF(O391="Trimestral", M391+90, IF(O391="Semestral", M391+180, IF(O391="Mensual", M391+30, M391+365)))</f>
        <v>46176</v>
      </c>
      <c r="O391" s="7" t="str">
        <f t="shared" si="84"/>
        <v>Trimestral</v>
      </c>
      <c r="P391" s="2" t="str">
        <f t="shared" ca="1" si="74"/>
        <v>VIGENTE</v>
      </c>
      <c r="Q391" s="6" t="s">
        <v>25</v>
      </c>
      <c r="R391" s="2"/>
    </row>
    <row r="392" spans="1:18" x14ac:dyDescent="0.25">
      <c r="A392" s="23" t="s">
        <v>1572</v>
      </c>
      <c r="B392" s="2" t="s">
        <v>1573</v>
      </c>
      <c r="C392" s="3" t="s">
        <v>747</v>
      </c>
      <c r="D392" s="3" t="s">
        <v>23</v>
      </c>
      <c r="E392" s="2" t="s">
        <v>24</v>
      </c>
      <c r="F392" s="4">
        <v>0</v>
      </c>
      <c r="G392" s="8">
        <f t="shared" si="71"/>
        <v>1</v>
      </c>
      <c r="H392" s="4" t="str">
        <f t="shared" si="75"/>
        <v>Ohms</v>
      </c>
      <c r="I392" s="6">
        <v>0.63600000000000001</v>
      </c>
      <c r="J392" s="6" t="str">
        <f t="shared" si="76"/>
        <v>Ohms</v>
      </c>
      <c r="K392" s="2" t="str">
        <f t="shared" si="77"/>
        <v>RTG</v>
      </c>
      <c r="L392" s="2">
        <v>49679040</v>
      </c>
      <c r="M392" s="7">
        <v>46059</v>
      </c>
      <c r="N392" s="7">
        <f t="shared" si="72"/>
        <v>46424</v>
      </c>
      <c r="O392" s="7" t="str">
        <f t="shared" si="84"/>
        <v>Anual</v>
      </c>
      <c r="P392" s="2" t="str">
        <f t="shared" ca="1" si="74"/>
        <v>VIGENTE</v>
      </c>
      <c r="Q392" s="6" t="s">
        <v>25</v>
      </c>
      <c r="R392" s="2"/>
    </row>
    <row r="393" spans="1:18" x14ac:dyDescent="0.25">
      <c r="A393" s="23" t="s">
        <v>1572</v>
      </c>
      <c r="B393" s="2" t="s">
        <v>1574</v>
      </c>
      <c r="C393" s="3" t="s">
        <v>747</v>
      </c>
      <c r="D393" s="3" t="s">
        <v>23</v>
      </c>
      <c r="E393" s="2" t="s">
        <v>24</v>
      </c>
      <c r="F393" s="4">
        <v>0</v>
      </c>
      <c r="G393" s="8">
        <f t="shared" si="71"/>
        <v>1</v>
      </c>
      <c r="H393" s="4" t="str">
        <f t="shared" si="75"/>
        <v>Ohms</v>
      </c>
      <c r="I393" s="6">
        <v>0.10199999999999999</v>
      </c>
      <c r="J393" s="6" t="str">
        <f t="shared" si="76"/>
        <v>Ohms</v>
      </c>
      <c r="K393" s="2" t="str">
        <f t="shared" si="77"/>
        <v>RTG</v>
      </c>
      <c r="L393" s="2">
        <v>49679040</v>
      </c>
      <c r="M393" s="7">
        <v>46059</v>
      </c>
      <c r="N393" s="7">
        <f t="shared" si="72"/>
        <v>46424</v>
      </c>
      <c r="O393" s="7" t="str">
        <f t="shared" si="84"/>
        <v>Anual</v>
      </c>
      <c r="P393" s="2" t="str">
        <f t="shared" ca="1" si="74"/>
        <v>VIGENTE</v>
      </c>
      <c r="Q393" s="6" t="s">
        <v>25</v>
      </c>
      <c r="R393" s="2"/>
    </row>
    <row r="394" spans="1:18" x14ac:dyDescent="0.25">
      <c r="A394" s="23" t="s">
        <v>484</v>
      </c>
      <c r="B394" s="2" t="s">
        <v>1575</v>
      </c>
      <c r="C394" s="3" t="s">
        <v>1371</v>
      </c>
      <c r="D394" s="3" t="s">
        <v>23</v>
      </c>
      <c r="E394" s="2" t="s">
        <v>24</v>
      </c>
      <c r="F394" s="4">
        <v>0</v>
      </c>
      <c r="G394" s="8">
        <f t="shared" si="71"/>
        <v>1</v>
      </c>
      <c r="H394" s="4" t="str">
        <f t="shared" si="75"/>
        <v>Ohms</v>
      </c>
      <c r="I394" s="6">
        <v>0.25700000000000001</v>
      </c>
      <c r="J394" s="6" t="str">
        <f t="shared" si="76"/>
        <v>Ohms</v>
      </c>
      <c r="K394" s="2" t="str">
        <f t="shared" si="77"/>
        <v>RTG</v>
      </c>
      <c r="L394" s="2">
        <v>54545691</v>
      </c>
      <c r="M394" s="7">
        <v>46031</v>
      </c>
      <c r="N394" s="7">
        <f t="shared" si="72"/>
        <v>46396</v>
      </c>
      <c r="O394" s="7" t="str">
        <f t="shared" si="84"/>
        <v>Anual</v>
      </c>
      <c r="P394" s="2" t="str">
        <f t="shared" ca="1" si="74"/>
        <v>VIGENTE</v>
      </c>
      <c r="Q394" s="6" t="s">
        <v>25</v>
      </c>
      <c r="R394" s="2"/>
    </row>
    <row r="395" spans="1:18" x14ac:dyDescent="0.25">
      <c r="A395" s="23" t="s">
        <v>484</v>
      </c>
      <c r="B395" s="2" t="s">
        <v>1576</v>
      </c>
      <c r="C395" s="3" t="s">
        <v>747</v>
      </c>
      <c r="D395" s="3" t="s">
        <v>23</v>
      </c>
      <c r="E395" s="2" t="s">
        <v>24</v>
      </c>
      <c r="F395" s="4">
        <v>0</v>
      </c>
      <c r="G395" s="8">
        <f t="shared" si="71"/>
        <v>1</v>
      </c>
      <c r="H395" s="4" t="str">
        <f t="shared" si="75"/>
        <v>Ohms</v>
      </c>
      <c r="I395" s="6">
        <v>0.45700000000000002</v>
      </c>
      <c r="J395" s="6" t="str">
        <f t="shared" si="76"/>
        <v>Ohms</v>
      </c>
      <c r="K395" s="2" t="str">
        <f t="shared" si="77"/>
        <v>RTG</v>
      </c>
      <c r="L395" s="2">
        <v>54545691</v>
      </c>
      <c r="M395" s="7">
        <v>46031</v>
      </c>
      <c r="N395" s="7">
        <f t="shared" si="72"/>
        <v>46396</v>
      </c>
      <c r="O395" s="7" t="str">
        <f t="shared" si="84"/>
        <v>Anual</v>
      </c>
      <c r="P395" s="2" t="str">
        <f t="shared" ca="1" si="74"/>
        <v>VIGENTE</v>
      </c>
      <c r="Q395" s="6" t="s">
        <v>25</v>
      </c>
      <c r="R395" s="2"/>
    </row>
    <row r="396" spans="1:18" x14ac:dyDescent="0.25">
      <c r="A396" s="23" t="s">
        <v>484</v>
      </c>
      <c r="B396" s="2" t="s">
        <v>1577</v>
      </c>
      <c r="C396" s="3" t="s">
        <v>747</v>
      </c>
      <c r="D396" s="3" t="s">
        <v>23</v>
      </c>
      <c r="E396" s="2" t="s">
        <v>24</v>
      </c>
      <c r="F396" s="4">
        <v>0</v>
      </c>
      <c r="G396" s="8">
        <f t="shared" si="71"/>
        <v>1</v>
      </c>
      <c r="H396" s="4" t="str">
        <f t="shared" si="75"/>
        <v>Ohms</v>
      </c>
      <c r="I396" s="6">
        <v>0.30099999999999999</v>
      </c>
      <c r="J396" s="6" t="str">
        <f t="shared" si="76"/>
        <v>Ohms</v>
      </c>
      <c r="K396" s="2" t="str">
        <f t="shared" si="77"/>
        <v>RTG</v>
      </c>
      <c r="L396" s="2">
        <v>54545691</v>
      </c>
      <c r="M396" s="7">
        <v>46031</v>
      </c>
      <c r="N396" s="7">
        <f t="shared" si="72"/>
        <v>46396</v>
      </c>
      <c r="O396" s="7" t="str">
        <f t="shared" si="84"/>
        <v>Anual</v>
      </c>
      <c r="P396" s="2" t="str">
        <f t="shared" ca="1" si="74"/>
        <v>VIGENTE</v>
      </c>
      <c r="Q396" s="6" t="s">
        <v>25</v>
      </c>
      <c r="R396" s="2"/>
    </row>
    <row r="397" spans="1:18" x14ac:dyDescent="0.25">
      <c r="A397" s="23" t="s">
        <v>484</v>
      </c>
      <c r="B397" s="2" t="s">
        <v>1578</v>
      </c>
      <c r="C397" s="3" t="s">
        <v>747</v>
      </c>
      <c r="D397" s="3" t="s">
        <v>23</v>
      </c>
      <c r="E397" s="2" t="s">
        <v>24</v>
      </c>
      <c r="F397" s="4">
        <v>0</v>
      </c>
      <c r="G397" s="8">
        <f t="shared" si="71"/>
        <v>1</v>
      </c>
      <c r="H397" s="4" t="str">
        <f t="shared" si="75"/>
        <v>Ohms</v>
      </c>
      <c r="I397" s="6">
        <v>0.81899999999999995</v>
      </c>
      <c r="J397" s="6" t="str">
        <f t="shared" si="76"/>
        <v>Ohms</v>
      </c>
      <c r="K397" s="2" t="str">
        <f t="shared" si="77"/>
        <v>RTG</v>
      </c>
      <c r="L397" s="2">
        <v>54545691</v>
      </c>
      <c r="M397" s="7">
        <v>46031</v>
      </c>
      <c r="N397" s="7">
        <f t="shared" si="72"/>
        <v>46396</v>
      </c>
      <c r="O397" s="7" t="str">
        <f t="shared" si="84"/>
        <v>Anual</v>
      </c>
      <c r="P397" s="2" t="str">
        <f t="shared" ca="1" si="74"/>
        <v>VIGENTE</v>
      </c>
      <c r="Q397" s="6" t="s">
        <v>25</v>
      </c>
      <c r="R397" s="2"/>
    </row>
    <row r="398" spans="1:18" x14ac:dyDescent="0.25">
      <c r="A398" s="23" t="s">
        <v>484</v>
      </c>
      <c r="B398" s="2" t="s">
        <v>1579</v>
      </c>
      <c r="C398" s="3" t="s">
        <v>747</v>
      </c>
      <c r="D398" s="3" t="s">
        <v>23</v>
      </c>
      <c r="E398" s="2" t="s">
        <v>24</v>
      </c>
      <c r="F398" s="4">
        <v>0</v>
      </c>
      <c r="G398" s="8">
        <f t="shared" si="71"/>
        <v>1</v>
      </c>
      <c r="H398" s="4" t="str">
        <f t="shared" si="75"/>
        <v>Ohms</v>
      </c>
      <c r="I398" s="6">
        <v>0.40799999999999997</v>
      </c>
      <c r="J398" s="6" t="str">
        <f t="shared" si="76"/>
        <v>Ohms</v>
      </c>
      <c r="K398" s="2" t="str">
        <f t="shared" si="77"/>
        <v>RTG</v>
      </c>
      <c r="L398" s="2">
        <v>54545691</v>
      </c>
      <c r="M398" s="7">
        <v>46031</v>
      </c>
      <c r="N398" s="7">
        <f t="shared" si="72"/>
        <v>46396</v>
      </c>
      <c r="O398" s="7" t="str">
        <f t="shared" si="84"/>
        <v>Anual</v>
      </c>
      <c r="P398" s="2" t="str">
        <f t="shared" ca="1" si="74"/>
        <v>VIGENTE</v>
      </c>
      <c r="Q398" s="6" t="s">
        <v>25</v>
      </c>
      <c r="R398" s="2"/>
    </row>
    <row r="399" spans="1:18" x14ac:dyDescent="0.25">
      <c r="A399" s="23" t="s">
        <v>484</v>
      </c>
      <c r="B399" s="2" t="s">
        <v>1580</v>
      </c>
      <c r="C399" s="3" t="s">
        <v>747</v>
      </c>
      <c r="D399" s="3" t="s">
        <v>23</v>
      </c>
      <c r="E399" s="2" t="s">
        <v>24</v>
      </c>
      <c r="F399" s="4">
        <v>0</v>
      </c>
      <c r="G399" s="8">
        <f t="shared" si="71"/>
        <v>1</v>
      </c>
      <c r="H399" s="4" t="str">
        <f t="shared" si="75"/>
        <v>Ohms</v>
      </c>
      <c r="I399" s="6">
        <v>0.32500000000000001</v>
      </c>
      <c r="J399" s="6" t="str">
        <f t="shared" si="76"/>
        <v>Ohms</v>
      </c>
      <c r="K399" s="2" t="str">
        <f t="shared" si="77"/>
        <v>RTG</v>
      </c>
      <c r="L399" s="2">
        <v>54545691</v>
      </c>
      <c r="M399" s="7">
        <v>46031</v>
      </c>
      <c r="N399" s="7">
        <f t="shared" si="72"/>
        <v>46396</v>
      </c>
      <c r="O399" s="7" t="str">
        <f t="shared" si="84"/>
        <v>Anual</v>
      </c>
      <c r="P399" s="2" t="str">
        <f t="shared" ca="1" si="74"/>
        <v>VIGENTE</v>
      </c>
      <c r="Q399" s="6" t="s">
        <v>25</v>
      </c>
      <c r="R399" s="2"/>
    </row>
    <row r="400" spans="1:18" x14ac:dyDescent="0.25">
      <c r="A400" s="23" t="s">
        <v>484</v>
      </c>
      <c r="B400" s="2" t="s">
        <v>1581</v>
      </c>
      <c r="C400" s="3" t="s">
        <v>747</v>
      </c>
      <c r="D400" s="3" t="s">
        <v>23</v>
      </c>
      <c r="E400" s="2" t="s">
        <v>24</v>
      </c>
      <c r="F400" s="4">
        <v>0</v>
      </c>
      <c r="G400" s="8">
        <f t="shared" si="71"/>
        <v>1</v>
      </c>
      <c r="H400" s="4" t="str">
        <f t="shared" si="75"/>
        <v>Ohms</v>
      </c>
      <c r="I400" s="6">
        <v>0.182</v>
      </c>
      <c r="J400" s="6" t="str">
        <f t="shared" si="76"/>
        <v>Ohms</v>
      </c>
      <c r="K400" s="2" t="str">
        <f t="shared" si="77"/>
        <v>RTG</v>
      </c>
      <c r="L400" s="2">
        <v>54545691</v>
      </c>
      <c r="M400" s="7">
        <v>46031</v>
      </c>
      <c r="N400" s="7">
        <f t="shared" si="72"/>
        <v>46396</v>
      </c>
      <c r="O400" s="7" t="str">
        <f t="shared" si="84"/>
        <v>Anual</v>
      </c>
      <c r="P400" s="2" t="str">
        <f t="shared" ca="1" si="74"/>
        <v>VIGENTE</v>
      </c>
      <c r="Q400" s="6" t="s">
        <v>25</v>
      </c>
      <c r="R400" s="2"/>
    </row>
    <row r="401" spans="1:18" x14ac:dyDescent="0.25">
      <c r="A401" s="23" t="s">
        <v>484</v>
      </c>
      <c r="B401" s="2" t="s">
        <v>1582</v>
      </c>
      <c r="C401" s="3" t="s">
        <v>747</v>
      </c>
      <c r="D401" s="3" t="s">
        <v>23</v>
      </c>
      <c r="E401" s="2" t="s">
        <v>24</v>
      </c>
      <c r="F401" s="4">
        <v>0</v>
      </c>
      <c r="G401" s="8">
        <f t="shared" si="71"/>
        <v>1</v>
      </c>
      <c r="H401" s="4" t="str">
        <f t="shared" si="75"/>
        <v>Ohms</v>
      </c>
      <c r="I401" s="6">
        <v>0.17499999999999999</v>
      </c>
      <c r="J401" s="6" t="str">
        <f t="shared" si="76"/>
        <v>Ohms</v>
      </c>
      <c r="K401" s="2" t="str">
        <f t="shared" si="77"/>
        <v>RTG</v>
      </c>
      <c r="L401" s="2">
        <v>54545691</v>
      </c>
      <c r="M401" s="7">
        <v>46031</v>
      </c>
      <c r="N401" s="7">
        <f t="shared" si="72"/>
        <v>46396</v>
      </c>
      <c r="O401" s="7" t="str">
        <f t="shared" si="84"/>
        <v>Anual</v>
      </c>
      <c r="P401" s="2" t="str">
        <f t="shared" ca="1" si="74"/>
        <v>VIGENTE</v>
      </c>
      <c r="Q401" s="6" t="s">
        <v>25</v>
      </c>
      <c r="R401" s="2"/>
    </row>
    <row r="402" spans="1:18" x14ac:dyDescent="0.25">
      <c r="A402" s="23" t="s">
        <v>484</v>
      </c>
      <c r="B402" s="2" t="s">
        <v>1583</v>
      </c>
      <c r="C402" s="3" t="s">
        <v>747</v>
      </c>
      <c r="D402" s="3" t="s">
        <v>23</v>
      </c>
      <c r="E402" s="2" t="s">
        <v>24</v>
      </c>
      <c r="F402" s="4">
        <v>0</v>
      </c>
      <c r="G402" s="8">
        <f t="shared" si="71"/>
        <v>1</v>
      </c>
      <c r="H402" s="4" t="str">
        <f t="shared" si="75"/>
        <v>Ohms</v>
      </c>
      <c r="I402" s="6">
        <v>0.17299999999999999</v>
      </c>
      <c r="J402" s="6" t="str">
        <f t="shared" si="76"/>
        <v>Ohms</v>
      </c>
      <c r="K402" s="2" t="str">
        <f t="shared" si="77"/>
        <v>RTG</v>
      </c>
      <c r="L402" s="2">
        <v>54545691</v>
      </c>
      <c r="M402" s="7">
        <v>46031</v>
      </c>
      <c r="N402" s="7">
        <f t="shared" si="72"/>
        <v>46396</v>
      </c>
      <c r="O402" s="7" t="str">
        <f t="shared" si="84"/>
        <v>Anual</v>
      </c>
      <c r="P402" s="2" t="str">
        <f t="shared" ca="1" si="74"/>
        <v>VIGENTE</v>
      </c>
      <c r="Q402" s="6" t="s">
        <v>25</v>
      </c>
      <c r="R402" s="2"/>
    </row>
    <row r="403" spans="1:18" x14ac:dyDescent="0.25">
      <c r="A403" s="23" t="s">
        <v>484</v>
      </c>
      <c r="B403" s="2" t="s">
        <v>1584</v>
      </c>
      <c r="C403" s="3" t="s">
        <v>747</v>
      </c>
      <c r="D403" s="3" t="s">
        <v>23</v>
      </c>
      <c r="E403" s="2" t="s">
        <v>24</v>
      </c>
      <c r="F403" s="4">
        <v>0</v>
      </c>
      <c r="G403" s="8">
        <f t="shared" si="71"/>
        <v>1</v>
      </c>
      <c r="H403" s="4" t="str">
        <f t="shared" si="75"/>
        <v>Ohms</v>
      </c>
      <c r="I403" s="6">
        <v>0.37</v>
      </c>
      <c r="J403" s="6" t="str">
        <f t="shared" si="76"/>
        <v>Ohms</v>
      </c>
      <c r="K403" s="2" t="str">
        <f t="shared" si="77"/>
        <v>RTG</v>
      </c>
      <c r="L403" s="2">
        <v>54545691</v>
      </c>
      <c r="M403" s="7">
        <v>46031</v>
      </c>
      <c r="N403" s="7">
        <f t="shared" si="72"/>
        <v>46396</v>
      </c>
      <c r="O403" s="7" t="str">
        <f t="shared" si="84"/>
        <v>Anual</v>
      </c>
      <c r="P403" s="2" t="str">
        <f t="shared" ca="1" si="74"/>
        <v>VIGENTE</v>
      </c>
      <c r="Q403" s="6" t="s">
        <v>25</v>
      </c>
      <c r="R403" s="2"/>
    </row>
    <row r="404" spans="1:18" x14ac:dyDescent="0.25">
      <c r="A404" s="23" t="s">
        <v>484</v>
      </c>
      <c r="B404" s="2" t="s">
        <v>1585</v>
      </c>
      <c r="C404" s="3" t="s">
        <v>747</v>
      </c>
      <c r="D404" s="3" t="s">
        <v>23</v>
      </c>
      <c r="E404" s="2" t="s">
        <v>24</v>
      </c>
      <c r="F404" s="4">
        <v>0</v>
      </c>
      <c r="G404" s="8">
        <f t="shared" si="71"/>
        <v>1</v>
      </c>
      <c r="H404" s="4" t="str">
        <f t="shared" si="75"/>
        <v>Ohms</v>
      </c>
      <c r="I404" s="6">
        <v>0.18</v>
      </c>
      <c r="J404" s="6" t="str">
        <f t="shared" si="76"/>
        <v>Ohms</v>
      </c>
      <c r="K404" s="2" t="str">
        <f t="shared" si="77"/>
        <v>RTG</v>
      </c>
      <c r="L404" s="2">
        <v>54545691</v>
      </c>
      <c r="M404" s="7">
        <v>46031</v>
      </c>
      <c r="N404" s="7">
        <f t="shared" si="72"/>
        <v>46396</v>
      </c>
      <c r="O404" s="7" t="str">
        <f t="shared" si="84"/>
        <v>Anual</v>
      </c>
      <c r="P404" s="2" t="str">
        <f t="shared" ca="1" si="74"/>
        <v>VIGENTE</v>
      </c>
      <c r="Q404" s="6" t="s">
        <v>25</v>
      </c>
      <c r="R404" s="2"/>
    </row>
    <row r="405" spans="1:18" x14ac:dyDescent="0.25">
      <c r="A405" s="23" t="s">
        <v>484</v>
      </c>
      <c r="B405" s="2" t="s">
        <v>1586</v>
      </c>
      <c r="C405" s="3" t="s">
        <v>747</v>
      </c>
      <c r="D405" s="3" t="s">
        <v>23</v>
      </c>
      <c r="E405" s="2" t="s">
        <v>24</v>
      </c>
      <c r="F405" s="4">
        <v>0</v>
      </c>
      <c r="G405" s="8">
        <f t="shared" si="71"/>
        <v>1</v>
      </c>
      <c r="H405" s="4" t="str">
        <f t="shared" si="75"/>
        <v>Ohms</v>
      </c>
      <c r="I405" s="6">
        <v>0.10299999999999999</v>
      </c>
      <c r="J405" s="6" t="str">
        <f t="shared" si="76"/>
        <v>Ohms</v>
      </c>
      <c r="K405" s="2" t="str">
        <f t="shared" si="77"/>
        <v>RTG</v>
      </c>
      <c r="L405" s="2">
        <v>54545691</v>
      </c>
      <c r="M405" s="7">
        <v>46031</v>
      </c>
      <c r="N405" s="7">
        <f t="shared" si="72"/>
        <v>46396</v>
      </c>
      <c r="O405" s="7" t="str">
        <f t="shared" si="84"/>
        <v>Anual</v>
      </c>
      <c r="P405" s="2" t="str">
        <f t="shared" ca="1" si="74"/>
        <v>VIGENTE</v>
      </c>
      <c r="Q405" s="6" t="s">
        <v>25</v>
      </c>
      <c r="R405" s="2"/>
    </row>
    <row r="406" spans="1:18" x14ac:dyDescent="0.25">
      <c r="A406" s="23" t="s">
        <v>484</v>
      </c>
      <c r="B406" s="2" t="s">
        <v>1587</v>
      </c>
      <c r="C406" s="3" t="s">
        <v>747</v>
      </c>
      <c r="D406" s="3" t="s">
        <v>23</v>
      </c>
      <c r="E406" s="2" t="s">
        <v>24</v>
      </c>
      <c r="F406" s="4">
        <v>0</v>
      </c>
      <c r="G406" s="8">
        <f t="shared" si="71"/>
        <v>1</v>
      </c>
      <c r="H406" s="4" t="str">
        <f t="shared" si="75"/>
        <v>Ohms</v>
      </c>
      <c r="I406" s="6">
        <v>0.23</v>
      </c>
      <c r="J406" s="6" t="str">
        <f t="shared" si="76"/>
        <v>Ohms</v>
      </c>
      <c r="K406" s="2" t="str">
        <f t="shared" si="77"/>
        <v>RTG</v>
      </c>
      <c r="L406" s="2">
        <v>54545691</v>
      </c>
      <c r="M406" s="7">
        <v>46031</v>
      </c>
      <c r="N406" s="7">
        <f t="shared" si="72"/>
        <v>46396</v>
      </c>
      <c r="O406" s="7" t="str">
        <f t="shared" si="84"/>
        <v>Anual</v>
      </c>
      <c r="P406" s="2" t="str">
        <f t="shared" ca="1" si="74"/>
        <v>VIGENTE</v>
      </c>
      <c r="Q406" s="6" t="s">
        <v>25</v>
      </c>
      <c r="R406" s="2"/>
    </row>
    <row r="407" spans="1:18" x14ac:dyDescent="0.25">
      <c r="A407" s="23" t="s">
        <v>484</v>
      </c>
      <c r="B407" s="2" t="s">
        <v>1588</v>
      </c>
      <c r="C407" s="3" t="s">
        <v>747</v>
      </c>
      <c r="D407" s="3" t="s">
        <v>23</v>
      </c>
      <c r="E407" s="2" t="s">
        <v>24</v>
      </c>
      <c r="F407" s="4">
        <v>0</v>
      </c>
      <c r="G407" s="8">
        <f t="shared" si="71"/>
        <v>1</v>
      </c>
      <c r="H407" s="4" t="str">
        <f t="shared" si="75"/>
        <v>Ohms</v>
      </c>
      <c r="I407" s="6">
        <v>0.33300000000000002</v>
      </c>
      <c r="J407" s="6" t="str">
        <f t="shared" si="76"/>
        <v>Ohms</v>
      </c>
      <c r="K407" s="2" t="str">
        <f t="shared" si="77"/>
        <v>RTG</v>
      </c>
      <c r="L407" s="2">
        <v>54545691</v>
      </c>
      <c r="M407" s="7">
        <v>46031</v>
      </c>
      <c r="N407" s="7">
        <f t="shared" si="72"/>
        <v>46396</v>
      </c>
      <c r="O407" s="7" t="str">
        <f t="shared" si="84"/>
        <v>Anual</v>
      </c>
      <c r="P407" s="2" t="str">
        <f t="shared" ca="1" si="74"/>
        <v>VIGENTE</v>
      </c>
      <c r="Q407" s="6" t="s">
        <v>25</v>
      </c>
      <c r="R407" s="2"/>
    </row>
    <row r="408" spans="1:18" x14ac:dyDescent="0.25">
      <c r="A408" s="23" t="s">
        <v>484</v>
      </c>
      <c r="B408" s="2" t="s">
        <v>1589</v>
      </c>
      <c r="C408" s="3" t="s">
        <v>747</v>
      </c>
      <c r="D408" s="3" t="s">
        <v>23</v>
      </c>
      <c r="E408" s="2" t="s">
        <v>24</v>
      </c>
      <c r="F408" s="4">
        <v>0</v>
      </c>
      <c r="G408" s="8">
        <f t="shared" si="71"/>
        <v>1</v>
      </c>
      <c r="H408" s="4" t="str">
        <f t="shared" si="75"/>
        <v>Ohms</v>
      </c>
      <c r="I408" s="6">
        <v>0.24</v>
      </c>
      <c r="J408" s="6" t="str">
        <f t="shared" si="76"/>
        <v>Ohms</v>
      </c>
      <c r="K408" s="2" t="str">
        <f t="shared" si="77"/>
        <v>RTG</v>
      </c>
      <c r="L408" s="2">
        <v>54545691</v>
      </c>
      <c r="M408" s="7">
        <v>46031</v>
      </c>
      <c r="N408" s="7">
        <f t="shared" si="72"/>
        <v>46396</v>
      </c>
      <c r="O408" s="7" t="str">
        <f t="shared" si="84"/>
        <v>Anual</v>
      </c>
      <c r="P408" s="2" t="str">
        <f t="shared" ca="1" si="74"/>
        <v>VIGENTE</v>
      </c>
      <c r="Q408" s="6" t="s">
        <v>25</v>
      </c>
      <c r="R408" s="2"/>
    </row>
    <row r="409" spans="1:18" x14ac:dyDescent="0.25">
      <c r="A409" s="23" t="s">
        <v>584</v>
      </c>
      <c r="B409" s="2" t="s">
        <v>1590</v>
      </c>
      <c r="C409" s="3" t="s">
        <v>800</v>
      </c>
      <c r="D409" s="3" t="s">
        <v>936</v>
      </c>
      <c r="E409" s="2" t="s">
        <v>24</v>
      </c>
      <c r="F409" s="4">
        <v>0</v>
      </c>
      <c r="G409" s="8">
        <f t="shared" si="71"/>
        <v>10</v>
      </c>
      <c r="H409" s="4" t="str">
        <f t="shared" si="75"/>
        <v>Segundos</v>
      </c>
      <c r="I409" s="6">
        <v>2</v>
      </c>
      <c r="J409" s="6" t="str">
        <f t="shared" si="76"/>
        <v>Segundos</v>
      </c>
      <c r="K409" s="2" t="str">
        <f t="shared" si="77"/>
        <v>Plato de carga</v>
      </c>
      <c r="L409" s="2"/>
      <c r="M409" s="7">
        <v>46001</v>
      </c>
      <c r="N409" s="7">
        <f t="shared" si="72"/>
        <v>46091</v>
      </c>
      <c r="O409" s="7" t="str">
        <f t="shared" si="78"/>
        <v>Trimestral</v>
      </c>
      <c r="P409" s="2" t="str">
        <f t="shared" ca="1" si="74"/>
        <v>VENCIDO</v>
      </c>
      <c r="Q409" s="6" t="s">
        <v>25</v>
      </c>
      <c r="R409" s="2"/>
    </row>
    <row r="410" spans="1:18" x14ac:dyDescent="0.25">
      <c r="A410" s="23" t="s">
        <v>584</v>
      </c>
      <c r="B410" s="2" t="s">
        <v>1591</v>
      </c>
      <c r="C410" s="3" t="s">
        <v>259</v>
      </c>
      <c r="D410" s="3" t="s">
        <v>23</v>
      </c>
      <c r="E410" s="2" t="s">
        <v>24</v>
      </c>
      <c r="F410" s="4">
        <v>0</v>
      </c>
      <c r="G410" s="8">
        <f t="shared" si="71"/>
        <v>1</v>
      </c>
      <c r="H410" s="4" t="str">
        <f t="shared" si="75"/>
        <v>Ohms</v>
      </c>
      <c r="I410" s="6">
        <v>0.72799999999999998</v>
      </c>
      <c r="J410" s="6" t="str">
        <f t="shared" si="76"/>
        <v>Ohms</v>
      </c>
      <c r="K410" s="2" t="str">
        <f t="shared" si="77"/>
        <v>RTG</v>
      </c>
      <c r="L410" s="2">
        <v>49678363</v>
      </c>
      <c r="M410" s="7">
        <v>45946</v>
      </c>
      <c r="N410" s="7">
        <f t="shared" si="72"/>
        <v>46311</v>
      </c>
      <c r="O410" s="7" t="str">
        <f t="shared" ref="O410:O442" si="85">IF(C410="Ionizador", "Trimestral", IF(C410="Rack", "Anual", IF(C410="Mesa", "Anual", IF(C410="Tapete", "Semestral", IF(C410="Cautín", "Semestral", IF(C410="Silla", "Semestral", "Anual"))))))</f>
        <v>Anual</v>
      </c>
      <c r="P410" s="2" t="str">
        <f t="shared" ref="P410:P477" ca="1" si="86">IF(N410&lt;TODAY(),"VENCIDO",IF(N410=TODAY(),"VIGENTE",IF(N410&gt;TODAY(),"VIGENTE")))</f>
        <v>VIGENTE</v>
      </c>
      <c r="Q410" s="6" t="s">
        <v>25</v>
      </c>
      <c r="R410" s="2"/>
    </row>
    <row r="411" spans="1:18" x14ac:dyDescent="0.25">
      <c r="A411" s="23" t="s">
        <v>584</v>
      </c>
      <c r="B411" s="2" t="s">
        <v>1592</v>
      </c>
      <c r="C411" s="3" t="s">
        <v>261</v>
      </c>
      <c r="D411" s="3" t="s">
        <v>23</v>
      </c>
      <c r="E411" s="2" t="s">
        <v>24</v>
      </c>
      <c r="F411" s="4">
        <v>0</v>
      </c>
      <c r="G411" s="8">
        <f t="shared" si="71"/>
        <v>1</v>
      </c>
      <c r="H411" s="4" t="str">
        <f t="shared" si="75"/>
        <v>Ohms</v>
      </c>
      <c r="I411" s="6">
        <v>0.33700000000000002</v>
      </c>
      <c r="J411" s="6" t="str">
        <f t="shared" si="76"/>
        <v>Ohms</v>
      </c>
      <c r="K411" s="2" t="str">
        <f t="shared" si="77"/>
        <v>RTG</v>
      </c>
      <c r="L411" s="2">
        <v>49678363</v>
      </c>
      <c r="M411" s="7">
        <v>45946</v>
      </c>
      <c r="N411" s="7">
        <f t="shared" si="72"/>
        <v>46311</v>
      </c>
      <c r="O411" s="7" t="str">
        <f t="shared" si="85"/>
        <v>Anual</v>
      </c>
      <c r="P411" s="2" t="str">
        <f t="shared" ca="1" si="86"/>
        <v>VIGENTE</v>
      </c>
      <c r="Q411" s="6" t="s">
        <v>25</v>
      </c>
      <c r="R411" s="2"/>
    </row>
    <row r="412" spans="1:18" x14ac:dyDescent="0.25">
      <c r="A412" s="23" t="s">
        <v>584</v>
      </c>
      <c r="B412" s="2" t="s">
        <v>1593</v>
      </c>
      <c r="C412" s="3" t="s">
        <v>1594</v>
      </c>
      <c r="D412" s="3" t="s">
        <v>23</v>
      </c>
      <c r="E412" s="2" t="s">
        <v>24</v>
      </c>
      <c r="F412" s="4">
        <v>0</v>
      </c>
      <c r="G412" s="8">
        <f t="shared" ref="G412:G475" si="87">IF(C412="Ionizador", 10, IF(C412="Mesa", 1000000000, IF(C412="Rack", 1000000000, IF(C412="Piso", 1000000000, IF(C412="Tapete", 1000000000, IF(C412="Carrito", 1000000000, IF(C412="Cautín", 10, 1)))))))</f>
        <v>1</v>
      </c>
      <c r="H412" s="4" t="str">
        <f t="shared" si="75"/>
        <v>Ohms</v>
      </c>
      <c r="I412" s="6">
        <v>0.27900000000000003</v>
      </c>
      <c r="J412" s="6" t="str">
        <f t="shared" si="76"/>
        <v>Ohms</v>
      </c>
      <c r="K412" s="2" t="str">
        <f t="shared" si="77"/>
        <v>RTG</v>
      </c>
      <c r="L412" s="2">
        <v>49678363</v>
      </c>
      <c r="M412" s="7">
        <v>45946</v>
      </c>
      <c r="N412" s="7">
        <f t="shared" ref="N412:N475" si="88">IF(O412="Trimestral", M412+90, IF(O412="Semestral", M412+180, IF(O412="Mensual", M412+30, M412+365)))</f>
        <v>46311</v>
      </c>
      <c r="O412" s="7" t="str">
        <f t="shared" si="85"/>
        <v>Anual</v>
      </c>
      <c r="P412" s="2" t="str">
        <f t="shared" ca="1" si="86"/>
        <v>VIGENTE</v>
      </c>
      <c r="Q412" s="6" t="s">
        <v>25</v>
      </c>
      <c r="R412" s="2"/>
    </row>
    <row r="413" spans="1:18" x14ac:dyDescent="0.25">
      <c r="A413" s="23" t="s">
        <v>584</v>
      </c>
      <c r="B413" s="2" t="s">
        <v>1595</v>
      </c>
      <c r="C413" s="3" t="s">
        <v>1594</v>
      </c>
      <c r="D413" s="3" t="s">
        <v>23</v>
      </c>
      <c r="E413" s="2" t="s">
        <v>24</v>
      </c>
      <c r="F413" s="4">
        <v>0</v>
      </c>
      <c r="G413" s="8">
        <f t="shared" si="87"/>
        <v>1</v>
      </c>
      <c r="H413" s="4" t="str">
        <f t="shared" si="75"/>
        <v>Ohms</v>
      </c>
      <c r="I413" s="6">
        <v>0.30299999999999999</v>
      </c>
      <c r="J413" s="6" t="str">
        <f t="shared" si="76"/>
        <v>Ohms</v>
      </c>
      <c r="K413" s="2" t="str">
        <f t="shared" si="77"/>
        <v>RTG</v>
      </c>
      <c r="L413" s="2">
        <v>49678363</v>
      </c>
      <c r="M413" s="7">
        <v>45946</v>
      </c>
      <c r="N413" s="7">
        <f t="shared" si="88"/>
        <v>46311</v>
      </c>
      <c r="O413" s="7" t="str">
        <f t="shared" si="85"/>
        <v>Anual</v>
      </c>
      <c r="P413" s="2" t="str">
        <f t="shared" ca="1" si="86"/>
        <v>VIGENTE</v>
      </c>
      <c r="Q413" s="6" t="s">
        <v>25</v>
      </c>
      <c r="R413" s="2"/>
    </row>
    <row r="414" spans="1:18" x14ac:dyDescent="0.25">
      <c r="A414" s="23" t="s">
        <v>584</v>
      </c>
      <c r="B414" s="2" t="s">
        <v>1596</v>
      </c>
      <c r="C414" s="3" t="s">
        <v>261</v>
      </c>
      <c r="D414" s="3" t="s">
        <v>23</v>
      </c>
      <c r="E414" s="2" t="s">
        <v>24</v>
      </c>
      <c r="F414" s="4">
        <v>0</v>
      </c>
      <c r="G414" s="8">
        <f t="shared" si="87"/>
        <v>1</v>
      </c>
      <c r="H414" s="4" t="str">
        <f t="shared" si="75"/>
        <v>Ohms</v>
      </c>
      <c r="I414" s="6">
        <v>0.28100000000000003</v>
      </c>
      <c r="J414" s="6" t="str">
        <f t="shared" si="76"/>
        <v>Ohms</v>
      </c>
      <c r="K414" s="2" t="str">
        <f t="shared" si="77"/>
        <v>RTG</v>
      </c>
      <c r="L414" s="2">
        <v>49678363</v>
      </c>
      <c r="M414" s="7">
        <v>45946</v>
      </c>
      <c r="N414" s="7">
        <f t="shared" si="88"/>
        <v>46311</v>
      </c>
      <c r="O414" s="7" t="str">
        <f t="shared" si="85"/>
        <v>Anual</v>
      </c>
      <c r="P414" s="2" t="str">
        <f t="shared" ca="1" si="86"/>
        <v>VIGENTE</v>
      </c>
      <c r="Q414" s="6" t="s">
        <v>25</v>
      </c>
      <c r="R414" s="2"/>
    </row>
    <row r="415" spans="1:18" x14ac:dyDescent="0.25">
      <c r="A415" s="23" t="s">
        <v>584</v>
      </c>
      <c r="B415" s="2" t="s">
        <v>1597</v>
      </c>
      <c r="C415" s="3" t="s">
        <v>1598</v>
      </c>
      <c r="D415" s="3" t="s">
        <v>23</v>
      </c>
      <c r="E415" s="2" t="s">
        <v>24</v>
      </c>
      <c r="F415" s="4">
        <v>0</v>
      </c>
      <c r="G415" s="8">
        <f t="shared" si="87"/>
        <v>1</v>
      </c>
      <c r="H415" s="4" t="str">
        <f t="shared" si="75"/>
        <v>Ohms</v>
      </c>
      <c r="I415" s="6">
        <v>0.38900000000000001</v>
      </c>
      <c r="J415" s="6" t="str">
        <f t="shared" si="76"/>
        <v>Ohms</v>
      </c>
      <c r="K415" s="2" t="str">
        <f t="shared" si="77"/>
        <v>RTG</v>
      </c>
      <c r="L415" s="2">
        <v>49678363</v>
      </c>
      <c r="M415" s="7">
        <v>45946</v>
      </c>
      <c r="N415" s="7">
        <f t="shared" si="88"/>
        <v>46311</v>
      </c>
      <c r="O415" s="7" t="str">
        <f t="shared" si="85"/>
        <v>Anual</v>
      </c>
      <c r="P415" s="2" t="str">
        <f t="shared" ca="1" si="86"/>
        <v>VIGENTE</v>
      </c>
      <c r="Q415" s="6" t="s">
        <v>25</v>
      </c>
      <c r="R415" s="2"/>
    </row>
    <row r="416" spans="1:18" x14ac:dyDescent="0.25">
      <c r="A416" s="23" t="s">
        <v>584</v>
      </c>
      <c r="B416" s="2" t="s">
        <v>1599</v>
      </c>
      <c r="C416" s="3" t="s">
        <v>1600</v>
      </c>
      <c r="D416" s="3" t="s">
        <v>23</v>
      </c>
      <c r="E416" s="2" t="s">
        <v>24</v>
      </c>
      <c r="F416" s="4">
        <v>0</v>
      </c>
      <c r="G416" s="8">
        <f t="shared" si="87"/>
        <v>1</v>
      </c>
      <c r="H416" s="4" t="str">
        <f t="shared" si="75"/>
        <v>Ohms</v>
      </c>
      <c r="I416" s="6">
        <v>0.26500000000000001</v>
      </c>
      <c r="J416" s="6" t="str">
        <f t="shared" si="76"/>
        <v>Ohms</v>
      </c>
      <c r="K416" s="2" t="str">
        <f t="shared" si="77"/>
        <v>RTG</v>
      </c>
      <c r="L416" s="2">
        <v>49678363</v>
      </c>
      <c r="M416" s="7">
        <v>45946</v>
      </c>
      <c r="N416" s="7">
        <f t="shared" si="88"/>
        <v>46311</v>
      </c>
      <c r="O416" s="7" t="str">
        <f t="shared" si="85"/>
        <v>Anual</v>
      </c>
      <c r="P416" s="2" t="str">
        <f t="shared" ca="1" si="86"/>
        <v>VIGENTE</v>
      </c>
      <c r="Q416" s="6" t="s">
        <v>25</v>
      </c>
      <c r="R416" s="2"/>
    </row>
    <row r="417" spans="1:18" x14ac:dyDescent="0.25">
      <c r="A417" s="23" t="s">
        <v>584</v>
      </c>
      <c r="B417" s="2" t="s">
        <v>1601</v>
      </c>
      <c r="C417" s="3" t="s">
        <v>261</v>
      </c>
      <c r="D417" s="3" t="s">
        <v>23</v>
      </c>
      <c r="E417" s="2" t="s">
        <v>24</v>
      </c>
      <c r="F417" s="4">
        <v>0</v>
      </c>
      <c r="G417" s="8">
        <f t="shared" si="87"/>
        <v>1</v>
      </c>
      <c r="H417" s="4" t="str">
        <f t="shared" si="75"/>
        <v>Ohms</v>
      </c>
      <c r="I417" s="6">
        <v>0.55000000000000004</v>
      </c>
      <c r="J417" s="6" t="str">
        <f t="shared" si="76"/>
        <v>Ohms</v>
      </c>
      <c r="K417" s="2" t="str">
        <f t="shared" si="77"/>
        <v>RTG</v>
      </c>
      <c r="L417" s="2">
        <v>49678363</v>
      </c>
      <c r="M417" s="7">
        <v>45946</v>
      </c>
      <c r="N417" s="7">
        <f t="shared" si="88"/>
        <v>46311</v>
      </c>
      <c r="O417" s="7" t="str">
        <f t="shared" si="85"/>
        <v>Anual</v>
      </c>
      <c r="P417" s="2" t="str">
        <f t="shared" ca="1" si="86"/>
        <v>VIGENTE</v>
      </c>
      <c r="Q417" s="6" t="s">
        <v>25</v>
      </c>
      <c r="R417" s="2"/>
    </row>
    <row r="418" spans="1:18" x14ac:dyDescent="0.25">
      <c r="A418" s="23" t="s">
        <v>584</v>
      </c>
      <c r="B418" s="2" t="s">
        <v>1602</v>
      </c>
      <c r="C418" s="3" t="s">
        <v>847</v>
      </c>
      <c r="D418" s="3" t="s">
        <v>23</v>
      </c>
      <c r="E418" s="2" t="s">
        <v>24</v>
      </c>
      <c r="F418" s="4">
        <v>0</v>
      </c>
      <c r="G418" s="8">
        <f t="shared" si="87"/>
        <v>1</v>
      </c>
      <c r="H418" s="4" t="str">
        <f t="shared" si="75"/>
        <v>Ohms</v>
      </c>
      <c r="I418" s="6">
        <v>0.28999999999999998</v>
      </c>
      <c r="J418" s="6" t="str">
        <f t="shared" si="76"/>
        <v>Ohms</v>
      </c>
      <c r="K418" s="2" t="str">
        <f t="shared" si="77"/>
        <v>RTG</v>
      </c>
      <c r="L418" s="2">
        <v>49678363</v>
      </c>
      <c r="M418" s="7">
        <v>45946</v>
      </c>
      <c r="N418" s="7">
        <f t="shared" si="88"/>
        <v>46311</v>
      </c>
      <c r="O418" s="7" t="str">
        <f t="shared" si="85"/>
        <v>Anual</v>
      </c>
      <c r="P418" s="2" t="str">
        <f t="shared" ca="1" si="86"/>
        <v>VIGENTE</v>
      </c>
      <c r="Q418" s="6" t="s">
        <v>25</v>
      </c>
      <c r="R418" s="2"/>
    </row>
    <row r="419" spans="1:18" x14ac:dyDescent="0.25">
      <c r="A419" s="23" t="s">
        <v>584</v>
      </c>
      <c r="B419" s="2" t="s">
        <v>1603</v>
      </c>
      <c r="C419" s="3" t="s">
        <v>261</v>
      </c>
      <c r="D419" s="3" t="s">
        <v>23</v>
      </c>
      <c r="E419" s="2" t="s">
        <v>24</v>
      </c>
      <c r="F419" s="4">
        <v>0</v>
      </c>
      <c r="G419" s="8">
        <f t="shared" si="87"/>
        <v>1</v>
      </c>
      <c r="H419" s="4" t="str">
        <f t="shared" si="75"/>
        <v>Ohms</v>
      </c>
      <c r="I419" s="6">
        <v>0.46300000000000002</v>
      </c>
      <c r="J419" s="6" t="str">
        <f t="shared" si="76"/>
        <v>Ohms</v>
      </c>
      <c r="K419" s="2" t="str">
        <f t="shared" si="77"/>
        <v>RTG</v>
      </c>
      <c r="L419" s="2">
        <v>49678363</v>
      </c>
      <c r="M419" s="7">
        <v>45946</v>
      </c>
      <c r="N419" s="7">
        <f t="shared" si="88"/>
        <v>46311</v>
      </c>
      <c r="O419" s="7" t="str">
        <f t="shared" si="85"/>
        <v>Anual</v>
      </c>
      <c r="P419" s="2" t="str">
        <f t="shared" ca="1" si="86"/>
        <v>VIGENTE</v>
      </c>
      <c r="Q419" s="6" t="s">
        <v>25</v>
      </c>
      <c r="R419" s="2"/>
    </row>
    <row r="420" spans="1:18" x14ac:dyDescent="0.25">
      <c r="A420" s="23" t="s">
        <v>584</v>
      </c>
      <c r="B420" s="2" t="s">
        <v>1604</v>
      </c>
      <c r="C420" s="3" t="s">
        <v>1279</v>
      </c>
      <c r="D420" s="3" t="s">
        <v>23</v>
      </c>
      <c r="E420" s="2" t="s">
        <v>24</v>
      </c>
      <c r="F420" s="4">
        <v>0</v>
      </c>
      <c r="G420" s="8">
        <f t="shared" si="87"/>
        <v>1</v>
      </c>
      <c r="H420" s="4" t="str">
        <f t="shared" si="75"/>
        <v>Ohms</v>
      </c>
      <c r="I420" s="6">
        <v>0.318</v>
      </c>
      <c r="J420" s="6" t="str">
        <f t="shared" si="76"/>
        <v>Ohms</v>
      </c>
      <c r="K420" s="2" t="str">
        <f t="shared" si="77"/>
        <v>RTG</v>
      </c>
      <c r="L420" s="2">
        <v>49678363</v>
      </c>
      <c r="M420" s="7">
        <v>45946</v>
      </c>
      <c r="N420" s="7">
        <f t="shared" si="88"/>
        <v>46311</v>
      </c>
      <c r="O420" s="7" t="str">
        <f t="shared" si="85"/>
        <v>Anual</v>
      </c>
      <c r="P420" s="2" t="str">
        <f t="shared" ca="1" si="86"/>
        <v>VIGENTE</v>
      </c>
      <c r="Q420" s="6" t="s">
        <v>25</v>
      </c>
      <c r="R420" s="2"/>
    </row>
    <row r="421" spans="1:18" x14ac:dyDescent="0.25">
      <c r="A421" s="23" t="s">
        <v>584</v>
      </c>
      <c r="B421" s="2" t="s">
        <v>1605</v>
      </c>
      <c r="C421" s="3" t="s">
        <v>265</v>
      </c>
      <c r="D421" s="3" t="s">
        <v>23</v>
      </c>
      <c r="E421" s="2" t="s">
        <v>24</v>
      </c>
      <c r="F421" s="4">
        <v>0</v>
      </c>
      <c r="G421" s="8">
        <f t="shared" si="87"/>
        <v>1</v>
      </c>
      <c r="H421" s="4" t="str">
        <f t="shared" si="75"/>
        <v>Ohms</v>
      </c>
      <c r="I421" s="6">
        <v>0.19700000000000001</v>
      </c>
      <c r="J421" s="6" t="str">
        <f t="shared" si="76"/>
        <v>Ohms</v>
      </c>
      <c r="K421" s="2" t="str">
        <f t="shared" si="77"/>
        <v>RTG</v>
      </c>
      <c r="L421" s="2">
        <v>49678363</v>
      </c>
      <c r="M421" s="7">
        <v>45946</v>
      </c>
      <c r="N421" s="7">
        <f t="shared" si="88"/>
        <v>46311</v>
      </c>
      <c r="O421" s="7" t="str">
        <f t="shared" si="85"/>
        <v>Anual</v>
      </c>
      <c r="P421" s="2" t="str">
        <f t="shared" ca="1" si="86"/>
        <v>VIGENTE</v>
      </c>
      <c r="Q421" s="6" t="s">
        <v>25</v>
      </c>
      <c r="R421" s="2"/>
    </row>
    <row r="422" spans="1:18" x14ac:dyDescent="0.25">
      <c r="A422" s="23" t="s">
        <v>584</v>
      </c>
      <c r="B422" s="2" t="s">
        <v>1606</v>
      </c>
      <c r="C422" s="3" t="s">
        <v>267</v>
      </c>
      <c r="D422" s="3" t="s">
        <v>23</v>
      </c>
      <c r="E422" s="2" t="s">
        <v>24</v>
      </c>
      <c r="F422" s="4">
        <v>0</v>
      </c>
      <c r="G422" s="8">
        <f t="shared" si="87"/>
        <v>1</v>
      </c>
      <c r="H422" s="4" t="str">
        <f t="shared" si="75"/>
        <v>Ohms</v>
      </c>
      <c r="I422" s="6">
        <v>0.29899999999999999</v>
      </c>
      <c r="J422" s="6" t="str">
        <f t="shared" si="76"/>
        <v>Ohms</v>
      </c>
      <c r="K422" s="2" t="str">
        <f t="shared" si="77"/>
        <v>RTG</v>
      </c>
      <c r="L422" s="2">
        <v>49678363</v>
      </c>
      <c r="M422" s="7">
        <v>45946</v>
      </c>
      <c r="N422" s="7">
        <f t="shared" si="88"/>
        <v>46311</v>
      </c>
      <c r="O422" s="7" t="str">
        <f t="shared" si="85"/>
        <v>Anual</v>
      </c>
      <c r="P422" s="2" t="str">
        <f t="shared" ca="1" si="86"/>
        <v>VIGENTE</v>
      </c>
      <c r="Q422" s="6" t="s">
        <v>25</v>
      </c>
      <c r="R422" s="2"/>
    </row>
    <row r="423" spans="1:18" x14ac:dyDescent="0.25">
      <c r="A423" s="23" t="s">
        <v>584</v>
      </c>
      <c r="B423" s="2" t="s">
        <v>746</v>
      </c>
      <c r="C423" s="3"/>
      <c r="D423" s="3" t="s">
        <v>23</v>
      </c>
      <c r="E423" s="2" t="s">
        <v>24</v>
      </c>
      <c r="F423" s="4">
        <v>1</v>
      </c>
      <c r="G423" s="8">
        <f t="shared" si="87"/>
        <v>1</v>
      </c>
      <c r="H423" s="4" t="str">
        <f t="shared" si="75"/>
        <v>Ohms</v>
      </c>
      <c r="I423" s="6">
        <v>0.28000000000000003</v>
      </c>
      <c r="J423" s="6" t="str">
        <f t="shared" si="76"/>
        <v>Ohms</v>
      </c>
      <c r="K423" s="2" t="str">
        <f t="shared" si="77"/>
        <v>RTG</v>
      </c>
      <c r="L423" s="2"/>
      <c r="M423" s="7">
        <v>45838</v>
      </c>
      <c r="N423" s="7">
        <f t="shared" si="88"/>
        <v>46203</v>
      </c>
      <c r="O423" s="7" t="str">
        <f t="shared" si="85"/>
        <v>Anual</v>
      </c>
      <c r="P423" s="2" t="str">
        <f t="shared" ca="1" si="86"/>
        <v>VIGENTE</v>
      </c>
      <c r="Q423" s="6" t="s">
        <v>25</v>
      </c>
      <c r="R423" s="2"/>
    </row>
    <row r="424" spans="1:18" x14ac:dyDescent="0.25">
      <c r="A424" s="23" t="s">
        <v>584</v>
      </c>
      <c r="B424" s="2" t="s">
        <v>748</v>
      </c>
      <c r="C424" s="3"/>
      <c r="D424" s="3" t="s">
        <v>23</v>
      </c>
      <c r="E424" s="2" t="s">
        <v>24</v>
      </c>
      <c r="F424" s="4">
        <v>1</v>
      </c>
      <c r="G424" s="8">
        <f t="shared" si="87"/>
        <v>1</v>
      </c>
      <c r="H424" s="4" t="str">
        <f t="shared" si="75"/>
        <v>Ohms</v>
      </c>
      <c r="I424" s="6">
        <v>0.47799999999999998</v>
      </c>
      <c r="J424" s="6" t="str">
        <f t="shared" si="76"/>
        <v>Ohms</v>
      </c>
      <c r="K424" s="2" t="str">
        <f t="shared" si="77"/>
        <v>RTG</v>
      </c>
      <c r="L424" s="2"/>
      <c r="M424" s="7">
        <v>45838</v>
      </c>
      <c r="N424" s="7">
        <f t="shared" si="88"/>
        <v>46203</v>
      </c>
      <c r="O424" s="7" t="str">
        <f t="shared" si="85"/>
        <v>Anual</v>
      </c>
      <c r="P424" s="2" t="str">
        <f t="shared" ca="1" si="86"/>
        <v>VIGENTE</v>
      </c>
      <c r="Q424" s="6" t="s">
        <v>25</v>
      </c>
      <c r="R424" s="2"/>
    </row>
    <row r="425" spans="1:18" x14ac:dyDescent="0.25">
      <c r="A425" s="23" t="s">
        <v>584</v>
      </c>
      <c r="B425" s="2" t="s">
        <v>749</v>
      </c>
      <c r="C425" s="3"/>
      <c r="D425" s="3" t="s">
        <v>23</v>
      </c>
      <c r="E425" s="2" t="s">
        <v>24</v>
      </c>
      <c r="F425" s="4">
        <v>2</v>
      </c>
      <c r="G425" s="8">
        <f t="shared" si="87"/>
        <v>1</v>
      </c>
      <c r="H425" s="4" t="str">
        <f t="shared" si="75"/>
        <v>Ohms</v>
      </c>
      <c r="I425" s="6">
        <v>0.51300000000000001</v>
      </c>
      <c r="J425" s="6" t="str">
        <f t="shared" si="76"/>
        <v>Ohms</v>
      </c>
      <c r="K425" s="2" t="str">
        <f t="shared" si="77"/>
        <v>RTG</v>
      </c>
      <c r="L425" s="2"/>
      <c r="M425" s="7">
        <v>45839</v>
      </c>
      <c r="N425" s="7">
        <f t="shared" si="88"/>
        <v>46204</v>
      </c>
      <c r="O425" s="7" t="str">
        <f t="shared" si="85"/>
        <v>Anual</v>
      </c>
      <c r="P425" s="2" t="str">
        <f t="shared" ca="1" si="86"/>
        <v>VIGENTE</v>
      </c>
      <c r="Q425" s="6" t="s">
        <v>25</v>
      </c>
      <c r="R425" s="2"/>
    </row>
    <row r="426" spans="1:18" x14ac:dyDescent="0.25">
      <c r="A426" s="23" t="s">
        <v>151</v>
      </c>
      <c r="B426" s="2" t="s">
        <v>1607</v>
      </c>
      <c r="C426" s="3" t="s">
        <v>259</v>
      </c>
      <c r="D426" s="3" t="s">
        <v>23</v>
      </c>
      <c r="E426" s="2" t="s">
        <v>24</v>
      </c>
      <c r="F426" s="4">
        <v>0</v>
      </c>
      <c r="G426" s="8">
        <f t="shared" si="87"/>
        <v>1</v>
      </c>
      <c r="H426" s="4" t="str">
        <f t="shared" si="75"/>
        <v>Ohms</v>
      </c>
      <c r="I426" s="6">
        <v>0.56999999999999995</v>
      </c>
      <c r="J426" s="6" t="str">
        <f t="shared" si="76"/>
        <v>Ohms</v>
      </c>
      <c r="K426" s="2" t="str">
        <f t="shared" si="77"/>
        <v>RTG</v>
      </c>
      <c r="L426" s="2"/>
      <c r="M426" s="7">
        <v>46079</v>
      </c>
      <c r="N426" s="7">
        <f t="shared" si="88"/>
        <v>46444</v>
      </c>
      <c r="O426" s="7" t="str">
        <f t="shared" si="85"/>
        <v>Anual</v>
      </c>
      <c r="P426" s="2" t="str">
        <f t="shared" ca="1" si="86"/>
        <v>VIGENTE</v>
      </c>
      <c r="Q426" s="6" t="s">
        <v>25</v>
      </c>
      <c r="R426" s="2"/>
    </row>
    <row r="427" spans="1:18" x14ac:dyDescent="0.25">
      <c r="A427" s="23" t="s">
        <v>151</v>
      </c>
      <c r="B427" s="2" t="s">
        <v>1608</v>
      </c>
      <c r="C427" s="3" t="s">
        <v>810</v>
      </c>
      <c r="D427" s="3" t="s">
        <v>23</v>
      </c>
      <c r="E427" s="2" t="s">
        <v>24</v>
      </c>
      <c r="F427" s="4">
        <v>0</v>
      </c>
      <c r="G427" s="8">
        <f t="shared" si="87"/>
        <v>1</v>
      </c>
      <c r="H427" s="4" t="str">
        <f t="shared" si="75"/>
        <v>Ohms</v>
      </c>
      <c r="I427" s="6">
        <v>0.56100000000000005</v>
      </c>
      <c r="J427" s="6" t="str">
        <f t="shared" si="76"/>
        <v>Ohms</v>
      </c>
      <c r="K427" s="2" t="str">
        <f t="shared" si="77"/>
        <v>RTG</v>
      </c>
      <c r="L427" s="2"/>
      <c r="M427" s="7">
        <v>46079</v>
      </c>
      <c r="N427" s="7">
        <f t="shared" si="88"/>
        <v>46444</v>
      </c>
      <c r="O427" s="7" t="str">
        <f t="shared" si="85"/>
        <v>Anual</v>
      </c>
      <c r="P427" s="2" t="str">
        <f t="shared" ca="1" si="86"/>
        <v>VIGENTE</v>
      </c>
      <c r="Q427" s="6" t="s">
        <v>25</v>
      </c>
      <c r="R427" s="2"/>
    </row>
    <row r="428" spans="1:18" x14ac:dyDescent="0.25">
      <c r="A428" s="23" t="s">
        <v>151</v>
      </c>
      <c r="B428" s="2" t="s">
        <v>1609</v>
      </c>
      <c r="C428" s="3" t="s">
        <v>261</v>
      </c>
      <c r="D428" s="3" t="s">
        <v>23</v>
      </c>
      <c r="E428" s="2" t="s">
        <v>24</v>
      </c>
      <c r="F428" s="4">
        <v>0</v>
      </c>
      <c r="G428" s="8">
        <f t="shared" si="87"/>
        <v>1</v>
      </c>
      <c r="H428" s="4" t="str">
        <f t="shared" si="75"/>
        <v>Ohms</v>
      </c>
      <c r="I428" s="6">
        <v>0.58099999999999996</v>
      </c>
      <c r="J428" s="6" t="str">
        <f t="shared" si="76"/>
        <v>Ohms</v>
      </c>
      <c r="K428" s="2" t="str">
        <f t="shared" si="77"/>
        <v>RTG</v>
      </c>
      <c r="L428" s="2"/>
      <c r="M428" s="7">
        <v>46079</v>
      </c>
      <c r="N428" s="7">
        <f t="shared" si="88"/>
        <v>46444</v>
      </c>
      <c r="O428" s="7" t="str">
        <f t="shared" si="85"/>
        <v>Anual</v>
      </c>
      <c r="P428" s="2" t="str">
        <f t="shared" ca="1" si="86"/>
        <v>VIGENTE</v>
      </c>
      <c r="Q428" s="6" t="s">
        <v>25</v>
      </c>
      <c r="R428" s="2"/>
    </row>
    <row r="429" spans="1:18" x14ac:dyDescent="0.25">
      <c r="A429" s="23" t="s">
        <v>151</v>
      </c>
      <c r="B429" s="2" t="s">
        <v>1610</v>
      </c>
      <c r="C429" s="3" t="s">
        <v>1594</v>
      </c>
      <c r="D429" s="3" t="s">
        <v>23</v>
      </c>
      <c r="E429" s="2" t="s">
        <v>24</v>
      </c>
      <c r="F429" s="4">
        <v>0</v>
      </c>
      <c r="G429" s="8">
        <f t="shared" si="87"/>
        <v>1</v>
      </c>
      <c r="H429" s="4" t="str">
        <f t="shared" si="75"/>
        <v>Ohms</v>
      </c>
      <c r="I429" s="6">
        <v>0.30099999999999999</v>
      </c>
      <c r="J429" s="6" t="str">
        <f t="shared" si="76"/>
        <v>Ohms</v>
      </c>
      <c r="K429" s="2" t="str">
        <f t="shared" si="77"/>
        <v>RTG</v>
      </c>
      <c r="L429" s="2"/>
      <c r="M429" s="7">
        <v>46079</v>
      </c>
      <c r="N429" s="7">
        <f t="shared" si="88"/>
        <v>46444</v>
      </c>
      <c r="O429" s="7" t="str">
        <f t="shared" si="85"/>
        <v>Anual</v>
      </c>
      <c r="P429" s="2" t="str">
        <f t="shared" ca="1" si="86"/>
        <v>VIGENTE</v>
      </c>
      <c r="Q429" s="6" t="s">
        <v>25</v>
      </c>
      <c r="R429" s="2"/>
    </row>
    <row r="430" spans="1:18" x14ac:dyDescent="0.25">
      <c r="A430" s="23" t="s">
        <v>151</v>
      </c>
      <c r="B430" s="2" t="s">
        <v>1611</v>
      </c>
      <c r="C430" s="3" t="s">
        <v>1594</v>
      </c>
      <c r="D430" s="3" t="s">
        <v>23</v>
      </c>
      <c r="E430" s="2" t="s">
        <v>24</v>
      </c>
      <c r="F430" s="4">
        <v>0</v>
      </c>
      <c r="G430" s="8">
        <f t="shared" si="87"/>
        <v>1</v>
      </c>
      <c r="H430" s="4" t="str">
        <f t="shared" si="75"/>
        <v>Ohms</v>
      </c>
      <c r="I430" s="6">
        <v>0.443</v>
      </c>
      <c r="J430" s="6" t="str">
        <f t="shared" si="76"/>
        <v>Ohms</v>
      </c>
      <c r="K430" s="2" t="str">
        <f t="shared" si="77"/>
        <v>RTG</v>
      </c>
      <c r="L430" s="2"/>
      <c r="M430" s="7">
        <v>46079</v>
      </c>
      <c r="N430" s="7">
        <f t="shared" si="88"/>
        <v>46444</v>
      </c>
      <c r="O430" s="7" t="str">
        <f t="shared" si="85"/>
        <v>Anual</v>
      </c>
      <c r="P430" s="2" t="str">
        <f t="shared" ca="1" si="86"/>
        <v>VIGENTE</v>
      </c>
      <c r="Q430" s="6" t="s">
        <v>25</v>
      </c>
      <c r="R430" s="2"/>
    </row>
    <row r="431" spans="1:18" x14ac:dyDescent="0.25">
      <c r="A431" s="23" t="s">
        <v>151</v>
      </c>
      <c r="B431" s="2" t="s">
        <v>1612</v>
      </c>
      <c r="C431" s="3" t="s">
        <v>261</v>
      </c>
      <c r="D431" s="3" t="s">
        <v>23</v>
      </c>
      <c r="E431" s="2" t="s">
        <v>24</v>
      </c>
      <c r="F431" s="4">
        <v>0</v>
      </c>
      <c r="G431" s="8">
        <f t="shared" si="87"/>
        <v>1</v>
      </c>
      <c r="H431" s="4" t="str">
        <f t="shared" si="75"/>
        <v>Ohms</v>
      </c>
      <c r="I431" s="6">
        <v>0.59899999999999998</v>
      </c>
      <c r="J431" s="6" t="str">
        <f t="shared" si="76"/>
        <v>Ohms</v>
      </c>
      <c r="K431" s="2" t="str">
        <f t="shared" si="77"/>
        <v>RTG</v>
      </c>
      <c r="L431" s="2"/>
      <c r="M431" s="7">
        <v>46079</v>
      </c>
      <c r="N431" s="7">
        <f t="shared" si="88"/>
        <v>46444</v>
      </c>
      <c r="O431" s="7" t="str">
        <f t="shared" si="85"/>
        <v>Anual</v>
      </c>
      <c r="P431" s="2" t="str">
        <f t="shared" ca="1" si="86"/>
        <v>VIGENTE</v>
      </c>
      <c r="Q431" s="6" t="s">
        <v>25</v>
      </c>
      <c r="R431" s="2"/>
    </row>
    <row r="432" spans="1:18" x14ac:dyDescent="0.25">
      <c r="A432" s="23" t="s">
        <v>151</v>
      </c>
      <c r="B432" s="2" t="s">
        <v>1613</v>
      </c>
      <c r="C432" s="3" t="s">
        <v>261</v>
      </c>
      <c r="D432" s="3" t="s">
        <v>23</v>
      </c>
      <c r="E432" s="2" t="s">
        <v>24</v>
      </c>
      <c r="F432" s="4">
        <v>0</v>
      </c>
      <c r="G432" s="8">
        <f t="shared" si="87"/>
        <v>1</v>
      </c>
      <c r="H432" s="4" t="str">
        <f t="shared" si="75"/>
        <v>Ohms</v>
      </c>
      <c r="I432" s="6">
        <v>0.372</v>
      </c>
      <c r="J432" s="6" t="str">
        <f t="shared" si="76"/>
        <v>Ohms</v>
      </c>
      <c r="K432" s="2" t="str">
        <f t="shared" si="77"/>
        <v>RTG</v>
      </c>
      <c r="L432" s="2"/>
      <c r="M432" s="7">
        <v>46079</v>
      </c>
      <c r="N432" s="7">
        <f t="shared" si="88"/>
        <v>46444</v>
      </c>
      <c r="O432" s="7" t="str">
        <f t="shared" si="85"/>
        <v>Anual</v>
      </c>
      <c r="P432" s="2" t="str">
        <f t="shared" ca="1" si="86"/>
        <v>VIGENTE</v>
      </c>
      <c r="Q432" s="6" t="s">
        <v>25</v>
      </c>
      <c r="R432" s="2"/>
    </row>
    <row r="433" spans="1:18" x14ac:dyDescent="0.25">
      <c r="A433" s="23" t="s">
        <v>151</v>
      </c>
      <c r="B433" s="2" t="s">
        <v>1614</v>
      </c>
      <c r="C433" s="3" t="s">
        <v>1598</v>
      </c>
      <c r="D433" s="3" t="s">
        <v>23</v>
      </c>
      <c r="E433" s="2" t="s">
        <v>24</v>
      </c>
      <c r="F433" s="4">
        <v>0</v>
      </c>
      <c r="G433" s="8">
        <f t="shared" si="87"/>
        <v>1</v>
      </c>
      <c r="H433" s="4" t="str">
        <f t="shared" si="75"/>
        <v>Ohms</v>
      </c>
      <c r="I433" s="6">
        <v>0.36199999999999999</v>
      </c>
      <c r="J433" s="6" t="str">
        <f t="shared" si="76"/>
        <v>Ohms</v>
      </c>
      <c r="K433" s="2" t="str">
        <f t="shared" si="77"/>
        <v>RTG</v>
      </c>
      <c r="L433" s="2"/>
      <c r="M433" s="7">
        <v>46079</v>
      </c>
      <c r="N433" s="7">
        <f t="shared" si="88"/>
        <v>46444</v>
      </c>
      <c r="O433" s="7" t="str">
        <f t="shared" si="85"/>
        <v>Anual</v>
      </c>
      <c r="P433" s="2" t="str">
        <f t="shared" ca="1" si="86"/>
        <v>VIGENTE</v>
      </c>
      <c r="Q433" s="6" t="s">
        <v>25</v>
      </c>
      <c r="R433" s="2"/>
    </row>
    <row r="434" spans="1:18" x14ac:dyDescent="0.25">
      <c r="A434" s="23" t="s">
        <v>151</v>
      </c>
      <c r="B434" s="2" t="s">
        <v>1615</v>
      </c>
      <c r="C434" s="3" t="s">
        <v>1616</v>
      </c>
      <c r="D434" s="3" t="s">
        <v>23</v>
      </c>
      <c r="E434" s="2" t="s">
        <v>24</v>
      </c>
      <c r="F434" s="4">
        <v>0</v>
      </c>
      <c r="G434" s="8">
        <f t="shared" si="87"/>
        <v>1</v>
      </c>
      <c r="H434" s="4" t="str">
        <f t="shared" si="75"/>
        <v>Ohms</v>
      </c>
      <c r="I434" s="6">
        <v>0.82799999999999996</v>
      </c>
      <c r="J434" s="6" t="str">
        <f t="shared" si="76"/>
        <v>Ohms</v>
      </c>
      <c r="K434" s="2" t="str">
        <f t="shared" si="77"/>
        <v>RTG</v>
      </c>
      <c r="L434" s="2"/>
      <c r="M434" s="7">
        <v>46079</v>
      </c>
      <c r="N434" s="7">
        <f t="shared" si="88"/>
        <v>46444</v>
      </c>
      <c r="O434" s="7" t="str">
        <f t="shared" si="85"/>
        <v>Anual</v>
      </c>
      <c r="P434" s="2" t="str">
        <f t="shared" ca="1" si="86"/>
        <v>VIGENTE</v>
      </c>
      <c r="Q434" s="6" t="s">
        <v>25</v>
      </c>
      <c r="R434" s="2"/>
    </row>
    <row r="435" spans="1:18" x14ac:dyDescent="0.25">
      <c r="A435" s="23" t="s">
        <v>151</v>
      </c>
      <c r="B435" s="2" t="s">
        <v>1617</v>
      </c>
      <c r="C435" s="3" t="s">
        <v>261</v>
      </c>
      <c r="D435" s="3" t="s">
        <v>23</v>
      </c>
      <c r="E435" s="2" t="s">
        <v>24</v>
      </c>
      <c r="F435" s="4">
        <v>0</v>
      </c>
      <c r="G435" s="8">
        <f t="shared" si="87"/>
        <v>1</v>
      </c>
      <c r="H435" s="4" t="str">
        <f t="shared" si="75"/>
        <v>Ohms</v>
      </c>
      <c r="I435" s="6">
        <v>0.65500000000000003</v>
      </c>
      <c r="J435" s="6" t="str">
        <f t="shared" si="76"/>
        <v>Ohms</v>
      </c>
      <c r="K435" s="2" t="str">
        <f t="shared" si="77"/>
        <v>RTG</v>
      </c>
      <c r="L435" s="2"/>
      <c r="M435" s="7">
        <v>46079</v>
      </c>
      <c r="N435" s="7">
        <f t="shared" si="88"/>
        <v>46444</v>
      </c>
      <c r="O435" s="7" t="str">
        <f t="shared" si="85"/>
        <v>Anual</v>
      </c>
      <c r="P435" s="2" t="str">
        <f t="shared" ca="1" si="86"/>
        <v>VIGENTE</v>
      </c>
      <c r="Q435" s="6" t="s">
        <v>25</v>
      </c>
      <c r="R435" s="2"/>
    </row>
    <row r="436" spans="1:18" x14ac:dyDescent="0.25">
      <c r="A436" s="23" t="s">
        <v>151</v>
      </c>
      <c r="B436" s="2" t="s">
        <v>1618</v>
      </c>
      <c r="C436" s="3" t="s">
        <v>847</v>
      </c>
      <c r="D436" s="3" t="s">
        <v>23</v>
      </c>
      <c r="E436" s="2" t="s">
        <v>24</v>
      </c>
      <c r="F436" s="4">
        <v>0</v>
      </c>
      <c r="G436" s="8">
        <f t="shared" si="87"/>
        <v>1</v>
      </c>
      <c r="H436" s="4" t="str">
        <f t="shared" si="75"/>
        <v>Ohms</v>
      </c>
      <c r="I436" s="6"/>
      <c r="J436" s="6" t="str">
        <f t="shared" si="76"/>
        <v>Ohms</v>
      </c>
      <c r="K436" s="2" t="str">
        <f t="shared" si="77"/>
        <v>RTG</v>
      </c>
      <c r="L436" s="2"/>
      <c r="M436" s="7">
        <v>46079</v>
      </c>
      <c r="N436" s="7">
        <f t="shared" si="88"/>
        <v>46444</v>
      </c>
      <c r="O436" s="7" t="str">
        <f t="shared" si="85"/>
        <v>Anual</v>
      </c>
      <c r="P436" s="2" t="str">
        <f t="shared" ca="1" si="86"/>
        <v>VIGENTE</v>
      </c>
      <c r="Q436" s="6" t="s">
        <v>25</v>
      </c>
      <c r="R436" s="2"/>
    </row>
    <row r="437" spans="1:18" x14ac:dyDescent="0.25">
      <c r="A437" s="23" t="s">
        <v>151</v>
      </c>
      <c r="B437" s="2" t="s">
        <v>1619</v>
      </c>
      <c r="C437" s="3" t="s">
        <v>261</v>
      </c>
      <c r="D437" s="3" t="s">
        <v>23</v>
      </c>
      <c r="E437" s="2" t="s">
        <v>24</v>
      </c>
      <c r="F437" s="4">
        <v>0</v>
      </c>
      <c r="G437" s="8">
        <f t="shared" si="87"/>
        <v>1</v>
      </c>
      <c r="H437" s="4" t="str">
        <f t="shared" si="75"/>
        <v>Ohms</v>
      </c>
      <c r="I437" s="6">
        <v>0.49199999999999999</v>
      </c>
      <c r="J437" s="6" t="str">
        <f t="shared" si="76"/>
        <v>Ohms</v>
      </c>
      <c r="K437" s="2" t="str">
        <f t="shared" si="77"/>
        <v>RTG</v>
      </c>
      <c r="L437" s="2"/>
      <c r="M437" s="7">
        <v>46079</v>
      </c>
      <c r="N437" s="7">
        <f t="shared" si="88"/>
        <v>46444</v>
      </c>
      <c r="O437" s="7" t="str">
        <f t="shared" si="85"/>
        <v>Anual</v>
      </c>
      <c r="P437" s="2" t="str">
        <f t="shared" ca="1" si="86"/>
        <v>VIGENTE</v>
      </c>
      <c r="Q437" s="6" t="s">
        <v>25</v>
      </c>
      <c r="R437" s="2"/>
    </row>
    <row r="438" spans="1:18" x14ac:dyDescent="0.25">
      <c r="A438" s="23" t="s">
        <v>151</v>
      </c>
      <c r="B438" s="2" t="s">
        <v>1620</v>
      </c>
      <c r="C438" s="3" t="s">
        <v>1279</v>
      </c>
      <c r="D438" s="3" t="s">
        <v>23</v>
      </c>
      <c r="E438" s="2" t="s">
        <v>24</v>
      </c>
      <c r="F438" s="4">
        <v>0</v>
      </c>
      <c r="G438" s="8">
        <f t="shared" si="87"/>
        <v>1</v>
      </c>
      <c r="H438" s="4" t="str">
        <f t="shared" si="75"/>
        <v>Ohms</v>
      </c>
      <c r="I438" s="6">
        <v>0.48499999999999999</v>
      </c>
      <c r="J438" s="6" t="str">
        <f t="shared" si="76"/>
        <v>Ohms</v>
      </c>
      <c r="K438" s="2" t="str">
        <f t="shared" si="77"/>
        <v>RTG</v>
      </c>
      <c r="L438" s="2"/>
      <c r="M438" s="7">
        <v>46079</v>
      </c>
      <c r="N438" s="7">
        <f t="shared" si="88"/>
        <v>46444</v>
      </c>
      <c r="O438" s="7" t="str">
        <f t="shared" si="85"/>
        <v>Anual</v>
      </c>
      <c r="P438" s="2" t="str">
        <f t="shared" ca="1" si="86"/>
        <v>VIGENTE</v>
      </c>
      <c r="Q438" s="6" t="s">
        <v>25</v>
      </c>
      <c r="R438" s="2"/>
    </row>
    <row r="439" spans="1:18" x14ac:dyDescent="0.25">
      <c r="A439" s="23" t="s">
        <v>151</v>
      </c>
      <c r="B439" s="2" t="s">
        <v>1621</v>
      </c>
      <c r="C439" s="3" t="s">
        <v>265</v>
      </c>
      <c r="D439" s="3" t="s">
        <v>23</v>
      </c>
      <c r="E439" s="2" t="s">
        <v>24</v>
      </c>
      <c r="F439" s="4">
        <v>0</v>
      </c>
      <c r="G439" s="8">
        <f t="shared" si="87"/>
        <v>1</v>
      </c>
      <c r="H439" s="4" t="str">
        <f t="shared" si="75"/>
        <v>Ohms</v>
      </c>
      <c r="I439" s="6">
        <v>0.26500000000000001</v>
      </c>
      <c r="J439" s="6" t="str">
        <f t="shared" si="76"/>
        <v>Ohms</v>
      </c>
      <c r="K439" s="2" t="str">
        <f t="shared" si="77"/>
        <v>RTG</v>
      </c>
      <c r="L439" s="2"/>
      <c r="M439" s="7">
        <v>46079</v>
      </c>
      <c r="N439" s="7">
        <f t="shared" si="88"/>
        <v>46444</v>
      </c>
      <c r="O439" s="7" t="str">
        <f t="shared" si="85"/>
        <v>Anual</v>
      </c>
      <c r="P439" s="2" t="str">
        <f t="shared" ca="1" si="86"/>
        <v>VIGENTE</v>
      </c>
      <c r="Q439" s="6" t="s">
        <v>25</v>
      </c>
      <c r="R439" s="2"/>
    </row>
    <row r="440" spans="1:18" x14ac:dyDescent="0.25">
      <c r="A440" s="23" t="s">
        <v>151</v>
      </c>
      <c r="B440" s="2" t="s">
        <v>1622</v>
      </c>
      <c r="C440" s="3" t="s">
        <v>259</v>
      </c>
      <c r="D440" s="3" t="s">
        <v>23</v>
      </c>
      <c r="E440" s="2" t="s">
        <v>24</v>
      </c>
      <c r="F440" s="4">
        <v>0</v>
      </c>
      <c r="G440" s="8">
        <f t="shared" si="87"/>
        <v>1</v>
      </c>
      <c r="H440" s="4" t="str">
        <f t="shared" si="75"/>
        <v>Ohms</v>
      </c>
      <c r="I440" s="6">
        <v>0.51100000000000001</v>
      </c>
      <c r="J440" s="6" t="str">
        <f t="shared" si="76"/>
        <v>Ohms</v>
      </c>
      <c r="K440" s="2" t="str">
        <f t="shared" si="77"/>
        <v>RTG</v>
      </c>
      <c r="L440" s="2"/>
      <c r="M440" s="7">
        <v>46079</v>
      </c>
      <c r="N440" s="7">
        <f t="shared" si="88"/>
        <v>46444</v>
      </c>
      <c r="O440" s="7" t="str">
        <f t="shared" si="85"/>
        <v>Anual</v>
      </c>
      <c r="P440" s="2" t="str">
        <f t="shared" ca="1" si="86"/>
        <v>VIGENTE</v>
      </c>
      <c r="Q440" s="6" t="s">
        <v>25</v>
      </c>
      <c r="R440" s="2"/>
    </row>
    <row r="441" spans="1:18" x14ac:dyDescent="0.25">
      <c r="A441" s="23" t="s">
        <v>151</v>
      </c>
      <c r="B441" s="2" t="s">
        <v>762</v>
      </c>
      <c r="C441" s="3"/>
      <c r="D441" s="3" t="s">
        <v>23</v>
      </c>
      <c r="E441" s="2" t="s">
        <v>24</v>
      </c>
      <c r="F441" s="4">
        <v>0</v>
      </c>
      <c r="G441" s="8">
        <f t="shared" si="87"/>
        <v>1</v>
      </c>
      <c r="H441" s="4" t="str">
        <f t="shared" si="75"/>
        <v>Ohms</v>
      </c>
      <c r="I441" s="6">
        <v>0.219</v>
      </c>
      <c r="J441" s="6" t="str">
        <f t="shared" si="76"/>
        <v>Ohms</v>
      </c>
      <c r="K441" s="2" t="str">
        <f t="shared" si="77"/>
        <v>RTG</v>
      </c>
      <c r="L441" s="2"/>
      <c r="M441" s="7">
        <v>45838</v>
      </c>
      <c r="N441" s="7">
        <f t="shared" si="88"/>
        <v>46203</v>
      </c>
      <c r="O441" s="7" t="str">
        <f t="shared" si="85"/>
        <v>Anual</v>
      </c>
      <c r="P441" s="2" t="str">
        <f t="shared" ca="1" si="86"/>
        <v>VIGENTE</v>
      </c>
      <c r="Q441" s="6" t="s">
        <v>25</v>
      </c>
      <c r="R441" s="2"/>
    </row>
    <row r="442" spans="1:18" x14ac:dyDescent="0.25">
      <c r="A442" s="23" t="s">
        <v>151</v>
      </c>
      <c r="B442" s="2" t="s">
        <v>763</v>
      </c>
      <c r="C442" s="3"/>
      <c r="D442" s="3" t="s">
        <v>23</v>
      </c>
      <c r="E442" s="2" t="s">
        <v>24</v>
      </c>
      <c r="F442" s="4">
        <v>0</v>
      </c>
      <c r="G442" s="8">
        <f t="shared" si="87"/>
        <v>1</v>
      </c>
      <c r="H442" s="4" t="str">
        <f t="shared" si="75"/>
        <v>Ohms</v>
      </c>
      <c r="I442" s="6">
        <v>0.32400000000000001</v>
      </c>
      <c r="J442" s="6" t="str">
        <f t="shared" si="76"/>
        <v>Ohms</v>
      </c>
      <c r="K442" s="2" t="str">
        <f t="shared" si="77"/>
        <v>RTG</v>
      </c>
      <c r="L442" s="2"/>
      <c r="M442" s="7">
        <v>45838</v>
      </c>
      <c r="N442" s="7">
        <f t="shared" si="88"/>
        <v>46203</v>
      </c>
      <c r="O442" s="7" t="str">
        <f t="shared" si="85"/>
        <v>Anual</v>
      </c>
      <c r="P442" s="2" t="str">
        <f t="shared" ca="1" si="86"/>
        <v>VIGENTE</v>
      </c>
      <c r="Q442" s="6" t="s">
        <v>25</v>
      </c>
      <c r="R442" s="2"/>
    </row>
    <row r="443" spans="1:18" x14ac:dyDescent="0.25">
      <c r="A443" s="23" t="s">
        <v>151</v>
      </c>
      <c r="B443" s="2" t="s">
        <v>1623</v>
      </c>
      <c r="C443" s="3" t="s">
        <v>800</v>
      </c>
      <c r="D443" s="3" t="s">
        <v>23</v>
      </c>
      <c r="E443" s="2" t="s">
        <v>1239</v>
      </c>
      <c r="F443" s="4">
        <v>0</v>
      </c>
      <c r="G443" s="8">
        <f t="shared" si="87"/>
        <v>10</v>
      </c>
      <c r="H443" s="4" t="str">
        <f t="shared" si="75"/>
        <v>Segundos</v>
      </c>
      <c r="I443" s="6">
        <v>4</v>
      </c>
      <c r="J443" s="6" t="str">
        <f t="shared" si="76"/>
        <v>Segundos</v>
      </c>
      <c r="K443" s="2" t="str">
        <f t="shared" si="77"/>
        <v>Plato de carga</v>
      </c>
      <c r="L443" s="2"/>
      <c r="M443" s="7">
        <v>45989</v>
      </c>
      <c r="N443" s="7">
        <f t="shared" si="88"/>
        <v>46079</v>
      </c>
      <c r="O443" s="7" t="str">
        <f t="shared" si="78"/>
        <v>Trimestral</v>
      </c>
      <c r="P443" s="2" t="str">
        <f t="shared" ca="1" si="86"/>
        <v>VENCIDO</v>
      </c>
      <c r="Q443" s="6" t="s">
        <v>25</v>
      </c>
      <c r="R443" s="2"/>
    </row>
    <row r="444" spans="1:18" x14ac:dyDescent="0.25">
      <c r="A444" s="23" t="s">
        <v>151</v>
      </c>
      <c r="B444" s="2" t="s">
        <v>1624</v>
      </c>
      <c r="C444" s="3" t="s">
        <v>800</v>
      </c>
      <c r="D444" s="3" t="s">
        <v>23</v>
      </c>
      <c r="E444" s="2" t="s">
        <v>24</v>
      </c>
      <c r="F444" s="4">
        <v>0</v>
      </c>
      <c r="G444" s="8">
        <f t="shared" si="87"/>
        <v>10</v>
      </c>
      <c r="H444" s="4" t="str">
        <f t="shared" si="75"/>
        <v>Segundos</v>
      </c>
      <c r="I444" s="6">
        <v>4</v>
      </c>
      <c r="J444" s="6" t="str">
        <f t="shared" si="76"/>
        <v>Segundos</v>
      </c>
      <c r="K444" s="2" t="str">
        <f t="shared" si="77"/>
        <v>Plato de carga</v>
      </c>
      <c r="L444" s="2"/>
      <c r="M444" s="7">
        <v>45989</v>
      </c>
      <c r="N444" s="7">
        <f t="shared" si="88"/>
        <v>46079</v>
      </c>
      <c r="O444" s="7" t="str">
        <f t="shared" si="78"/>
        <v>Trimestral</v>
      </c>
      <c r="P444" s="2" t="str">
        <f t="shared" ca="1" si="86"/>
        <v>VENCIDO</v>
      </c>
      <c r="Q444" s="6" t="s">
        <v>25</v>
      </c>
      <c r="R444" s="2"/>
    </row>
    <row r="445" spans="1:18" x14ac:dyDescent="0.25">
      <c r="A445" s="23" t="s">
        <v>151</v>
      </c>
      <c r="B445" s="2" t="s">
        <v>152</v>
      </c>
      <c r="C445" s="3" t="s">
        <v>149</v>
      </c>
      <c r="D445" s="3" t="s">
        <v>23</v>
      </c>
      <c r="E445" s="2" t="s">
        <v>153</v>
      </c>
      <c r="F445" s="4">
        <v>0</v>
      </c>
      <c r="G445" s="8">
        <f t="shared" si="87"/>
        <v>10</v>
      </c>
      <c r="H445" s="4" t="str">
        <f t="shared" ref="H445:H508" si="89">IF(C445="Ionizador", "Segundos", "Ohms")</f>
        <v>Ohms</v>
      </c>
      <c r="I445" s="6">
        <v>0.98299999999999998</v>
      </c>
      <c r="J445" s="6" t="str">
        <f t="shared" ref="J445:J508" si="90">H445</f>
        <v>Ohms</v>
      </c>
      <c r="K445" s="2" t="str">
        <f t="shared" ref="K445:K508" si="91">IF(C445="Ionizador", "Plato de carga", IF(C445="Cautín", "PTG", IF(C445="ESD Tester", "PTP Deviation", "RTG")))</f>
        <v>PTG</v>
      </c>
      <c r="L445" s="2"/>
      <c r="M445" s="7">
        <v>45838</v>
      </c>
      <c r="N445" s="7">
        <f t="shared" si="88"/>
        <v>46018</v>
      </c>
      <c r="O445" s="7" t="str">
        <f t="shared" ref="O445:O507" si="92">IF(C445="Ionizador", "Trimestral", IF(C445="Rack", "Semestral", IF(C445="Mesa", "Semestral", IF(C445="Tapete", "Semestral", IF(C445="Cautín", "Semestral", IF(C445="Silla", "Semestral", "Anual"))))))</f>
        <v>Semestral</v>
      </c>
      <c r="P445" s="2" t="str">
        <f t="shared" ca="1" si="86"/>
        <v>VENCIDO</v>
      </c>
      <c r="Q445" s="6" t="s">
        <v>25</v>
      </c>
      <c r="R445" s="2" t="s">
        <v>154</v>
      </c>
    </row>
    <row r="446" spans="1:18" x14ac:dyDescent="0.25">
      <c r="A446" s="23" t="s">
        <v>1625</v>
      </c>
      <c r="B446" s="2" t="s">
        <v>1626</v>
      </c>
      <c r="C446" s="3" t="s">
        <v>259</v>
      </c>
      <c r="D446" s="3" t="s">
        <v>23</v>
      </c>
      <c r="E446" s="2" t="s">
        <v>24</v>
      </c>
      <c r="F446" s="4">
        <v>0</v>
      </c>
      <c r="G446" s="8">
        <f t="shared" si="87"/>
        <v>1</v>
      </c>
      <c r="H446" s="4" t="str">
        <f t="shared" si="89"/>
        <v>Ohms</v>
      </c>
      <c r="I446" s="6">
        <v>0.26600000000000001</v>
      </c>
      <c r="J446" s="6" t="str">
        <f t="shared" si="90"/>
        <v>Ohms</v>
      </c>
      <c r="K446" s="2" t="str">
        <f t="shared" si="91"/>
        <v>RTG</v>
      </c>
      <c r="L446" s="2">
        <v>52658395</v>
      </c>
      <c r="M446" s="7">
        <v>45990</v>
      </c>
      <c r="N446" s="7">
        <f t="shared" si="88"/>
        <v>46355</v>
      </c>
      <c r="O446" s="7" t="str">
        <f t="shared" ref="O446:O454" si="93">IF(C446="Ionizador", "Trimestral", IF(C446="Rack", "Anual", IF(C446="Mesa", "Anual", IF(C446="Tapete", "Semestral", IF(C446="Cautín", "Semestral", IF(C446="Silla", "Semestral", "Anual"))))))</f>
        <v>Anual</v>
      </c>
      <c r="P446" s="2" t="str">
        <f t="shared" ca="1" si="86"/>
        <v>VIGENTE</v>
      </c>
      <c r="Q446" s="6" t="s">
        <v>25</v>
      </c>
      <c r="R446" s="2"/>
    </row>
    <row r="447" spans="1:18" x14ac:dyDescent="0.25">
      <c r="A447" s="23" t="s">
        <v>1625</v>
      </c>
      <c r="B447" s="2" t="s">
        <v>1627</v>
      </c>
      <c r="C447" s="3" t="s">
        <v>261</v>
      </c>
      <c r="D447" s="3" t="s">
        <v>23</v>
      </c>
      <c r="E447" s="2" t="s">
        <v>24</v>
      </c>
      <c r="F447" s="4">
        <v>0</v>
      </c>
      <c r="G447" s="8">
        <f t="shared" si="87"/>
        <v>1</v>
      </c>
      <c r="H447" s="4" t="str">
        <f t="shared" si="89"/>
        <v>Ohms</v>
      </c>
      <c r="I447" s="6">
        <v>0.76</v>
      </c>
      <c r="J447" s="6" t="str">
        <f t="shared" si="90"/>
        <v>Ohms</v>
      </c>
      <c r="K447" s="2" t="str">
        <f t="shared" si="91"/>
        <v>RTG</v>
      </c>
      <c r="L447" s="2">
        <v>52658395</v>
      </c>
      <c r="M447" s="7">
        <v>45990</v>
      </c>
      <c r="N447" s="7">
        <f t="shared" si="88"/>
        <v>46355</v>
      </c>
      <c r="O447" s="7" t="str">
        <f t="shared" si="93"/>
        <v>Anual</v>
      </c>
      <c r="P447" s="2" t="str">
        <f t="shared" ca="1" si="86"/>
        <v>VIGENTE</v>
      </c>
      <c r="Q447" s="6" t="s">
        <v>25</v>
      </c>
      <c r="R447" s="2"/>
    </row>
    <row r="448" spans="1:18" x14ac:dyDescent="0.25">
      <c r="A448" s="23" t="s">
        <v>1625</v>
      </c>
      <c r="B448" s="2" t="s">
        <v>1628</v>
      </c>
      <c r="C448" s="3" t="s">
        <v>1594</v>
      </c>
      <c r="D448" s="3" t="s">
        <v>23</v>
      </c>
      <c r="E448" s="2" t="s">
        <v>24</v>
      </c>
      <c r="F448" s="4">
        <v>0</v>
      </c>
      <c r="G448" s="8">
        <f t="shared" si="87"/>
        <v>1</v>
      </c>
      <c r="H448" s="4" t="str">
        <f t="shared" si="89"/>
        <v>Ohms</v>
      </c>
      <c r="I448" s="6">
        <v>0.44800000000000001</v>
      </c>
      <c r="J448" s="6" t="str">
        <f t="shared" si="90"/>
        <v>Ohms</v>
      </c>
      <c r="K448" s="2" t="str">
        <f t="shared" si="91"/>
        <v>RTG</v>
      </c>
      <c r="L448" s="2">
        <v>52658395</v>
      </c>
      <c r="M448" s="7">
        <v>45990</v>
      </c>
      <c r="N448" s="7">
        <f t="shared" si="88"/>
        <v>46355</v>
      </c>
      <c r="O448" s="7" t="str">
        <f t="shared" si="93"/>
        <v>Anual</v>
      </c>
      <c r="P448" s="2" t="str">
        <f t="shared" ca="1" si="86"/>
        <v>VIGENTE</v>
      </c>
      <c r="Q448" s="6" t="s">
        <v>25</v>
      </c>
      <c r="R448" s="2"/>
    </row>
    <row r="449" spans="1:18" x14ac:dyDescent="0.25">
      <c r="A449" s="23" t="s">
        <v>1625</v>
      </c>
      <c r="B449" s="2" t="s">
        <v>1629</v>
      </c>
      <c r="C449" s="3" t="s">
        <v>261</v>
      </c>
      <c r="D449" s="3" t="s">
        <v>23</v>
      </c>
      <c r="E449" s="2" t="s">
        <v>24</v>
      </c>
      <c r="F449" s="4">
        <v>0</v>
      </c>
      <c r="G449" s="8">
        <f t="shared" si="87"/>
        <v>1</v>
      </c>
      <c r="H449" s="4" t="str">
        <f t="shared" si="89"/>
        <v>Ohms</v>
      </c>
      <c r="I449" s="6">
        <v>0.47399999999999998</v>
      </c>
      <c r="J449" s="6" t="str">
        <f t="shared" si="90"/>
        <v>Ohms</v>
      </c>
      <c r="K449" s="2" t="str">
        <f t="shared" si="91"/>
        <v>RTG</v>
      </c>
      <c r="L449" s="2">
        <v>52658395</v>
      </c>
      <c r="M449" s="7">
        <v>45990</v>
      </c>
      <c r="N449" s="7">
        <f t="shared" si="88"/>
        <v>46355</v>
      </c>
      <c r="O449" s="7" t="str">
        <f t="shared" si="93"/>
        <v>Anual</v>
      </c>
      <c r="P449" s="2" t="str">
        <f t="shared" ca="1" si="86"/>
        <v>VIGENTE</v>
      </c>
      <c r="Q449" s="6" t="s">
        <v>25</v>
      </c>
      <c r="R449" s="2"/>
    </row>
    <row r="450" spans="1:18" x14ac:dyDescent="0.25">
      <c r="A450" s="23" t="s">
        <v>1625</v>
      </c>
      <c r="B450" s="2" t="s">
        <v>1630</v>
      </c>
      <c r="C450" s="3" t="s">
        <v>1614</v>
      </c>
      <c r="D450" s="3" t="s">
        <v>23</v>
      </c>
      <c r="E450" s="2" t="s">
        <v>24</v>
      </c>
      <c r="F450" s="4">
        <v>0</v>
      </c>
      <c r="G450" s="8">
        <f t="shared" si="87"/>
        <v>1</v>
      </c>
      <c r="H450" s="4" t="str">
        <f t="shared" si="89"/>
        <v>Ohms</v>
      </c>
      <c r="I450" s="6">
        <v>0.20799999999999999</v>
      </c>
      <c r="J450" s="6" t="str">
        <f t="shared" si="90"/>
        <v>Ohms</v>
      </c>
      <c r="K450" s="2" t="str">
        <f t="shared" si="91"/>
        <v>RTG</v>
      </c>
      <c r="L450" s="2">
        <v>52658395</v>
      </c>
      <c r="M450" s="7">
        <v>45990</v>
      </c>
      <c r="N450" s="7">
        <f t="shared" si="88"/>
        <v>46355</v>
      </c>
      <c r="O450" s="7" t="str">
        <f t="shared" si="93"/>
        <v>Anual</v>
      </c>
      <c r="P450" s="2" t="str">
        <f t="shared" ca="1" si="86"/>
        <v>VIGENTE</v>
      </c>
      <c r="Q450" s="6" t="s">
        <v>25</v>
      </c>
      <c r="R450" s="2"/>
    </row>
    <row r="451" spans="1:18" x14ac:dyDescent="0.25">
      <c r="A451" s="23" t="s">
        <v>1625</v>
      </c>
      <c r="B451" s="2" t="s">
        <v>1631</v>
      </c>
      <c r="C451" s="3" t="s">
        <v>261</v>
      </c>
      <c r="D451" s="3" t="s">
        <v>23</v>
      </c>
      <c r="E451" s="2" t="s">
        <v>24</v>
      </c>
      <c r="F451" s="4">
        <v>0</v>
      </c>
      <c r="G451" s="8">
        <f t="shared" si="87"/>
        <v>1</v>
      </c>
      <c r="H451" s="4" t="str">
        <f t="shared" si="89"/>
        <v>Ohms</v>
      </c>
      <c r="I451" s="6">
        <v>0.192</v>
      </c>
      <c r="J451" s="6" t="str">
        <f t="shared" si="90"/>
        <v>Ohms</v>
      </c>
      <c r="K451" s="2" t="str">
        <f t="shared" si="91"/>
        <v>RTG</v>
      </c>
      <c r="L451" s="2">
        <v>52658395</v>
      </c>
      <c r="M451" s="7">
        <v>45990</v>
      </c>
      <c r="N451" s="7">
        <f t="shared" si="88"/>
        <v>46355</v>
      </c>
      <c r="O451" s="7" t="str">
        <f t="shared" si="93"/>
        <v>Anual</v>
      </c>
      <c r="P451" s="2" t="str">
        <f t="shared" ca="1" si="86"/>
        <v>VIGENTE</v>
      </c>
      <c r="Q451" s="6" t="s">
        <v>25</v>
      </c>
      <c r="R451" s="2"/>
    </row>
    <row r="452" spans="1:18" x14ac:dyDescent="0.25">
      <c r="A452" s="23" t="s">
        <v>1625</v>
      </c>
      <c r="B452" s="2" t="s">
        <v>1632</v>
      </c>
      <c r="C452" s="3" t="s">
        <v>1633</v>
      </c>
      <c r="D452" s="3" t="s">
        <v>23</v>
      </c>
      <c r="E452" s="2" t="s">
        <v>24</v>
      </c>
      <c r="F452" s="4">
        <v>0</v>
      </c>
      <c r="G452" s="8">
        <f t="shared" si="87"/>
        <v>1</v>
      </c>
      <c r="H452" s="4" t="str">
        <f t="shared" si="89"/>
        <v>Ohms</v>
      </c>
      <c r="I452" s="6">
        <v>0.26</v>
      </c>
      <c r="J452" s="6" t="str">
        <f t="shared" si="90"/>
        <v>Ohms</v>
      </c>
      <c r="K452" s="2" t="str">
        <f t="shared" si="91"/>
        <v>RTG</v>
      </c>
      <c r="L452" s="2">
        <v>52658395</v>
      </c>
      <c r="M452" s="7">
        <v>45990</v>
      </c>
      <c r="N452" s="7">
        <f t="shared" si="88"/>
        <v>46355</v>
      </c>
      <c r="O452" s="7" t="str">
        <f t="shared" si="93"/>
        <v>Anual</v>
      </c>
      <c r="P452" s="2" t="str">
        <f t="shared" ca="1" si="86"/>
        <v>VIGENTE</v>
      </c>
      <c r="Q452" s="6" t="s">
        <v>25</v>
      </c>
      <c r="R452" s="2"/>
    </row>
    <row r="453" spans="1:18" x14ac:dyDescent="0.25">
      <c r="A453" s="23" t="s">
        <v>1625</v>
      </c>
      <c r="B453" s="2" t="s">
        <v>1634</v>
      </c>
      <c r="C453" s="3" t="s">
        <v>261</v>
      </c>
      <c r="D453" s="3" t="s">
        <v>23</v>
      </c>
      <c r="E453" s="2" t="s">
        <v>24</v>
      </c>
      <c r="F453" s="4">
        <v>0</v>
      </c>
      <c r="G453" s="8">
        <f t="shared" si="87"/>
        <v>1</v>
      </c>
      <c r="H453" s="4" t="str">
        <f t="shared" si="89"/>
        <v>Ohms</v>
      </c>
      <c r="I453" s="6">
        <v>0.309</v>
      </c>
      <c r="J453" s="6" t="str">
        <f t="shared" si="90"/>
        <v>Ohms</v>
      </c>
      <c r="K453" s="2" t="str">
        <f t="shared" si="91"/>
        <v>RTG</v>
      </c>
      <c r="L453" s="2">
        <v>52658395</v>
      </c>
      <c r="M453" s="7">
        <v>45990</v>
      </c>
      <c r="N453" s="7">
        <f t="shared" si="88"/>
        <v>46355</v>
      </c>
      <c r="O453" s="7" t="str">
        <f t="shared" si="93"/>
        <v>Anual</v>
      </c>
      <c r="P453" s="2" t="str">
        <f t="shared" ca="1" si="86"/>
        <v>VIGENTE</v>
      </c>
      <c r="Q453" s="6" t="s">
        <v>25</v>
      </c>
      <c r="R453" s="2"/>
    </row>
    <row r="454" spans="1:18" x14ac:dyDescent="0.25">
      <c r="A454" s="23" t="s">
        <v>1625</v>
      </c>
      <c r="B454" s="2" t="s">
        <v>1635</v>
      </c>
      <c r="C454" s="3" t="s">
        <v>267</v>
      </c>
      <c r="D454" s="3" t="s">
        <v>23</v>
      </c>
      <c r="E454" s="2" t="s">
        <v>24</v>
      </c>
      <c r="F454" s="4">
        <v>0</v>
      </c>
      <c r="G454" s="8">
        <f t="shared" si="87"/>
        <v>1</v>
      </c>
      <c r="H454" s="4" t="str">
        <f t="shared" si="89"/>
        <v>Ohms</v>
      </c>
      <c r="I454" s="6">
        <v>0.22900000000000001</v>
      </c>
      <c r="J454" s="6" t="str">
        <f t="shared" si="90"/>
        <v>Ohms</v>
      </c>
      <c r="K454" s="2" t="str">
        <f t="shared" si="91"/>
        <v>RTG</v>
      </c>
      <c r="L454" s="2">
        <v>52658395</v>
      </c>
      <c r="M454" s="7">
        <v>45990</v>
      </c>
      <c r="N454" s="7">
        <f t="shared" si="88"/>
        <v>46355</v>
      </c>
      <c r="O454" s="7" t="str">
        <f t="shared" si="93"/>
        <v>Anual</v>
      </c>
      <c r="P454" s="2" t="str">
        <f t="shared" ca="1" si="86"/>
        <v>VIGENTE</v>
      </c>
      <c r="Q454" s="6" t="s">
        <v>25</v>
      </c>
      <c r="R454" s="2"/>
    </row>
    <row r="455" spans="1:18" x14ac:dyDescent="0.25">
      <c r="A455" s="23" t="s">
        <v>142</v>
      </c>
      <c r="B455" s="2" t="s">
        <v>1636</v>
      </c>
      <c r="C455" s="3" t="s">
        <v>747</v>
      </c>
      <c r="D455" s="3" t="s">
        <v>23</v>
      </c>
      <c r="E455" s="2" t="s">
        <v>24</v>
      </c>
      <c r="F455" s="4">
        <v>0</v>
      </c>
      <c r="G455" s="8">
        <f t="shared" si="87"/>
        <v>1</v>
      </c>
      <c r="H455" s="4" t="str">
        <f t="shared" si="89"/>
        <v>Ohms</v>
      </c>
      <c r="I455" s="6">
        <v>0.32400000000000001</v>
      </c>
      <c r="J455" s="6" t="str">
        <f t="shared" si="90"/>
        <v>Ohms</v>
      </c>
      <c r="K455" s="2" t="str">
        <f t="shared" si="91"/>
        <v>RTG</v>
      </c>
      <c r="L455" s="2">
        <v>46117656</v>
      </c>
      <c r="M455" s="7">
        <v>45706</v>
      </c>
      <c r="N455" s="7">
        <f t="shared" si="88"/>
        <v>46071</v>
      </c>
      <c r="O455" s="7" t="str">
        <f t="shared" si="92"/>
        <v>Anual</v>
      </c>
      <c r="P455" s="2" t="str">
        <f t="shared" ca="1" si="86"/>
        <v>VENCIDO</v>
      </c>
      <c r="Q455" s="6" t="s">
        <v>25</v>
      </c>
      <c r="R455" s="2"/>
    </row>
    <row r="456" spans="1:18" x14ac:dyDescent="0.25">
      <c r="A456" s="23" t="s">
        <v>142</v>
      </c>
      <c r="B456" s="2" t="s">
        <v>1637</v>
      </c>
      <c r="C456" s="3" t="s">
        <v>747</v>
      </c>
      <c r="D456" s="3" t="s">
        <v>23</v>
      </c>
      <c r="E456" s="2" t="s">
        <v>24</v>
      </c>
      <c r="F456" s="4">
        <v>0</v>
      </c>
      <c r="G456" s="8">
        <f t="shared" si="87"/>
        <v>1</v>
      </c>
      <c r="H456" s="4" t="str">
        <f t="shared" si="89"/>
        <v>Ohms</v>
      </c>
      <c r="I456" s="6">
        <v>9.2999999999999999E-2</v>
      </c>
      <c r="J456" s="6" t="str">
        <f t="shared" si="90"/>
        <v>Ohms</v>
      </c>
      <c r="K456" s="2" t="str">
        <f t="shared" si="91"/>
        <v>RTG</v>
      </c>
      <c r="L456" s="2">
        <v>46117656</v>
      </c>
      <c r="M456" s="7">
        <v>45706</v>
      </c>
      <c r="N456" s="7">
        <f t="shared" si="88"/>
        <v>46071</v>
      </c>
      <c r="O456" s="7" t="str">
        <f t="shared" si="92"/>
        <v>Anual</v>
      </c>
      <c r="P456" s="2" t="str">
        <f t="shared" ca="1" si="86"/>
        <v>VENCIDO</v>
      </c>
      <c r="Q456" s="6" t="s">
        <v>25</v>
      </c>
      <c r="R456" s="2"/>
    </row>
    <row r="457" spans="1:18" x14ac:dyDescent="0.25">
      <c r="A457" s="23" t="s">
        <v>142</v>
      </c>
      <c r="B457" s="2" t="s">
        <v>1638</v>
      </c>
      <c r="C457" s="3" t="s">
        <v>747</v>
      </c>
      <c r="D457" s="3" t="s">
        <v>23</v>
      </c>
      <c r="E457" s="2" t="s">
        <v>24</v>
      </c>
      <c r="F457" s="4">
        <v>0</v>
      </c>
      <c r="G457" s="8">
        <f t="shared" si="87"/>
        <v>1</v>
      </c>
      <c r="H457" s="4" t="str">
        <f t="shared" si="89"/>
        <v>Ohms</v>
      </c>
      <c r="I457" s="6">
        <v>0.105</v>
      </c>
      <c r="J457" s="6" t="str">
        <f t="shared" si="90"/>
        <v>Ohms</v>
      </c>
      <c r="K457" s="2" t="str">
        <f t="shared" si="91"/>
        <v>RTG</v>
      </c>
      <c r="L457" s="2">
        <v>46117656</v>
      </c>
      <c r="M457" s="7">
        <v>45706</v>
      </c>
      <c r="N457" s="7">
        <f t="shared" si="88"/>
        <v>46071</v>
      </c>
      <c r="O457" s="7" t="str">
        <f t="shared" si="92"/>
        <v>Anual</v>
      </c>
      <c r="P457" s="2" t="str">
        <f t="shared" ca="1" si="86"/>
        <v>VENCIDO</v>
      </c>
      <c r="Q457" s="6" t="s">
        <v>25</v>
      </c>
      <c r="R457" s="2"/>
    </row>
    <row r="458" spans="1:18" x14ac:dyDescent="0.25">
      <c r="A458" s="23" t="s">
        <v>142</v>
      </c>
      <c r="B458" s="2" t="s">
        <v>1639</v>
      </c>
      <c r="C458" s="3" t="s">
        <v>747</v>
      </c>
      <c r="D458" s="3" t="s">
        <v>23</v>
      </c>
      <c r="E458" s="2" t="s">
        <v>24</v>
      </c>
      <c r="F458" s="4">
        <v>0</v>
      </c>
      <c r="G458" s="8">
        <f t="shared" si="87"/>
        <v>1</v>
      </c>
      <c r="H458" s="4" t="str">
        <f t="shared" si="89"/>
        <v>Ohms</v>
      </c>
      <c r="I458" s="6">
        <v>0.12</v>
      </c>
      <c r="J458" s="6" t="str">
        <f t="shared" si="90"/>
        <v>Ohms</v>
      </c>
      <c r="K458" s="2" t="str">
        <f t="shared" si="91"/>
        <v>RTG</v>
      </c>
      <c r="L458" s="2">
        <v>46117656</v>
      </c>
      <c r="M458" s="7">
        <v>45706</v>
      </c>
      <c r="N458" s="7">
        <f t="shared" si="88"/>
        <v>46071</v>
      </c>
      <c r="O458" s="7" t="str">
        <f t="shared" si="92"/>
        <v>Anual</v>
      </c>
      <c r="P458" s="2" t="str">
        <f t="shared" ca="1" si="86"/>
        <v>VENCIDO</v>
      </c>
      <c r="Q458" s="6" t="s">
        <v>25</v>
      </c>
      <c r="R458" s="2"/>
    </row>
    <row r="459" spans="1:18" x14ac:dyDescent="0.25">
      <c r="A459" s="23" t="s">
        <v>142</v>
      </c>
      <c r="B459" s="2" t="s">
        <v>1640</v>
      </c>
      <c r="C459" s="3" t="s">
        <v>747</v>
      </c>
      <c r="D459" s="3" t="s">
        <v>23</v>
      </c>
      <c r="E459" s="2" t="s">
        <v>24</v>
      </c>
      <c r="F459" s="4">
        <v>0</v>
      </c>
      <c r="G459" s="8">
        <f t="shared" si="87"/>
        <v>1</v>
      </c>
      <c r="H459" s="4" t="str">
        <f t="shared" si="89"/>
        <v>Ohms</v>
      </c>
      <c r="I459" s="6">
        <v>8.4000000000000005E-2</v>
      </c>
      <c r="J459" s="6" t="str">
        <f t="shared" si="90"/>
        <v>Ohms</v>
      </c>
      <c r="K459" s="2" t="str">
        <f t="shared" si="91"/>
        <v>RTG</v>
      </c>
      <c r="L459" s="2">
        <v>46117656</v>
      </c>
      <c r="M459" s="7">
        <v>45706</v>
      </c>
      <c r="N459" s="7">
        <f t="shared" si="88"/>
        <v>46071</v>
      </c>
      <c r="O459" s="7" t="str">
        <f t="shared" si="92"/>
        <v>Anual</v>
      </c>
      <c r="P459" s="2" t="str">
        <f t="shared" ca="1" si="86"/>
        <v>VENCIDO</v>
      </c>
      <c r="Q459" s="6" t="s">
        <v>25</v>
      </c>
      <c r="R459" s="2"/>
    </row>
    <row r="460" spans="1:18" x14ac:dyDescent="0.25">
      <c r="A460" s="23" t="s">
        <v>142</v>
      </c>
      <c r="B460" s="2" t="s">
        <v>1641</v>
      </c>
      <c r="C460" s="3" t="s">
        <v>747</v>
      </c>
      <c r="D460" s="3" t="s">
        <v>23</v>
      </c>
      <c r="E460" s="2" t="s">
        <v>24</v>
      </c>
      <c r="F460" s="4">
        <v>0</v>
      </c>
      <c r="G460" s="8">
        <f t="shared" si="87"/>
        <v>1</v>
      </c>
      <c r="H460" s="4" t="str">
        <f t="shared" si="89"/>
        <v>Ohms</v>
      </c>
      <c r="I460" s="6">
        <v>0.151</v>
      </c>
      <c r="J460" s="6" t="str">
        <f t="shared" si="90"/>
        <v>Ohms</v>
      </c>
      <c r="K460" s="2" t="str">
        <f t="shared" si="91"/>
        <v>RTG</v>
      </c>
      <c r="L460" s="2">
        <v>46117656</v>
      </c>
      <c r="M460" s="7">
        <v>45706</v>
      </c>
      <c r="N460" s="7">
        <f t="shared" si="88"/>
        <v>46071</v>
      </c>
      <c r="O460" s="7" t="str">
        <f t="shared" si="92"/>
        <v>Anual</v>
      </c>
      <c r="P460" s="2" t="str">
        <f t="shared" ca="1" si="86"/>
        <v>VENCIDO</v>
      </c>
      <c r="Q460" s="6" t="s">
        <v>25</v>
      </c>
      <c r="R460" s="2"/>
    </row>
    <row r="461" spans="1:18" x14ac:dyDescent="0.25">
      <c r="A461" s="23" t="s">
        <v>142</v>
      </c>
      <c r="B461" s="2" t="s">
        <v>1642</v>
      </c>
      <c r="C461" s="3" t="s">
        <v>747</v>
      </c>
      <c r="D461" s="3" t="s">
        <v>23</v>
      </c>
      <c r="E461" s="2" t="s">
        <v>24</v>
      </c>
      <c r="F461" s="4">
        <v>0</v>
      </c>
      <c r="G461" s="8">
        <f t="shared" si="87"/>
        <v>1</v>
      </c>
      <c r="H461" s="4" t="str">
        <f t="shared" si="89"/>
        <v>Ohms</v>
      </c>
      <c r="I461" s="6">
        <v>0.54200000000000004</v>
      </c>
      <c r="J461" s="6" t="str">
        <f t="shared" si="90"/>
        <v>Ohms</v>
      </c>
      <c r="K461" s="2" t="str">
        <f t="shared" si="91"/>
        <v>RTG</v>
      </c>
      <c r="L461" s="2">
        <v>46117656</v>
      </c>
      <c r="M461" s="7">
        <v>45706</v>
      </c>
      <c r="N461" s="7">
        <f t="shared" si="88"/>
        <v>46071</v>
      </c>
      <c r="O461" s="7" t="str">
        <f t="shared" si="92"/>
        <v>Anual</v>
      </c>
      <c r="P461" s="2" t="str">
        <f t="shared" ca="1" si="86"/>
        <v>VENCIDO</v>
      </c>
      <c r="Q461" s="6" t="s">
        <v>25</v>
      </c>
      <c r="R461" s="2"/>
    </row>
    <row r="462" spans="1:18" x14ac:dyDescent="0.25">
      <c r="A462" s="23" t="s">
        <v>142</v>
      </c>
      <c r="B462" s="2" t="s">
        <v>1643</v>
      </c>
      <c r="C462" s="3" t="s">
        <v>747</v>
      </c>
      <c r="D462" s="3" t="s">
        <v>23</v>
      </c>
      <c r="E462" s="2" t="s">
        <v>24</v>
      </c>
      <c r="F462" s="4">
        <v>0</v>
      </c>
      <c r="G462" s="8">
        <f t="shared" si="87"/>
        <v>1</v>
      </c>
      <c r="H462" s="4" t="str">
        <f t="shared" si="89"/>
        <v>Ohms</v>
      </c>
      <c r="I462" s="6">
        <v>0.16500000000000001</v>
      </c>
      <c r="J462" s="6" t="str">
        <f t="shared" si="90"/>
        <v>Ohms</v>
      </c>
      <c r="K462" s="2" t="str">
        <f t="shared" si="91"/>
        <v>RTG</v>
      </c>
      <c r="L462" s="2">
        <v>46117656</v>
      </c>
      <c r="M462" s="7">
        <v>45706</v>
      </c>
      <c r="N462" s="7">
        <f t="shared" si="88"/>
        <v>46071</v>
      </c>
      <c r="O462" s="7" t="str">
        <f t="shared" si="92"/>
        <v>Anual</v>
      </c>
      <c r="P462" s="2" t="str">
        <f t="shared" ca="1" si="86"/>
        <v>VENCIDO</v>
      </c>
      <c r="Q462" s="6" t="s">
        <v>25</v>
      </c>
      <c r="R462" s="2"/>
    </row>
    <row r="463" spans="1:18" x14ac:dyDescent="0.25">
      <c r="A463" s="23" t="s">
        <v>142</v>
      </c>
      <c r="B463" s="2" t="s">
        <v>1644</v>
      </c>
      <c r="C463" s="3" t="s">
        <v>747</v>
      </c>
      <c r="D463" s="3" t="s">
        <v>23</v>
      </c>
      <c r="E463" s="2" t="s">
        <v>24</v>
      </c>
      <c r="F463" s="4">
        <v>0</v>
      </c>
      <c r="G463" s="8">
        <f t="shared" si="87"/>
        <v>1</v>
      </c>
      <c r="H463" s="4" t="str">
        <f t="shared" si="89"/>
        <v>Ohms</v>
      </c>
      <c r="I463" s="6">
        <v>0.16500000000000001</v>
      </c>
      <c r="J463" s="6" t="str">
        <f t="shared" si="90"/>
        <v>Ohms</v>
      </c>
      <c r="K463" s="2" t="str">
        <f t="shared" si="91"/>
        <v>RTG</v>
      </c>
      <c r="L463" s="2">
        <v>46117656</v>
      </c>
      <c r="M463" s="7">
        <v>45706</v>
      </c>
      <c r="N463" s="7">
        <f t="shared" si="88"/>
        <v>46071</v>
      </c>
      <c r="O463" s="7" t="str">
        <f t="shared" si="92"/>
        <v>Anual</v>
      </c>
      <c r="P463" s="2" t="str">
        <f t="shared" ca="1" si="86"/>
        <v>VENCIDO</v>
      </c>
      <c r="Q463" s="6" t="s">
        <v>25</v>
      </c>
      <c r="R463" s="2"/>
    </row>
    <row r="464" spans="1:18" x14ac:dyDescent="0.25">
      <c r="A464" s="23" t="s">
        <v>142</v>
      </c>
      <c r="B464" s="2" t="s">
        <v>1645</v>
      </c>
      <c r="C464" s="3" t="s">
        <v>747</v>
      </c>
      <c r="D464" s="3" t="s">
        <v>23</v>
      </c>
      <c r="E464" s="2" t="s">
        <v>24</v>
      </c>
      <c r="F464" s="4">
        <v>0</v>
      </c>
      <c r="G464" s="8">
        <f t="shared" si="87"/>
        <v>1</v>
      </c>
      <c r="H464" s="4" t="str">
        <f t="shared" si="89"/>
        <v>Ohms</v>
      </c>
      <c r="I464" s="6">
        <v>0.13400000000000001</v>
      </c>
      <c r="J464" s="6" t="str">
        <f t="shared" si="90"/>
        <v>Ohms</v>
      </c>
      <c r="K464" s="2" t="str">
        <f t="shared" si="91"/>
        <v>RTG</v>
      </c>
      <c r="L464" s="2">
        <v>46117656</v>
      </c>
      <c r="M464" s="7">
        <v>45706</v>
      </c>
      <c r="N464" s="7">
        <f t="shared" si="88"/>
        <v>46071</v>
      </c>
      <c r="O464" s="7" t="str">
        <f t="shared" si="92"/>
        <v>Anual</v>
      </c>
      <c r="P464" s="2" t="str">
        <f t="shared" ca="1" si="86"/>
        <v>VENCIDO</v>
      </c>
      <c r="Q464" s="6" t="s">
        <v>25</v>
      </c>
      <c r="R464" s="2"/>
    </row>
    <row r="465" spans="1:18" x14ac:dyDescent="0.25">
      <c r="A465" s="23" t="s">
        <v>142</v>
      </c>
      <c r="B465" s="2" t="s">
        <v>1646</v>
      </c>
      <c r="C465" s="3" t="s">
        <v>747</v>
      </c>
      <c r="D465" s="3" t="s">
        <v>23</v>
      </c>
      <c r="E465" s="2" t="s">
        <v>24</v>
      </c>
      <c r="F465" s="4">
        <v>0</v>
      </c>
      <c r="G465" s="8">
        <f t="shared" si="87"/>
        <v>1</v>
      </c>
      <c r="H465" s="4" t="str">
        <f t="shared" si="89"/>
        <v>Ohms</v>
      </c>
      <c r="I465" s="6">
        <v>0.17499999999999999</v>
      </c>
      <c r="J465" s="6" t="str">
        <f t="shared" si="90"/>
        <v>Ohms</v>
      </c>
      <c r="K465" s="2" t="str">
        <f t="shared" si="91"/>
        <v>RTG</v>
      </c>
      <c r="L465" s="2">
        <v>46117656</v>
      </c>
      <c r="M465" s="7">
        <v>45706</v>
      </c>
      <c r="N465" s="7">
        <f t="shared" si="88"/>
        <v>46071</v>
      </c>
      <c r="O465" s="7" t="str">
        <f t="shared" si="92"/>
        <v>Anual</v>
      </c>
      <c r="P465" s="2" t="str">
        <f t="shared" ca="1" si="86"/>
        <v>VENCIDO</v>
      </c>
      <c r="Q465" s="6" t="s">
        <v>25</v>
      </c>
      <c r="R465" s="2"/>
    </row>
    <row r="466" spans="1:18" x14ac:dyDescent="0.25">
      <c r="A466" s="23" t="s">
        <v>142</v>
      </c>
      <c r="B466" s="2" t="s">
        <v>1647</v>
      </c>
      <c r="C466" s="3" t="s">
        <v>747</v>
      </c>
      <c r="D466" s="3" t="s">
        <v>23</v>
      </c>
      <c r="E466" s="2" t="s">
        <v>24</v>
      </c>
      <c r="F466" s="4">
        <v>0</v>
      </c>
      <c r="G466" s="8">
        <f t="shared" si="87"/>
        <v>1</v>
      </c>
      <c r="H466" s="4" t="str">
        <f t="shared" si="89"/>
        <v>Ohms</v>
      </c>
      <c r="I466" s="6">
        <v>0.435</v>
      </c>
      <c r="J466" s="6" t="str">
        <f t="shared" si="90"/>
        <v>Ohms</v>
      </c>
      <c r="K466" s="2" t="str">
        <f t="shared" si="91"/>
        <v>RTG</v>
      </c>
      <c r="L466" s="2">
        <v>46117656</v>
      </c>
      <c r="M466" s="7">
        <v>45838</v>
      </c>
      <c r="N466" s="7">
        <f t="shared" si="88"/>
        <v>46203</v>
      </c>
      <c r="O466" s="7" t="str">
        <f>IF(C466="Ionizador", "Trimestral", IF(C466="Rack", "Anual", IF(C466="Mesa", "Anual", IF(C466="Tapete", "Semestral", IF(C466="Cautín", "Semestral", IF(C466="Silla", "Semestral", "Anual"))))))</f>
        <v>Anual</v>
      </c>
      <c r="P466" s="2" t="str">
        <f t="shared" ca="1" si="86"/>
        <v>VIGENTE</v>
      </c>
      <c r="Q466" s="6" t="s">
        <v>25</v>
      </c>
      <c r="R466" s="2"/>
    </row>
    <row r="467" spans="1:18" x14ac:dyDescent="0.25">
      <c r="A467" s="23" t="s">
        <v>145</v>
      </c>
      <c r="B467" s="2" t="s">
        <v>1648</v>
      </c>
      <c r="C467" s="3" t="s">
        <v>747</v>
      </c>
      <c r="D467" s="3" t="s">
        <v>23</v>
      </c>
      <c r="E467" s="2" t="s">
        <v>24</v>
      </c>
      <c r="F467" s="4">
        <v>0</v>
      </c>
      <c r="G467" s="8">
        <f t="shared" si="87"/>
        <v>1</v>
      </c>
      <c r="H467" s="4" t="str">
        <f t="shared" si="89"/>
        <v>Ohms</v>
      </c>
      <c r="I467" s="6">
        <v>0.11899999999999999</v>
      </c>
      <c r="J467" s="6" t="str">
        <f t="shared" si="90"/>
        <v>Ohms</v>
      </c>
      <c r="K467" s="2" t="str">
        <f t="shared" si="91"/>
        <v>RTG</v>
      </c>
      <c r="L467" s="2">
        <v>46133898</v>
      </c>
      <c r="M467" s="7">
        <v>45707</v>
      </c>
      <c r="N467" s="7">
        <f t="shared" si="88"/>
        <v>46072</v>
      </c>
      <c r="O467" s="7" t="str">
        <f t="shared" si="92"/>
        <v>Anual</v>
      </c>
      <c r="P467" s="2" t="str">
        <f t="shared" ca="1" si="86"/>
        <v>VENCIDO</v>
      </c>
      <c r="Q467" s="6" t="s">
        <v>25</v>
      </c>
      <c r="R467" s="2"/>
    </row>
    <row r="468" spans="1:18" x14ac:dyDescent="0.25">
      <c r="A468" s="23" t="s">
        <v>145</v>
      </c>
      <c r="B468" s="2" t="s">
        <v>1649</v>
      </c>
      <c r="C468" s="3" t="s">
        <v>747</v>
      </c>
      <c r="D468" s="3" t="s">
        <v>23</v>
      </c>
      <c r="E468" s="2" t="s">
        <v>24</v>
      </c>
      <c r="F468" s="4">
        <v>0</v>
      </c>
      <c r="G468" s="8">
        <f t="shared" si="87"/>
        <v>1</v>
      </c>
      <c r="H468" s="4" t="str">
        <f t="shared" si="89"/>
        <v>Ohms</v>
      </c>
      <c r="I468" s="6">
        <v>0.28000000000000003</v>
      </c>
      <c r="J468" s="6" t="str">
        <f t="shared" si="90"/>
        <v>Ohms</v>
      </c>
      <c r="K468" s="2" t="str">
        <f t="shared" si="91"/>
        <v>RTG</v>
      </c>
      <c r="L468" s="2">
        <v>46133898</v>
      </c>
      <c r="M468" s="7">
        <v>45707</v>
      </c>
      <c r="N468" s="7">
        <f t="shared" si="88"/>
        <v>46072</v>
      </c>
      <c r="O468" s="7" t="str">
        <f t="shared" si="92"/>
        <v>Anual</v>
      </c>
      <c r="P468" s="2" t="str">
        <f t="shared" ca="1" si="86"/>
        <v>VENCIDO</v>
      </c>
      <c r="Q468" s="6" t="s">
        <v>25</v>
      </c>
      <c r="R468" s="2"/>
    </row>
    <row r="469" spans="1:18" x14ac:dyDescent="0.25">
      <c r="A469" s="23" t="s">
        <v>145</v>
      </c>
      <c r="B469" s="2" t="s">
        <v>1650</v>
      </c>
      <c r="C469" s="3" t="s">
        <v>747</v>
      </c>
      <c r="D469" s="3" t="s">
        <v>23</v>
      </c>
      <c r="E469" s="2" t="s">
        <v>24</v>
      </c>
      <c r="F469" s="4">
        <v>0</v>
      </c>
      <c r="G469" s="8">
        <f t="shared" si="87"/>
        <v>1</v>
      </c>
      <c r="H469" s="4" t="str">
        <f t="shared" si="89"/>
        <v>Ohms</v>
      </c>
      <c r="I469" s="6">
        <v>0.69899999999999995</v>
      </c>
      <c r="J469" s="6" t="str">
        <f t="shared" si="90"/>
        <v>Ohms</v>
      </c>
      <c r="K469" s="2" t="str">
        <f t="shared" si="91"/>
        <v>RTG</v>
      </c>
      <c r="L469" s="2">
        <v>46133898</v>
      </c>
      <c r="M469" s="7">
        <v>45707</v>
      </c>
      <c r="N469" s="7">
        <f t="shared" si="88"/>
        <v>46072</v>
      </c>
      <c r="O469" s="7" t="str">
        <f t="shared" si="92"/>
        <v>Anual</v>
      </c>
      <c r="P469" s="2" t="str">
        <f t="shared" ca="1" si="86"/>
        <v>VENCIDO</v>
      </c>
      <c r="Q469" s="6" t="s">
        <v>25</v>
      </c>
      <c r="R469" s="2"/>
    </row>
    <row r="470" spans="1:18" x14ac:dyDescent="0.25">
      <c r="A470" s="23" t="s">
        <v>145</v>
      </c>
      <c r="B470" s="2" t="s">
        <v>1651</v>
      </c>
      <c r="C470" s="3" t="s">
        <v>747</v>
      </c>
      <c r="D470" s="3" t="s">
        <v>23</v>
      </c>
      <c r="E470" s="2" t="s">
        <v>24</v>
      </c>
      <c r="F470" s="4">
        <v>0</v>
      </c>
      <c r="G470" s="8">
        <f t="shared" si="87"/>
        <v>1</v>
      </c>
      <c r="H470" s="4" t="str">
        <f t="shared" si="89"/>
        <v>Ohms</v>
      </c>
      <c r="I470" s="6">
        <v>0.47499999999999998</v>
      </c>
      <c r="J470" s="6" t="str">
        <f t="shared" si="90"/>
        <v>Ohms</v>
      </c>
      <c r="K470" s="2" t="str">
        <f t="shared" si="91"/>
        <v>RTG</v>
      </c>
      <c r="L470" s="2">
        <v>46133898</v>
      </c>
      <c r="M470" s="7">
        <v>45707</v>
      </c>
      <c r="N470" s="7">
        <f t="shared" si="88"/>
        <v>46072</v>
      </c>
      <c r="O470" s="7" t="str">
        <f t="shared" si="92"/>
        <v>Anual</v>
      </c>
      <c r="P470" s="2" t="str">
        <f t="shared" ca="1" si="86"/>
        <v>VENCIDO</v>
      </c>
      <c r="Q470" s="6" t="s">
        <v>25</v>
      </c>
      <c r="R470" s="2"/>
    </row>
    <row r="471" spans="1:18" x14ac:dyDescent="0.25">
      <c r="A471" s="23" t="s">
        <v>145</v>
      </c>
      <c r="B471" s="2" t="s">
        <v>1652</v>
      </c>
      <c r="C471" s="3" t="s">
        <v>747</v>
      </c>
      <c r="D471" s="3" t="s">
        <v>23</v>
      </c>
      <c r="E471" s="2" t="s">
        <v>24</v>
      </c>
      <c r="F471" s="4">
        <v>0</v>
      </c>
      <c r="G471" s="8">
        <f t="shared" si="87"/>
        <v>1</v>
      </c>
      <c r="H471" s="4" t="str">
        <f t="shared" si="89"/>
        <v>Ohms</v>
      </c>
      <c r="I471" s="6">
        <v>7.6999999999999999E-2</v>
      </c>
      <c r="J471" s="6" t="str">
        <f t="shared" si="90"/>
        <v>Ohms</v>
      </c>
      <c r="K471" s="2" t="str">
        <f t="shared" si="91"/>
        <v>RTG</v>
      </c>
      <c r="L471" s="2">
        <v>46133898</v>
      </c>
      <c r="M471" s="7">
        <v>45707</v>
      </c>
      <c r="N471" s="7">
        <f t="shared" si="88"/>
        <v>46072</v>
      </c>
      <c r="O471" s="7" t="str">
        <f t="shared" si="92"/>
        <v>Anual</v>
      </c>
      <c r="P471" s="2" t="str">
        <f t="shared" ca="1" si="86"/>
        <v>VENCIDO</v>
      </c>
      <c r="Q471" s="6" t="s">
        <v>25</v>
      </c>
      <c r="R471" s="2"/>
    </row>
    <row r="472" spans="1:18" x14ac:dyDescent="0.25">
      <c r="A472" s="23" t="s">
        <v>145</v>
      </c>
      <c r="B472" s="2" t="s">
        <v>1653</v>
      </c>
      <c r="C472" s="3" t="s">
        <v>747</v>
      </c>
      <c r="D472" s="3" t="s">
        <v>23</v>
      </c>
      <c r="E472" s="2" t="s">
        <v>24</v>
      </c>
      <c r="F472" s="4">
        <v>0</v>
      </c>
      <c r="G472" s="8">
        <f t="shared" si="87"/>
        <v>1</v>
      </c>
      <c r="H472" s="4" t="str">
        <f t="shared" si="89"/>
        <v>Ohms</v>
      </c>
      <c r="I472" s="6">
        <v>1.17</v>
      </c>
      <c r="J472" s="6" t="str">
        <f t="shared" si="90"/>
        <v>Ohms</v>
      </c>
      <c r="K472" s="2" t="str">
        <f t="shared" si="91"/>
        <v>RTG</v>
      </c>
      <c r="L472" s="2">
        <v>46133898</v>
      </c>
      <c r="M472" s="7">
        <v>45707</v>
      </c>
      <c r="N472" s="7">
        <f t="shared" si="88"/>
        <v>46072</v>
      </c>
      <c r="O472" s="7" t="str">
        <f t="shared" si="92"/>
        <v>Anual</v>
      </c>
      <c r="P472" s="2" t="str">
        <f t="shared" ca="1" si="86"/>
        <v>VENCIDO</v>
      </c>
      <c r="Q472" s="6" t="s">
        <v>25</v>
      </c>
      <c r="R472" s="2"/>
    </row>
    <row r="473" spans="1:18" x14ac:dyDescent="0.25">
      <c r="A473" s="23" t="s">
        <v>145</v>
      </c>
      <c r="B473" s="2" t="s">
        <v>1654</v>
      </c>
      <c r="C473" s="3" t="s">
        <v>747</v>
      </c>
      <c r="D473" s="3" t="s">
        <v>23</v>
      </c>
      <c r="E473" s="2" t="s">
        <v>24</v>
      </c>
      <c r="F473" s="4">
        <v>0</v>
      </c>
      <c r="G473" s="8">
        <f t="shared" si="87"/>
        <v>1</v>
      </c>
      <c r="H473" s="4" t="str">
        <f t="shared" si="89"/>
        <v>Ohms</v>
      </c>
      <c r="I473" s="6">
        <v>0.67800000000000005</v>
      </c>
      <c r="J473" s="6" t="str">
        <f t="shared" si="90"/>
        <v>Ohms</v>
      </c>
      <c r="K473" s="2" t="str">
        <f t="shared" si="91"/>
        <v>RTG</v>
      </c>
      <c r="L473" s="2">
        <v>46133898</v>
      </c>
      <c r="M473" s="7">
        <v>45707</v>
      </c>
      <c r="N473" s="7">
        <f t="shared" si="88"/>
        <v>46072</v>
      </c>
      <c r="O473" s="7" t="str">
        <f t="shared" si="92"/>
        <v>Anual</v>
      </c>
      <c r="P473" s="2" t="str">
        <f t="shared" ca="1" si="86"/>
        <v>VENCIDO</v>
      </c>
      <c r="Q473" s="6" t="s">
        <v>25</v>
      </c>
      <c r="R473" s="2"/>
    </row>
    <row r="474" spans="1:18" x14ac:dyDescent="0.25">
      <c r="A474" s="23" t="s">
        <v>145</v>
      </c>
      <c r="B474" s="2" t="s">
        <v>1655</v>
      </c>
      <c r="C474" s="3" t="s">
        <v>747</v>
      </c>
      <c r="D474" s="3" t="s">
        <v>23</v>
      </c>
      <c r="E474" s="2" t="s">
        <v>24</v>
      </c>
      <c r="F474" s="4">
        <v>0</v>
      </c>
      <c r="G474" s="8">
        <f t="shared" si="87"/>
        <v>1</v>
      </c>
      <c r="H474" s="4" t="str">
        <f t="shared" si="89"/>
        <v>Ohms</v>
      </c>
      <c r="I474" s="6">
        <v>0.13500000000000001</v>
      </c>
      <c r="J474" s="6" t="str">
        <f t="shared" si="90"/>
        <v>Ohms</v>
      </c>
      <c r="K474" s="2" t="str">
        <f t="shared" si="91"/>
        <v>RTG</v>
      </c>
      <c r="L474" s="2">
        <v>46133898</v>
      </c>
      <c r="M474" s="7">
        <v>45707</v>
      </c>
      <c r="N474" s="7">
        <f t="shared" si="88"/>
        <v>46072</v>
      </c>
      <c r="O474" s="7" t="str">
        <f t="shared" si="92"/>
        <v>Anual</v>
      </c>
      <c r="P474" s="2" t="str">
        <f t="shared" ca="1" si="86"/>
        <v>VENCIDO</v>
      </c>
      <c r="Q474" s="6" t="s">
        <v>25</v>
      </c>
      <c r="R474" s="2"/>
    </row>
    <row r="475" spans="1:18" x14ac:dyDescent="0.25">
      <c r="A475" s="23" t="s">
        <v>145</v>
      </c>
      <c r="B475" s="2" t="s">
        <v>1656</v>
      </c>
      <c r="C475" s="3" t="s">
        <v>747</v>
      </c>
      <c r="D475" s="3" t="s">
        <v>23</v>
      </c>
      <c r="E475" s="2" t="s">
        <v>24</v>
      </c>
      <c r="F475" s="4">
        <v>0</v>
      </c>
      <c r="G475" s="8">
        <f t="shared" si="87"/>
        <v>1</v>
      </c>
      <c r="H475" s="4" t="str">
        <f t="shared" si="89"/>
        <v>Ohms</v>
      </c>
      <c r="I475" s="6">
        <v>0.10100000000000001</v>
      </c>
      <c r="J475" s="6" t="str">
        <f t="shared" si="90"/>
        <v>Ohms</v>
      </c>
      <c r="K475" s="2" t="str">
        <f t="shared" si="91"/>
        <v>RTG</v>
      </c>
      <c r="L475" s="2">
        <v>46133898</v>
      </c>
      <c r="M475" s="7">
        <v>45707</v>
      </c>
      <c r="N475" s="7">
        <f t="shared" si="88"/>
        <v>46072</v>
      </c>
      <c r="O475" s="7" t="str">
        <f t="shared" si="92"/>
        <v>Anual</v>
      </c>
      <c r="P475" s="2" t="str">
        <f t="shared" ca="1" si="86"/>
        <v>VENCIDO</v>
      </c>
      <c r="Q475" s="6" t="s">
        <v>25</v>
      </c>
      <c r="R475" s="2"/>
    </row>
    <row r="476" spans="1:18" x14ac:dyDescent="0.25">
      <c r="A476" s="23" t="s">
        <v>145</v>
      </c>
      <c r="B476" s="2" t="s">
        <v>1657</v>
      </c>
      <c r="C476" s="3" t="s">
        <v>747</v>
      </c>
      <c r="D476" s="3" t="s">
        <v>23</v>
      </c>
      <c r="E476" s="2" t="s">
        <v>24</v>
      </c>
      <c r="F476" s="4">
        <v>0</v>
      </c>
      <c r="G476" s="8">
        <f t="shared" ref="G476:G539" si="94">IF(C476="Ionizador", 10, IF(C476="Mesa", 1000000000, IF(C476="Rack", 1000000000, IF(C476="Piso", 1000000000, IF(C476="Tapete", 1000000000, IF(C476="Carrito", 1000000000, IF(C476="Cautín", 10, 1)))))))</f>
        <v>1</v>
      </c>
      <c r="H476" s="4" t="str">
        <f t="shared" si="89"/>
        <v>Ohms</v>
      </c>
      <c r="I476" s="6">
        <v>9.5000000000000001E-2</v>
      </c>
      <c r="J476" s="6" t="str">
        <f t="shared" si="90"/>
        <v>Ohms</v>
      </c>
      <c r="K476" s="2" t="str">
        <f t="shared" si="91"/>
        <v>RTG</v>
      </c>
      <c r="L476" s="2">
        <v>46133898</v>
      </c>
      <c r="M476" s="7">
        <v>45707</v>
      </c>
      <c r="N476" s="7">
        <f t="shared" ref="N476:N539" si="95">IF(O476="Trimestral", M476+90, IF(O476="Semestral", M476+180, IF(O476="Mensual", M476+30, M476+365)))</f>
        <v>46072</v>
      </c>
      <c r="O476" s="7" t="str">
        <f t="shared" si="92"/>
        <v>Anual</v>
      </c>
      <c r="P476" s="2" t="str">
        <f t="shared" ca="1" si="86"/>
        <v>VENCIDO</v>
      </c>
      <c r="Q476" s="6" t="s">
        <v>25</v>
      </c>
      <c r="R476" s="2"/>
    </row>
    <row r="477" spans="1:18" x14ac:dyDescent="0.25">
      <c r="A477" s="23" t="s">
        <v>145</v>
      </c>
      <c r="B477" s="2" t="s">
        <v>1658</v>
      </c>
      <c r="C477" s="3" t="s">
        <v>747</v>
      </c>
      <c r="D477" s="3" t="s">
        <v>23</v>
      </c>
      <c r="E477" s="2" t="s">
        <v>24</v>
      </c>
      <c r="F477" s="4">
        <v>0</v>
      </c>
      <c r="G477" s="8">
        <f t="shared" si="94"/>
        <v>1</v>
      </c>
      <c r="H477" s="4" t="str">
        <f t="shared" si="89"/>
        <v>Ohms</v>
      </c>
      <c r="I477" s="6">
        <v>0.44500000000000001</v>
      </c>
      <c r="J477" s="6" t="str">
        <f t="shared" si="90"/>
        <v>Ohms</v>
      </c>
      <c r="K477" s="2" t="str">
        <f t="shared" si="91"/>
        <v>RTG</v>
      </c>
      <c r="L477" s="2">
        <v>46133898</v>
      </c>
      <c r="M477" s="7">
        <v>45707</v>
      </c>
      <c r="N477" s="7">
        <f t="shared" si="95"/>
        <v>46072</v>
      </c>
      <c r="O477" s="7" t="str">
        <f t="shared" si="92"/>
        <v>Anual</v>
      </c>
      <c r="P477" s="2" t="str">
        <f t="shared" ca="1" si="86"/>
        <v>VENCIDO</v>
      </c>
      <c r="Q477" s="6" t="s">
        <v>25</v>
      </c>
      <c r="R477" s="2"/>
    </row>
    <row r="478" spans="1:18" x14ac:dyDescent="0.25">
      <c r="A478" s="23" t="s">
        <v>798</v>
      </c>
      <c r="B478" s="2" t="s">
        <v>799</v>
      </c>
      <c r="C478" s="3" t="s">
        <v>800</v>
      </c>
      <c r="D478" s="3" t="s">
        <v>23</v>
      </c>
      <c r="E478" s="2" t="s">
        <v>24</v>
      </c>
      <c r="F478" s="4">
        <v>0</v>
      </c>
      <c r="G478" s="8">
        <f t="shared" si="94"/>
        <v>10</v>
      </c>
      <c r="H478" s="4" t="str">
        <f t="shared" si="89"/>
        <v>Segundos</v>
      </c>
      <c r="I478" s="6">
        <v>4</v>
      </c>
      <c r="J478" s="6" t="str">
        <f t="shared" si="90"/>
        <v>Segundos</v>
      </c>
      <c r="K478" s="2" t="str">
        <f t="shared" si="91"/>
        <v>Plato de carga</v>
      </c>
      <c r="L478" s="2"/>
      <c r="M478" s="7">
        <v>45797</v>
      </c>
      <c r="N478" s="7">
        <f t="shared" si="95"/>
        <v>45887</v>
      </c>
      <c r="O478" s="7" t="str">
        <f t="shared" si="92"/>
        <v>Trimestral</v>
      </c>
      <c r="P478" s="2" t="str">
        <f t="shared" ref="P478:P507" ca="1" si="96">IF(N478&lt;TODAY(),"VENCIDO",IF(N478=TODAY(),"VENCE HOY",IF(N478&gt;TODAY(),"VIGENTE")))</f>
        <v>VENCIDO</v>
      </c>
      <c r="Q478" s="13" t="s">
        <v>228</v>
      </c>
      <c r="R478" s="2"/>
    </row>
    <row r="479" spans="1:18" x14ac:dyDescent="0.25">
      <c r="A479" s="23" t="s">
        <v>798</v>
      </c>
      <c r="B479" s="2" t="s">
        <v>801</v>
      </c>
      <c r="C479" s="3" t="s">
        <v>802</v>
      </c>
      <c r="D479" s="3" t="s">
        <v>23</v>
      </c>
      <c r="E479" s="2" t="s">
        <v>803</v>
      </c>
      <c r="F479" s="4">
        <v>0</v>
      </c>
      <c r="G479" s="8">
        <f t="shared" si="94"/>
        <v>1</v>
      </c>
      <c r="H479" s="4" t="str">
        <f t="shared" si="89"/>
        <v>Ohms</v>
      </c>
      <c r="I479" s="6">
        <v>0.40300000000000002</v>
      </c>
      <c r="J479" s="6" t="str">
        <f t="shared" si="90"/>
        <v>Ohms</v>
      </c>
      <c r="K479" s="2" t="str">
        <f t="shared" si="91"/>
        <v>RTG</v>
      </c>
      <c r="L479" s="2"/>
      <c r="M479" s="7">
        <v>45679</v>
      </c>
      <c r="N479" s="7">
        <f t="shared" si="95"/>
        <v>46044</v>
      </c>
      <c r="O479" s="7" t="str">
        <f t="shared" si="92"/>
        <v>Anual</v>
      </c>
      <c r="P479" s="2" t="str">
        <f t="shared" ca="1" si="96"/>
        <v>VENCIDO</v>
      </c>
      <c r="Q479" s="13" t="s">
        <v>228</v>
      </c>
      <c r="R479" s="2"/>
    </row>
    <row r="480" spans="1:18" x14ac:dyDescent="0.25">
      <c r="A480" s="23" t="s">
        <v>798</v>
      </c>
      <c r="B480" s="2" t="s">
        <v>804</v>
      </c>
      <c r="C480" s="3" t="s">
        <v>805</v>
      </c>
      <c r="D480" s="3" t="s">
        <v>23</v>
      </c>
      <c r="E480" s="2" t="s">
        <v>806</v>
      </c>
      <c r="F480" s="4">
        <v>0</v>
      </c>
      <c r="G480" s="8">
        <f t="shared" si="94"/>
        <v>1</v>
      </c>
      <c r="H480" s="4" t="str">
        <f t="shared" si="89"/>
        <v>Ohms</v>
      </c>
      <c r="I480" s="6">
        <v>0.253</v>
      </c>
      <c r="J480" s="6" t="str">
        <f t="shared" si="90"/>
        <v>Ohms</v>
      </c>
      <c r="K480" s="2" t="str">
        <f t="shared" si="91"/>
        <v>RTG</v>
      </c>
      <c r="L480" s="2"/>
      <c r="M480" s="7">
        <v>45679</v>
      </c>
      <c r="N480" s="7">
        <f t="shared" si="95"/>
        <v>46044</v>
      </c>
      <c r="O480" s="7" t="str">
        <f t="shared" si="92"/>
        <v>Anual</v>
      </c>
      <c r="P480" s="2" t="str">
        <f t="shared" ca="1" si="96"/>
        <v>VENCIDO</v>
      </c>
      <c r="Q480" s="13" t="s">
        <v>228</v>
      </c>
      <c r="R480" s="2"/>
    </row>
    <row r="481" spans="1:18" x14ac:dyDescent="0.25">
      <c r="A481" s="23" t="s">
        <v>798</v>
      </c>
      <c r="B481" s="2" t="s">
        <v>807</v>
      </c>
      <c r="C481" s="3" t="s">
        <v>261</v>
      </c>
      <c r="D481" s="3" t="s">
        <v>23</v>
      </c>
      <c r="E481" s="2" t="s">
        <v>806</v>
      </c>
      <c r="F481" s="4">
        <v>0</v>
      </c>
      <c r="G481" s="8">
        <f t="shared" si="94"/>
        <v>1</v>
      </c>
      <c r="H481" s="4" t="str">
        <f t="shared" si="89"/>
        <v>Ohms</v>
      </c>
      <c r="I481" s="6">
        <v>0.221</v>
      </c>
      <c r="J481" s="6" t="str">
        <f t="shared" si="90"/>
        <v>Ohms</v>
      </c>
      <c r="K481" s="2" t="str">
        <f t="shared" si="91"/>
        <v>RTG</v>
      </c>
      <c r="L481" s="2"/>
      <c r="M481" s="7">
        <v>45679</v>
      </c>
      <c r="N481" s="7">
        <f t="shared" si="95"/>
        <v>46044</v>
      </c>
      <c r="O481" s="7" t="str">
        <f t="shared" si="92"/>
        <v>Anual</v>
      </c>
      <c r="P481" s="2" t="str">
        <f t="shared" ca="1" si="96"/>
        <v>VENCIDO</v>
      </c>
      <c r="Q481" s="13" t="s">
        <v>228</v>
      </c>
      <c r="R481" s="2"/>
    </row>
    <row r="482" spans="1:18" x14ac:dyDescent="0.25">
      <c r="A482" s="23" t="s">
        <v>798</v>
      </c>
      <c r="B482" s="2" t="s">
        <v>808</v>
      </c>
      <c r="C482" s="3" t="s">
        <v>210</v>
      </c>
      <c r="D482" s="3" t="s">
        <v>23</v>
      </c>
      <c r="E482" s="2" t="s">
        <v>211</v>
      </c>
      <c r="F482" s="4">
        <v>0</v>
      </c>
      <c r="G482" s="8">
        <f t="shared" si="94"/>
        <v>1</v>
      </c>
      <c r="H482" s="4" t="str">
        <f t="shared" si="89"/>
        <v>Ohms</v>
      </c>
      <c r="I482" s="6">
        <v>0.20899999999999999</v>
      </c>
      <c r="J482" s="6" t="str">
        <f t="shared" si="90"/>
        <v>Ohms</v>
      </c>
      <c r="K482" s="2" t="str">
        <f t="shared" si="91"/>
        <v>RTG</v>
      </c>
      <c r="L482" s="2"/>
      <c r="M482" s="7">
        <v>45679</v>
      </c>
      <c r="N482" s="7">
        <f t="shared" si="95"/>
        <v>46044</v>
      </c>
      <c r="O482" s="7" t="str">
        <f t="shared" si="92"/>
        <v>Anual</v>
      </c>
      <c r="P482" s="2" t="str">
        <f t="shared" ca="1" si="96"/>
        <v>VENCIDO</v>
      </c>
      <c r="Q482" s="13" t="s">
        <v>228</v>
      </c>
      <c r="R482" s="2"/>
    </row>
    <row r="483" spans="1:18" x14ac:dyDescent="0.25">
      <c r="A483" s="23" t="s">
        <v>798</v>
      </c>
      <c r="B483" s="2" t="s">
        <v>809</v>
      </c>
      <c r="C483" s="3" t="s">
        <v>810</v>
      </c>
      <c r="D483" s="3" t="s">
        <v>23</v>
      </c>
      <c r="E483" s="2" t="s">
        <v>806</v>
      </c>
      <c r="F483" s="4">
        <v>0</v>
      </c>
      <c r="G483" s="8">
        <f t="shared" si="94"/>
        <v>1</v>
      </c>
      <c r="H483" s="4" t="str">
        <f t="shared" si="89"/>
        <v>Ohms</v>
      </c>
      <c r="I483" s="6">
        <v>0.79100000000000004</v>
      </c>
      <c r="J483" s="6" t="str">
        <f t="shared" si="90"/>
        <v>Ohms</v>
      </c>
      <c r="K483" s="2" t="str">
        <f t="shared" si="91"/>
        <v>RTG</v>
      </c>
      <c r="L483" s="2"/>
      <c r="M483" s="7">
        <v>45679</v>
      </c>
      <c r="N483" s="7">
        <f t="shared" si="95"/>
        <v>46044</v>
      </c>
      <c r="O483" s="7" t="str">
        <f t="shared" si="92"/>
        <v>Anual</v>
      </c>
      <c r="P483" s="2" t="str">
        <f t="shared" ca="1" si="96"/>
        <v>VENCIDO</v>
      </c>
      <c r="Q483" s="13" t="s">
        <v>228</v>
      </c>
      <c r="R483" s="2"/>
    </row>
    <row r="484" spans="1:18" x14ac:dyDescent="0.25">
      <c r="A484" s="23" t="s">
        <v>798</v>
      </c>
      <c r="B484" s="2" t="s">
        <v>811</v>
      </c>
      <c r="C484" s="3" t="s">
        <v>259</v>
      </c>
      <c r="D484" s="3" t="s">
        <v>23</v>
      </c>
      <c r="E484" s="2" t="s">
        <v>806</v>
      </c>
      <c r="F484" s="4">
        <v>0</v>
      </c>
      <c r="G484" s="8">
        <f t="shared" si="94"/>
        <v>1</v>
      </c>
      <c r="H484" s="4" t="str">
        <f t="shared" si="89"/>
        <v>Ohms</v>
      </c>
      <c r="I484" s="6">
        <v>0.75</v>
      </c>
      <c r="J484" s="6" t="str">
        <f t="shared" si="90"/>
        <v>Ohms</v>
      </c>
      <c r="K484" s="2" t="str">
        <f t="shared" si="91"/>
        <v>RTG</v>
      </c>
      <c r="L484" s="2"/>
      <c r="M484" s="7">
        <v>45843</v>
      </c>
      <c r="N484" s="7">
        <f t="shared" si="95"/>
        <v>46208</v>
      </c>
      <c r="O484" s="7" t="str">
        <f>IF(C484="Ionizador", "Trimestral", IF(C484="Rack", "Anual", IF(C484="Mesa", "Anual", IF(C484="Tapete", "Semestral", IF(C484="Cautín", "Semestral", IF(C484="Silla", "Semestral", "Anual"))))))</f>
        <v>Anual</v>
      </c>
      <c r="P484" s="2" t="str">
        <f t="shared" ca="1" si="96"/>
        <v>VIGENTE</v>
      </c>
      <c r="Q484" s="13" t="s">
        <v>228</v>
      </c>
      <c r="R484" s="2"/>
    </row>
    <row r="485" spans="1:18" x14ac:dyDescent="0.25">
      <c r="A485" s="23" t="s">
        <v>798</v>
      </c>
      <c r="B485" s="2" t="s">
        <v>812</v>
      </c>
      <c r="C485" s="3" t="s">
        <v>813</v>
      </c>
      <c r="D485" s="3" t="s">
        <v>23</v>
      </c>
      <c r="E485" s="2" t="s">
        <v>814</v>
      </c>
      <c r="F485" s="4">
        <v>0</v>
      </c>
      <c r="G485" s="8">
        <f t="shared" si="94"/>
        <v>1</v>
      </c>
      <c r="H485" s="4" t="str">
        <f t="shared" si="89"/>
        <v>Ohms</v>
      </c>
      <c r="I485" s="6">
        <v>0.85599999999999998</v>
      </c>
      <c r="J485" s="6" t="str">
        <f t="shared" si="90"/>
        <v>Ohms</v>
      </c>
      <c r="K485" s="2" t="str">
        <f t="shared" si="91"/>
        <v>RTG</v>
      </c>
      <c r="L485" s="2"/>
      <c r="M485" s="7">
        <v>45679</v>
      </c>
      <c r="N485" s="7">
        <f t="shared" si="95"/>
        <v>46044</v>
      </c>
      <c r="O485" s="7" t="str">
        <f t="shared" si="92"/>
        <v>Anual</v>
      </c>
      <c r="P485" s="2" t="str">
        <f t="shared" ca="1" si="96"/>
        <v>VENCIDO</v>
      </c>
      <c r="Q485" s="13" t="s">
        <v>228</v>
      </c>
      <c r="R485" s="2"/>
    </row>
    <row r="486" spans="1:18" x14ac:dyDescent="0.25">
      <c r="A486" s="23" t="s">
        <v>798</v>
      </c>
      <c r="B486" s="2" t="s">
        <v>815</v>
      </c>
      <c r="C486" s="3" t="s">
        <v>261</v>
      </c>
      <c r="D486" s="3" t="s">
        <v>23</v>
      </c>
      <c r="E486" s="2" t="s">
        <v>806</v>
      </c>
      <c r="F486" s="4">
        <v>0</v>
      </c>
      <c r="G486" s="8">
        <f t="shared" si="94"/>
        <v>1</v>
      </c>
      <c r="H486" s="4" t="str">
        <f t="shared" si="89"/>
        <v>Ohms</v>
      </c>
      <c r="I486" s="6">
        <v>0.36499999999999999</v>
      </c>
      <c r="J486" s="6" t="str">
        <f t="shared" si="90"/>
        <v>Ohms</v>
      </c>
      <c r="K486" s="2" t="str">
        <f t="shared" si="91"/>
        <v>RTG</v>
      </c>
      <c r="L486" s="2"/>
      <c r="M486" s="7">
        <v>45679</v>
      </c>
      <c r="N486" s="7">
        <f t="shared" si="95"/>
        <v>46044</v>
      </c>
      <c r="O486" s="7" t="str">
        <f t="shared" si="92"/>
        <v>Anual</v>
      </c>
      <c r="P486" s="2" t="str">
        <f t="shared" ca="1" si="96"/>
        <v>VENCIDO</v>
      </c>
      <c r="Q486" s="13" t="s">
        <v>228</v>
      </c>
      <c r="R486" s="2"/>
    </row>
    <row r="487" spans="1:18" x14ac:dyDescent="0.25">
      <c r="A487" s="23" t="s">
        <v>798</v>
      </c>
      <c r="B487" s="2" t="s">
        <v>816</v>
      </c>
      <c r="C487" s="3" t="s">
        <v>210</v>
      </c>
      <c r="D487" s="3" t="s">
        <v>23</v>
      </c>
      <c r="E487" s="2" t="s">
        <v>211</v>
      </c>
      <c r="F487" s="4">
        <v>0</v>
      </c>
      <c r="G487" s="8">
        <f t="shared" si="94"/>
        <v>1</v>
      </c>
      <c r="H487" s="4" t="str">
        <f t="shared" si="89"/>
        <v>Ohms</v>
      </c>
      <c r="I487" s="6">
        <v>0.20899999999999999</v>
      </c>
      <c r="J487" s="6" t="str">
        <f t="shared" si="90"/>
        <v>Ohms</v>
      </c>
      <c r="K487" s="2" t="str">
        <f t="shared" si="91"/>
        <v>RTG</v>
      </c>
      <c r="L487" s="2"/>
      <c r="M487" s="7">
        <v>45679</v>
      </c>
      <c r="N487" s="7">
        <f t="shared" si="95"/>
        <v>46044</v>
      </c>
      <c r="O487" s="7" t="str">
        <f t="shared" si="92"/>
        <v>Anual</v>
      </c>
      <c r="P487" s="2" t="str">
        <f t="shared" ca="1" si="96"/>
        <v>VENCIDO</v>
      </c>
      <c r="Q487" s="13" t="s">
        <v>228</v>
      </c>
      <c r="R487" s="2"/>
    </row>
    <row r="488" spans="1:18" x14ac:dyDescent="0.25">
      <c r="A488" s="23" t="s">
        <v>798</v>
      </c>
      <c r="B488" s="2" t="s">
        <v>817</v>
      </c>
      <c r="C488" s="3" t="s">
        <v>818</v>
      </c>
      <c r="D488" s="3" t="s">
        <v>23</v>
      </c>
      <c r="E488" s="2" t="s">
        <v>806</v>
      </c>
      <c r="F488" s="4">
        <v>0</v>
      </c>
      <c r="G488" s="8">
        <f t="shared" si="94"/>
        <v>1</v>
      </c>
      <c r="H488" s="4" t="str">
        <f t="shared" si="89"/>
        <v>Ohms</v>
      </c>
      <c r="I488" s="6">
        <v>0.626</v>
      </c>
      <c r="J488" s="6" t="str">
        <f t="shared" si="90"/>
        <v>Ohms</v>
      </c>
      <c r="K488" s="2" t="str">
        <f t="shared" si="91"/>
        <v>RTG</v>
      </c>
      <c r="L488" s="2"/>
      <c r="M488" s="7">
        <v>45679</v>
      </c>
      <c r="N488" s="7">
        <f t="shared" si="95"/>
        <v>46044</v>
      </c>
      <c r="O488" s="7" t="str">
        <f t="shared" si="92"/>
        <v>Anual</v>
      </c>
      <c r="P488" s="2" t="str">
        <f t="shared" ca="1" si="96"/>
        <v>VENCIDO</v>
      </c>
      <c r="Q488" s="13" t="s">
        <v>228</v>
      </c>
      <c r="R488" s="2"/>
    </row>
    <row r="489" spans="1:18" x14ac:dyDescent="0.25">
      <c r="A489" s="23" t="s">
        <v>798</v>
      </c>
      <c r="B489" s="2" t="s">
        <v>819</v>
      </c>
      <c r="C489" s="3" t="s">
        <v>820</v>
      </c>
      <c r="D489" s="3" t="s">
        <v>23</v>
      </c>
      <c r="E489" s="2" t="s">
        <v>806</v>
      </c>
      <c r="F489" s="4">
        <v>0</v>
      </c>
      <c r="G489" s="8">
        <f t="shared" si="94"/>
        <v>1</v>
      </c>
      <c r="H489" s="4" t="str">
        <f t="shared" si="89"/>
        <v>Ohms</v>
      </c>
      <c r="I489" s="6">
        <v>0.68</v>
      </c>
      <c r="J489" s="6" t="str">
        <f t="shared" si="90"/>
        <v>Ohms</v>
      </c>
      <c r="K489" s="2" t="str">
        <f t="shared" si="91"/>
        <v>RTG</v>
      </c>
      <c r="L489" s="2"/>
      <c r="M489" s="7">
        <v>45679</v>
      </c>
      <c r="N489" s="7">
        <f t="shared" si="95"/>
        <v>46044</v>
      </c>
      <c r="O489" s="7" t="str">
        <f t="shared" si="92"/>
        <v>Anual</v>
      </c>
      <c r="P489" s="2" t="str">
        <f t="shared" ca="1" si="96"/>
        <v>VENCIDO</v>
      </c>
      <c r="Q489" s="13" t="s">
        <v>228</v>
      </c>
      <c r="R489" s="2"/>
    </row>
    <row r="490" spans="1:18" x14ac:dyDescent="0.25">
      <c r="A490" s="23" t="s">
        <v>798</v>
      </c>
      <c r="B490" s="2" t="s">
        <v>821</v>
      </c>
      <c r="C490" s="3" t="s">
        <v>822</v>
      </c>
      <c r="D490" s="3" t="s">
        <v>23</v>
      </c>
      <c r="E490" s="2" t="s">
        <v>823</v>
      </c>
      <c r="F490" s="4">
        <v>0</v>
      </c>
      <c r="G490" s="8">
        <f t="shared" si="94"/>
        <v>1</v>
      </c>
      <c r="H490" s="4" t="str">
        <f t="shared" si="89"/>
        <v>Ohms</v>
      </c>
      <c r="I490" s="6">
        <v>0.29499999999999998</v>
      </c>
      <c r="J490" s="6" t="str">
        <f t="shared" si="90"/>
        <v>Ohms</v>
      </c>
      <c r="K490" s="2" t="str">
        <f t="shared" si="91"/>
        <v>RTG</v>
      </c>
      <c r="L490" s="2"/>
      <c r="M490" s="7">
        <v>45679</v>
      </c>
      <c r="N490" s="7">
        <f t="shared" si="95"/>
        <v>46044</v>
      </c>
      <c r="O490" s="7" t="str">
        <f t="shared" si="92"/>
        <v>Anual</v>
      </c>
      <c r="P490" s="2" t="str">
        <f t="shared" ca="1" si="96"/>
        <v>VENCIDO</v>
      </c>
      <c r="Q490" s="13" t="s">
        <v>228</v>
      </c>
      <c r="R490" s="2"/>
    </row>
    <row r="491" spans="1:18" x14ac:dyDescent="0.25">
      <c r="A491" s="23" t="s">
        <v>798</v>
      </c>
      <c r="B491" s="2" t="s">
        <v>824</v>
      </c>
      <c r="C491" s="3" t="s">
        <v>265</v>
      </c>
      <c r="D491" s="3" t="s">
        <v>23</v>
      </c>
      <c r="E491" s="2" t="s">
        <v>806</v>
      </c>
      <c r="F491" s="4">
        <v>0</v>
      </c>
      <c r="G491" s="8">
        <f t="shared" si="94"/>
        <v>1</v>
      </c>
      <c r="H491" s="4" t="str">
        <f t="shared" si="89"/>
        <v>Ohms</v>
      </c>
      <c r="I491" s="6" t="s">
        <v>825</v>
      </c>
      <c r="J491" s="6" t="str">
        <f t="shared" si="90"/>
        <v>Ohms</v>
      </c>
      <c r="K491" s="2" t="str">
        <f t="shared" si="91"/>
        <v>RTG</v>
      </c>
      <c r="L491" s="2"/>
      <c r="M491" s="53">
        <v>45659</v>
      </c>
      <c r="N491" s="7">
        <f t="shared" si="95"/>
        <v>46024</v>
      </c>
      <c r="O491" s="7" t="str">
        <f t="shared" si="92"/>
        <v>Anual</v>
      </c>
      <c r="P491" s="2" t="str">
        <f t="shared" ca="1" si="96"/>
        <v>VENCIDO</v>
      </c>
      <c r="Q491" s="13" t="s">
        <v>228</v>
      </c>
      <c r="R491" s="2"/>
    </row>
    <row r="492" spans="1:18" x14ac:dyDescent="0.25">
      <c r="A492" s="23" t="s">
        <v>798</v>
      </c>
      <c r="B492" s="2" t="s">
        <v>826</v>
      </c>
      <c r="C492" s="3" t="s">
        <v>820</v>
      </c>
      <c r="D492" s="3" t="s">
        <v>23</v>
      </c>
      <c r="E492" s="2" t="s">
        <v>806</v>
      </c>
      <c r="F492" s="4">
        <v>0</v>
      </c>
      <c r="G492" s="8">
        <f t="shared" si="94"/>
        <v>1</v>
      </c>
      <c r="H492" s="4" t="str">
        <f t="shared" si="89"/>
        <v>Ohms</v>
      </c>
      <c r="I492" s="6">
        <v>0.16600000000000001</v>
      </c>
      <c r="J492" s="6" t="str">
        <f t="shared" si="90"/>
        <v>Ohms</v>
      </c>
      <c r="K492" s="2" t="str">
        <f t="shared" si="91"/>
        <v>RTG</v>
      </c>
      <c r="L492" s="2"/>
      <c r="M492" s="7">
        <v>45679</v>
      </c>
      <c r="N492" s="7">
        <f t="shared" si="95"/>
        <v>46044</v>
      </c>
      <c r="O492" s="7" t="str">
        <f t="shared" si="92"/>
        <v>Anual</v>
      </c>
      <c r="P492" s="2" t="str">
        <f t="shared" ca="1" si="96"/>
        <v>VENCIDO</v>
      </c>
      <c r="Q492" s="13" t="s">
        <v>228</v>
      </c>
      <c r="R492" s="2"/>
    </row>
    <row r="493" spans="1:18" x14ac:dyDescent="0.25">
      <c r="A493" s="23" t="s">
        <v>798</v>
      </c>
      <c r="B493" s="2" t="s">
        <v>827</v>
      </c>
      <c r="C493" s="3" t="s">
        <v>828</v>
      </c>
      <c r="D493" s="3" t="s">
        <v>23</v>
      </c>
      <c r="E493" s="2" t="s">
        <v>829</v>
      </c>
      <c r="F493" s="4">
        <v>0</v>
      </c>
      <c r="G493" s="8">
        <f t="shared" si="94"/>
        <v>1</v>
      </c>
      <c r="H493" s="4" t="str">
        <f t="shared" si="89"/>
        <v>Ohms</v>
      </c>
      <c r="I493" s="6">
        <v>0.36</v>
      </c>
      <c r="J493" s="6" t="str">
        <f t="shared" si="90"/>
        <v>Ohms</v>
      </c>
      <c r="K493" s="2" t="str">
        <f t="shared" si="91"/>
        <v>RTG</v>
      </c>
      <c r="L493" s="2"/>
      <c r="M493" s="7">
        <v>45679</v>
      </c>
      <c r="N493" s="7">
        <f t="shared" si="95"/>
        <v>46044</v>
      </c>
      <c r="O493" s="7" t="str">
        <f t="shared" si="92"/>
        <v>Anual</v>
      </c>
      <c r="P493" s="2" t="str">
        <f t="shared" ca="1" si="96"/>
        <v>VENCIDO</v>
      </c>
      <c r="Q493" s="13" t="s">
        <v>228</v>
      </c>
      <c r="R493" s="2"/>
    </row>
    <row r="494" spans="1:18" x14ac:dyDescent="0.25">
      <c r="A494" s="23" t="s">
        <v>798</v>
      </c>
      <c r="B494" s="2" t="s">
        <v>830</v>
      </c>
      <c r="C494" s="3" t="s">
        <v>828</v>
      </c>
      <c r="D494" s="3" t="s">
        <v>23</v>
      </c>
      <c r="E494" s="2" t="s">
        <v>829</v>
      </c>
      <c r="F494" s="4">
        <v>0</v>
      </c>
      <c r="G494" s="8">
        <f t="shared" si="94"/>
        <v>1</v>
      </c>
      <c r="H494" s="4" t="str">
        <f t="shared" si="89"/>
        <v>Ohms</v>
      </c>
      <c r="I494" s="6">
        <v>0.26300000000000001</v>
      </c>
      <c r="J494" s="6" t="str">
        <f t="shared" si="90"/>
        <v>Ohms</v>
      </c>
      <c r="K494" s="2" t="str">
        <f t="shared" si="91"/>
        <v>RTG</v>
      </c>
      <c r="L494" s="2"/>
      <c r="M494" s="7">
        <v>45679</v>
      </c>
      <c r="N494" s="7">
        <f t="shared" si="95"/>
        <v>46044</v>
      </c>
      <c r="O494" s="7" t="str">
        <f t="shared" si="92"/>
        <v>Anual</v>
      </c>
      <c r="P494" s="2" t="str">
        <f t="shared" ca="1" si="96"/>
        <v>VENCIDO</v>
      </c>
      <c r="Q494" s="13" t="s">
        <v>228</v>
      </c>
      <c r="R494" s="2"/>
    </row>
    <row r="495" spans="1:18" x14ac:dyDescent="0.25">
      <c r="A495" s="23" t="s">
        <v>798</v>
      </c>
      <c r="B495" s="2" t="s">
        <v>831</v>
      </c>
      <c r="C495" s="3" t="s">
        <v>828</v>
      </c>
      <c r="D495" s="3" t="s">
        <v>23</v>
      </c>
      <c r="E495" s="2" t="s">
        <v>829</v>
      </c>
      <c r="F495" s="4">
        <v>0</v>
      </c>
      <c r="G495" s="8">
        <f t="shared" si="94"/>
        <v>1</v>
      </c>
      <c r="H495" s="4" t="str">
        <f t="shared" si="89"/>
        <v>Ohms</v>
      </c>
      <c r="I495" s="6">
        <v>0.26100000000000001</v>
      </c>
      <c r="J495" s="6" t="str">
        <f t="shared" si="90"/>
        <v>Ohms</v>
      </c>
      <c r="K495" s="2" t="str">
        <f t="shared" si="91"/>
        <v>RTG</v>
      </c>
      <c r="L495" s="2"/>
      <c r="M495" s="7">
        <v>45679</v>
      </c>
      <c r="N495" s="7">
        <f t="shared" si="95"/>
        <v>46044</v>
      </c>
      <c r="O495" s="7" t="str">
        <f t="shared" si="92"/>
        <v>Anual</v>
      </c>
      <c r="P495" s="2" t="str">
        <f t="shared" ca="1" si="96"/>
        <v>VENCIDO</v>
      </c>
      <c r="Q495" s="13" t="s">
        <v>228</v>
      </c>
      <c r="R495" s="2"/>
    </row>
    <row r="496" spans="1:18" x14ac:dyDescent="0.25">
      <c r="A496" s="23" t="s">
        <v>798</v>
      </c>
      <c r="B496" s="2" t="s">
        <v>832</v>
      </c>
      <c r="C496" s="3" t="s">
        <v>828</v>
      </c>
      <c r="D496" s="3" t="s">
        <v>23</v>
      </c>
      <c r="E496" s="2" t="s">
        <v>829</v>
      </c>
      <c r="F496" s="4">
        <v>0</v>
      </c>
      <c r="G496" s="8">
        <f t="shared" si="94"/>
        <v>1</v>
      </c>
      <c r="H496" s="4" t="str">
        <f t="shared" si="89"/>
        <v>Ohms</v>
      </c>
      <c r="I496" s="6">
        <v>0.253</v>
      </c>
      <c r="J496" s="6" t="str">
        <f t="shared" si="90"/>
        <v>Ohms</v>
      </c>
      <c r="K496" s="2" t="str">
        <f t="shared" si="91"/>
        <v>RTG</v>
      </c>
      <c r="L496" s="2"/>
      <c r="M496" s="7">
        <v>45679</v>
      </c>
      <c r="N496" s="7">
        <f t="shared" si="95"/>
        <v>46044</v>
      </c>
      <c r="O496" s="7" t="str">
        <f t="shared" si="92"/>
        <v>Anual</v>
      </c>
      <c r="P496" s="2" t="str">
        <f t="shared" ca="1" si="96"/>
        <v>VENCIDO</v>
      </c>
      <c r="Q496" s="13" t="s">
        <v>228</v>
      </c>
      <c r="R496" s="2"/>
    </row>
    <row r="497" spans="1:18" x14ac:dyDescent="0.25">
      <c r="A497" s="23" t="s">
        <v>798</v>
      </c>
      <c r="B497" s="2" t="s">
        <v>833</v>
      </c>
      <c r="C497" s="3" t="s">
        <v>828</v>
      </c>
      <c r="D497" s="3" t="s">
        <v>23</v>
      </c>
      <c r="E497" s="2" t="s">
        <v>829</v>
      </c>
      <c r="F497" s="4">
        <v>0</v>
      </c>
      <c r="G497" s="8">
        <f t="shared" si="94"/>
        <v>1</v>
      </c>
      <c r="H497" s="4" t="str">
        <f t="shared" si="89"/>
        <v>Ohms</v>
      </c>
      <c r="I497" s="6">
        <v>0.24</v>
      </c>
      <c r="J497" s="6" t="str">
        <f t="shared" si="90"/>
        <v>Ohms</v>
      </c>
      <c r="K497" s="2" t="str">
        <f t="shared" si="91"/>
        <v>RTG</v>
      </c>
      <c r="L497" s="2"/>
      <c r="M497" s="7">
        <v>45679</v>
      </c>
      <c r="N497" s="7">
        <f t="shared" si="95"/>
        <v>46044</v>
      </c>
      <c r="O497" s="7" t="str">
        <f t="shared" si="92"/>
        <v>Anual</v>
      </c>
      <c r="P497" s="2" t="str">
        <f t="shared" ca="1" si="96"/>
        <v>VENCIDO</v>
      </c>
      <c r="Q497" s="13" t="s">
        <v>228</v>
      </c>
      <c r="R497" s="2"/>
    </row>
    <row r="498" spans="1:18" x14ac:dyDescent="0.25">
      <c r="A498" s="23" t="s">
        <v>798</v>
      </c>
      <c r="B498" s="2" t="s">
        <v>834</v>
      </c>
      <c r="C498" s="3" t="s">
        <v>828</v>
      </c>
      <c r="D498" s="3" t="s">
        <v>23</v>
      </c>
      <c r="E498" s="2" t="s">
        <v>829</v>
      </c>
      <c r="F498" s="4">
        <v>0</v>
      </c>
      <c r="G498" s="8">
        <f t="shared" si="94"/>
        <v>1</v>
      </c>
      <c r="H498" s="4" t="str">
        <f t="shared" si="89"/>
        <v>Ohms</v>
      </c>
      <c r="I498" s="6">
        <v>0.22</v>
      </c>
      <c r="J498" s="6" t="str">
        <f t="shared" si="90"/>
        <v>Ohms</v>
      </c>
      <c r="K498" s="2" t="str">
        <f t="shared" si="91"/>
        <v>RTG</v>
      </c>
      <c r="L498" s="2"/>
      <c r="M498" s="7">
        <v>45679</v>
      </c>
      <c r="N498" s="7">
        <f t="shared" si="95"/>
        <v>46044</v>
      </c>
      <c r="O498" s="7" t="str">
        <f t="shared" si="92"/>
        <v>Anual</v>
      </c>
      <c r="P498" s="2" t="str">
        <f t="shared" ca="1" si="96"/>
        <v>VENCIDO</v>
      </c>
      <c r="Q498" s="13" t="s">
        <v>228</v>
      </c>
      <c r="R498" s="2"/>
    </row>
    <row r="499" spans="1:18" x14ac:dyDescent="0.25">
      <c r="A499" s="23" t="s">
        <v>798</v>
      </c>
      <c r="B499" s="2" t="s">
        <v>835</v>
      </c>
      <c r="C499" s="3" t="s">
        <v>836</v>
      </c>
      <c r="D499" s="3" t="s">
        <v>23</v>
      </c>
      <c r="E499" s="2" t="s">
        <v>806</v>
      </c>
      <c r="F499" s="4">
        <v>0</v>
      </c>
      <c r="G499" s="8">
        <f t="shared" si="94"/>
        <v>1</v>
      </c>
      <c r="H499" s="4" t="str">
        <f t="shared" si="89"/>
        <v>Ohms</v>
      </c>
      <c r="I499" s="6">
        <v>0.33</v>
      </c>
      <c r="J499" s="6" t="str">
        <f t="shared" si="90"/>
        <v>Ohms</v>
      </c>
      <c r="K499" s="2" t="str">
        <f t="shared" si="91"/>
        <v>RTG</v>
      </c>
      <c r="L499" s="2"/>
      <c r="M499" s="7">
        <v>45679</v>
      </c>
      <c r="N499" s="7">
        <f t="shared" si="95"/>
        <v>46044</v>
      </c>
      <c r="O499" s="7" t="str">
        <f t="shared" si="92"/>
        <v>Anual</v>
      </c>
      <c r="P499" s="2" t="str">
        <f t="shared" ca="1" si="96"/>
        <v>VENCIDO</v>
      </c>
      <c r="Q499" s="13" t="s">
        <v>228</v>
      </c>
      <c r="R499" s="2"/>
    </row>
    <row r="500" spans="1:18" x14ac:dyDescent="0.25">
      <c r="A500" s="23" t="s">
        <v>798</v>
      </c>
      <c r="B500" s="2" t="s">
        <v>837</v>
      </c>
      <c r="C500" s="3" t="s">
        <v>838</v>
      </c>
      <c r="D500" s="3" t="s">
        <v>23</v>
      </c>
      <c r="E500" s="2" t="s">
        <v>839</v>
      </c>
      <c r="F500" s="4">
        <v>0</v>
      </c>
      <c r="G500" s="8">
        <f t="shared" si="94"/>
        <v>1</v>
      </c>
      <c r="H500" s="4" t="str">
        <f t="shared" si="89"/>
        <v>Ohms</v>
      </c>
      <c r="I500" s="6">
        <v>0.29399999999999998</v>
      </c>
      <c r="J500" s="6" t="str">
        <f t="shared" si="90"/>
        <v>Ohms</v>
      </c>
      <c r="K500" s="2" t="str">
        <f t="shared" si="91"/>
        <v>RTG</v>
      </c>
      <c r="L500" s="2"/>
      <c r="M500" s="7">
        <v>45679</v>
      </c>
      <c r="N500" s="7">
        <f t="shared" si="95"/>
        <v>46044</v>
      </c>
      <c r="O500" s="7" t="str">
        <f t="shared" si="92"/>
        <v>Anual</v>
      </c>
      <c r="P500" s="2" t="str">
        <f t="shared" ca="1" si="96"/>
        <v>VENCIDO</v>
      </c>
      <c r="Q500" s="13" t="s">
        <v>228</v>
      </c>
      <c r="R500" s="2"/>
    </row>
    <row r="501" spans="1:18" x14ac:dyDescent="0.25">
      <c r="A501" s="23" t="s">
        <v>798</v>
      </c>
      <c r="B501" s="2" t="s">
        <v>840</v>
      </c>
      <c r="C501" s="3" t="s">
        <v>841</v>
      </c>
      <c r="D501" s="3" t="s">
        <v>23</v>
      </c>
      <c r="E501" s="2" t="s">
        <v>806</v>
      </c>
      <c r="F501" s="4">
        <v>0</v>
      </c>
      <c r="G501" s="8">
        <f t="shared" si="94"/>
        <v>1</v>
      </c>
      <c r="H501" s="4" t="str">
        <f t="shared" si="89"/>
        <v>Ohms</v>
      </c>
      <c r="I501" s="6">
        <v>0.48599999999999999</v>
      </c>
      <c r="J501" s="6" t="str">
        <f t="shared" si="90"/>
        <v>Ohms</v>
      </c>
      <c r="K501" s="2" t="str">
        <f t="shared" si="91"/>
        <v>RTG</v>
      </c>
      <c r="L501" s="2"/>
      <c r="M501" s="7">
        <v>45679</v>
      </c>
      <c r="N501" s="7">
        <f t="shared" si="95"/>
        <v>46044</v>
      </c>
      <c r="O501" s="7" t="str">
        <f t="shared" si="92"/>
        <v>Anual</v>
      </c>
      <c r="P501" s="2" t="str">
        <f t="shared" ca="1" si="96"/>
        <v>VENCIDO</v>
      </c>
      <c r="Q501" s="13" t="s">
        <v>228</v>
      </c>
      <c r="R501" s="2"/>
    </row>
    <row r="502" spans="1:18" x14ac:dyDescent="0.25">
      <c r="A502" s="23" t="s">
        <v>798</v>
      </c>
      <c r="B502" s="2" t="s">
        <v>842</v>
      </c>
      <c r="C502" s="3" t="s">
        <v>836</v>
      </c>
      <c r="D502" s="3" t="s">
        <v>23</v>
      </c>
      <c r="E502" s="2" t="s">
        <v>806</v>
      </c>
      <c r="F502" s="4">
        <v>0</v>
      </c>
      <c r="G502" s="8">
        <f t="shared" si="94"/>
        <v>1</v>
      </c>
      <c r="H502" s="4" t="str">
        <f t="shared" si="89"/>
        <v>Ohms</v>
      </c>
      <c r="I502" s="6">
        <v>0.42099999999999999</v>
      </c>
      <c r="J502" s="6" t="str">
        <f t="shared" si="90"/>
        <v>Ohms</v>
      </c>
      <c r="K502" s="2" t="str">
        <f t="shared" si="91"/>
        <v>RTG</v>
      </c>
      <c r="L502" s="2"/>
      <c r="M502" s="7">
        <v>45679</v>
      </c>
      <c r="N502" s="7">
        <f t="shared" si="95"/>
        <v>46044</v>
      </c>
      <c r="O502" s="7" t="str">
        <f t="shared" si="92"/>
        <v>Anual</v>
      </c>
      <c r="P502" s="2" t="str">
        <f t="shared" ca="1" si="96"/>
        <v>VENCIDO</v>
      </c>
      <c r="Q502" s="13" t="s">
        <v>228</v>
      </c>
      <c r="R502" s="2"/>
    </row>
    <row r="503" spans="1:18" x14ac:dyDescent="0.25">
      <c r="A503" s="23" t="s">
        <v>798</v>
      </c>
      <c r="B503" s="2" t="s">
        <v>843</v>
      </c>
      <c r="C503" s="3" t="s">
        <v>844</v>
      </c>
      <c r="D503" s="3" t="s">
        <v>23</v>
      </c>
      <c r="E503" s="2" t="s">
        <v>806</v>
      </c>
      <c r="F503" s="4">
        <v>0</v>
      </c>
      <c r="G503" s="8">
        <f t="shared" si="94"/>
        <v>1</v>
      </c>
      <c r="H503" s="4" t="str">
        <f t="shared" si="89"/>
        <v>Ohms</v>
      </c>
      <c r="I503" s="6">
        <v>0.77200000000000002</v>
      </c>
      <c r="J503" s="6" t="str">
        <f t="shared" si="90"/>
        <v>Ohms</v>
      </c>
      <c r="K503" s="2" t="str">
        <f t="shared" si="91"/>
        <v>RTG</v>
      </c>
      <c r="L503" s="2"/>
      <c r="M503" s="7">
        <v>45679</v>
      </c>
      <c r="N503" s="7">
        <f t="shared" si="95"/>
        <v>46044</v>
      </c>
      <c r="O503" s="7" t="str">
        <f t="shared" si="92"/>
        <v>Anual</v>
      </c>
      <c r="P503" s="2" t="str">
        <f t="shared" ca="1" si="96"/>
        <v>VENCIDO</v>
      </c>
      <c r="Q503" s="13" t="s">
        <v>228</v>
      </c>
      <c r="R503" s="2"/>
    </row>
    <row r="504" spans="1:18" x14ac:dyDescent="0.25">
      <c r="A504" s="23" t="s">
        <v>798</v>
      </c>
      <c r="B504" s="2" t="s">
        <v>845</v>
      </c>
      <c r="C504" s="3" t="s">
        <v>820</v>
      </c>
      <c r="D504" s="3" t="s">
        <v>23</v>
      </c>
      <c r="E504" s="2" t="s">
        <v>806</v>
      </c>
      <c r="F504" s="4">
        <v>0</v>
      </c>
      <c r="G504" s="8">
        <f t="shared" si="94"/>
        <v>1</v>
      </c>
      <c r="H504" s="4" t="str">
        <f t="shared" si="89"/>
        <v>Ohms</v>
      </c>
      <c r="I504" s="6">
        <v>0.63800000000000001</v>
      </c>
      <c r="J504" s="6" t="str">
        <f t="shared" si="90"/>
        <v>Ohms</v>
      </c>
      <c r="K504" s="2" t="str">
        <f t="shared" si="91"/>
        <v>RTG</v>
      </c>
      <c r="L504" s="2"/>
      <c r="M504" s="7">
        <v>45679</v>
      </c>
      <c r="N504" s="7">
        <f t="shared" si="95"/>
        <v>46044</v>
      </c>
      <c r="O504" s="7" t="str">
        <f t="shared" si="92"/>
        <v>Anual</v>
      </c>
      <c r="P504" s="2" t="str">
        <f t="shared" ca="1" si="96"/>
        <v>VENCIDO</v>
      </c>
      <c r="Q504" s="13" t="s">
        <v>228</v>
      </c>
      <c r="R504" s="2"/>
    </row>
    <row r="505" spans="1:18" x14ac:dyDescent="0.25">
      <c r="A505" s="23" t="s">
        <v>798</v>
      </c>
      <c r="B505" s="2" t="s">
        <v>846</v>
      </c>
      <c r="C505" s="3" t="s">
        <v>847</v>
      </c>
      <c r="D505" s="3" t="s">
        <v>23</v>
      </c>
      <c r="E505" s="2" t="s">
        <v>823</v>
      </c>
      <c r="F505" s="4">
        <v>0</v>
      </c>
      <c r="G505" s="8">
        <f t="shared" si="94"/>
        <v>1</v>
      </c>
      <c r="H505" s="4" t="str">
        <f t="shared" si="89"/>
        <v>Ohms</v>
      </c>
      <c r="I505" s="6">
        <v>0.40100000000000002</v>
      </c>
      <c r="J505" s="6" t="str">
        <f t="shared" si="90"/>
        <v>Ohms</v>
      </c>
      <c r="K505" s="2" t="str">
        <f t="shared" si="91"/>
        <v>RTG</v>
      </c>
      <c r="L505" s="2"/>
      <c r="M505" s="7">
        <v>45679</v>
      </c>
      <c r="N505" s="7">
        <f t="shared" si="95"/>
        <v>46044</v>
      </c>
      <c r="O505" s="7" t="str">
        <f t="shared" si="92"/>
        <v>Anual</v>
      </c>
      <c r="P505" s="2" t="str">
        <f t="shared" ca="1" si="96"/>
        <v>VENCIDO</v>
      </c>
      <c r="Q505" s="13" t="s">
        <v>228</v>
      </c>
      <c r="R505" s="2"/>
    </row>
    <row r="506" spans="1:18" x14ac:dyDescent="0.25">
      <c r="A506" s="23" t="s">
        <v>798</v>
      </c>
      <c r="B506" s="2" t="s">
        <v>848</v>
      </c>
      <c r="C506" s="3" t="s">
        <v>265</v>
      </c>
      <c r="D506" s="3" t="s">
        <v>23</v>
      </c>
      <c r="E506" s="2" t="s">
        <v>806</v>
      </c>
      <c r="F506" s="4">
        <v>0</v>
      </c>
      <c r="G506" s="8">
        <f t="shared" si="94"/>
        <v>1</v>
      </c>
      <c r="H506" s="4" t="str">
        <f t="shared" si="89"/>
        <v>Ohms</v>
      </c>
      <c r="I506" s="6">
        <v>0.63800000000000001</v>
      </c>
      <c r="J506" s="6" t="str">
        <f t="shared" si="90"/>
        <v>Ohms</v>
      </c>
      <c r="K506" s="2" t="str">
        <f t="shared" si="91"/>
        <v>RTG</v>
      </c>
      <c r="L506" s="2"/>
      <c r="M506" s="7">
        <v>45679</v>
      </c>
      <c r="N506" s="7">
        <f t="shared" si="95"/>
        <v>46044</v>
      </c>
      <c r="O506" s="7" t="str">
        <f t="shared" si="92"/>
        <v>Anual</v>
      </c>
      <c r="P506" s="2" t="str">
        <f t="shared" ca="1" si="96"/>
        <v>VENCIDO</v>
      </c>
      <c r="Q506" s="13" t="s">
        <v>228</v>
      </c>
      <c r="R506" s="2"/>
    </row>
    <row r="507" spans="1:18" x14ac:dyDescent="0.25">
      <c r="A507" s="23" t="s">
        <v>798</v>
      </c>
      <c r="B507" s="2" t="s">
        <v>849</v>
      </c>
      <c r="C507" s="3" t="s">
        <v>267</v>
      </c>
      <c r="D507" s="3" t="s">
        <v>23</v>
      </c>
      <c r="E507" s="2" t="s">
        <v>806</v>
      </c>
      <c r="F507" s="4">
        <v>0</v>
      </c>
      <c r="G507" s="8">
        <f t="shared" si="94"/>
        <v>1</v>
      </c>
      <c r="H507" s="4" t="str">
        <f t="shared" si="89"/>
        <v>Ohms</v>
      </c>
      <c r="I507" s="6">
        <v>0.54600000000000004</v>
      </c>
      <c r="J507" s="6" t="str">
        <f t="shared" si="90"/>
        <v>Ohms</v>
      </c>
      <c r="K507" s="2" t="str">
        <f t="shared" si="91"/>
        <v>RTG</v>
      </c>
      <c r="L507" s="2"/>
      <c r="M507" s="7">
        <v>45679</v>
      </c>
      <c r="N507" s="7">
        <f t="shared" si="95"/>
        <v>46044</v>
      </c>
      <c r="O507" s="7" t="str">
        <f t="shared" si="92"/>
        <v>Anual</v>
      </c>
      <c r="P507" s="2" t="str">
        <f t="shared" ca="1" si="96"/>
        <v>VENCIDO</v>
      </c>
      <c r="Q507" s="13" t="s">
        <v>228</v>
      </c>
      <c r="R507" s="2"/>
    </row>
    <row r="508" spans="1:18" x14ac:dyDescent="0.25">
      <c r="A508" s="23" t="s">
        <v>208</v>
      </c>
      <c r="B508" s="2" t="s">
        <v>1659</v>
      </c>
      <c r="C508" s="3" t="s">
        <v>810</v>
      </c>
      <c r="D508" s="3" t="s">
        <v>23</v>
      </c>
      <c r="E508" s="2" t="s">
        <v>1660</v>
      </c>
      <c r="F508" s="4">
        <v>0</v>
      </c>
      <c r="G508" s="8">
        <f t="shared" si="94"/>
        <v>1</v>
      </c>
      <c r="H508" s="4" t="str">
        <f t="shared" si="89"/>
        <v>Ohms</v>
      </c>
      <c r="I508" s="6">
        <v>0.217</v>
      </c>
      <c r="J508" s="6" t="str">
        <f t="shared" si="90"/>
        <v>Ohms</v>
      </c>
      <c r="K508" s="2" t="str">
        <f t="shared" si="91"/>
        <v>RTG</v>
      </c>
      <c r="L508" s="2">
        <v>49640346</v>
      </c>
      <c r="M508" s="7">
        <v>46053</v>
      </c>
      <c r="N508" s="7">
        <f t="shared" si="95"/>
        <v>46418</v>
      </c>
      <c r="O508" s="7" t="str">
        <f t="shared" ref="O508:O571" si="97">IF(C508="Ionizador", "Trimestral", IF(C508="Rack", "Anual", IF(C508="Mesa", "Anual", IF(C508="Tapete", "Semestral", IF(C508="Cautín", "Semestral", IF(C508="Silla", "Semestral", "Anual"))))))</f>
        <v>Anual</v>
      </c>
      <c r="P508" s="2" t="str">
        <f t="shared" ref="P508:P539" ca="1" si="98">IF(N508&lt;TODAY(),"VENCIDO",IF(N508=TODAY(),"VIGENTE",IF(N508&gt;TODAY(),"VIGENTE")))</f>
        <v>VIGENTE</v>
      </c>
      <c r="Q508" s="6" t="s">
        <v>25</v>
      </c>
      <c r="R508" s="2"/>
    </row>
    <row r="509" spans="1:18" x14ac:dyDescent="0.25">
      <c r="A509" s="23" t="s">
        <v>208</v>
      </c>
      <c r="B509" s="2" t="s">
        <v>1661</v>
      </c>
      <c r="C509" s="3" t="s">
        <v>802</v>
      </c>
      <c r="D509" s="3" t="s">
        <v>23</v>
      </c>
      <c r="E509" s="2" t="s">
        <v>803</v>
      </c>
      <c r="F509" s="4">
        <v>0</v>
      </c>
      <c r="G509" s="8">
        <f t="shared" si="94"/>
        <v>1</v>
      </c>
      <c r="H509" s="4" t="str">
        <f t="shared" ref="H509:H572" si="99">IF(C509="Ionizador", "Segundos", "Ohms")</f>
        <v>Ohms</v>
      </c>
      <c r="I509" s="6">
        <v>0.23499999999999999</v>
      </c>
      <c r="J509" s="6" t="str">
        <f t="shared" ref="J509:J572" si="100">H509</f>
        <v>Ohms</v>
      </c>
      <c r="K509" s="2" t="str">
        <f t="shared" ref="K509:K572" si="101">IF(C509="Ionizador", "Plato de carga", IF(C509="Cautín", "PTG", IF(C509="ESD Tester", "PTP Deviation", "RTG")))</f>
        <v>RTG</v>
      </c>
      <c r="L509" s="2">
        <v>49640346</v>
      </c>
      <c r="M509" s="7">
        <v>46053</v>
      </c>
      <c r="N509" s="7">
        <f t="shared" si="95"/>
        <v>46418</v>
      </c>
      <c r="O509" s="7" t="str">
        <f t="shared" si="97"/>
        <v>Anual</v>
      </c>
      <c r="P509" s="2" t="str">
        <f t="shared" ca="1" si="98"/>
        <v>VIGENTE</v>
      </c>
      <c r="Q509" s="6" t="s">
        <v>25</v>
      </c>
      <c r="R509" s="2"/>
    </row>
    <row r="510" spans="1:18" x14ac:dyDescent="0.25">
      <c r="A510" s="23" t="s">
        <v>208</v>
      </c>
      <c r="B510" s="2" t="s">
        <v>1662</v>
      </c>
      <c r="C510" s="3" t="s">
        <v>800</v>
      </c>
      <c r="D510" s="3" t="s">
        <v>23</v>
      </c>
      <c r="E510" s="2" t="s">
        <v>24</v>
      </c>
      <c r="F510" s="4">
        <v>0</v>
      </c>
      <c r="G510" s="8">
        <f t="shared" si="94"/>
        <v>10</v>
      </c>
      <c r="H510" s="4" t="str">
        <f t="shared" si="99"/>
        <v>Segundos</v>
      </c>
      <c r="I510" s="6">
        <v>3</v>
      </c>
      <c r="J510" s="6" t="str">
        <f t="shared" si="100"/>
        <v>Segundos</v>
      </c>
      <c r="K510" s="2" t="str">
        <f t="shared" si="101"/>
        <v>Plato de carga</v>
      </c>
      <c r="L510" s="2">
        <v>49640346</v>
      </c>
      <c r="M510" s="7">
        <v>46044</v>
      </c>
      <c r="N510" s="7">
        <f t="shared" si="95"/>
        <v>46134</v>
      </c>
      <c r="O510" s="7" t="str">
        <f t="shared" si="97"/>
        <v>Trimestral</v>
      </c>
      <c r="P510" s="2" t="str">
        <f t="shared" ca="1" si="98"/>
        <v>VIGENTE</v>
      </c>
      <c r="Q510" s="6" t="s">
        <v>25</v>
      </c>
      <c r="R510" s="2"/>
    </row>
    <row r="511" spans="1:18" x14ac:dyDescent="0.25">
      <c r="A511" s="23" t="s">
        <v>208</v>
      </c>
      <c r="B511" s="2" t="s">
        <v>1663</v>
      </c>
      <c r="C511" s="3" t="s">
        <v>805</v>
      </c>
      <c r="D511" s="3" t="s">
        <v>23</v>
      </c>
      <c r="E511" s="2" t="s">
        <v>1660</v>
      </c>
      <c r="F511" s="4">
        <v>0</v>
      </c>
      <c r="G511" s="8">
        <f t="shared" si="94"/>
        <v>1</v>
      </c>
      <c r="H511" s="4" t="str">
        <f t="shared" si="99"/>
        <v>Ohms</v>
      </c>
      <c r="I511" s="6">
        <v>0.64200000000000002</v>
      </c>
      <c r="J511" s="6" t="str">
        <f t="shared" si="100"/>
        <v>Ohms</v>
      </c>
      <c r="K511" s="2" t="str">
        <f t="shared" si="101"/>
        <v>RTG</v>
      </c>
      <c r="L511" s="2">
        <v>49640346</v>
      </c>
      <c r="M511" s="7">
        <v>46053</v>
      </c>
      <c r="N511" s="7">
        <f t="shared" si="95"/>
        <v>46418</v>
      </c>
      <c r="O511" s="7" t="str">
        <f t="shared" si="97"/>
        <v>Anual</v>
      </c>
      <c r="P511" s="2" t="str">
        <f t="shared" ca="1" si="98"/>
        <v>VIGENTE</v>
      </c>
      <c r="Q511" s="6" t="s">
        <v>25</v>
      </c>
      <c r="R511" s="2"/>
    </row>
    <row r="512" spans="1:18" x14ac:dyDescent="0.25">
      <c r="A512" s="23" t="s">
        <v>208</v>
      </c>
      <c r="B512" s="2" t="s">
        <v>1664</v>
      </c>
      <c r="C512" s="3" t="s">
        <v>261</v>
      </c>
      <c r="D512" s="3" t="s">
        <v>23</v>
      </c>
      <c r="E512" s="2" t="s">
        <v>1660</v>
      </c>
      <c r="F512" s="4">
        <v>0</v>
      </c>
      <c r="G512" s="8">
        <f t="shared" si="94"/>
        <v>1</v>
      </c>
      <c r="H512" s="4" t="str">
        <f t="shared" si="99"/>
        <v>Ohms</v>
      </c>
      <c r="I512" s="6">
        <v>0.9</v>
      </c>
      <c r="J512" s="6" t="str">
        <f t="shared" si="100"/>
        <v>Ohms</v>
      </c>
      <c r="K512" s="2" t="str">
        <f t="shared" si="101"/>
        <v>RTG</v>
      </c>
      <c r="L512" s="2">
        <v>49640346</v>
      </c>
      <c r="M512" s="7">
        <v>46053</v>
      </c>
      <c r="N512" s="7">
        <f t="shared" si="95"/>
        <v>46418</v>
      </c>
      <c r="O512" s="7" t="str">
        <f t="shared" si="97"/>
        <v>Anual</v>
      </c>
      <c r="P512" s="2" t="str">
        <f t="shared" ca="1" si="98"/>
        <v>VIGENTE</v>
      </c>
      <c r="Q512" s="6" t="s">
        <v>25</v>
      </c>
      <c r="R512" s="2"/>
    </row>
    <row r="513" spans="1:18" x14ac:dyDescent="0.25">
      <c r="A513" s="23" t="s">
        <v>208</v>
      </c>
      <c r="B513" s="2" t="s">
        <v>209</v>
      </c>
      <c r="C513" s="3" t="s">
        <v>210</v>
      </c>
      <c r="D513" s="3" t="s">
        <v>23</v>
      </c>
      <c r="E513" s="2" t="s">
        <v>211</v>
      </c>
      <c r="F513" s="4">
        <v>0</v>
      </c>
      <c r="G513" s="8">
        <f t="shared" si="94"/>
        <v>1</v>
      </c>
      <c r="H513" s="4" t="str">
        <f t="shared" si="99"/>
        <v>Ohms</v>
      </c>
      <c r="I513" s="6">
        <v>0.124</v>
      </c>
      <c r="J513" s="6" t="str">
        <f t="shared" si="100"/>
        <v>Ohms</v>
      </c>
      <c r="K513" s="2" t="str">
        <f t="shared" si="101"/>
        <v>RTG</v>
      </c>
      <c r="L513" s="2">
        <v>49640346</v>
      </c>
      <c r="M513" s="7">
        <v>46053</v>
      </c>
      <c r="N513" s="7">
        <f t="shared" si="95"/>
        <v>46418</v>
      </c>
      <c r="O513" s="7" t="str">
        <f t="shared" si="97"/>
        <v>Anual</v>
      </c>
      <c r="P513" s="2" t="str">
        <f t="shared" ca="1" si="98"/>
        <v>VIGENTE</v>
      </c>
      <c r="Q513" s="6" t="s">
        <v>25</v>
      </c>
      <c r="R513" s="2"/>
    </row>
    <row r="514" spans="1:18" x14ac:dyDescent="0.25">
      <c r="A514" s="23" t="s">
        <v>208</v>
      </c>
      <c r="B514" s="2" t="s">
        <v>1665</v>
      </c>
      <c r="C514" s="3" t="s">
        <v>259</v>
      </c>
      <c r="D514" s="3" t="s">
        <v>23</v>
      </c>
      <c r="E514" s="2" t="s">
        <v>1660</v>
      </c>
      <c r="F514" s="4">
        <v>0</v>
      </c>
      <c r="G514" s="8">
        <f t="shared" si="94"/>
        <v>1</v>
      </c>
      <c r="H514" s="4" t="str">
        <f t="shared" si="99"/>
        <v>Ohms</v>
      </c>
      <c r="I514" s="6">
        <v>0.18099999999999999</v>
      </c>
      <c r="J514" s="6" t="str">
        <f t="shared" si="100"/>
        <v>Ohms</v>
      </c>
      <c r="K514" s="2" t="str">
        <f t="shared" si="101"/>
        <v>RTG</v>
      </c>
      <c r="L514" s="2">
        <v>49640346</v>
      </c>
      <c r="M514" s="7">
        <v>46053</v>
      </c>
      <c r="N514" s="7">
        <f t="shared" si="95"/>
        <v>46418</v>
      </c>
      <c r="O514" s="7" t="str">
        <f t="shared" si="97"/>
        <v>Anual</v>
      </c>
      <c r="P514" s="2" t="str">
        <f t="shared" ca="1" si="98"/>
        <v>VIGENTE</v>
      </c>
      <c r="Q514" s="6" t="s">
        <v>25</v>
      </c>
      <c r="R514" s="2"/>
    </row>
    <row r="515" spans="1:18" x14ac:dyDescent="0.25">
      <c r="A515" s="23" t="s">
        <v>208</v>
      </c>
      <c r="B515" s="2" t="s">
        <v>1666</v>
      </c>
      <c r="C515" s="3" t="s">
        <v>813</v>
      </c>
      <c r="D515" s="3" t="s">
        <v>23</v>
      </c>
      <c r="E515" s="2" t="s">
        <v>1660</v>
      </c>
      <c r="F515" s="4">
        <v>0</v>
      </c>
      <c r="G515" s="8">
        <f t="shared" si="94"/>
        <v>1</v>
      </c>
      <c r="H515" s="4" t="str">
        <f t="shared" si="99"/>
        <v>Ohms</v>
      </c>
      <c r="I515" s="6">
        <v>0.12</v>
      </c>
      <c r="J515" s="6" t="str">
        <f t="shared" si="100"/>
        <v>Ohms</v>
      </c>
      <c r="K515" s="2" t="str">
        <f t="shared" si="101"/>
        <v>RTG</v>
      </c>
      <c r="L515" s="2">
        <v>49640346</v>
      </c>
      <c r="M515" s="7">
        <v>46053</v>
      </c>
      <c r="N515" s="7">
        <f t="shared" si="95"/>
        <v>46418</v>
      </c>
      <c r="O515" s="7" t="str">
        <f t="shared" si="97"/>
        <v>Anual</v>
      </c>
      <c r="P515" s="2" t="str">
        <f t="shared" ca="1" si="98"/>
        <v>VIGENTE</v>
      </c>
      <c r="Q515" s="6" t="s">
        <v>25</v>
      </c>
      <c r="R515" s="2"/>
    </row>
    <row r="516" spans="1:18" x14ac:dyDescent="0.25">
      <c r="A516" s="23" t="s">
        <v>208</v>
      </c>
      <c r="B516" s="2" t="s">
        <v>1667</v>
      </c>
      <c r="C516" s="3" t="s">
        <v>261</v>
      </c>
      <c r="D516" s="3" t="s">
        <v>23</v>
      </c>
      <c r="E516" s="2" t="s">
        <v>1660</v>
      </c>
      <c r="F516" s="4">
        <v>0</v>
      </c>
      <c r="G516" s="8">
        <f t="shared" si="94"/>
        <v>1</v>
      </c>
      <c r="H516" s="4" t="str">
        <f t="shared" si="99"/>
        <v>Ohms</v>
      </c>
      <c r="I516" s="6">
        <v>0.13900000000000001</v>
      </c>
      <c r="J516" s="6" t="str">
        <f t="shared" si="100"/>
        <v>Ohms</v>
      </c>
      <c r="K516" s="2" t="str">
        <f t="shared" si="101"/>
        <v>RTG</v>
      </c>
      <c r="L516" s="2">
        <v>49640346</v>
      </c>
      <c r="M516" s="7">
        <v>46053</v>
      </c>
      <c r="N516" s="7">
        <f t="shared" si="95"/>
        <v>46418</v>
      </c>
      <c r="O516" s="7" t="str">
        <f t="shared" si="97"/>
        <v>Anual</v>
      </c>
      <c r="P516" s="2" t="str">
        <f t="shared" ca="1" si="98"/>
        <v>VIGENTE</v>
      </c>
      <c r="Q516" s="6" t="s">
        <v>25</v>
      </c>
      <c r="R516" s="2"/>
    </row>
    <row r="517" spans="1:18" x14ac:dyDescent="0.25">
      <c r="A517" s="23" t="s">
        <v>208</v>
      </c>
      <c r="B517" s="2" t="s">
        <v>223</v>
      </c>
      <c r="C517" s="3" t="s">
        <v>210</v>
      </c>
      <c r="D517" s="3" t="s">
        <v>23</v>
      </c>
      <c r="E517" s="2" t="s">
        <v>211</v>
      </c>
      <c r="F517" s="4">
        <v>0</v>
      </c>
      <c r="G517" s="8">
        <f t="shared" si="94"/>
        <v>1</v>
      </c>
      <c r="H517" s="4" t="str">
        <f t="shared" si="99"/>
        <v>Ohms</v>
      </c>
      <c r="I517" s="6">
        <v>0.127</v>
      </c>
      <c r="J517" s="6" t="str">
        <f t="shared" si="100"/>
        <v>Ohms</v>
      </c>
      <c r="K517" s="2" t="str">
        <f t="shared" si="101"/>
        <v>RTG</v>
      </c>
      <c r="L517" s="2">
        <v>49640346</v>
      </c>
      <c r="M517" s="7">
        <v>46053</v>
      </c>
      <c r="N517" s="7">
        <f t="shared" si="95"/>
        <v>46418</v>
      </c>
      <c r="O517" s="7" t="str">
        <f t="shared" si="97"/>
        <v>Anual</v>
      </c>
      <c r="P517" s="2" t="str">
        <f t="shared" ca="1" si="98"/>
        <v>VIGENTE</v>
      </c>
      <c r="Q517" s="6" t="s">
        <v>25</v>
      </c>
      <c r="R517" s="2"/>
    </row>
    <row r="518" spans="1:18" x14ac:dyDescent="0.25">
      <c r="A518" s="23" t="s">
        <v>208</v>
      </c>
      <c r="B518" s="2" t="s">
        <v>1668</v>
      </c>
      <c r="C518" s="3" t="s">
        <v>818</v>
      </c>
      <c r="D518" s="3" t="s">
        <v>23</v>
      </c>
      <c r="E518" s="2" t="s">
        <v>1660</v>
      </c>
      <c r="F518" s="4">
        <v>0</v>
      </c>
      <c r="G518" s="8">
        <f t="shared" si="94"/>
        <v>1</v>
      </c>
      <c r="H518" s="4" t="str">
        <f t="shared" si="99"/>
        <v>Ohms</v>
      </c>
      <c r="I518" s="6">
        <v>0.17899999999999999</v>
      </c>
      <c r="J518" s="6" t="str">
        <f t="shared" si="100"/>
        <v>Ohms</v>
      </c>
      <c r="K518" s="2" t="str">
        <f t="shared" si="101"/>
        <v>RTG</v>
      </c>
      <c r="L518" s="2">
        <v>49640346</v>
      </c>
      <c r="M518" s="7">
        <v>46053</v>
      </c>
      <c r="N518" s="7">
        <f t="shared" si="95"/>
        <v>46418</v>
      </c>
      <c r="O518" s="7" t="str">
        <f t="shared" si="97"/>
        <v>Anual</v>
      </c>
      <c r="P518" s="2" t="str">
        <f t="shared" ca="1" si="98"/>
        <v>VIGENTE</v>
      </c>
      <c r="Q518" s="6" t="s">
        <v>25</v>
      </c>
      <c r="R518" s="2"/>
    </row>
    <row r="519" spans="1:18" x14ac:dyDescent="0.25">
      <c r="A519" s="23" t="s">
        <v>208</v>
      </c>
      <c r="B519" s="2" t="s">
        <v>1669</v>
      </c>
      <c r="C519" s="3" t="s">
        <v>820</v>
      </c>
      <c r="D519" s="3" t="s">
        <v>23</v>
      </c>
      <c r="E519" s="2" t="s">
        <v>1660</v>
      </c>
      <c r="F519" s="4">
        <v>0</v>
      </c>
      <c r="G519" s="8">
        <f t="shared" si="94"/>
        <v>1</v>
      </c>
      <c r="H519" s="4" t="str">
        <f t="shared" si="99"/>
        <v>Ohms</v>
      </c>
      <c r="I519" s="6">
        <v>0.10299999999999999</v>
      </c>
      <c r="J519" s="6" t="str">
        <f t="shared" si="100"/>
        <v>Ohms</v>
      </c>
      <c r="K519" s="2" t="str">
        <f t="shared" si="101"/>
        <v>RTG</v>
      </c>
      <c r="L519" s="2">
        <v>49640346</v>
      </c>
      <c r="M519" s="7">
        <v>46053</v>
      </c>
      <c r="N519" s="7">
        <f t="shared" si="95"/>
        <v>46418</v>
      </c>
      <c r="O519" s="7" t="str">
        <f t="shared" si="97"/>
        <v>Anual</v>
      </c>
      <c r="P519" s="2" t="str">
        <f t="shared" ca="1" si="98"/>
        <v>VIGENTE</v>
      </c>
      <c r="Q519" s="6" t="s">
        <v>25</v>
      </c>
      <c r="R519" s="2"/>
    </row>
    <row r="520" spans="1:18" x14ac:dyDescent="0.25">
      <c r="A520" s="23" t="s">
        <v>208</v>
      </c>
      <c r="B520" s="2" t="s">
        <v>1670</v>
      </c>
      <c r="C520" s="3" t="s">
        <v>822</v>
      </c>
      <c r="D520" s="3" t="s">
        <v>23</v>
      </c>
      <c r="E520" s="2" t="s">
        <v>823</v>
      </c>
      <c r="F520" s="4">
        <v>0</v>
      </c>
      <c r="G520" s="8">
        <f t="shared" si="94"/>
        <v>1</v>
      </c>
      <c r="H520" s="4" t="str">
        <f t="shared" si="99"/>
        <v>Ohms</v>
      </c>
      <c r="I520" s="6">
        <v>0.57999999999999996</v>
      </c>
      <c r="J520" s="6" t="str">
        <f t="shared" si="100"/>
        <v>Ohms</v>
      </c>
      <c r="K520" s="2" t="str">
        <f t="shared" si="101"/>
        <v>RTG</v>
      </c>
      <c r="L520" s="2">
        <v>49640346</v>
      </c>
      <c r="M520" s="7">
        <v>46053</v>
      </c>
      <c r="N520" s="7">
        <f t="shared" si="95"/>
        <v>46418</v>
      </c>
      <c r="O520" s="7" t="str">
        <f t="shared" si="97"/>
        <v>Anual</v>
      </c>
      <c r="P520" s="2" t="str">
        <f t="shared" ca="1" si="98"/>
        <v>VIGENTE</v>
      </c>
      <c r="Q520" s="6" t="s">
        <v>25</v>
      </c>
      <c r="R520" s="2"/>
    </row>
    <row r="521" spans="1:18" x14ac:dyDescent="0.25">
      <c r="A521" s="23" t="s">
        <v>208</v>
      </c>
      <c r="B521" s="2" t="s">
        <v>1671</v>
      </c>
      <c r="C521" s="3" t="s">
        <v>265</v>
      </c>
      <c r="D521" s="3" t="s">
        <v>23</v>
      </c>
      <c r="E521" s="2" t="s">
        <v>1660</v>
      </c>
      <c r="F521" s="4">
        <v>0</v>
      </c>
      <c r="G521" s="8">
        <f t="shared" si="94"/>
        <v>1</v>
      </c>
      <c r="H521" s="4" t="str">
        <f t="shared" si="99"/>
        <v>Ohms</v>
      </c>
      <c r="I521" s="6">
        <v>0.45800000000000002</v>
      </c>
      <c r="J521" s="6" t="str">
        <f t="shared" si="100"/>
        <v>Ohms</v>
      </c>
      <c r="K521" s="2" t="str">
        <f t="shared" si="101"/>
        <v>RTG</v>
      </c>
      <c r="L521" s="2">
        <v>49640346</v>
      </c>
      <c r="M521" s="7">
        <v>46053</v>
      </c>
      <c r="N521" s="7">
        <f t="shared" si="95"/>
        <v>46418</v>
      </c>
      <c r="O521" s="7" t="str">
        <f t="shared" si="97"/>
        <v>Anual</v>
      </c>
      <c r="P521" s="2" t="str">
        <f t="shared" ca="1" si="98"/>
        <v>VIGENTE</v>
      </c>
      <c r="Q521" s="6" t="s">
        <v>25</v>
      </c>
      <c r="R521" s="2"/>
    </row>
    <row r="522" spans="1:18" x14ac:dyDescent="0.25">
      <c r="A522" s="23" t="s">
        <v>208</v>
      </c>
      <c r="B522" s="2" t="s">
        <v>1672</v>
      </c>
      <c r="C522" s="3" t="s">
        <v>820</v>
      </c>
      <c r="D522" s="3" t="s">
        <v>23</v>
      </c>
      <c r="E522" s="2" t="s">
        <v>1660</v>
      </c>
      <c r="F522" s="4">
        <v>0</v>
      </c>
      <c r="G522" s="8">
        <f t="shared" si="94"/>
        <v>1</v>
      </c>
      <c r="H522" s="4" t="str">
        <f t="shared" si="99"/>
        <v>Ohms</v>
      </c>
      <c r="I522" s="6">
        <v>0.16700000000000001</v>
      </c>
      <c r="J522" s="6" t="str">
        <f t="shared" si="100"/>
        <v>Ohms</v>
      </c>
      <c r="K522" s="2" t="str">
        <f t="shared" si="101"/>
        <v>RTG</v>
      </c>
      <c r="L522" s="2">
        <v>49640346</v>
      </c>
      <c r="M522" s="7">
        <v>46053</v>
      </c>
      <c r="N522" s="7">
        <f t="shared" si="95"/>
        <v>46418</v>
      </c>
      <c r="O522" s="7" t="str">
        <f t="shared" si="97"/>
        <v>Anual</v>
      </c>
      <c r="P522" s="2" t="str">
        <f t="shared" ca="1" si="98"/>
        <v>VIGENTE</v>
      </c>
      <c r="Q522" s="6" t="s">
        <v>25</v>
      </c>
      <c r="R522" s="2"/>
    </row>
    <row r="523" spans="1:18" x14ac:dyDescent="0.25">
      <c r="A523" s="23" t="s">
        <v>208</v>
      </c>
      <c r="B523" s="2" t="s">
        <v>1673</v>
      </c>
      <c r="C523" s="3" t="s">
        <v>828</v>
      </c>
      <c r="D523" s="3" t="s">
        <v>23</v>
      </c>
      <c r="E523" s="2" t="s">
        <v>829</v>
      </c>
      <c r="F523" s="4">
        <v>0</v>
      </c>
      <c r="G523" s="8">
        <f t="shared" si="94"/>
        <v>1</v>
      </c>
      <c r="H523" s="4" t="str">
        <f t="shared" si="99"/>
        <v>Ohms</v>
      </c>
      <c r="I523" s="6">
        <v>0.16300000000000001</v>
      </c>
      <c r="J523" s="6" t="str">
        <f t="shared" si="100"/>
        <v>Ohms</v>
      </c>
      <c r="K523" s="2" t="str">
        <f t="shared" si="101"/>
        <v>RTG</v>
      </c>
      <c r="L523" s="2">
        <v>49640346</v>
      </c>
      <c r="M523" s="7">
        <v>46053</v>
      </c>
      <c r="N523" s="7">
        <f t="shared" si="95"/>
        <v>46418</v>
      </c>
      <c r="O523" s="7" t="str">
        <f t="shared" si="97"/>
        <v>Anual</v>
      </c>
      <c r="P523" s="2" t="str">
        <f t="shared" ca="1" si="98"/>
        <v>VIGENTE</v>
      </c>
      <c r="Q523" s="6" t="s">
        <v>25</v>
      </c>
      <c r="R523" s="2"/>
    </row>
    <row r="524" spans="1:18" x14ac:dyDescent="0.25">
      <c r="A524" s="23" t="s">
        <v>208</v>
      </c>
      <c r="B524" s="2" t="s">
        <v>1674</v>
      </c>
      <c r="C524" s="3" t="s">
        <v>828</v>
      </c>
      <c r="D524" s="3" t="s">
        <v>23</v>
      </c>
      <c r="E524" s="2" t="s">
        <v>829</v>
      </c>
      <c r="F524" s="4">
        <v>0</v>
      </c>
      <c r="G524" s="8">
        <f t="shared" si="94"/>
        <v>1</v>
      </c>
      <c r="H524" s="4" t="str">
        <f t="shared" si="99"/>
        <v>Ohms</v>
      </c>
      <c r="I524" s="6">
        <v>0.14899999999999999</v>
      </c>
      <c r="J524" s="6" t="str">
        <f t="shared" si="100"/>
        <v>Ohms</v>
      </c>
      <c r="K524" s="2" t="str">
        <f t="shared" si="101"/>
        <v>RTG</v>
      </c>
      <c r="L524" s="2">
        <v>49640346</v>
      </c>
      <c r="M524" s="7">
        <v>46053</v>
      </c>
      <c r="N524" s="7">
        <f t="shared" si="95"/>
        <v>46418</v>
      </c>
      <c r="O524" s="7" t="str">
        <f t="shared" si="97"/>
        <v>Anual</v>
      </c>
      <c r="P524" s="2" t="str">
        <f t="shared" ca="1" si="98"/>
        <v>VIGENTE</v>
      </c>
      <c r="Q524" s="6" t="s">
        <v>25</v>
      </c>
      <c r="R524" s="2"/>
    </row>
    <row r="525" spans="1:18" x14ac:dyDescent="0.25">
      <c r="A525" s="23" t="s">
        <v>208</v>
      </c>
      <c r="B525" s="2" t="s">
        <v>1675</v>
      </c>
      <c r="C525" s="3" t="s">
        <v>828</v>
      </c>
      <c r="D525" s="3" t="s">
        <v>23</v>
      </c>
      <c r="E525" s="2" t="s">
        <v>829</v>
      </c>
      <c r="F525" s="4">
        <v>0</v>
      </c>
      <c r="G525" s="8">
        <f t="shared" si="94"/>
        <v>1</v>
      </c>
      <c r="H525" s="4" t="str">
        <f t="shared" si="99"/>
        <v>Ohms</v>
      </c>
      <c r="I525" s="6">
        <v>0.14099999999999999</v>
      </c>
      <c r="J525" s="6" t="str">
        <f t="shared" si="100"/>
        <v>Ohms</v>
      </c>
      <c r="K525" s="2" t="str">
        <f t="shared" si="101"/>
        <v>RTG</v>
      </c>
      <c r="L525" s="2">
        <v>49640346</v>
      </c>
      <c r="M525" s="7">
        <v>46053</v>
      </c>
      <c r="N525" s="7">
        <f t="shared" si="95"/>
        <v>46418</v>
      </c>
      <c r="O525" s="7" t="str">
        <f t="shared" si="97"/>
        <v>Anual</v>
      </c>
      <c r="P525" s="2" t="str">
        <f t="shared" ca="1" si="98"/>
        <v>VIGENTE</v>
      </c>
      <c r="Q525" s="6" t="s">
        <v>25</v>
      </c>
      <c r="R525" s="2"/>
    </row>
    <row r="526" spans="1:18" x14ac:dyDescent="0.25">
      <c r="A526" s="23" t="s">
        <v>208</v>
      </c>
      <c r="B526" s="2" t="s">
        <v>1676</v>
      </c>
      <c r="C526" s="3" t="s">
        <v>828</v>
      </c>
      <c r="D526" s="3" t="s">
        <v>23</v>
      </c>
      <c r="E526" s="2" t="s">
        <v>829</v>
      </c>
      <c r="F526" s="4">
        <v>0</v>
      </c>
      <c r="G526" s="8">
        <f t="shared" si="94"/>
        <v>1</v>
      </c>
      <c r="H526" s="4" t="str">
        <f t="shared" si="99"/>
        <v>Ohms</v>
      </c>
      <c r="I526" s="6">
        <v>0.16400000000000001</v>
      </c>
      <c r="J526" s="6" t="str">
        <f t="shared" si="100"/>
        <v>Ohms</v>
      </c>
      <c r="K526" s="2" t="str">
        <f t="shared" si="101"/>
        <v>RTG</v>
      </c>
      <c r="L526" s="2">
        <v>49640346</v>
      </c>
      <c r="M526" s="7">
        <v>46053</v>
      </c>
      <c r="N526" s="7">
        <f t="shared" si="95"/>
        <v>46418</v>
      </c>
      <c r="O526" s="7" t="str">
        <f t="shared" si="97"/>
        <v>Anual</v>
      </c>
      <c r="P526" s="2" t="str">
        <f t="shared" ca="1" si="98"/>
        <v>VIGENTE</v>
      </c>
      <c r="Q526" s="6" t="s">
        <v>25</v>
      </c>
      <c r="R526" s="2"/>
    </row>
    <row r="527" spans="1:18" x14ac:dyDescent="0.25">
      <c r="A527" s="23" t="s">
        <v>208</v>
      </c>
      <c r="B527" s="2" t="s">
        <v>1677</v>
      </c>
      <c r="C527" s="3" t="s">
        <v>828</v>
      </c>
      <c r="D527" s="3" t="s">
        <v>23</v>
      </c>
      <c r="E527" s="2" t="s">
        <v>829</v>
      </c>
      <c r="F527" s="4">
        <v>0</v>
      </c>
      <c r="G527" s="8">
        <f t="shared" si="94"/>
        <v>1</v>
      </c>
      <c r="H527" s="4" t="str">
        <f t="shared" si="99"/>
        <v>Ohms</v>
      </c>
      <c r="I527" s="6">
        <v>0.245</v>
      </c>
      <c r="J527" s="6" t="str">
        <f t="shared" si="100"/>
        <v>Ohms</v>
      </c>
      <c r="K527" s="2" t="str">
        <f t="shared" si="101"/>
        <v>RTG</v>
      </c>
      <c r="L527" s="2">
        <v>49640346</v>
      </c>
      <c r="M527" s="7">
        <v>46053</v>
      </c>
      <c r="N527" s="7">
        <f t="shared" si="95"/>
        <v>46418</v>
      </c>
      <c r="O527" s="7" t="str">
        <f t="shared" si="97"/>
        <v>Anual</v>
      </c>
      <c r="P527" s="2" t="str">
        <f t="shared" ca="1" si="98"/>
        <v>VIGENTE</v>
      </c>
      <c r="Q527" s="6" t="s">
        <v>25</v>
      </c>
      <c r="R527" s="2"/>
    </row>
    <row r="528" spans="1:18" x14ac:dyDescent="0.25">
      <c r="A528" s="23" t="s">
        <v>208</v>
      </c>
      <c r="B528" s="2" t="s">
        <v>1678</v>
      </c>
      <c r="C528" s="3" t="s">
        <v>828</v>
      </c>
      <c r="D528" s="3" t="s">
        <v>23</v>
      </c>
      <c r="E528" s="2" t="s">
        <v>829</v>
      </c>
      <c r="F528" s="4">
        <v>0</v>
      </c>
      <c r="G528" s="8">
        <f t="shared" si="94"/>
        <v>1</v>
      </c>
      <c r="H528" s="4" t="str">
        <f t="shared" si="99"/>
        <v>Ohms</v>
      </c>
      <c r="I528" s="6">
        <v>0.151</v>
      </c>
      <c r="J528" s="6" t="str">
        <f t="shared" si="100"/>
        <v>Ohms</v>
      </c>
      <c r="K528" s="2" t="str">
        <f t="shared" si="101"/>
        <v>RTG</v>
      </c>
      <c r="L528" s="2">
        <v>49640346</v>
      </c>
      <c r="M528" s="7">
        <v>46053</v>
      </c>
      <c r="N528" s="7">
        <f t="shared" si="95"/>
        <v>46418</v>
      </c>
      <c r="O528" s="7" t="str">
        <f t="shared" si="97"/>
        <v>Anual</v>
      </c>
      <c r="P528" s="2" t="str">
        <f t="shared" ca="1" si="98"/>
        <v>VIGENTE</v>
      </c>
      <c r="Q528" s="6" t="s">
        <v>25</v>
      </c>
      <c r="R528" s="2"/>
    </row>
    <row r="529" spans="1:18" x14ac:dyDescent="0.25">
      <c r="A529" s="23" t="s">
        <v>208</v>
      </c>
      <c r="B529" s="2" t="s">
        <v>1679</v>
      </c>
      <c r="C529" s="3" t="s">
        <v>818</v>
      </c>
      <c r="D529" s="3" t="s">
        <v>23</v>
      </c>
      <c r="E529" s="2" t="s">
        <v>1660</v>
      </c>
      <c r="F529" s="4">
        <v>0</v>
      </c>
      <c r="G529" s="8">
        <f t="shared" si="94"/>
        <v>1</v>
      </c>
      <c r="H529" s="4" t="str">
        <f t="shared" si="99"/>
        <v>Ohms</v>
      </c>
      <c r="I529" s="6">
        <v>0.20200000000000001</v>
      </c>
      <c r="J529" s="6" t="str">
        <f t="shared" si="100"/>
        <v>Ohms</v>
      </c>
      <c r="K529" s="2" t="str">
        <f t="shared" si="101"/>
        <v>RTG</v>
      </c>
      <c r="L529" s="2">
        <v>49640346</v>
      </c>
      <c r="M529" s="7">
        <v>46053</v>
      </c>
      <c r="N529" s="7">
        <f t="shared" si="95"/>
        <v>46418</v>
      </c>
      <c r="O529" s="7" t="str">
        <f t="shared" si="97"/>
        <v>Anual</v>
      </c>
      <c r="P529" s="2" t="str">
        <f t="shared" ca="1" si="98"/>
        <v>VIGENTE</v>
      </c>
      <c r="Q529" s="6" t="s">
        <v>25</v>
      </c>
      <c r="R529" s="2"/>
    </row>
    <row r="530" spans="1:18" x14ac:dyDescent="0.25">
      <c r="A530" s="23" t="s">
        <v>208</v>
      </c>
      <c r="B530" s="2" t="s">
        <v>1680</v>
      </c>
      <c r="C530" s="3" t="s">
        <v>838</v>
      </c>
      <c r="D530" s="3" t="s">
        <v>23</v>
      </c>
      <c r="E530" s="2" t="s">
        <v>839</v>
      </c>
      <c r="F530" s="4">
        <v>0</v>
      </c>
      <c r="G530" s="8">
        <f t="shared" si="94"/>
        <v>1</v>
      </c>
      <c r="H530" s="4" t="str">
        <f t="shared" si="99"/>
        <v>Ohms</v>
      </c>
      <c r="I530" s="6">
        <v>0.08</v>
      </c>
      <c r="J530" s="6" t="str">
        <f t="shared" si="100"/>
        <v>Ohms</v>
      </c>
      <c r="K530" s="2" t="str">
        <f t="shared" si="101"/>
        <v>RTG</v>
      </c>
      <c r="L530" s="2">
        <v>49640346</v>
      </c>
      <c r="M530" s="7">
        <v>46053</v>
      </c>
      <c r="N530" s="7">
        <f t="shared" si="95"/>
        <v>46418</v>
      </c>
      <c r="O530" s="7" t="str">
        <f t="shared" si="97"/>
        <v>Anual</v>
      </c>
      <c r="P530" s="2" t="str">
        <f t="shared" ca="1" si="98"/>
        <v>VIGENTE</v>
      </c>
      <c r="Q530" s="6" t="s">
        <v>25</v>
      </c>
      <c r="R530" s="2"/>
    </row>
    <row r="531" spans="1:18" x14ac:dyDescent="0.25">
      <c r="A531" s="23" t="s">
        <v>208</v>
      </c>
      <c r="B531" s="2" t="s">
        <v>1681</v>
      </c>
      <c r="C531" s="3" t="s">
        <v>818</v>
      </c>
      <c r="D531" s="3" t="s">
        <v>23</v>
      </c>
      <c r="E531" s="2" t="s">
        <v>814</v>
      </c>
      <c r="F531" s="4">
        <v>0</v>
      </c>
      <c r="G531" s="8">
        <f t="shared" si="94"/>
        <v>1</v>
      </c>
      <c r="H531" s="4" t="str">
        <f t="shared" si="99"/>
        <v>Ohms</v>
      </c>
      <c r="I531" s="6">
        <v>0.35699999999999998</v>
      </c>
      <c r="J531" s="6" t="str">
        <f t="shared" si="100"/>
        <v>Ohms</v>
      </c>
      <c r="K531" s="2" t="str">
        <f t="shared" si="101"/>
        <v>RTG</v>
      </c>
      <c r="L531" s="2">
        <v>49640346</v>
      </c>
      <c r="M531" s="7">
        <v>46053</v>
      </c>
      <c r="N531" s="7">
        <f t="shared" si="95"/>
        <v>46418</v>
      </c>
      <c r="O531" s="7" t="str">
        <f t="shared" si="97"/>
        <v>Anual</v>
      </c>
      <c r="P531" s="2" t="str">
        <f t="shared" ca="1" si="98"/>
        <v>VIGENTE</v>
      </c>
      <c r="Q531" s="6" t="s">
        <v>25</v>
      </c>
      <c r="R531" s="2"/>
    </row>
    <row r="532" spans="1:18" x14ac:dyDescent="0.25">
      <c r="A532" s="23" t="s">
        <v>208</v>
      </c>
      <c r="B532" s="2" t="s">
        <v>1682</v>
      </c>
      <c r="C532" s="3" t="s">
        <v>820</v>
      </c>
      <c r="D532" s="3" t="s">
        <v>23</v>
      </c>
      <c r="E532" s="2" t="s">
        <v>1660</v>
      </c>
      <c r="F532" s="4">
        <v>0</v>
      </c>
      <c r="G532" s="8">
        <f t="shared" si="94"/>
        <v>1</v>
      </c>
      <c r="H532" s="4" t="str">
        <f t="shared" si="99"/>
        <v>Ohms</v>
      </c>
      <c r="I532" s="6">
        <v>0.17100000000000001</v>
      </c>
      <c r="J532" s="6" t="str">
        <f t="shared" si="100"/>
        <v>Ohms</v>
      </c>
      <c r="K532" s="2" t="str">
        <f t="shared" si="101"/>
        <v>RTG</v>
      </c>
      <c r="L532" s="2">
        <v>49640346</v>
      </c>
      <c r="M532" s="7">
        <v>46053</v>
      </c>
      <c r="N532" s="7">
        <f t="shared" si="95"/>
        <v>46418</v>
      </c>
      <c r="O532" s="7" t="str">
        <f t="shared" si="97"/>
        <v>Anual</v>
      </c>
      <c r="P532" s="2" t="str">
        <f t="shared" ca="1" si="98"/>
        <v>VIGENTE</v>
      </c>
      <c r="Q532" s="6" t="s">
        <v>25</v>
      </c>
      <c r="R532" s="2"/>
    </row>
    <row r="533" spans="1:18" x14ac:dyDescent="0.25">
      <c r="A533" s="23" t="s">
        <v>208</v>
      </c>
      <c r="B533" s="2" t="s">
        <v>1683</v>
      </c>
      <c r="C533" s="3" t="s">
        <v>844</v>
      </c>
      <c r="D533" s="3" t="s">
        <v>23</v>
      </c>
      <c r="E533" s="2" t="s">
        <v>1660</v>
      </c>
      <c r="F533" s="4">
        <v>0</v>
      </c>
      <c r="G533" s="8">
        <f t="shared" si="94"/>
        <v>1</v>
      </c>
      <c r="H533" s="4" t="str">
        <f t="shared" si="99"/>
        <v>Ohms</v>
      </c>
      <c r="I533" s="6">
        <v>0.29899999999999999</v>
      </c>
      <c r="J533" s="6" t="str">
        <f t="shared" si="100"/>
        <v>Ohms</v>
      </c>
      <c r="K533" s="2" t="str">
        <f t="shared" si="101"/>
        <v>RTG</v>
      </c>
      <c r="L533" s="2">
        <v>49640346</v>
      </c>
      <c r="M533" s="7">
        <v>46053</v>
      </c>
      <c r="N533" s="7">
        <f t="shared" si="95"/>
        <v>46418</v>
      </c>
      <c r="O533" s="7" t="str">
        <f t="shared" si="97"/>
        <v>Anual</v>
      </c>
      <c r="P533" s="2" t="str">
        <f t="shared" ca="1" si="98"/>
        <v>VIGENTE</v>
      </c>
      <c r="Q533" s="6" t="s">
        <v>25</v>
      </c>
      <c r="R533" s="2"/>
    </row>
    <row r="534" spans="1:18" x14ac:dyDescent="0.25">
      <c r="A534" s="23" t="s">
        <v>208</v>
      </c>
      <c r="B534" s="2" t="s">
        <v>1684</v>
      </c>
      <c r="C534" s="3" t="s">
        <v>820</v>
      </c>
      <c r="D534" s="3" t="s">
        <v>23</v>
      </c>
      <c r="E534" s="2" t="s">
        <v>823</v>
      </c>
      <c r="F534" s="4">
        <v>0</v>
      </c>
      <c r="G534" s="8">
        <f t="shared" si="94"/>
        <v>1</v>
      </c>
      <c r="H534" s="4" t="str">
        <f t="shared" si="99"/>
        <v>Ohms</v>
      </c>
      <c r="I534" s="6">
        <v>0.35</v>
      </c>
      <c r="J534" s="6" t="str">
        <f t="shared" si="100"/>
        <v>Ohms</v>
      </c>
      <c r="K534" s="2" t="str">
        <f t="shared" si="101"/>
        <v>RTG</v>
      </c>
      <c r="L534" s="2">
        <v>49640346</v>
      </c>
      <c r="M534" s="7">
        <v>46053</v>
      </c>
      <c r="N534" s="7">
        <f t="shared" si="95"/>
        <v>46418</v>
      </c>
      <c r="O534" s="7" t="str">
        <f t="shared" si="97"/>
        <v>Anual</v>
      </c>
      <c r="P534" s="2" t="str">
        <f t="shared" ca="1" si="98"/>
        <v>VIGENTE</v>
      </c>
      <c r="Q534" s="6" t="s">
        <v>25</v>
      </c>
      <c r="R534" s="2"/>
    </row>
    <row r="535" spans="1:18" x14ac:dyDescent="0.25">
      <c r="A535" s="23" t="s">
        <v>208</v>
      </c>
      <c r="B535" s="2" t="s">
        <v>1685</v>
      </c>
      <c r="C535" s="3" t="s">
        <v>847</v>
      </c>
      <c r="D535" s="3" t="s">
        <v>23</v>
      </c>
      <c r="E535" s="2" t="s">
        <v>1660</v>
      </c>
      <c r="F535" s="4">
        <v>0</v>
      </c>
      <c r="G535" s="8">
        <f t="shared" si="94"/>
        <v>1</v>
      </c>
      <c r="H535" s="4" t="str">
        <f t="shared" si="99"/>
        <v>Ohms</v>
      </c>
      <c r="I535" s="6">
        <v>0.13300000000000001</v>
      </c>
      <c r="J535" s="6" t="str">
        <f t="shared" si="100"/>
        <v>Ohms</v>
      </c>
      <c r="K535" s="2" t="str">
        <f t="shared" si="101"/>
        <v>RTG</v>
      </c>
      <c r="L535" s="2">
        <v>49640346</v>
      </c>
      <c r="M535" s="7">
        <v>46053</v>
      </c>
      <c r="N535" s="7">
        <f t="shared" si="95"/>
        <v>46418</v>
      </c>
      <c r="O535" s="7" t="str">
        <f t="shared" si="97"/>
        <v>Anual</v>
      </c>
      <c r="P535" s="2" t="str">
        <f t="shared" ca="1" si="98"/>
        <v>VIGENTE</v>
      </c>
      <c r="Q535" s="6" t="s">
        <v>25</v>
      </c>
      <c r="R535" s="2"/>
    </row>
    <row r="536" spans="1:18" x14ac:dyDescent="0.25">
      <c r="A536" s="23" t="s">
        <v>208</v>
      </c>
      <c r="B536" s="2" t="s">
        <v>1686</v>
      </c>
      <c r="C536" s="3" t="s">
        <v>265</v>
      </c>
      <c r="D536" s="3" t="s">
        <v>23</v>
      </c>
      <c r="E536" s="2" t="s">
        <v>1660</v>
      </c>
      <c r="F536" s="4">
        <v>0</v>
      </c>
      <c r="G536" s="8">
        <f t="shared" si="94"/>
        <v>1</v>
      </c>
      <c r="H536" s="4" t="str">
        <f t="shared" si="99"/>
        <v>Ohms</v>
      </c>
      <c r="I536" s="6">
        <v>0.16600000000000001</v>
      </c>
      <c r="J536" s="6" t="str">
        <f t="shared" si="100"/>
        <v>Ohms</v>
      </c>
      <c r="K536" s="2" t="str">
        <f t="shared" si="101"/>
        <v>RTG</v>
      </c>
      <c r="L536" s="2">
        <v>49640346</v>
      </c>
      <c r="M536" s="7">
        <v>46053</v>
      </c>
      <c r="N536" s="7">
        <f t="shared" si="95"/>
        <v>46418</v>
      </c>
      <c r="O536" s="7" t="str">
        <f t="shared" si="97"/>
        <v>Anual</v>
      </c>
      <c r="P536" s="2" t="str">
        <f t="shared" ca="1" si="98"/>
        <v>VIGENTE</v>
      </c>
      <c r="Q536" s="6" t="s">
        <v>25</v>
      </c>
      <c r="R536" s="2"/>
    </row>
    <row r="537" spans="1:18" x14ac:dyDescent="0.25">
      <c r="A537" s="23" t="s">
        <v>208</v>
      </c>
      <c r="B537" s="2" t="s">
        <v>1687</v>
      </c>
      <c r="C537" s="3" t="s">
        <v>267</v>
      </c>
      <c r="D537" s="3" t="s">
        <v>23</v>
      </c>
      <c r="E537" s="2" t="s">
        <v>814</v>
      </c>
      <c r="F537" s="4">
        <v>0</v>
      </c>
      <c r="G537" s="8">
        <f t="shared" si="94"/>
        <v>1</v>
      </c>
      <c r="H537" s="4" t="str">
        <f t="shared" si="99"/>
        <v>Ohms</v>
      </c>
      <c r="I537" s="6">
        <v>0.49299999999999999</v>
      </c>
      <c r="J537" s="6" t="str">
        <f t="shared" si="100"/>
        <v>Ohms</v>
      </c>
      <c r="K537" s="2" t="str">
        <f t="shared" si="101"/>
        <v>RTG</v>
      </c>
      <c r="L537" s="2">
        <v>49640346</v>
      </c>
      <c r="M537" s="7">
        <v>46053</v>
      </c>
      <c r="N537" s="7">
        <f t="shared" si="95"/>
        <v>46418</v>
      </c>
      <c r="O537" s="7" t="str">
        <f t="shared" si="97"/>
        <v>Anual</v>
      </c>
      <c r="P537" s="2" t="str">
        <f t="shared" ca="1" si="98"/>
        <v>VIGENTE</v>
      </c>
      <c r="Q537" s="6" t="s">
        <v>25</v>
      </c>
      <c r="R537" s="2"/>
    </row>
    <row r="538" spans="1:18" x14ac:dyDescent="0.25">
      <c r="A538" s="23" t="s">
        <v>212</v>
      </c>
      <c r="B538" s="2" t="s">
        <v>1688</v>
      </c>
      <c r="C538" s="3" t="s">
        <v>810</v>
      </c>
      <c r="D538" s="3" t="s">
        <v>23</v>
      </c>
      <c r="E538" s="2" t="s">
        <v>814</v>
      </c>
      <c r="F538" s="4">
        <v>0</v>
      </c>
      <c r="G538" s="8">
        <f t="shared" si="94"/>
        <v>1</v>
      </c>
      <c r="H538" s="4" t="str">
        <f t="shared" si="99"/>
        <v>Ohms</v>
      </c>
      <c r="I538" s="6">
        <v>0.66500000000000004</v>
      </c>
      <c r="J538" s="6" t="str">
        <f t="shared" si="100"/>
        <v>Ohms</v>
      </c>
      <c r="K538" s="2" t="str">
        <f t="shared" si="101"/>
        <v>RTG</v>
      </c>
      <c r="L538" s="2">
        <v>46041216</v>
      </c>
      <c r="M538" s="7">
        <v>46076</v>
      </c>
      <c r="N538" s="7">
        <f t="shared" si="95"/>
        <v>46441</v>
      </c>
      <c r="O538" s="7" t="str">
        <f t="shared" si="97"/>
        <v>Anual</v>
      </c>
      <c r="P538" s="2" t="str">
        <f t="shared" ca="1" si="98"/>
        <v>VIGENTE</v>
      </c>
      <c r="Q538" s="6" t="s">
        <v>25</v>
      </c>
      <c r="R538" s="2"/>
    </row>
    <row r="539" spans="1:18" x14ac:dyDescent="0.25">
      <c r="A539" s="23" t="s">
        <v>212</v>
      </c>
      <c r="B539" s="2" t="s">
        <v>1689</v>
      </c>
      <c r="C539" s="3" t="s">
        <v>802</v>
      </c>
      <c r="D539" s="3" t="s">
        <v>23</v>
      </c>
      <c r="E539" s="2" t="s">
        <v>803</v>
      </c>
      <c r="F539" s="4">
        <v>0</v>
      </c>
      <c r="G539" s="8">
        <f t="shared" si="94"/>
        <v>1</v>
      </c>
      <c r="H539" s="4" t="str">
        <f t="shared" si="99"/>
        <v>Ohms</v>
      </c>
      <c r="I539" s="6">
        <v>0.23400000000000001</v>
      </c>
      <c r="J539" s="6" t="str">
        <f t="shared" si="100"/>
        <v>Ohms</v>
      </c>
      <c r="K539" s="2" t="str">
        <f t="shared" si="101"/>
        <v>RTG</v>
      </c>
      <c r="L539" s="2">
        <v>46041216</v>
      </c>
      <c r="M539" s="7">
        <v>46076</v>
      </c>
      <c r="N539" s="7">
        <f t="shared" si="95"/>
        <v>46441</v>
      </c>
      <c r="O539" s="7" t="str">
        <f t="shared" si="97"/>
        <v>Anual</v>
      </c>
      <c r="P539" s="2" t="str">
        <f t="shared" ca="1" si="98"/>
        <v>VIGENTE</v>
      </c>
      <c r="Q539" s="6" t="s">
        <v>25</v>
      </c>
      <c r="R539" s="2"/>
    </row>
    <row r="540" spans="1:18" x14ac:dyDescent="0.25">
      <c r="A540" s="23" t="s">
        <v>212</v>
      </c>
      <c r="B540" s="2" t="s">
        <v>1690</v>
      </c>
      <c r="C540" s="3" t="s">
        <v>800</v>
      </c>
      <c r="D540" s="3" t="s">
        <v>23</v>
      </c>
      <c r="E540" s="2" t="s">
        <v>24</v>
      </c>
      <c r="F540" s="4">
        <v>0</v>
      </c>
      <c r="G540" s="8">
        <f t="shared" ref="G540:G603" si="102">IF(C540="Ionizador", 10, IF(C540="Mesa", 1000000000, IF(C540="Rack", 1000000000, IF(C540="Piso", 1000000000, IF(C540="Tapete", 1000000000, IF(C540="Carrito", 1000000000, IF(C540="Cautín", 10, 1)))))))</f>
        <v>10</v>
      </c>
      <c r="H540" s="4" t="str">
        <f t="shared" si="99"/>
        <v>Segundos</v>
      </c>
      <c r="I540" s="6">
        <v>5</v>
      </c>
      <c r="J540" s="6" t="str">
        <f t="shared" si="100"/>
        <v>Segundos</v>
      </c>
      <c r="K540" s="2" t="str">
        <f t="shared" si="101"/>
        <v>Plato de carga</v>
      </c>
      <c r="L540" s="2"/>
      <c r="M540" s="7">
        <v>46044</v>
      </c>
      <c r="N540" s="7">
        <f t="shared" ref="N540:N603" si="103">IF(O540="Trimestral", M540+90, IF(O540="Semestral", M540+180, IF(O540="Mensual", M540+30, M540+365)))</f>
        <v>46134</v>
      </c>
      <c r="O540" s="7" t="str">
        <f t="shared" si="97"/>
        <v>Trimestral</v>
      </c>
      <c r="P540" s="2" t="str">
        <f t="shared" ref="P540:P571" ca="1" si="104">IF(N540&lt;TODAY(),"VENCIDO",IF(N540=TODAY(),"VIGENTE",IF(N540&gt;TODAY(),"VIGENTE")))</f>
        <v>VIGENTE</v>
      </c>
      <c r="Q540" s="6" t="s">
        <v>25</v>
      </c>
      <c r="R540" s="2"/>
    </row>
    <row r="541" spans="1:18" x14ac:dyDescent="0.25">
      <c r="A541" s="23" t="s">
        <v>212</v>
      </c>
      <c r="B541" s="2" t="s">
        <v>1691</v>
      </c>
      <c r="C541" s="3" t="s">
        <v>805</v>
      </c>
      <c r="D541" s="3" t="s">
        <v>23</v>
      </c>
      <c r="E541" s="2" t="s">
        <v>814</v>
      </c>
      <c r="F541" s="4">
        <v>0</v>
      </c>
      <c r="G541" s="8">
        <f t="shared" si="102"/>
        <v>1</v>
      </c>
      <c r="H541" s="4" t="str">
        <f t="shared" si="99"/>
        <v>Ohms</v>
      </c>
      <c r="I541" s="6">
        <v>0.13100000000000001</v>
      </c>
      <c r="J541" s="6" t="str">
        <f t="shared" si="100"/>
        <v>Ohms</v>
      </c>
      <c r="K541" s="2" t="str">
        <f t="shared" si="101"/>
        <v>RTG</v>
      </c>
      <c r="L541" s="2">
        <v>46041216</v>
      </c>
      <c r="M541" s="7">
        <v>46076</v>
      </c>
      <c r="N541" s="7">
        <f t="shared" si="103"/>
        <v>46441</v>
      </c>
      <c r="O541" s="7" t="str">
        <f t="shared" si="97"/>
        <v>Anual</v>
      </c>
      <c r="P541" s="2" t="str">
        <f t="shared" ca="1" si="104"/>
        <v>VIGENTE</v>
      </c>
      <c r="Q541" s="6" t="s">
        <v>25</v>
      </c>
      <c r="R541" s="2"/>
    </row>
    <row r="542" spans="1:18" x14ac:dyDescent="0.25">
      <c r="A542" s="23" t="s">
        <v>212</v>
      </c>
      <c r="B542" s="2" t="s">
        <v>1692</v>
      </c>
      <c r="C542" s="3" t="s">
        <v>261</v>
      </c>
      <c r="D542" s="3" t="s">
        <v>23</v>
      </c>
      <c r="E542" s="2" t="s">
        <v>814</v>
      </c>
      <c r="F542" s="4">
        <v>0</v>
      </c>
      <c r="G542" s="8">
        <f t="shared" si="102"/>
        <v>1</v>
      </c>
      <c r="H542" s="4" t="str">
        <f t="shared" si="99"/>
        <v>Ohms</v>
      </c>
      <c r="I542" s="6">
        <v>0.123</v>
      </c>
      <c r="J542" s="6" t="str">
        <f t="shared" si="100"/>
        <v>Ohms</v>
      </c>
      <c r="K542" s="2" t="str">
        <f t="shared" si="101"/>
        <v>RTG</v>
      </c>
      <c r="L542" s="2">
        <v>46041216</v>
      </c>
      <c r="M542" s="7">
        <v>46076</v>
      </c>
      <c r="N542" s="7">
        <f t="shared" si="103"/>
        <v>46441</v>
      </c>
      <c r="O542" s="7" t="str">
        <f t="shared" si="97"/>
        <v>Anual</v>
      </c>
      <c r="P542" s="2" t="str">
        <f t="shared" ca="1" si="104"/>
        <v>VIGENTE</v>
      </c>
      <c r="Q542" s="6" t="s">
        <v>25</v>
      </c>
      <c r="R542" s="2"/>
    </row>
    <row r="543" spans="1:18" x14ac:dyDescent="0.25">
      <c r="A543" s="23" t="s">
        <v>212</v>
      </c>
      <c r="B543" s="2" t="s">
        <v>213</v>
      </c>
      <c r="C543" s="3" t="s">
        <v>210</v>
      </c>
      <c r="D543" s="3" t="s">
        <v>23</v>
      </c>
      <c r="E543" s="2" t="s">
        <v>211</v>
      </c>
      <c r="F543" s="4">
        <v>0</v>
      </c>
      <c r="G543" s="8">
        <f t="shared" si="102"/>
        <v>1</v>
      </c>
      <c r="H543" s="4" t="str">
        <f t="shared" si="99"/>
        <v>Ohms</v>
      </c>
      <c r="I543" s="6">
        <v>0.223</v>
      </c>
      <c r="J543" s="6" t="str">
        <f t="shared" si="100"/>
        <v>Ohms</v>
      </c>
      <c r="K543" s="2" t="str">
        <f t="shared" si="101"/>
        <v>RTG</v>
      </c>
      <c r="L543" s="2">
        <v>46041216</v>
      </c>
      <c r="M543" s="7">
        <v>46076</v>
      </c>
      <c r="N543" s="7">
        <f t="shared" si="103"/>
        <v>46441</v>
      </c>
      <c r="O543" s="7" t="str">
        <f t="shared" si="97"/>
        <v>Anual</v>
      </c>
      <c r="P543" s="2" t="str">
        <f t="shared" ca="1" si="104"/>
        <v>VIGENTE</v>
      </c>
      <c r="Q543" s="6" t="s">
        <v>25</v>
      </c>
      <c r="R543" s="2"/>
    </row>
    <row r="544" spans="1:18" x14ac:dyDescent="0.25">
      <c r="A544" s="23" t="s">
        <v>212</v>
      </c>
      <c r="B544" s="2" t="s">
        <v>1693</v>
      </c>
      <c r="C544" s="3" t="s">
        <v>259</v>
      </c>
      <c r="D544" s="3" t="s">
        <v>23</v>
      </c>
      <c r="E544" s="2" t="s">
        <v>814</v>
      </c>
      <c r="F544" s="4">
        <v>0</v>
      </c>
      <c r="G544" s="8">
        <f t="shared" si="102"/>
        <v>1</v>
      </c>
      <c r="H544" s="4" t="str">
        <f t="shared" si="99"/>
        <v>Ohms</v>
      </c>
      <c r="I544" s="6">
        <v>0.48399999999999999</v>
      </c>
      <c r="J544" s="6" t="str">
        <f t="shared" si="100"/>
        <v>Ohms</v>
      </c>
      <c r="K544" s="2" t="str">
        <f t="shared" si="101"/>
        <v>RTG</v>
      </c>
      <c r="L544" s="2">
        <v>46041216</v>
      </c>
      <c r="M544" s="7">
        <v>46076</v>
      </c>
      <c r="N544" s="7">
        <f t="shared" si="103"/>
        <v>46441</v>
      </c>
      <c r="O544" s="7" t="str">
        <f t="shared" si="97"/>
        <v>Anual</v>
      </c>
      <c r="P544" s="2" t="str">
        <f t="shared" ca="1" si="104"/>
        <v>VIGENTE</v>
      </c>
      <c r="Q544" s="6" t="s">
        <v>25</v>
      </c>
      <c r="R544" s="2"/>
    </row>
    <row r="545" spans="1:18" x14ac:dyDescent="0.25">
      <c r="A545" s="23" t="s">
        <v>212</v>
      </c>
      <c r="B545" s="2" t="s">
        <v>1694</v>
      </c>
      <c r="C545" s="3" t="s">
        <v>813</v>
      </c>
      <c r="D545" s="3" t="s">
        <v>23</v>
      </c>
      <c r="E545" s="2" t="s">
        <v>814</v>
      </c>
      <c r="F545" s="4">
        <v>0</v>
      </c>
      <c r="G545" s="8">
        <f t="shared" si="102"/>
        <v>1</v>
      </c>
      <c r="H545" s="4" t="str">
        <f t="shared" si="99"/>
        <v>Ohms</v>
      </c>
      <c r="I545" s="6">
        <v>0.20300000000000001</v>
      </c>
      <c r="J545" s="6" t="str">
        <f t="shared" si="100"/>
        <v>Ohms</v>
      </c>
      <c r="K545" s="2" t="str">
        <f t="shared" si="101"/>
        <v>RTG</v>
      </c>
      <c r="L545" s="2">
        <v>46041216</v>
      </c>
      <c r="M545" s="7">
        <v>46076</v>
      </c>
      <c r="N545" s="7">
        <f t="shared" si="103"/>
        <v>46441</v>
      </c>
      <c r="O545" s="7" t="str">
        <f t="shared" si="97"/>
        <v>Anual</v>
      </c>
      <c r="P545" s="2" t="str">
        <f t="shared" ca="1" si="104"/>
        <v>VIGENTE</v>
      </c>
      <c r="Q545" s="6" t="s">
        <v>25</v>
      </c>
      <c r="R545" s="2"/>
    </row>
    <row r="546" spans="1:18" x14ac:dyDescent="0.25">
      <c r="A546" s="23" t="s">
        <v>212</v>
      </c>
      <c r="B546" s="2" t="s">
        <v>1695</v>
      </c>
      <c r="C546" s="3" t="s">
        <v>261</v>
      </c>
      <c r="D546" s="3" t="s">
        <v>23</v>
      </c>
      <c r="E546" s="2" t="s">
        <v>814</v>
      </c>
      <c r="F546" s="4">
        <v>0</v>
      </c>
      <c r="G546" s="8">
        <f t="shared" si="102"/>
        <v>1</v>
      </c>
      <c r="H546" s="4" t="str">
        <f t="shared" si="99"/>
        <v>Ohms</v>
      </c>
      <c r="I546" s="6">
        <v>0.85</v>
      </c>
      <c r="J546" s="6" t="str">
        <f t="shared" si="100"/>
        <v>Ohms</v>
      </c>
      <c r="K546" s="2" t="str">
        <f t="shared" si="101"/>
        <v>RTG</v>
      </c>
      <c r="L546" s="2">
        <v>46041216</v>
      </c>
      <c r="M546" s="7">
        <v>46076</v>
      </c>
      <c r="N546" s="7">
        <f t="shared" si="103"/>
        <v>46441</v>
      </c>
      <c r="O546" s="7" t="str">
        <f t="shared" si="97"/>
        <v>Anual</v>
      </c>
      <c r="P546" s="2" t="str">
        <f t="shared" ca="1" si="104"/>
        <v>VIGENTE</v>
      </c>
      <c r="Q546" s="6" t="s">
        <v>25</v>
      </c>
      <c r="R546" s="2"/>
    </row>
    <row r="547" spans="1:18" x14ac:dyDescent="0.25">
      <c r="A547" s="23" t="s">
        <v>212</v>
      </c>
      <c r="B547" s="2" t="s">
        <v>224</v>
      </c>
      <c r="C547" s="3" t="s">
        <v>210</v>
      </c>
      <c r="D547" s="3" t="s">
        <v>23</v>
      </c>
      <c r="E547" s="2" t="s">
        <v>211</v>
      </c>
      <c r="F547" s="4">
        <v>0</v>
      </c>
      <c r="G547" s="8">
        <f t="shared" si="102"/>
        <v>1</v>
      </c>
      <c r="H547" s="4" t="str">
        <f t="shared" si="99"/>
        <v>Ohms</v>
      </c>
      <c r="I547" s="6">
        <v>0.12</v>
      </c>
      <c r="J547" s="6" t="str">
        <f t="shared" si="100"/>
        <v>Ohms</v>
      </c>
      <c r="K547" s="2" t="str">
        <f t="shared" si="101"/>
        <v>RTG</v>
      </c>
      <c r="L547" s="2">
        <v>46041216</v>
      </c>
      <c r="M547" s="7">
        <v>46076</v>
      </c>
      <c r="N547" s="7">
        <f t="shared" si="103"/>
        <v>46441</v>
      </c>
      <c r="O547" s="7" t="str">
        <f t="shared" si="97"/>
        <v>Anual</v>
      </c>
      <c r="P547" s="2" t="str">
        <f t="shared" ca="1" si="104"/>
        <v>VIGENTE</v>
      </c>
      <c r="Q547" s="6" t="s">
        <v>25</v>
      </c>
      <c r="R547" s="2"/>
    </row>
    <row r="548" spans="1:18" x14ac:dyDescent="0.25">
      <c r="A548" s="23" t="s">
        <v>212</v>
      </c>
      <c r="B548" s="2" t="s">
        <v>1696</v>
      </c>
      <c r="C548" s="3" t="s">
        <v>818</v>
      </c>
      <c r="D548" s="3" t="s">
        <v>23</v>
      </c>
      <c r="E548" s="2" t="s">
        <v>814</v>
      </c>
      <c r="F548" s="4">
        <v>0</v>
      </c>
      <c r="G548" s="8">
        <f t="shared" si="102"/>
        <v>1</v>
      </c>
      <c r="H548" s="4" t="str">
        <f t="shared" si="99"/>
        <v>Ohms</v>
      </c>
      <c r="I548" s="6">
        <v>0.246</v>
      </c>
      <c r="J548" s="6" t="str">
        <f t="shared" si="100"/>
        <v>Ohms</v>
      </c>
      <c r="K548" s="2" t="str">
        <f t="shared" si="101"/>
        <v>RTG</v>
      </c>
      <c r="L548" s="2">
        <v>46041216</v>
      </c>
      <c r="M548" s="7">
        <v>46076</v>
      </c>
      <c r="N548" s="7">
        <f t="shared" si="103"/>
        <v>46441</v>
      </c>
      <c r="O548" s="7" t="str">
        <f t="shared" si="97"/>
        <v>Anual</v>
      </c>
      <c r="P548" s="2" t="str">
        <f t="shared" ca="1" si="104"/>
        <v>VIGENTE</v>
      </c>
      <c r="Q548" s="6" t="s">
        <v>25</v>
      </c>
      <c r="R548" s="2"/>
    </row>
    <row r="549" spans="1:18" x14ac:dyDescent="0.25">
      <c r="A549" s="23" t="s">
        <v>212</v>
      </c>
      <c r="B549" s="2" t="s">
        <v>1697</v>
      </c>
      <c r="C549" s="3" t="s">
        <v>820</v>
      </c>
      <c r="D549" s="3" t="s">
        <v>23</v>
      </c>
      <c r="E549" s="2" t="s">
        <v>814</v>
      </c>
      <c r="F549" s="4">
        <v>0</v>
      </c>
      <c r="G549" s="8">
        <f t="shared" si="102"/>
        <v>1</v>
      </c>
      <c r="H549" s="4" t="str">
        <f t="shared" si="99"/>
        <v>Ohms</v>
      </c>
      <c r="I549" s="6">
        <v>0.34200000000000003</v>
      </c>
      <c r="J549" s="6" t="str">
        <f t="shared" si="100"/>
        <v>Ohms</v>
      </c>
      <c r="K549" s="2" t="str">
        <f t="shared" si="101"/>
        <v>RTG</v>
      </c>
      <c r="L549" s="2">
        <v>46041216</v>
      </c>
      <c r="M549" s="7">
        <v>46076</v>
      </c>
      <c r="N549" s="7">
        <f t="shared" si="103"/>
        <v>46441</v>
      </c>
      <c r="O549" s="7" t="str">
        <f t="shared" si="97"/>
        <v>Anual</v>
      </c>
      <c r="P549" s="2" t="str">
        <f t="shared" ca="1" si="104"/>
        <v>VIGENTE</v>
      </c>
      <c r="Q549" s="6" t="s">
        <v>25</v>
      </c>
      <c r="R549" s="2"/>
    </row>
    <row r="550" spans="1:18" x14ac:dyDescent="0.25">
      <c r="A550" s="23" t="s">
        <v>212</v>
      </c>
      <c r="B550" s="2" t="s">
        <v>1698</v>
      </c>
      <c r="C550" s="3" t="s">
        <v>822</v>
      </c>
      <c r="D550" s="3" t="s">
        <v>23</v>
      </c>
      <c r="E550" s="2" t="s">
        <v>823</v>
      </c>
      <c r="F550" s="4">
        <v>0</v>
      </c>
      <c r="G550" s="8">
        <f t="shared" si="102"/>
        <v>1</v>
      </c>
      <c r="H550" s="4" t="str">
        <f t="shared" si="99"/>
        <v>Ohms</v>
      </c>
      <c r="I550" s="6">
        <v>0.44900000000000001</v>
      </c>
      <c r="J550" s="6" t="str">
        <f t="shared" si="100"/>
        <v>Ohms</v>
      </c>
      <c r="K550" s="2" t="str">
        <f t="shared" si="101"/>
        <v>RTG</v>
      </c>
      <c r="L550" s="2">
        <v>46041216</v>
      </c>
      <c r="M550" s="7">
        <v>46076</v>
      </c>
      <c r="N550" s="7">
        <f t="shared" si="103"/>
        <v>46441</v>
      </c>
      <c r="O550" s="7" t="str">
        <f t="shared" si="97"/>
        <v>Anual</v>
      </c>
      <c r="P550" s="2" t="str">
        <f t="shared" ca="1" si="104"/>
        <v>VIGENTE</v>
      </c>
      <c r="Q550" s="6" t="s">
        <v>25</v>
      </c>
      <c r="R550" s="2"/>
    </row>
    <row r="551" spans="1:18" x14ac:dyDescent="0.25">
      <c r="A551" s="23" t="s">
        <v>212</v>
      </c>
      <c r="B551" s="2" t="s">
        <v>1699</v>
      </c>
      <c r="C551" s="3" t="s">
        <v>265</v>
      </c>
      <c r="D551" s="3" t="s">
        <v>23</v>
      </c>
      <c r="E551" s="2" t="s">
        <v>814</v>
      </c>
      <c r="F551" s="4">
        <v>0</v>
      </c>
      <c r="G551" s="8">
        <f t="shared" si="102"/>
        <v>1</v>
      </c>
      <c r="H551" s="4" t="str">
        <f t="shared" si="99"/>
        <v>Ohms</v>
      </c>
      <c r="I551" s="6">
        <v>0.55600000000000005</v>
      </c>
      <c r="J551" s="6" t="str">
        <f t="shared" si="100"/>
        <v>Ohms</v>
      </c>
      <c r="K551" s="2" t="str">
        <f t="shared" si="101"/>
        <v>RTG</v>
      </c>
      <c r="L551" s="2">
        <v>46041216</v>
      </c>
      <c r="M551" s="7">
        <v>46076</v>
      </c>
      <c r="N551" s="7">
        <f t="shared" si="103"/>
        <v>46441</v>
      </c>
      <c r="O551" s="7" t="str">
        <f t="shared" si="97"/>
        <v>Anual</v>
      </c>
      <c r="P551" s="2" t="str">
        <f t="shared" ca="1" si="104"/>
        <v>VIGENTE</v>
      </c>
      <c r="Q551" s="6" t="s">
        <v>25</v>
      </c>
      <c r="R551" s="2"/>
    </row>
    <row r="552" spans="1:18" x14ac:dyDescent="0.25">
      <c r="A552" s="23" t="s">
        <v>212</v>
      </c>
      <c r="B552" s="2" t="s">
        <v>1700</v>
      </c>
      <c r="C552" s="3" t="s">
        <v>820</v>
      </c>
      <c r="D552" s="3" t="s">
        <v>23</v>
      </c>
      <c r="E552" s="2" t="s">
        <v>814</v>
      </c>
      <c r="F552" s="4">
        <v>0</v>
      </c>
      <c r="G552" s="8">
        <f t="shared" si="102"/>
        <v>1</v>
      </c>
      <c r="H552" s="4" t="str">
        <f t="shared" si="99"/>
        <v>Ohms</v>
      </c>
      <c r="I552" s="6">
        <v>0.52600000000000002</v>
      </c>
      <c r="J552" s="6" t="str">
        <f t="shared" si="100"/>
        <v>Ohms</v>
      </c>
      <c r="K552" s="2" t="str">
        <f t="shared" si="101"/>
        <v>RTG</v>
      </c>
      <c r="L552" s="2">
        <v>46041216</v>
      </c>
      <c r="M552" s="7">
        <v>46076</v>
      </c>
      <c r="N552" s="7">
        <f t="shared" si="103"/>
        <v>46441</v>
      </c>
      <c r="O552" s="7" t="str">
        <f t="shared" si="97"/>
        <v>Anual</v>
      </c>
      <c r="P552" s="2" t="str">
        <f t="shared" ca="1" si="104"/>
        <v>VIGENTE</v>
      </c>
      <c r="Q552" s="6" t="s">
        <v>25</v>
      </c>
      <c r="R552" s="2"/>
    </row>
    <row r="553" spans="1:18" x14ac:dyDescent="0.25">
      <c r="A553" s="23" t="s">
        <v>212</v>
      </c>
      <c r="B553" s="2" t="s">
        <v>1701</v>
      </c>
      <c r="C553" s="3" t="s">
        <v>828</v>
      </c>
      <c r="D553" s="3" t="s">
        <v>23</v>
      </c>
      <c r="E553" s="2" t="s">
        <v>829</v>
      </c>
      <c r="F553" s="4">
        <v>0</v>
      </c>
      <c r="G553" s="8">
        <f t="shared" si="102"/>
        <v>1</v>
      </c>
      <c r="H553" s="4" t="str">
        <f t="shared" si="99"/>
        <v>Ohms</v>
      </c>
      <c r="I553" s="6">
        <v>0.47399999999999998</v>
      </c>
      <c r="J553" s="6" t="str">
        <f t="shared" si="100"/>
        <v>Ohms</v>
      </c>
      <c r="K553" s="2" t="str">
        <f t="shared" si="101"/>
        <v>RTG</v>
      </c>
      <c r="L553" s="2">
        <v>46041216</v>
      </c>
      <c r="M553" s="7">
        <v>46076</v>
      </c>
      <c r="N553" s="7">
        <f t="shared" si="103"/>
        <v>46441</v>
      </c>
      <c r="O553" s="7" t="str">
        <f t="shared" si="97"/>
        <v>Anual</v>
      </c>
      <c r="P553" s="2" t="str">
        <f t="shared" ca="1" si="104"/>
        <v>VIGENTE</v>
      </c>
      <c r="Q553" s="6" t="s">
        <v>25</v>
      </c>
      <c r="R553" s="2"/>
    </row>
    <row r="554" spans="1:18" x14ac:dyDescent="0.25">
      <c r="A554" s="23" t="s">
        <v>212</v>
      </c>
      <c r="B554" s="2" t="s">
        <v>1702</v>
      </c>
      <c r="C554" s="3" t="s">
        <v>828</v>
      </c>
      <c r="D554" s="3" t="s">
        <v>23</v>
      </c>
      <c r="E554" s="2" t="s">
        <v>829</v>
      </c>
      <c r="F554" s="4">
        <v>0</v>
      </c>
      <c r="G554" s="8">
        <f t="shared" si="102"/>
        <v>1</v>
      </c>
      <c r="H554" s="4" t="str">
        <f t="shared" si="99"/>
        <v>Ohms</v>
      </c>
      <c r="I554" s="6">
        <v>0.41599999999999998</v>
      </c>
      <c r="J554" s="6" t="str">
        <f t="shared" si="100"/>
        <v>Ohms</v>
      </c>
      <c r="K554" s="2" t="str">
        <f t="shared" si="101"/>
        <v>RTG</v>
      </c>
      <c r="L554" s="2">
        <v>46041216</v>
      </c>
      <c r="M554" s="7">
        <v>46076</v>
      </c>
      <c r="N554" s="7">
        <f t="shared" si="103"/>
        <v>46441</v>
      </c>
      <c r="O554" s="7" t="str">
        <f t="shared" si="97"/>
        <v>Anual</v>
      </c>
      <c r="P554" s="2" t="str">
        <f t="shared" ca="1" si="104"/>
        <v>VIGENTE</v>
      </c>
      <c r="Q554" s="6" t="s">
        <v>25</v>
      </c>
      <c r="R554" s="2"/>
    </row>
    <row r="555" spans="1:18" x14ac:dyDescent="0.25">
      <c r="A555" s="23" t="s">
        <v>212</v>
      </c>
      <c r="B555" s="2" t="s">
        <v>1703</v>
      </c>
      <c r="C555" s="3" t="s">
        <v>828</v>
      </c>
      <c r="D555" s="3" t="s">
        <v>23</v>
      </c>
      <c r="E555" s="2" t="s">
        <v>829</v>
      </c>
      <c r="F555" s="4">
        <v>0</v>
      </c>
      <c r="G555" s="8">
        <f t="shared" si="102"/>
        <v>1</v>
      </c>
      <c r="H555" s="4" t="str">
        <f t="shared" si="99"/>
        <v>Ohms</v>
      </c>
      <c r="I555" s="6">
        <v>0.54700000000000004</v>
      </c>
      <c r="J555" s="6" t="str">
        <f t="shared" si="100"/>
        <v>Ohms</v>
      </c>
      <c r="K555" s="2" t="str">
        <f t="shared" si="101"/>
        <v>RTG</v>
      </c>
      <c r="L555" s="2">
        <v>46041216</v>
      </c>
      <c r="M555" s="7">
        <v>46076</v>
      </c>
      <c r="N555" s="7">
        <f t="shared" si="103"/>
        <v>46441</v>
      </c>
      <c r="O555" s="7" t="str">
        <f t="shared" si="97"/>
        <v>Anual</v>
      </c>
      <c r="P555" s="2" t="str">
        <f t="shared" ca="1" si="104"/>
        <v>VIGENTE</v>
      </c>
      <c r="Q555" s="6" t="s">
        <v>25</v>
      </c>
      <c r="R555" s="2"/>
    </row>
    <row r="556" spans="1:18" x14ac:dyDescent="0.25">
      <c r="A556" s="23" t="s">
        <v>212</v>
      </c>
      <c r="B556" s="2" t="s">
        <v>1704</v>
      </c>
      <c r="C556" s="3" t="s">
        <v>828</v>
      </c>
      <c r="D556" s="3" t="s">
        <v>23</v>
      </c>
      <c r="E556" s="2" t="s">
        <v>829</v>
      </c>
      <c r="F556" s="4">
        <v>0</v>
      </c>
      <c r="G556" s="8">
        <f t="shared" si="102"/>
        <v>1</v>
      </c>
      <c r="H556" s="4" t="str">
        <f t="shared" si="99"/>
        <v>Ohms</v>
      </c>
      <c r="I556" s="6">
        <v>0.42099999999999999</v>
      </c>
      <c r="J556" s="6" t="str">
        <f t="shared" si="100"/>
        <v>Ohms</v>
      </c>
      <c r="K556" s="2" t="str">
        <f t="shared" si="101"/>
        <v>RTG</v>
      </c>
      <c r="L556" s="2">
        <v>46041216</v>
      </c>
      <c r="M556" s="7">
        <v>46076</v>
      </c>
      <c r="N556" s="7">
        <f t="shared" si="103"/>
        <v>46441</v>
      </c>
      <c r="O556" s="7" t="str">
        <f t="shared" si="97"/>
        <v>Anual</v>
      </c>
      <c r="P556" s="2" t="str">
        <f t="shared" ca="1" si="104"/>
        <v>VIGENTE</v>
      </c>
      <c r="Q556" s="6" t="s">
        <v>25</v>
      </c>
      <c r="R556" s="2"/>
    </row>
    <row r="557" spans="1:18" x14ac:dyDescent="0.25">
      <c r="A557" s="23" t="s">
        <v>212</v>
      </c>
      <c r="B557" s="2" t="s">
        <v>1705</v>
      </c>
      <c r="C557" s="3" t="s">
        <v>828</v>
      </c>
      <c r="D557" s="3" t="s">
        <v>23</v>
      </c>
      <c r="E557" s="2" t="s">
        <v>829</v>
      </c>
      <c r="F557" s="4">
        <v>0</v>
      </c>
      <c r="G557" s="8">
        <f t="shared" si="102"/>
        <v>1</v>
      </c>
      <c r="H557" s="4" t="str">
        <f t="shared" si="99"/>
        <v>Ohms</v>
      </c>
      <c r="I557" s="6">
        <v>0.157</v>
      </c>
      <c r="J557" s="6" t="str">
        <f t="shared" si="100"/>
        <v>Ohms</v>
      </c>
      <c r="K557" s="2" t="str">
        <f t="shared" si="101"/>
        <v>RTG</v>
      </c>
      <c r="L557" s="2">
        <v>46041216</v>
      </c>
      <c r="M557" s="7">
        <v>46076</v>
      </c>
      <c r="N557" s="7">
        <f t="shared" si="103"/>
        <v>46441</v>
      </c>
      <c r="O557" s="7" t="str">
        <f t="shared" si="97"/>
        <v>Anual</v>
      </c>
      <c r="P557" s="2" t="str">
        <f t="shared" ca="1" si="104"/>
        <v>VIGENTE</v>
      </c>
      <c r="Q557" s="6" t="s">
        <v>25</v>
      </c>
      <c r="R557" s="2"/>
    </row>
    <row r="558" spans="1:18" x14ac:dyDescent="0.25">
      <c r="A558" s="23" t="s">
        <v>212</v>
      </c>
      <c r="B558" s="2" t="s">
        <v>1706</v>
      </c>
      <c r="C558" s="3" t="s">
        <v>828</v>
      </c>
      <c r="D558" s="3" t="s">
        <v>23</v>
      </c>
      <c r="E558" s="2" t="s">
        <v>829</v>
      </c>
      <c r="F558" s="4">
        <v>0</v>
      </c>
      <c r="G558" s="8">
        <f t="shared" si="102"/>
        <v>1</v>
      </c>
      <c r="H558" s="4" t="str">
        <f t="shared" si="99"/>
        <v>Ohms</v>
      </c>
      <c r="I558" s="6">
        <v>0.14599999999999999</v>
      </c>
      <c r="J558" s="6" t="str">
        <f t="shared" si="100"/>
        <v>Ohms</v>
      </c>
      <c r="K558" s="2" t="str">
        <f t="shared" si="101"/>
        <v>RTG</v>
      </c>
      <c r="L558" s="2">
        <v>46041216</v>
      </c>
      <c r="M558" s="7">
        <v>46076</v>
      </c>
      <c r="N558" s="7">
        <f t="shared" si="103"/>
        <v>46441</v>
      </c>
      <c r="O558" s="7" t="str">
        <f t="shared" si="97"/>
        <v>Anual</v>
      </c>
      <c r="P558" s="2" t="str">
        <f t="shared" ca="1" si="104"/>
        <v>VIGENTE</v>
      </c>
      <c r="Q558" s="6" t="s">
        <v>25</v>
      </c>
      <c r="R558" s="2"/>
    </row>
    <row r="559" spans="1:18" x14ac:dyDescent="0.25">
      <c r="A559" s="23" t="s">
        <v>212</v>
      </c>
      <c r="B559" s="2" t="s">
        <v>1707</v>
      </c>
      <c r="C559" s="3" t="s">
        <v>820</v>
      </c>
      <c r="D559" s="3" t="s">
        <v>23</v>
      </c>
      <c r="E559" s="2" t="s">
        <v>814</v>
      </c>
      <c r="F559" s="4">
        <v>0</v>
      </c>
      <c r="G559" s="8">
        <f t="shared" si="102"/>
        <v>1</v>
      </c>
      <c r="H559" s="4" t="str">
        <f t="shared" si="99"/>
        <v>Ohms</v>
      </c>
      <c r="I559" s="6">
        <v>0.64900000000000002</v>
      </c>
      <c r="J559" s="6" t="str">
        <f t="shared" si="100"/>
        <v>Ohms</v>
      </c>
      <c r="K559" s="2" t="str">
        <f t="shared" si="101"/>
        <v>RTG</v>
      </c>
      <c r="L559" s="2">
        <v>46041216</v>
      </c>
      <c r="M559" s="7">
        <v>46076</v>
      </c>
      <c r="N559" s="7">
        <f t="shared" si="103"/>
        <v>46441</v>
      </c>
      <c r="O559" s="7" t="str">
        <f t="shared" si="97"/>
        <v>Anual</v>
      </c>
      <c r="P559" s="2" t="str">
        <f t="shared" ca="1" si="104"/>
        <v>VIGENTE</v>
      </c>
      <c r="Q559" s="6" t="s">
        <v>25</v>
      </c>
      <c r="R559" s="2"/>
    </row>
    <row r="560" spans="1:18" x14ac:dyDescent="0.25">
      <c r="A560" s="23" t="s">
        <v>212</v>
      </c>
      <c r="B560" s="2" t="s">
        <v>1708</v>
      </c>
      <c r="C560" s="3" t="s">
        <v>836</v>
      </c>
      <c r="D560" s="3" t="s">
        <v>23</v>
      </c>
      <c r="E560" s="2" t="s">
        <v>814</v>
      </c>
      <c r="F560" s="4">
        <v>0</v>
      </c>
      <c r="G560" s="8">
        <f t="shared" si="102"/>
        <v>1</v>
      </c>
      <c r="H560" s="4" t="str">
        <f t="shared" si="99"/>
        <v>Ohms</v>
      </c>
      <c r="I560" s="6">
        <v>0.193</v>
      </c>
      <c r="J560" s="6" t="str">
        <f t="shared" si="100"/>
        <v>Ohms</v>
      </c>
      <c r="K560" s="2" t="str">
        <f t="shared" si="101"/>
        <v>RTG</v>
      </c>
      <c r="L560" s="2">
        <v>46041216</v>
      </c>
      <c r="M560" s="7">
        <v>46076</v>
      </c>
      <c r="N560" s="7">
        <f t="shared" si="103"/>
        <v>46441</v>
      </c>
      <c r="O560" s="7" t="str">
        <f t="shared" si="97"/>
        <v>Anual</v>
      </c>
      <c r="P560" s="2" t="str">
        <f t="shared" ca="1" si="104"/>
        <v>VIGENTE</v>
      </c>
      <c r="Q560" s="6" t="s">
        <v>25</v>
      </c>
      <c r="R560" s="2"/>
    </row>
    <row r="561" spans="1:18" x14ac:dyDescent="0.25">
      <c r="A561" s="23" t="s">
        <v>212</v>
      </c>
      <c r="B561" s="2" t="s">
        <v>1709</v>
      </c>
      <c r="C561" s="3" t="s">
        <v>838</v>
      </c>
      <c r="D561" s="3" t="s">
        <v>23</v>
      </c>
      <c r="E561" s="2" t="s">
        <v>839</v>
      </c>
      <c r="F561" s="4">
        <v>0</v>
      </c>
      <c r="G561" s="8">
        <f t="shared" si="102"/>
        <v>1</v>
      </c>
      <c r="H561" s="4" t="str">
        <f t="shared" si="99"/>
        <v>Ohms</v>
      </c>
      <c r="I561" s="6">
        <v>8.3000000000000004E-2</v>
      </c>
      <c r="J561" s="6" t="str">
        <f t="shared" si="100"/>
        <v>Ohms</v>
      </c>
      <c r="K561" s="2" t="str">
        <f t="shared" si="101"/>
        <v>RTG</v>
      </c>
      <c r="L561" s="2">
        <v>46041216</v>
      </c>
      <c r="M561" s="7">
        <v>46076</v>
      </c>
      <c r="N561" s="7">
        <f t="shared" si="103"/>
        <v>46441</v>
      </c>
      <c r="O561" s="7" t="str">
        <f t="shared" si="97"/>
        <v>Anual</v>
      </c>
      <c r="P561" s="2" t="str">
        <f t="shared" ca="1" si="104"/>
        <v>VIGENTE</v>
      </c>
      <c r="Q561" s="6" t="s">
        <v>25</v>
      </c>
      <c r="R561" s="2"/>
    </row>
    <row r="562" spans="1:18" x14ac:dyDescent="0.25">
      <c r="A562" s="23" t="s">
        <v>212</v>
      </c>
      <c r="B562" s="2" t="s">
        <v>1710</v>
      </c>
      <c r="C562" s="3" t="s">
        <v>820</v>
      </c>
      <c r="D562" s="3" t="s">
        <v>23</v>
      </c>
      <c r="E562" s="2" t="s">
        <v>814</v>
      </c>
      <c r="F562" s="4">
        <v>0</v>
      </c>
      <c r="G562" s="8">
        <f t="shared" si="102"/>
        <v>1</v>
      </c>
      <c r="H562" s="4" t="str">
        <f t="shared" si="99"/>
        <v>Ohms</v>
      </c>
      <c r="I562" s="6">
        <v>0.48199999999999998</v>
      </c>
      <c r="J562" s="6" t="str">
        <f t="shared" si="100"/>
        <v>Ohms</v>
      </c>
      <c r="K562" s="2" t="str">
        <f t="shared" si="101"/>
        <v>RTG</v>
      </c>
      <c r="L562" s="2">
        <v>46041216</v>
      </c>
      <c r="M562" s="7">
        <v>46076</v>
      </c>
      <c r="N562" s="7">
        <f t="shared" si="103"/>
        <v>46441</v>
      </c>
      <c r="O562" s="7" t="str">
        <f t="shared" si="97"/>
        <v>Anual</v>
      </c>
      <c r="P562" s="2" t="str">
        <f t="shared" ca="1" si="104"/>
        <v>VIGENTE</v>
      </c>
      <c r="Q562" s="6" t="s">
        <v>25</v>
      </c>
      <c r="R562" s="2"/>
    </row>
    <row r="563" spans="1:18" x14ac:dyDescent="0.25">
      <c r="A563" s="23" t="s">
        <v>212</v>
      </c>
      <c r="B563" s="2" t="s">
        <v>1711</v>
      </c>
      <c r="C563" s="3" t="s">
        <v>836</v>
      </c>
      <c r="D563" s="3" t="s">
        <v>23</v>
      </c>
      <c r="E563" s="2" t="s">
        <v>814</v>
      </c>
      <c r="F563" s="4">
        <v>0</v>
      </c>
      <c r="G563" s="8">
        <f t="shared" si="102"/>
        <v>1</v>
      </c>
      <c r="H563" s="4" t="str">
        <f t="shared" si="99"/>
        <v>Ohms</v>
      </c>
      <c r="I563" s="6">
        <v>0.151</v>
      </c>
      <c r="J563" s="6" t="str">
        <f t="shared" si="100"/>
        <v>Ohms</v>
      </c>
      <c r="K563" s="2" t="str">
        <f t="shared" si="101"/>
        <v>RTG</v>
      </c>
      <c r="L563" s="2">
        <v>46041216</v>
      </c>
      <c r="M563" s="7">
        <v>46076</v>
      </c>
      <c r="N563" s="7">
        <f t="shared" si="103"/>
        <v>46441</v>
      </c>
      <c r="O563" s="7" t="str">
        <f t="shared" si="97"/>
        <v>Anual</v>
      </c>
      <c r="P563" s="2" t="str">
        <f t="shared" ca="1" si="104"/>
        <v>VIGENTE</v>
      </c>
      <c r="Q563" s="6" t="s">
        <v>25</v>
      </c>
      <c r="R563" s="2"/>
    </row>
    <row r="564" spans="1:18" x14ac:dyDescent="0.25">
      <c r="A564" s="23" t="s">
        <v>212</v>
      </c>
      <c r="B564" s="2" t="s">
        <v>1712</v>
      </c>
      <c r="C564" s="3" t="s">
        <v>844</v>
      </c>
      <c r="D564" s="3" t="s">
        <v>23</v>
      </c>
      <c r="E564" s="2" t="s">
        <v>814</v>
      </c>
      <c r="F564" s="4">
        <v>0</v>
      </c>
      <c r="G564" s="8">
        <f t="shared" si="102"/>
        <v>1</v>
      </c>
      <c r="H564" s="4" t="str">
        <f t="shared" si="99"/>
        <v>Ohms</v>
      </c>
      <c r="I564" s="6">
        <v>0.10199999999999999</v>
      </c>
      <c r="J564" s="6" t="str">
        <f t="shared" si="100"/>
        <v>Ohms</v>
      </c>
      <c r="K564" s="2" t="str">
        <f t="shared" si="101"/>
        <v>RTG</v>
      </c>
      <c r="L564" s="2">
        <v>46041216</v>
      </c>
      <c r="M564" s="7">
        <v>46076</v>
      </c>
      <c r="N564" s="7">
        <f t="shared" si="103"/>
        <v>46441</v>
      </c>
      <c r="O564" s="7" t="str">
        <f t="shared" si="97"/>
        <v>Anual</v>
      </c>
      <c r="P564" s="2" t="str">
        <f t="shared" ca="1" si="104"/>
        <v>VIGENTE</v>
      </c>
      <c r="Q564" s="6" t="s">
        <v>25</v>
      </c>
      <c r="R564" s="2"/>
    </row>
    <row r="565" spans="1:18" x14ac:dyDescent="0.25">
      <c r="A565" s="23" t="s">
        <v>212</v>
      </c>
      <c r="B565" s="2" t="s">
        <v>1713</v>
      </c>
      <c r="C565" s="3" t="s">
        <v>847</v>
      </c>
      <c r="D565" s="3" t="s">
        <v>23</v>
      </c>
      <c r="E565" s="2" t="s">
        <v>823</v>
      </c>
      <c r="F565" s="4">
        <v>0</v>
      </c>
      <c r="G565" s="8">
        <f t="shared" si="102"/>
        <v>1</v>
      </c>
      <c r="H565" s="4" t="str">
        <f t="shared" si="99"/>
        <v>Ohms</v>
      </c>
      <c r="I565" s="6">
        <v>0.11</v>
      </c>
      <c r="J565" s="6" t="str">
        <f t="shared" si="100"/>
        <v>Ohms</v>
      </c>
      <c r="K565" s="2" t="str">
        <f t="shared" si="101"/>
        <v>RTG</v>
      </c>
      <c r="L565" s="2">
        <v>46041216</v>
      </c>
      <c r="M565" s="7">
        <v>46076</v>
      </c>
      <c r="N565" s="7">
        <f t="shared" si="103"/>
        <v>46441</v>
      </c>
      <c r="O565" s="7" t="str">
        <f t="shared" si="97"/>
        <v>Anual</v>
      </c>
      <c r="P565" s="2" t="str">
        <f t="shared" ca="1" si="104"/>
        <v>VIGENTE</v>
      </c>
      <c r="Q565" s="6" t="s">
        <v>25</v>
      </c>
      <c r="R565" s="2"/>
    </row>
    <row r="566" spans="1:18" x14ac:dyDescent="0.25">
      <c r="A566" s="23" t="s">
        <v>212</v>
      </c>
      <c r="B566" s="2" t="s">
        <v>1714</v>
      </c>
      <c r="C566" s="3" t="s">
        <v>265</v>
      </c>
      <c r="D566" s="3" t="s">
        <v>23</v>
      </c>
      <c r="E566" s="2" t="s">
        <v>814</v>
      </c>
      <c r="F566" s="4">
        <v>0</v>
      </c>
      <c r="G566" s="8">
        <f t="shared" si="102"/>
        <v>1</v>
      </c>
      <c r="H566" s="4" t="str">
        <f t="shared" si="99"/>
        <v>Ohms</v>
      </c>
      <c r="I566" s="6">
        <v>0.18</v>
      </c>
      <c r="J566" s="6" t="str">
        <f t="shared" si="100"/>
        <v>Ohms</v>
      </c>
      <c r="K566" s="2" t="str">
        <f t="shared" si="101"/>
        <v>RTG</v>
      </c>
      <c r="L566" s="2">
        <v>46041216</v>
      </c>
      <c r="M566" s="7">
        <v>46076</v>
      </c>
      <c r="N566" s="7">
        <f t="shared" si="103"/>
        <v>46441</v>
      </c>
      <c r="O566" s="7" t="str">
        <f t="shared" si="97"/>
        <v>Anual</v>
      </c>
      <c r="P566" s="2" t="str">
        <f t="shared" ca="1" si="104"/>
        <v>VIGENTE</v>
      </c>
      <c r="Q566" s="6" t="s">
        <v>25</v>
      </c>
      <c r="R566" s="2"/>
    </row>
    <row r="567" spans="1:18" x14ac:dyDescent="0.25">
      <c r="A567" s="23" t="s">
        <v>212</v>
      </c>
      <c r="B567" s="2" t="s">
        <v>1715</v>
      </c>
      <c r="C567" s="3" t="s">
        <v>267</v>
      </c>
      <c r="D567" s="3" t="s">
        <v>23</v>
      </c>
      <c r="E567" s="2" t="s">
        <v>814</v>
      </c>
      <c r="F567" s="4">
        <v>0</v>
      </c>
      <c r="G567" s="8">
        <f t="shared" si="102"/>
        <v>1</v>
      </c>
      <c r="H567" s="4" t="str">
        <f t="shared" si="99"/>
        <v>Ohms</v>
      </c>
      <c r="I567" s="6">
        <v>0.45900000000000002</v>
      </c>
      <c r="J567" s="6" t="str">
        <f t="shared" si="100"/>
        <v>Ohms</v>
      </c>
      <c r="K567" s="2" t="str">
        <f t="shared" si="101"/>
        <v>RTG</v>
      </c>
      <c r="L567" s="2">
        <v>46041216</v>
      </c>
      <c r="M567" s="7">
        <v>46076</v>
      </c>
      <c r="N567" s="7">
        <f t="shared" si="103"/>
        <v>46441</v>
      </c>
      <c r="O567" s="7" t="str">
        <f t="shared" si="97"/>
        <v>Anual</v>
      </c>
      <c r="P567" s="2" t="str">
        <f t="shared" ca="1" si="104"/>
        <v>VIGENTE</v>
      </c>
      <c r="Q567" s="6" t="s">
        <v>25</v>
      </c>
      <c r="R567" s="2"/>
    </row>
    <row r="568" spans="1:18" x14ac:dyDescent="0.25">
      <c r="A568" s="23" t="s">
        <v>212</v>
      </c>
      <c r="B568" s="2" t="s">
        <v>1716</v>
      </c>
      <c r="C568" s="3" t="s">
        <v>263</v>
      </c>
      <c r="D568" s="3" t="s">
        <v>23</v>
      </c>
      <c r="E568" s="2" t="s">
        <v>1717</v>
      </c>
      <c r="F568" s="4">
        <v>0</v>
      </c>
      <c r="G568" s="8">
        <f t="shared" si="102"/>
        <v>1</v>
      </c>
      <c r="H568" s="4" t="str">
        <f t="shared" si="99"/>
        <v>Ohms</v>
      </c>
      <c r="I568" s="14" t="s">
        <v>936</v>
      </c>
      <c r="J568" s="6" t="str">
        <f t="shared" si="100"/>
        <v>Ohms</v>
      </c>
      <c r="K568" s="2" t="str">
        <f t="shared" si="101"/>
        <v>RTG</v>
      </c>
      <c r="L568" s="2">
        <v>46041216</v>
      </c>
      <c r="M568" s="7">
        <v>45986</v>
      </c>
      <c r="N568" s="7">
        <f t="shared" si="103"/>
        <v>46351</v>
      </c>
      <c r="O568" s="7" t="str">
        <f t="shared" si="97"/>
        <v>Anual</v>
      </c>
      <c r="P568" s="2" t="str">
        <f t="shared" ca="1" si="104"/>
        <v>VIGENTE</v>
      </c>
      <c r="Q568" s="6" t="s">
        <v>25</v>
      </c>
      <c r="R568" s="2"/>
    </row>
    <row r="569" spans="1:18" x14ac:dyDescent="0.25">
      <c r="A569" s="23" t="s">
        <v>214</v>
      </c>
      <c r="B569" s="2" t="s">
        <v>1718</v>
      </c>
      <c r="C569" s="3" t="s">
        <v>810</v>
      </c>
      <c r="D569" s="3" t="s">
        <v>23</v>
      </c>
      <c r="E569" s="2" t="s">
        <v>1660</v>
      </c>
      <c r="F569" s="4">
        <v>0</v>
      </c>
      <c r="G569" s="8">
        <f t="shared" si="102"/>
        <v>1</v>
      </c>
      <c r="H569" s="4" t="str">
        <f t="shared" si="99"/>
        <v>Ohms</v>
      </c>
      <c r="I569" s="6">
        <v>0.45300000000000001</v>
      </c>
      <c r="J569" s="6" t="str">
        <f t="shared" si="100"/>
        <v>Ohms</v>
      </c>
      <c r="K569" s="2" t="str">
        <f t="shared" si="101"/>
        <v>RTG</v>
      </c>
      <c r="L569" s="2">
        <v>49640414</v>
      </c>
      <c r="M569" s="7">
        <v>46046</v>
      </c>
      <c r="N569" s="7">
        <f t="shared" si="103"/>
        <v>46411</v>
      </c>
      <c r="O569" s="7" t="str">
        <f t="shared" si="97"/>
        <v>Anual</v>
      </c>
      <c r="P569" s="2" t="str">
        <f t="shared" ca="1" si="104"/>
        <v>VIGENTE</v>
      </c>
      <c r="Q569" s="6" t="s">
        <v>25</v>
      </c>
      <c r="R569" s="2"/>
    </row>
    <row r="570" spans="1:18" x14ac:dyDescent="0.25">
      <c r="A570" s="23" t="s">
        <v>214</v>
      </c>
      <c r="B570" s="2" t="s">
        <v>1719</v>
      </c>
      <c r="C570" s="3" t="s">
        <v>802</v>
      </c>
      <c r="D570" s="3" t="s">
        <v>23</v>
      </c>
      <c r="E570" s="2" t="s">
        <v>803</v>
      </c>
      <c r="F570" s="4">
        <v>0</v>
      </c>
      <c r="G570" s="8">
        <f t="shared" si="102"/>
        <v>1</v>
      </c>
      <c r="H570" s="4" t="str">
        <f t="shared" si="99"/>
        <v>Ohms</v>
      </c>
      <c r="I570" s="6">
        <v>0.318</v>
      </c>
      <c r="J570" s="6" t="str">
        <f t="shared" si="100"/>
        <v>Ohms</v>
      </c>
      <c r="K570" s="2" t="str">
        <f t="shared" si="101"/>
        <v>RTG</v>
      </c>
      <c r="L570" s="2">
        <v>49640414</v>
      </c>
      <c r="M570" s="7">
        <v>46046</v>
      </c>
      <c r="N570" s="7">
        <f t="shared" si="103"/>
        <v>46411</v>
      </c>
      <c r="O570" s="7" t="str">
        <f t="shared" si="97"/>
        <v>Anual</v>
      </c>
      <c r="P570" s="2" t="str">
        <f t="shared" ca="1" si="104"/>
        <v>VIGENTE</v>
      </c>
      <c r="Q570" s="6" t="s">
        <v>25</v>
      </c>
      <c r="R570" s="2"/>
    </row>
    <row r="571" spans="1:18" x14ac:dyDescent="0.25">
      <c r="A571" s="23" t="s">
        <v>214</v>
      </c>
      <c r="B571" s="2" t="s">
        <v>1720</v>
      </c>
      <c r="C571" s="3" t="s">
        <v>800</v>
      </c>
      <c r="D571" s="3" t="s">
        <v>23</v>
      </c>
      <c r="E571" s="2" t="s">
        <v>24</v>
      </c>
      <c r="F571" s="4">
        <v>0</v>
      </c>
      <c r="G571" s="8">
        <f t="shared" si="102"/>
        <v>10</v>
      </c>
      <c r="H571" s="4" t="str">
        <f t="shared" si="99"/>
        <v>Segundos</v>
      </c>
      <c r="I571" s="6">
        <v>3</v>
      </c>
      <c r="J571" s="6" t="str">
        <f t="shared" si="100"/>
        <v>Segundos</v>
      </c>
      <c r="K571" s="2" t="str">
        <f t="shared" si="101"/>
        <v>Plato de carga</v>
      </c>
      <c r="L571" s="2"/>
      <c r="M571" s="7">
        <v>46045</v>
      </c>
      <c r="N571" s="7">
        <f t="shared" si="103"/>
        <v>46135</v>
      </c>
      <c r="O571" s="7" t="str">
        <f t="shared" si="97"/>
        <v>Trimestral</v>
      </c>
      <c r="P571" s="2" t="str">
        <f t="shared" ca="1" si="104"/>
        <v>VIGENTE</v>
      </c>
      <c r="Q571" s="6" t="s">
        <v>25</v>
      </c>
      <c r="R571" s="2"/>
    </row>
    <row r="572" spans="1:18" x14ac:dyDescent="0.25">
      <c r="A572" s="23" t="s">
        <v>214</v>
      </c>
      <c r="B572" s="2" t="s">
        <v>1721</v>
      </c>
      <c r="C572" s="3" t="s">
        <v>805</v>
      </c>
      <c r="D572" s="3" t="s">
        <v>23</v>
      </c>
      <c r="E572" s="2" t="s">
        <v>1660</v>
      </c>
      <c r="F572" s="4">
        <v>0</v>
      </c>
      <c r="G572" s="8">
        <f t="shared" si="102"/>
        <v>1</v>
      </c>
      <c r="H572" s="4" t="str">
        <f t="shared" si="99"/>
        <v>Ohms</v>
      </c>
      <c r="I572" s="6">
        <v>0.27700000000000002</v>
      </c>
      <c r="J572" s="6" t="str">
        <f t="shared" si="100"/>
        <v>Ohms</v>
      </c>
      <c r="K572" s="2" t="str">
        <f t="shared" si="101"/>
        <v>RTG</v>
      </c>
      <c r="L572" s="2">
        <v>49640414</v>
      </c>
      <c r="M572" s="7">
        <v>46046</v>
      </c>
      <c r="N572" s="7">
        <f t="shared" si="103"/>
        <v>46411</v>
      </c>
      <c r="O572" s="7" t="str">
        <f t="shared" ref="O572:O635" si="105">IF(C572="Ionizador", "Trimestral", IF(C572="Rack", "Anual", IF(C572="Mesa", "Anual", IF(C572="Tapete", "Semestral", IF(C572="Cautín", "Semestral", IF(C572="Silla", "Semestral", "Anual"))))))</f>
        <v>Anual</v>
      </c>
      <c r="P572" s="2" t="str">
        <f t="shared" ref="P572:P603" ca="1" si="106">IF(N572&lt;TODAY(),"VENCIDO",IF(N572=TODAY(),"VIGENTE",IF(N572&gt;TODAY(),"VIGENTE")))</f>
        <v>VIGENTE</v>
      </c>
      <c r="Q572" s="6" t="s">
        <v>25</v>
      </c>
      <c r="R572" s="2"/>
    </row>
    <row r="573" spans="1:18" x14ac:dyDescent="0.25">
      <c r="A573" s="23" t="s">
        <v>214</v>
      </c>
      <c r="B573" s="2" t="s">
        <v>1722</v>
      </c>
      <c r="C573" s="3" t="s">
        <v>261</v>
      </c>
      <c r="D573" s="3" t="s">
        <v>23</v>
      </c>
      <c r="E573" s="2" t="s">
        <v>1660</v>
      </c>
      <c r="F573" s="4">
        <v>0</v>
      </c>
      <c r="G573" s="8">
        <f t="shared" si="102"/>
        <v>1</v>
      </c>
      <c r="H573" s="4" t="str">
        <f t="shared" ref="H573:H636" si="107">IF(C573="Ionizador", "Segundos", "Ohms")</f>
        <v>Ohms</v>
      </c>
      <c r="I573" s="6">
        <v>0.70699999999999996</v>
      </c>
      <c r="J573" s="6" t="str">
        <f t="shared" ref="J573:J636" si="108">H573</f>
        <v>Ohms</v>
      </c>
      <c r="K573" s="2" t="str">
        <f t="shared" ref="K573:K636" si="109">IF(C573="Ionizador", "Plato de carga", IF(C573="Cautín", "PTG", IF(C573="ESD Tester", "PTP Deviation", "RTG")))</f>
        <v>RTG</v>
      </c>
      <c r="L573" s="2">
        <v>49640414</v>
      </c>
      <c r="M573" s="7">
        <v>46046</v>
      </c>
      <c r="N573" s="7">
        <f t="shared" si="103"/>
        <v>46411</v>
      </c>
      <c r="O573" s="7" t="str">
        <f t="shared" si="105"/>
        <v>Anual</v>
      </c>
      <c r="P573" s="2" t="str">
        <f t="shared" ca="1" si="106"/>
        <v>VIGENTE</v>
      </c>
      <c r="Q573" s="6" t="s">
        <v>25</v>
      </c>
      <c r="R573" s="2"/>
    </row>
    <row r="574" spans="1:18" x14ac:dyDescent="0.25">
      <c r="A574" s="23" t="s">
        <v>214</v>
      </c>
      <c r="B574" s="2" t="s">
        <v>215</v>
      </c>
      <c r="C574" s="3" t="s">
        <v>210</v>
      </c>
      <c r="D574" s="3" t="s">
        <v>23</v>
      </c>
      <c r="E574" s="2" t="s">
        <v>211</v>
      </c>
      <c r="F574" s="4">
        <v>0</v>
      </c>
      <c r="G574" s="8">
        <f t="shared" si="102"/>
        <v>1</v>
      </c>
      <c r="H574" s="4" t="str">
        <f t="shared" si="107"/>
        <v>Ohms</v>
      </c>
      <c r="I574" s="6">
        <v>0.874</v>
      </c>
      <c r="J574" s="6" t="str">
        <f t="shared" si="108"/>
        <v>Ohms</v>
      </c>
      <c r="K574" s="2" t="str">
        <f t="shared" si="109"/>
        <v>RTG</v>
      </c>
      <c r="L574" s="2">
        <v>49640414</v>
      </c>
      <c r="M574" s="7">
        <v>46046</v>
      </c>
      <c r="N574" s="7">
        <f t="shared" si="103"/>
        <v>46411</v>
      </c>
      <c r="O574" s="7" t="str">
        <f t="shared" si="105"/>
        <v>Anual</v>
      </c>
      <c r="P574" s="2" t="str">
        <f t="shared" ca="1" si="106"/>
        <v>VIGENTE</v>
      </c>
      <c r="Q574" s="6" t="s">
        <v>25</v>
      </c>
      <c r="R574" s="2"/>
    </row>
    <row r="575" spans="1:18" x14ac:dyDescent="0.25">
      <c r="A575" s="23" t="s">
        <v>214</v>
      </c>
      <c r="B575" s="2" t="s">
        <v>1723</v>
      </c>
      <c r="C575" s="3" t="s">
        <v>259</v>
      </c>
      <c r="D575" s="3" t="s">
        <v>23</v>
      </c>
      <c r="E575" s="2" t="s">
        <v>1660</v>
      </c>
      <c r="F575" s="4">
        <v>0</v>
      </c>
      <c r="G575" s="8">
        <f t="shared" si="102"/>
        <v>1</v>
      </c>
      <c r="H575" s="4" t="str">
        <f t="shared" si="107"/>
        <v>Ohms</v>
      </c>
      <c r="I575" s="6">
        <v>0.27200000000000002</v>
      </c>
      <c r="J575" s="6" t="str">
        <f t="shared" si="108"/>
        <v>Ohms</v>
      </c>
      <c r="K575" s="2" t="str">
        <f t="shared" si="109"/>
        <v>RTG</v>
      </c>
      <c r="L575" s="2">
        <v>49640414</v>
      </c>
      <c r="M575" s="7">
        <v>46046</v>
      </c>
      <c r="N575" s="7">
        <f t="shared" si="103"/>
        <v>46411</v>
      </c>
      <c r="O575" s="7" t="str">
        <f t="shared" si="105"/>
        <v>Anual</v>
      </c>
      <c r="P575" s="2" t="str">
        <f t="shared" ca="1" si="106"/>
        <v>VIGENTE</v>
      </c>
      <c r="Q575" s="6" t="s">
        <v>25</v>
      </c>
      <c r="R575" s="2"/>
    </row>
    <row r="576" spans="1:18" x14ac:dyDescent="0.25">
      <c r="A576" s="23" t="s">
        <v>214</v>
      </c>
      <c r="B576" s="2" t="s">
        <v>1724</v>
      </c>
      <c r="C576" s="3" t="s">
        <v>813</v>
      </c>
      <c r="D576" s="3" t="s">
        <v>23</v>
      </c>
      <c r="E576" s="2" t="s">
        <v>1660</v>
      </c>
      <c r="F576" s="4">
        <v>0</v>
      </c>
      <c r="G576" s="8">
        <f t="shared" si="102"/>
        <v>1</v>
      </c>
      <c r="H576" s="4" t="str">
        <f t="shared" si="107"/>
        <v>Ohms</v>
      </c>
      <c r="I576" s="6">
        <v>0.317</v>
      </c>
      <c r="J576" s="6" t="str">
        <f t="shared" si="108"/>
        <v>Ohms</v>
      </c>
      <c r="K576" s="2" t="str">
        <f t="shared" si="109"/>
        <v>RTG</v>
      </c>
      <c r="L576" s="2">
        <v>49640414</v>
      </c>
      <c r="M576" s="7">
        <v>46046</v>
      </c>
      <c r="N576" s="7">
        <f t="shared" si="103"/>
        <v>46411</v>
      </c>
      <c r="O576" s="7" t="str">
        <f t="shared" si="105"/>
        <v>Anual</v>
      </c>
      <c r="P576" s="2" t="str">
        <f t="shared" ca="1" si="106"/>
        <v>VIGENTE</v>
      </c>
      <c r="Q576" s="6" t="s">
        <v>25</v>
      </c>
      <c r="R576" s="2"/>
    </row>
    <row r="577" spans="1:18" x14ac:dyDescent="0.25">
      <c r="A577" s="23" t="s">
        <v>214</v>
      </c>
      <c r="B577" s="2" t="s">
        <v>1725</v>
      </c>
      <c r="C577" s="3" t="s">
        <v>261</v>
      </c>
      <c r="D577" s="3" t="s">
        <v>23</v>
      </c>
      <c r="E577" s="2" t="s">
        <v>1660</v>
      </c>
      <c r="F577" s="4">
        <v>0</v>
      </c>
      <c r="G577" s="8">
        <f t="shared" si="102"/>
        <v>1</v>
      </c>
      <c r="H577" s="4" t="str">
        <f t="shared" si="107"/>
        <v>Ohms</v>
      </c>
      <c r="I577" s="6">
        <v>0.36599999999999999</v>
      </c>
      <c r="J577" s="6" t="str">
        <f t="shared" si="108"/>
        <v>Ohms</v>
      </c>
      <c r="K577" s="2" t="str">
        <f t="shared" si="109"/>
        <v>RTG</v>
      </c>
      <c r="L577" s="2">
        <v>49640414</v>
      </c>
      <c r="M577" s="7">
        <v>46046</v>
      </c>
      <c r="N577" s="7">
        <f t="shared" si="103"/>
        <v>46411</v>
      </c>
      <c r="O577" s="7" t="str">
        <f t="shared" si="105"/>
        <v>Anual</v>
      </c>
      <c r="P577" s="2" t="str">
        <f t="shared" ca="1" si="106"/>
        <v>VIGENTE</v>
      </c>
      <c r="Q577" s="6" t="s">
        <v>25</v>
      </c>
      <c r="R577" s="2"/>
    </row>
    <row r="578" spans="1:18" x14ac:dyDescent="0.25">
      <c r="A578" s="23" t="s">
        <v>214</v>
      </c>
      <c r="B578" s="2" t="s">
        <v>225</v>
      </c>
      <c r="C578" s="3" t="s">
        <v>210</v>
      </c>
      <c r="D578" s="3" t="s">
        <v>23</v>
      </c>
      <c r="E578" s="2" t="s">
        <v>211</v>
      </c>
      <c r="F578" s="4">
        <v>0</v>
      </c>
      <c r="G578" s="8">
        <f t="shared" si="102"/>
        <v>1</v>
      </c>
      <c r="H578" s="4" t="str">
        <f t="shared" si="107"/>
        <v>Ohms</v>
      </c>
      <c r="I578" s="6">
        <v>0.64700000000000002</v>
      </c>
      <c r="J578" s="6" t="str">
        <f t="shared" si="108"/>
        <v>Ohms</v>
      </c>
      <c r="K578" s="2" t="str">
        <f t="shared" si="109"/>
        <v>RTG</v>
      </c>
      <c r="L578" s="2">
        <v>49640414</v>
      </c>
      <c r="M578" s="7">
        <v>46046</v>
      </c>
      <c r="N578" s="7">
        <f t="shared" si="103"/>
        <v>46411</v>
      </c>
      <c r="O578" s="7" t="str">
        <f t="shared" si="105"/>
        <v>Anual</v>
      </c>
      <c r="P578" s="2" t="str">
        <f t="shared" ca="1" si="106"/>
        <v>VIGENTE</v>
      </c>
      <c r="Q578" s="6" t="s">
        <v>25</v>
      </c>
      <c r="R578" s="2"/>
    </row>
    <row r="579" spans="1:18" x14ac:dyDescent="0.25">
      <c r="A579" s="23" t="s">
        <v>214</v>
      </c>
      <c r="B579" s="2" t="s">
        <v>1726</v>
      </c>
      <c r="C579" s="3" t="s">
        <v>818</v>
      </c>
      <c r="D579" s="3" t="s">
        <v>23</v>
      </c>
      <c r="E579" s="2" t="s">
        <v>1660</v>
      </c>
      <c r="F579" s="4">
        <v>0</v>
      </c>
      <c r="G579" s="8">
        <f t="shared" si="102"/>
        <v>1</v>
      </c>
      <c r="H579" s="4" t="str">
        <f t="shared" si="107"/>
        <v>Ohms</v>
      </c>
      <c r="I579" s="6">
        <v>0.434</v>
      </c>
      <c r="J579" s="6" t="str">
        <f t="shared" si="108"/>
        <v>Ohms</v>
      </c>
      <c r="K579" s="2" t="str">
        <f t="shared" si="109"/>
        <v>RTG</v>
      </c>
      <c r="L579" s="2">
        <v>49640414</v>
      </c>
      <c r="M579" s="7">
        <v>46046</v>
      </c>
      <c r="N579" s="7">
        <f t="shared" si="103"/>
        <v>46411</v>
      </c>
      <c r="O579" s="7" t="str">
        <f t="shared" si="105"/>
        <v>Anual</v>
      </c>
      <c r="P579" s="2" t="str">
        <f t="shared" ca="1" si="106"/>
        <v>VIGENTE</v>
      </c>
      <c r="Q579" s="6" t="s">
        <v>25</v>
      </c>
      <c r="R579" s="2"/>
    </row>
    <row r="580" spans="1:18" x14ac:dyDescent="0.25">
      <c r="A580" s="23" t="s">
        <v>214</v>
      </c>
      <c r="B580" s="2" t="s">
        <v>1727</v>
      </c>
      <c r="C580" s="3" t="s">
        <v>820</v>
      </c>
      <c r="D580" s="3" t="s">
        <v>23</v>
      </c>
      <c r="E580" s="2" t="s">
        <v>1660</v>
      </c>
      <c r="F580" s="4">
        <v>0</v>
      </c>
      <c r="G580" s="8">
        <f t="shared" si="102"/>
        <v>1</v>
      </c>
      <c r="H580" s="4" t="str">
        <f t="shared" si="107"/>
        <v>Ohms</v>
      </c>
      <c r="I580" s="6">
        <v>0.55100000000000005</v>
      </c>
      <c r="J580" s="6" t="str">
        <f t="shared" si="108"/>
        <v>Ohms</v>
      </c>
      <c r="K580" s="2" t="str">
        <f t="shared" si="109"/>
        <v>RTG</v>
      </c>
      <c r="L580" s="2">
        <v>49640414</v>
      </c>
      <c r="M580" s="7">
        <v>46046</v>
      </c>
      <c r="N580" s="7">
        <f t="shared" si="103"/>
        <v>46411</v>
      </c>
      <c r="O580" s="7" t="str">
        <f t="shared" si="105"/>
        <v>Anual</v>
      </c>
      <c r="P580" s="2" t="str">
        <f t="shared" ca="1" si="106"/>
        <v>VIGENTE</v>
      </c>
      <c r="Q580" s="6" t="s">
        <v>25</v>
      </c>
      <c r="R580" s="2"/>
    </row>
    <row r="581" spans="1:18" x14ac:dyDescent="0.25">
      <c r="A581" s="23" t="s">
        <v>214</v>
      </c>
      <c r="B581" s="2" t="s">
        <v>1728</v>
      </c>
      <c r="C581" s="3" t="s">
        <v>822</v>
      </c>
      <c r="D581" s="3" t="s">
        <v>23</v>
      </c>
      <c r="E581" s="2" t="s">
        <v>823</v>
      </c>
      <c r="F581" s="4">
        <v>0</v>
      </c>
      <c r="G581" s="8">
        <f t="shared" si="102"/>
        <v>1</v>
      </c>
      <c r="H581" s="4" t="str">
        <f t="shared" si="107"/>
        <v>Ohms</v>
      </c>
      <c r="I581" s="6">
        <v>0.71499999999999997</v>
      </c>
      <c r="J581" s="6" t="str">
        <f t="shared" si="108"/>
        <v>Ohms</v>
      </c>
      <c r="K581" s="2" t="str">
        <f t="shared" si="109"/>
        <v>RTG</v>
      </c>
      <c r="L581" s="2">
        <v>49640414</v>
      </c>
      <c r="M581" s="7">
        <v>46046</v>
      </c>
      <c r="N581" s="7">
        <f t="shared" si="103"/>
        <v>46411</v>
      </c>
      <c r="O581" s="7" t="str">
        <f t="shared" si="105"/>
        <v>Anual</v>
      </c>
      <c r="P581" s="2" t="str">
        <f t="shared" ca="1" si="106"/>
        <v>VIGENTE</v>
      </c>
      <c r="Q581" s="6" t="s">
        <v>25</v>
      </c>
      <c r="R581" s="2"/>
    </row>
    <row r="582" spans="1:18" x14ac:dyDescent="0.25">
      <c r="A582" s="23" t="s">
        <v>214</v>
      </c>
      <c r="B582" s="2" t="s">
        <v>1729</v>
      </c>
      <c r="C582" s="3" t="s">
        <v>265</v>
      </c>
      <c r="D582" s="3" t="s">
        <v>23</v>
      </c>
      <c r="E582" s="2" t="s">
        <v>1660</v>
      </c>
      <c r="F582" s="4">
        <v>0</v>
      </c>
      <c r="G582" s="8">
        <f t="shared" si="102"/>
        <v>1</v>
      </c>
      <c r="H582" s="4" t="str">
        <f t="shared" si="107"/>
        <v>Ohms</v>
      </c>
      <c r="I582" s="6">
        <v>0.317</v>
      </c>
      <c r="J582" s="6" t="str">
        <f t="shared" si="108"/>
        <v>Ohms</v>
      </c>
      <c r="K582" s="2" t="str">
        <f t="shared" si="109"/>
        <v>RTG</v>
      </c>
      <c r="L582" s="2">
        <v>49640414</v>
      </c>
      <c r="M582" s="7">
        <v>46046</v>
      </c>
      <c r="N582" s="7">
        <f t="shared" si="103"/>
        <v>46411</v>
      </c>
      <c r="O582" s="7" t="str">
        <f t="shared" si="105"/>
        <v>Anual</v>
      </c>
      <c r="P582" s="2" t="str">
        <f t="shared" ca="1" si="106"/>
        <v>VIGENTE</v>
      </c>
      <c r="Q582" s="6" t="s">
        <v>25</v>
      </c>
      <c r="R582" s="2"/>
    </row>
    <row r="583" spans="1:18" x14ac:dyDescent="0.25">
      <c r="A583" s="23" t="s">
        <v>214</v>
      </c>
      <c r="B583" s="2" t="s">
        <v>1730</v>
      </c>
      <c r="C583" s="3" t="s">
        <v>820</v>
      </c>
      <c r="D583" s="3" t="s">
        <v>23</v>
      </c>
      <c r="E583" s="2" t="s">
        <v>1660</v>
      </c>
      <c r="F583" s="4">
        <v>0</v>
      </c>
      <c r="G583" s="8">
        <f t="shared" si="102"/>
        <v>1</v>
      </c>
      <c r="H583" s="4" t="str">
        <f t="shared" si="107"/>
        <v>Ohms</v>
      </c>
      <c r="I583" s="6">
        <v>0.85899999999999999</v>
      </c>
      <c r="J583" s="6" t="str">
        <f t="shared" si="108"/>
        <v>Ohms</v>
      </c>
      <c r="K583" s="2" t="str">
        <f t="shared" si="109"/>
        <v>RTG</v>
      </c>
      <c r="L583" s="2">
        <v>49640414</v>
      </c>
      <c r="M583" s="7">
        <v>46046</v>
      </c>
      <c r="N583" s="7">
        <f t="shared" si="103"/>
        <v>46411</v>
      </c>
      <c r="O583" s="7" t="str">
        <f t="shared" si="105"/>
        <v>Anual</v>
      </c>
      <c r="P583" s="2" t="str">
        <f t="shared" ca="1" si="106"/>
        <v>VIGENTE</v>
      </c>
      <c r="Q583" s="6" t="s">
        <v>25</v>
      </c>
      <c r="R583" s="2"/>
    </row>
    <row r="584" spans="1:18" x14ac:dyDescent="0.25">
      <c r="A584" s="23" t="s">
        <v>214</v>
      </c>
      <c r="B584" s="2" t="s">
        <v>1731</v>
      </c>
      <c r="C584" s="3" t="s">
        <v>828</v>
      </c>
      <c r="D584" s="3" t="s">
        <v>23</v>
      </c>
      <c r="E584" s="2" t="s">
        <v>829</v>
      </c>
      <c r="F584" s="4">
        <v>0</v>
      </c>
      <c r="G584" s="8">
        <f t="shared" si="102"/>
        <v>1</v>
      </c>
      <c r="H584" s="4" t="str">
        <f t="shared" si="107"/>
        <v>Ohms</v>
      </c>
      <c r="I584" s="6">
        <v>0.502</v>
      </c>
      <c r="J584" s="6" t="str">
        <f t="shared" si="108"/>
        <v>Ohms</v>
      </c>
      <c r="K584" s="2" t="str">
        <f t="shared" si="109"/>
        <v>RTG</v>
      </c>
      <c r="L584" s="2">
        <v>49640414</v>
      </c>
      <c r="M584" s="7">
        <v>46046</v>
      </c>
      <c r="N584" s="7">
        <f t="shared" si="103"/>
        <v>46411</v>
      </c>
      <c r="O584" s="7" t="str">
        <f t="shared" si="105"/>
        <v>Anual</v>
      </c>
      <c r="P584" s="2" t="str">
        <f t="shared" ca="1" si="106"/>
        <v>VIGENTE</v>
      </c>
      <c r="Q584" s="6" t="s">
        <v>25</v>
      </c>
      <c r="R584" s="2"/>
    </row>
    <row r="585" spans="1:18" x14ac:dyDescent="0.25">
      <c r="A585" s="23" t="s">
        <v>214</v>
      </c>
      <c r="B585" s="2" t="s">
        <v>1732</v>
      </c>
      <c r="C585" s="3" t="s">
        <v>828</v>
      </c>
      <c r="D585" s="3" t="s">
        <v>23</v>
      </c>
      <c r="E585" s="2" t="s">
        <v>829</v>
      </c>
      <c r="F585" s="4">
        <v>0</v>
      </c>
      <c r="G585" s="8">
        <f t="shared" si="102"/>
        <v>1</v>
      </c>
      <c r="H585" s="4" t="str">
        <f t="shared" si="107"/>
        <v>Ohms</v>
      </c>
      <c r="I585" s="6">
        <v>0.57099999999999995</v>
      </c>
      <c r="J585" s="6" t="str">
        <f t="shared" si="108"/>
        <v>Ohms</v>
      </c>
      <c r="K585" s="2" t="str">
        <f t="shared" si="109"/>
        <v>RTG</v>
      </c>
      <c r="L585" s="2">
        <v>49640414</v>
      </c>
      <c r="M585" s="7">
        <v>46046</v>
      </c>
      <c r="N585" s="7">
        <f t="shared" si="103"/>
        <v>46411</v>
      </c>
      <c r="O585" s="7" t="str">
        <f t="shared" si="105"/>
        <v>Anual</v>
      </c>
      <c r="P585" s="2" t="str">
        <f t="shared" ca="1" si="106"/>
        <v>VIGENTE</v>
      </c>
      <c r="Q585" s="6" t="s">
        <v>25</v>
      </c>
      <c r="R585" s="2"/>
    </row>
    <row r="586" spans="1:18" x14ac:dyDescent="0.25">
      <c r="A586" s="23" t="s">
        <v>214</v>
      </c>
      <c r="B586" s="2" t="s">
        <v>1733</v>
      </c>
      <c r="C586" s="3" t="s">
        <v>828</v>
      </c>
      <c r="D586" s="3" t="s">
        <v>23</v>
      </c>
      <c r="E586" s="2" t="s">
        <v>829</v>
      </c>
      <c r="F586" s="4">
        <v>0</v>
      </c>
      <c r="G586" s="8">
        <f t="shared" si="102"/>
        <v>1</v>
      </c>
      <c r="H586" s="4" t="str">
        <f t="shared" si="107"/>
        <v>Ohms</v>
      </c>
      <c r="I586" s="6">
        <v>0.33500000000000002</v>
      </c>
      <c r="J586" s="6" t="str">
        <f t="shared" si="108"/>
        <v>Ohms</v>
      </c>
      <c r="K586" s="2" t="str">
        <f t="shared" si="109"/>
        <v>RTG</v>
      </c>
      <c r="L586" s="2">
        <v>49640414</v>
      </c>
      <c r="M586" s="7">
        <v>46046</v>
      </c>
      <c r="N586" s="7">
        <f t="shared" si="103"/>
        <v>46411</v>
      </c>
      <c r="O586" s="7" t="str">
        <f t="shared" si="105"/>
        <v>Anual</v>
      </c>
      <c r="P586" s="2" t="str">
        <f t="shared" ca="1" si="106"/>
        <v>VIGENTE</v>
      </c>
      <c r="Q586" s="6" t="s">
        <v>25</v>
      </c>
      <c r="R586" s="2"/>
    </row>
    <row r="587" spans="1:18" x14ac:dyDescent="0.25">
      <c r="A587" s="23" t="s">
        <v>214</v>
      </c>
      <c r="B587" s="2" t="s">
        <v>1734</v>
      </c>
      <c r="C587" s="3" t="s">
        <v>828</v>
      </c>
      <c r="D587" s="3" t="s">
        <v>23</v>
      </c>
      <c r="E587" s="2" t="s">
        <v>829</v>
      </c>
      <c r="F587" s="4">
        <v>0</v>
      </c>
      <c r="G587" s="8">
        <f t="shared" si="102"/>
        <v>1</v>
      </c>
      <c r="H587" s="4" t="str">
        <f t="shared" si="107"/>
        <v>Ohms</v>
      </c>
      <c r="I587" s="6">
        <v>0.371</v>
      </c>
      <c r="J587" s="6" t="str">
        <f t="shared" si="108"/>
        <v>Ohms</v>
      </c>
      <c r="K587" s="2" t="str">
        <f t="shared" si="109"/>
        <v>RTG</v>
      </c>
      <c r="L587" s="2">
        <v>49640414</v>
      </c>
      <c r="M587" s="7">
        <v>46046</v>
      </c>
      <c r="N587" s="7">
        <f t="shared" si="103"/>
        <v>46411</v>
      </c>
      <c r="O587" s="7" t="str">
        <f t="shared" si="105"/>
        <v>Anual</v>
      </c>
      <c r="P587" s="2" t="str">
        <f t="shared" ca="1" si="106"/>
        <v>VIGENTE</v>
      </c>
      <c r="Q587" s="6" t="s">
        <v>25</v>
      </c>
      <c r="R587" s="2"/>
    </row>
    <row r="588" spans="1:18" x14ac:dyDescent="0.25">
      <c r="A588" s="23" t="s">
        <v>214</v>
      </c>
      <c r="B588" s="2" t="s">
        <v>1735</v>
      </c>
      <c r="C588" s="3" t="s">
        <v>828</v>
      </c>
      <c r="D588" s="3" t="s">
        <v>23</v>
      </c>
      <c r="E588" s="2" t="s">
        <v>829</v>
      </c>
      <c r="F588" s="4">
        <v>0</v>
      </c>
      <c r="G588" s="8">
        <f t="shared" si="102"/>
        <v>1</v>
      </c>
      <c r="H588" s="4" t="str">
        <f t="shared" si="107"/>
        <v>Ohms</v>
      </c>
      <c r="I588" s="6">
        <v>0.41399999999999998</v>
      </c>
      <c r="J588" s="6" t="str">
        <f t="shared" si="108"/>
        <v>Ohms</v>
      </c>
      <c r="K588" s="2" t="str">
        <f t="shared" si="109"/>
        <v>RTG</v>
      </c>
      <c r="L588" s="2">
        <v>49640414</v>
      </c>
      <c r="M588" s="7">
        <v>46046</v>
      </c>
      <c r="N588" s="7">
        <f t="shared" si="103"/>
        <v>46411</v>
      </c>
      <c r="O588" s="7" t="str">
        <f t="shared" si="105"/>
        <v>Anual</v>
      </c>
      <c r="P588" s="2" t="str">
        <f t="shared" ca="1" si="106"/>
        <v>VIGENTE</v>
      </c>
      <c r="Q588" s="6" t="s">
        <v>25</v>
      </c>
      <c r="R588" s="2"/>
    </row>
    <row r="589" spans="1:18" x14ac:dyDescent="0.25">
      <c r="A589" s="23" t="s">
        <v>214</v>
      </c>
      <c r="B589" s="2" t="s">
        <v>1736</v>
      </c>
      <c r="C589" s="3" t="s">
        <v>828</v>
      </c>
      <c r="D589" s="3" t="s">
        <v>23</v>
      </c>
      <c r="E589" s="2" t="s">
        <v>829</v>
      </c>
      <c r="F589" s="4">
        <v>0</v>
      </c>
      <c r="G589" s="8">
        <f t="shared" si="102"/>
        <v>1</v>
      </c>
      <c r="H589" s="4" t="str">
        <f t="shared" si="107"/>
        <v>Ohms</v>
      </c>
      <c r="I589" s="6">
        <v>0.54900000000000004</v>
      </c>
      <c r="J589" s="6" t="str">
        <f t="shared" si="108"/>
        <v>Ohms</v>
      </c>
      <c r="K589" s="2" t="str">
        <f t="shared" si="109"/>
        <v>RTG</v>
      </c>
      <c r="L589" s="2">
        <v>49640414</v>
      </c>
      <c r="M589" s="7">
        <v>46046</v>
      </c>
      <c r="N589" s="7">
        <f t="shared" si="103"/>
        <v>46411</v>
      </c>
      <c r="O589" s="7" t="str">
        <f t="shared" si="105"/>
        <v>Anual</v>
      </c>
      <c r="P589" s="2" t="str">
        <f t="shared" ca="1" si="106"/>
        <v>VIGENTE</v>
      </c>
      <c r="Q589" s="6" t="s">
        <v>25</v>
      </c>
      <c r="R589" s="2"/>
    </row>
    <row r="590" spans="1:18" x14ac:dyDescent="0.25">
      <c r="A590" s="23" t="s">
        <v>214</v>
      </c>
      <c r="B590" s="2" t="s">
        <v>1737</v>
      </c>
      <c r="C590" s="3" t="s">
        <v>828</v>
      </c>
      <c r="D590" s="3" t="s">
        <v>23</v>
      </c>
      <c r="E590" s="2" t="s">
        <v>829</v>
      </c>
      <c r="F590" s="4">
        <v>0</v>
      </c>
      <c r="G590" s="8">
        <f t="shared" si="102"/>
        <v>1</v>
      </c>
      <c r="H590" s="4" t="str">
        <f t="shared" si="107"/>
        <v>Ohms</v>
      </c>
      <c r="I590" s="6">
        <v>0.38700000000000001</v>
      </c>
      <c r="J590" s="6" t="str">
        <f t="shared" si="108"/>
        <v>Ohms</v>
      </c>
      <c r="K590" s="2" t="str">
        <f t="shared" si="109"/>
        <v>RTG</v>
      </c>
      <c r="L590" s="2">
        <v>49640414</v>
      </c>
      <c r="M590" s="7">
        <v>46046</v>
      </c>
      <c r="N590" s="7">
        <f t="shared" si="103"/>
        <v>46411</v>
      </c>
      <c r="O590" s="7" t="str">
        <f t="shared" si="105"/>
        <v>Anual</v>
      </c>
      <c r="P590" s="2" t="str">
        <f t="shared" ca="1" si="106"/>
        <v>VIGENTE</v>
      </c>
      <c r="Q590" s="6" t="s">
        <v>25</v>
      </c>
      <c r="R590" s="2"/>
    </row>
    <row r="591" spans="1:18" x14ac:dyDescent="0.25">
      <c r="A591" s="23" t="s">
        <v>214</v>
      </c>
      <c r="B591" s="2" t="s">
        <v>1738</v>
      </c>
      <c r="C591" s="3" t="s">
        <v>828</v>
      </c>
      <c r="D591" s="3" t="s">
        <v>23</v>
      </c>
      <c r="E591" s="2" t="s">
        <v>829</v>
      </c>
      <c r="F591" s="4">
        <v>0</v>
      </c>
      <c r="G591" s="8">
        <f t="shared" si="102"/>
        <v>1</v>
      </c>
      <c r="H591" s="4" t="str">
        <f t="shared" si="107"/>
        <v>Ohms</v>
      </c>
      <c r="I591" s="6">
        <v>0.35799999999999998</v>
      </c>
      <c r="J591" s="6" t="str">
        <f t="shared" si="108"/>
        <v>Ohms</v>
      </c>
      <c r="K591" s="2" t="str">
        <f t="shared" si="109"/>
        <v>RTG</v>
      </c>
      <c r="L591" s="2">
        <v>49640414</v>
      </c>
      <c r="M591" s="7">
        <v>46046</v>
      </c>
      <c r="N591" s="7">
        <f t="shared" si="103"/>
        <v>46411</v>
      </c>
      <c r="O591" s="7" t="str">
        <f t="shared" si="105"/>
        <v>Anual</v>
      </c>
      <c r="P591" s="2" t="str">
        <f t="shared" ca="1" si="106"/>
        <v>VIGENTE</v>
      </c>
      <c r="Q591" s="6" t="s">
        <v>25</v>
      </c>
      <c r="R591" s="2"/>
    </row>
    <row r="592" spans="1:18" x14ac:dyDescent="0.25">
      <c r="A592" s="23" t="s">
        <v>214</v>
      </c>
      <c r="B592" s="2" t="s">
        <v>1739</v>
      </c>
      <c r="C592" s="3" t="s">
        <v>836</v>
      </c>
      <c r="D592" s="3" t="s">
        <v>23</v>
      </c>
      <c r="E592" s="2" t="s">
        <v>1660</v>
      </c>
      <c r="F592" s="4">
        <v>0</v>
      </c>
      <c r="G592" s="8">
        <f t="shared" si="102"/>
        <v>1</v>
      </c>
      <c r="H592" s="4" t="str">
        <f t="shared" si="107"/>
        <v>Ohms</v>
      </c>
      <c r="I592" s="6">
        <v>0.39400000000000002</v>
      </c>
      <c r="J592" s="6" t="str">
        <f t="shared" si="108"/>
        <v>Ohms</v>
      </c>
      <c r="K592" s="2" t="str">
        <f t="shared" si="109"/>
        <v>RTG</v>
      </c>
      <c r="L592" s="2">
        <v>49640414</v>
      </c>
      <c r="M592" s="7">
        <v>46046</v>
      </c>
      <c r="N592" s="7">
        <f t="shared" si="103"/>
        <v>46411</v>
      </c>
      <c r="O592" s="7" t="str">
        <f t="shared" si="105"/>
        <v>Anual</v>
      </c>
      <c r="P592" s="2" t="str">
        <f t="shared" ca="1" si="106"/>
        <v>VIGENTE</v>
      </c>
      <c r="Q592" s="6" t="s">
        <v>25</v>
      </c>
      <c r="R592" s="2"/>
    </row>
    <row r="593" spans="1:18" x14ac:dyDescent="0.25">
      <c r="A593" s="23" t="s">
        <v>214</v>
      </c>
      <c r="B593" s="2" t="s">
        <v>1740</v>
      </c>
      <c r="C593" s="3" t="s">
        <v>820</v>
      </c>
      <c r="D593" s="3" t="s">
        <v>23</v>
      </c>
      <c r="E593" s="2" t="s">
        <v>1660</v>
      </c>
      <c r="F593" s="4">
        <v>0</v>
      </c>
      <c r="G593" s="8">
        <f t="shared" si="102"/>
        <v>1</v>
      </c>
      <c r="H593" s="4" t="str">
        <f t="shared" si="107"/>
        <v>Ohms</v>
      </c>
      <c r="I593" s="6">
        <v>0.98399999999999999</v>
      </c>
      <c r="J593" s="6" t="str">
        <f t="shared" si="108"/>
        <v>Ohms</v>
      </c>
      <c r="K593" s="2" t="str">
        <f t="shared" si="109"/>
        <v>RTG</v>
      </c>
      <c r="L593" s="2">
        <v>49640414</v>
      </c>
      <c r="M593" s="7">
        <v>46046</v>
      </c>
      <c r="N593" s="7">
        <f t="shared" si="103"/>
        <v>46411</v>
      </c>
      <c r="O593" s="7" t="str">
        <f t="shared" si="105"/>
        <v>Anual</v>
      </c>
      <c r="P593" s="2" t="str">
        <f t="shared" ca="1" si="106"/>
        <v>VIGENTE</v>
      </c>
      <c r="Q593" s="6" t="s">
        <v>25</v>
      </c>
      <c r="R593" s="2"/>
    </row>
    <row r="594" spans="1:18" x14ac:dyDescent="0.25">
      <c r="A594" s="23" t="s">
        <v>214</v>
      </c>
      <c r="B594" s="2" t="s">
        <v>1741</v>
      </c>
      <c r="C594" s="3" t="s">
        <v>836</v>
      </c>
      <c r="D594" s="3" t="s">
        <v>23</v>
      </c>
      <c r="E594" s="2" t="s">
        <v>1660</v>
      </c>
      <c r="F594" s="4">
        <v>0</v>
      </c>
      <c r="G594" s="8">
        <f t="shared" si="102"/>
        <v>1</v>
      </c>
      <c r="H594" s="4" t="str">
        <f t="shared" si="107"/>
        <v>Ohms</v>
      </c>
      <c r="I594" s="6">
        <v>0.377</v>
      </c>
      <c r="J594" s="6" t="str">
        <f t="shared" si="108"/>
        <v>Ohms</v>
      </c>
      <c r="K594" s="2" t="str">
        <f t="shared" si="109"/>
        <v>RTG</v>
      </c>
      <c r="L594" s="2">
        <v>49640414</v>
      </c>
      <c r="M594" s="7">
        <v>46046</v>
      </c>
      <c r="N594" s="7">
        <f t="shared" si="103"/>
        <v>46411</v>
      </c>
      <c r="O594" s="7" t="str">
        <f t="shared" si="105"/>
        <v>Anual</v>
      </c>
      <c r="P594" s="2" t="str">
        <f t="shared" ca="1" si="106"/>
        <v>VIGENTE</v>
      </c>
      <c r="Q594" s="6" t="s">
        <v>25</v>
      </c>
      <c r="R594" s="2"/>
    </row>
    <row r="595" spans="1:18" x14ac:dyDescent="0.25">
      <c r="A595" s="23" t="s">
        <v>214</v>
      </c>
      <c r="B595" s="2" t="s">
        <v>1742</v>
      </c>
      <c r="C595" s="3" t="s">
        <v>261</v>
      </c>
      <c r="D595" s="3" t="s">
        <v>23</v>
      </c>
      <c r="E595" s="2" t="s">
        <v>1660</v>
      </c>
      <c r="F595" s="4">
        <v>0</v>
      </c>
      <c r="G595" s="8">
        <f t="shared" si="102"/>
        <v>1</v>
      </c>
      <c r="H595" s="4" t="str">
        <f t="shared" si="107"/>
        <v>Ohms</v>
      </c>
      <c r="I595" s="6">
        <v>0.126</v>
      </c>
      <c r="J595" s="6" t="str">
        <f t="shared" si="108"/>
        <v>Ohms</v>
      </c>
      <c r="K595" s="2" t="str">
        <f t="shared" si="109"/>
        <v>RTG</v>
      </c>
      <c r="L595" s="2">
        <v>49640414</v>
      </c>
      <c r="M595" s="7">
        <v>46046</v>
      </c>
      <c r="N595" s="7">
        <f t="shared" si="103"/>
        <v>46411</v>
      </c>
      <c r="O595" s="7" t="str">
        <f t="shared" si="105"/>
        <v>Anual</v>
      </c>
      <c r="P595" s="2" t="str">
        <f t="shared" ca="1" si="106"/>
        <v>VIGENTE</v>
      </c>
      <c r="Q595" s="6" t="s">
        <v>25</v>
      </c>
      <c r="R595" s="2"/>
    </row>
    <row r="596" spans="1:18" x14ac:dyDescent="0.25">
      <c r="A596" s="23" t="s">
        <v>214</v>
      </c>
      <c r="B596" s="2" t="s">
        <v>1743</v>
      </c>
      <c r="C596" s="3" t="s">
        <v>261</v>
      </c>
      <c r="D596" s="3" t="s">
        <v>23</v>
      </c>
      <c r="E596" s="2" t="s">
        <v>1660</v>
      </c>
      <c r="F596" s="4">
        <v>0</v>
      </c>
      <c r="G596" s="8">
        <f t="shared" si="102"/>
        <v>1</v>
      </c>
      <c r="H596" s="4" t="str">
        <f t="shared" si="107"/>
        <v>Ohms</v>
      </c>
      <c r="I596" s="6">
        <v>0.378</v>
      </c>
      <c r="J596" s="6" t="str">
        <f t="shared" si="108"/>
        <v>Ohms</v>
      </c>
      <c r="K596" s="2" t="str">
        <f t="shared" si="109"/>
        <v>RTG</v>
      </c>
      <c r="L596" s="2">
        <v>49640414</v>
      </c>
      <c r="M596" s="7">
        <v>46046</v>
      </c>
      <c r="N596" s="7">
        <f t="shared" si="103"/>
        <v>46411</v>
      </c>
      <c r="O596" s="7" t="str">
        <f t="shared" si="105"/>
        <v>Anual</v>
      </c>
      <c r="P596" s="2" t="str">
        <f t="shared" ca="1" si="106"/>
        <v>VIGENTE</v>
      </c>
      <c r="Q596" s="6" t="s">
        <v>25</v>
      </c>
      <c r="R596" s="2"/>
    </row>
    <row r="597" spans="1:18" x14ac:dyDescent="0.25">
      <c r="A597" s="23" t="s">
        <v>214</v>
      </c>
      <c r="B597" s="2" t="s">
        <v>1744</v>
      </c>
      <c r="C597" s="3" t="s">
        <v>838</v>
      </c>
      <c r="D597" s="3" t="s">
        <v>23</v>
      </c>
      <c r="E597" s="2" t="s">
        <v>839</v>
      </c>
      <c r="F597" s="4">
        <v>0</v>
      </c>
      <c r="G597" s="8">
        <f t="shared" si="102"/>
        <v>1</v>
      </c>
      <c r="H597" s="4" t="str">
        <f t="shared" si="107"/>
        <v>Ohms</v>
      </c>
      <c r="I597" s="6">
        <v>0.36699999999999999</v>
      </c>
      <c r="J597" s="6" t="str">
        <f t="shared" si="108"/>
        <v>Ohms</v>
      </c>
      <c r="K597" s="2" t="str">
        <f t="shared" si="109"/>
        <v>RTG</v>
      </c>
      <c r="L597" s="2">
        <v>49640414</v>
      </c>
      <c r="M597" s="7">
        <v>46046</v>
      </c>
      <c r="N597" s="7">
        <f t="shared" si="103"/>
        <v>46411</v>
      </c>
      <c r="O597" s="7" t="str">
        <f t="shared" si="105"/>
        <v>Anual</v>
      </c>
      <c r="P597" s="2" t="str">
        <f t="shared" ca="1" si="106"/>
        <v>VIGENTE</v>
      </c>
      <c r="Q597" s="6" t="s">
        <v>25</v>
      </c>
      <c r="R597" s="2"/>
    </row>
    <row r="598" spans="1:18" x14ac:dyDescent="0.25">
      <c r="A598" s="23" t="s">
        <v>214</v>
      </c>
      <c r="B598" s="2" t="s">
        <v>1745</v>
      </c>
      <c r="C598" s="3" t="s">
        <v>261</v>
      </c>
      <c r="D598" s="3" t="s">
        <v>23</v>
      </c>
      <c r="E598" s="2" t="s">
        <v>1660</v>
      </c>
      <c r="F598" s="4">
        <v>0</v>
      </c>
      <c r="G598" s="8">
        <f t="shared" si="102"/>
        <v>1</v>
      </c>
      <c r="H598" s="4" t="str">
        <f t="shared" si="107"/>
        <v>Ohms</v>
      </c>
      <c r="I598" s="6">
        <v>0.64200000000000002</v>
      </c>
      <c r="J598" s="6" t="str">
        <f t="shared" si="108"/>
        <v>Ohms</v>
      </c>
      <c r="K598" s="2" t="str">
        <f t="shared" si="109"/>
        <v>RTG</v>
      </c>
      <c r="L598" s="2">
        <v>49640414</v>
      </c>
      <c r="M598" s="7">
        <v>46046</v>
      </c>
      <c r="N598" s="7">
        <f t="shared" si="103"/>
        <v>46411</v>
      </c>
      <c r="O598" s="7" t="str">
        <f t="shared" si="105"/>
        <v>Anual</v>
      </c>
      <c r="P598" s="2" t="str">
        <f t="shared" ca="1" si="106"/>
        <v>VIGENTE</v>
      </c>
      <c r="Q598" s="6" t="s">
        <v>25</v>
      </c>
      <c r="R598" s="2"/>
    </row>
    <row r="599" spans="1:18" x14ac:dyDescent="0.25">
      <c r="A599" s="23" t="s">
        <v>214</v>
      </c>
      <c r="B599" s="2" t="s">
        <v>1746</v>
      </c>
      <c r="C599" s="3" t="s">
        <v>261</v>
      </c>
      <c r="D599" s="3" t="s">
        <v>23</v>
      </c>
      <c r="E599" s="2" t="s">
        <v>1660</v>
      </c>
      <c r="F599" s="4">
        <v>0</v>
      </c>
      <c r="G599" s="8">
        <f t="shared" si="102"/>
        <v>1</v>
      </c>
      <c r="H599" s="4" t="str">
        <f t="shared" si="107"/>
        <v>Ohms</v>
      </c>
      <c r="I599" s="6">
        <v>0.68899999999999995</v>
      </c>
      <c r="J599" s="6" t="str">
        <f t="shared" si="108"/>
        <v>Ohms</v>
      </c>
      <c r="K599" s="2" t="str">
        <f t="shared" si="109"/>
        <v>RTG</v>
      </c>
      <c r="L599" s="2">
        <v>49640414</v>
      </c>
      <c r="M599" s="7">
        <v>46046</v>
      </c>
      <c r="N599" s="7">
        <f t="shared" si="103"/>
        <v>46411</v>
      </c>
      <c r="O599" s="7" t="str">
        <f t="shared" si="105"/>
        <v>Anual</v>
      </c>
      <c r="P599" s="2" t="str">
        <f t="shared" ca="1" si="106"/>
        <v>VIGENTE</v>
      </c>
      <c r="Q599" s="6" t="s">
        <v>25</v>
      </c>
      <c r="R599" s="2"/>
    </row>
    <row r="600" spans="1:18" x14ac:dyDescent="0.25">
      <c r="A600" s="23" t="s">
        <v>214</v>
      </c>
      <c r="B600" s="2" t="s">
        <v>1747</v>
      </c>
      <c r="C600" s="3" t="s">
        <v>838</v>
      </c>
      <c r="D600" s="3" t="s">
        <v>23</v>
      </c>
      <c r="E600" s="2" t="s">
        <v>839</v>
      </c>
      <c r="F600" s="4">
        <v>0</v>
      </c>
      <c r="G600" s="8">
        <f t="shared" si="102"/>
        <v>1</v>
      </c>
      <c r="H600" s="4" t="str">
        <f t="shared" si="107"/>
        <v>Ohms</v>
      </c>
      <c r="I600" s="6">
        <v>0.53100000000000003</v>
      </c>
      <c r="J600" s="6" t="str">
        <f t="shared" si="108"/>
        <v>Ohms</v>
      </c>
      <c r="K600" s="2" t="str">
        <f t="shared" si="109"/>
        <v>RTG</v>
      </c>
      <c r="L600" s="2">
        <v>49640414</v>
      </c>
      <c r="M600" s="7">
        <v>46046</v>
      </c>
      <c r="N600" s="7">
        <f t="shared" si="103"/>
        <v>46411</v>
      </c>
      <c r="O600" s="7" t="str">
        <f t="shared" si="105"/>
        <v>Anual</v>
      </c>
      <c r="P600" s="2" t="str">
        <f t="shared" ca="1" si="106"/>
        <v>VIGENTE</v>
      </c>
      <c r="Q600" s="6" t="s">
        <v>25</v>
      </c>
      <c r="R600" s="2"/>
    </row>
    <row r="601" spans="1:18" x14ac:dyDescent="0.25">
      <c r="A601" s="23" t="s">
        <v>214</v>
      </c>
      <c r="B601" s="2" t="s">
        <v>1748</v>
      </c>
      <c r="C601" s="3" t="s">
        <v>844</v>
      </c>
      <c r="D601" s="3" t="s">
        <v>23</v>
      </c>
      <c r="E601" s="2" t="s">
        <v>1660</v>
      </c>
      <c r="F601" s="4">
        <v>0</v>
      </c>
      <c r="G601" s="8">
        <f t="shared" si="102"/>
        <v>1</v>
      </c>
      <c r="H601" s="4" t="str">
        <f t="shared" si="107"/>
        <v>Ohms</v>
      </c>
      <c r="I601" s="6">
        <v>0.378</v>
      </c>
      <c r="J601" s="6" t="str">
        <f t="shared" si="108"/>
        <v>Ohms</v>
      </c>
      <c r="K601" s="2" t="str">
        <f t="shared" si="109"/>
        <v>RTG</v>
      </c>
      <c r="L601" s="2">
        <v>49640414</v>
      </c>
      <c r="M601" s="7">
        <v>46046</v>
      </c>
      <c r="N601" s="7">
        <f t="shared" si="103"/>
        <v>46411</v>
      </c>
      <c r="O601" s="7" t="str">
        <f t="shared" si="105"/>
        <v>Anual</v>
      </c>
      <c r="P601" s="2" t="str">
        <f t="shared" ca="1" si="106"/>
        <v>VIGENTE</v>
      </c>
      <c r="Q601" s="6" t="s">
        <v>25</v>
      </c>
      <c r="R601" s="2"/>
    </row>
    <row r="602" spans="1:18" x14ac:dyDescent="0.25">
      <c r="A602" s="23" t="s">
        <v>214</v>
      </c>
      <c r="B602" s="2" t="s">
        <v>1749</v>
      </c>
      <c r="C602" s="3" t="s">
        <v>820</v>
      </c>
      <c r="D602" s="3" t="s">
        <v>23</v>
      </c>
      <c r="E602" s="2" t="s">
        <v>1660</v>
      </c>
      <c r="F602" s="4">
        <v>0</v>
      </c>
      <c r="G602" s="8">
        <f t="shared" si="102"/>
        <v>1</v>
      </c>
      <c r="H602" s="4" t="str">
        <f t="shared" si="107"/>
        <v>Ohms</v>
      </c>
      <c r="I602" s="6">
        <v>0.28000000000000003</v>
      </c>
      <c r="J602" s="6" t="str">
        <f t="shared" si="108"/>
        <v>Ohms</v>
      </c>
      <c r="K602" s="2" t="str">
        <f t="shared" si="109"/>
        <v>RTG</v>
      </c>
      <c r="L602" s="2">
        <v>49640414</v>
      </c>
      <c r="M602" s="7">
        <v>46046</v>
      </c>
      <c r="N602" s="7">
        <f t="shared" si="103"/>
        <v>46411</v>
      </c>
      <c r="O602" s="7" t="str">
        <f t="shared" si="105"/>
        <v>Anual</v>
      </c>
      <c r="P602" s="2" t="str">
        <f t="shared" ca="1" si="106"/>
        <v>VIGENTE</v>
      </c>
      <c r="Q602" s="6" t="s">
        <v>25</v>
      </c>
      <c r="R602" s="2"/>
    </row>
    <row r="603" spans="1:18" x14ac:dyDescent="0.25">
      <c r="A603" s="23" t="s">
        <v>214</v>
      </c>
      <c r="B603" s="2" t="s">
        <v>1750</v>
      </c>
      <c r="C603" s="3" t="s">
        <v>847</v>
      </c>
      <c r="D603" s="3" t="s">
        <v>23</v>
      </c>
      <c r="E603" s="2" t="s">
        <v>823</v>
      </c>
      <c r="F603" s="4">
        <v>0</v>
      </c>
      <c r="G603" s="8">
        <f t="shared" si="102"/>
        <v>1</v>
      </c>
      <c r="H603" s="4" t="str">
        <f t="shared" si="107"/>
        <v>Ohms</v>
      </c>
      <c r="I603" s="6">
        <v>0.85099999999999998</v>
      </c>
      <c r="J603" s="6" t="str">
        <f t="shared" si="108"/>
        <v>Ohms</v>
      </c>
      <c r="K603" s="2" t="str">
        <f t="shared" si="109"/>
        <v>RTG</v>
      </c>
      <c r="L603" s="2">
        <v>49640414</v>
      </c>
      <c r="M603" s="7">
        <v>46046</v>
      </c>
      <c r="N603" s="7">
        <f t="shared" si="103"/>
        <v>46411</v>
      </c>
      <c r="O603" s="7" t="str">
        <f t="shared" si="105"/>
        <v>Anual</v>
      </c>
      <c r="P603" s="2" t="str">
        <f t="shared" ca="1" si="106"/>
        <v>VIGENTE</v>
      </c>
      <c r="Q603" s="6" t="s">
        <v>25</v>
      </c>
      <c r="R603" s="2"/>
    </row>
    <row r="604" spans="1:18" x14ac:dyDescent="0.25">
      <c r="A604" s="23" t="s">
        <v>214</v>
      </c>
      <c r="B604" s="2" t="s">
        <v>1751</v>
      </c>
      <c r="C604" s="3" t="s">
        <v>265</v>
      </c>
      <c r="D604" s="3" t="s">
        <v>23</v>
      </c>
      <c r="E604" s="2" t="s">
        <v>1660</v>
      </c>
      <c r="F604" s="4">
        <v>0</v>
      </c>
      <c r="G604" s="8">
        <f t="shared" ref="G604:G667" si="110">IF(C604="Ionizador", 10, IF(C604="Mesa", 1000000000, IF(C604="Rack", 1000000000, IF(C604="Piso", 1000000000, IF(C604="Tapete", 1000000000, IF(C604="Carrito", 1000000000, IF(C604="Cautín", 10, 1)))))))</f>
        <v>1</v>
      </c>
      <c r="H604" s="4" t="str">
        <f t="shared" si="107"/>
        <v>Ohms</v>
      </c>
      <c r="I604" s="6">
        <v>0.98799999999999999</v>
      </c>
      <c r="J604" s="6" t="str">
        <f t="shared" si="108"/>
        <v>Ohms</v>
      </c>
      <c r="K604" s="2" t="str">
        <f t="shared" si="109"/>
        <v>RTG</v>
      </c>
      <c r="L604" s="2">
        <v>49640414</v>
      </c>
      <c r="M604" s="7">
        <v>46046</v>
      </c>
      <c r="N604" s="7">
        <f t="shared" ref="N604:N667" si="111">IF(O604="Trimestral", M604+90, IF(O604="Semestral", M604+180, IF(O604="Mensual", M604+30, M604+365)))</f>
        <v>46411</v>
      </c>
      <c r="O604" s="7" t="str">
        <f t="shared" si="105"/>
        <v>Anual</v>
      </c>
      <c r="P604" s="2" t="str">
        <f t="shared" ref="P604:P635" ca="1" si="112">IF(N604&lt;TODAY(),"VENCIDO",IF(N604=TODAY(),"VIGENTE",IF(N604&gt;TODAY(),"VIGENTE")))</f>
        <v>VIGENTE</v>
      </c>
      <c r="Q604" s="6" t="s">
        <v>25</v>
      </c>
      <c r="R604" s="2"/>
    </row>
    <row r="605" spans="1:18" x14ac:dyDescent="0.25">
      <c r="A605" s="23" t="s">
        <v>214</v>
      </c>
      <c r="B605" s="2" t="s">
        <v>1752</v>
      </c>
      <c r="C605" s="3" t="s">
        <v>267</v>
      </c>
      <c r="D605" s="3" t="s">
        <v>23</v>
      </c>
      <c r="E605" s="2" t="s">
        <v>1660</v>
      </c>
      <c r="F605" s="4">
        <v>0</v>
      </c>
      <c r="G605" s="8">
        <f t="shared" si="110"/>
        <v>1</v>
      </c>
      <c r="H605" s="4" t="str">
        <f t="shared" si="107"/>
        <v>Ohms</v>
      </c>
      <c r="I605" s="6">
        <v>0.44</v>
      </c>
      <c r="J605" s="6" t="str">
        <f t="shared" si="108"/>
        <v>Ohms</v>
      </c>
      <c r="K605" s="2" t="str">
        <f t="shared" si="109"/>
        <v>RTG</v>
      </c>
      <c r="L605" s="2">
        <v>49640414</v>
      </c>
      <c r="M605" s="7">
        <v>46046</v>
      </c>
      <c r="N605" s="7">
        <f t="shared" si="111"/>
        <v>46411</v>
      </c>
      <c r="O605" s="7" t="str">
        <f t="shared" si="105"/>
        <v>Anual</v>
      </c>
      <c r="P605" s="2" t="str">
        <f t="shared" ca="1" si="112"/>
        <v>VIGENTE</v>
      </c>
      <c r="Q605" s="6" t="s">
        <v>25</v>
      </c>
      <c r="R605" s="2"/>
    </row>
    <row r="606" spans="1:18" x14ac:dyDescent="0.25">
      <c r="A606" s="23" t="s">
        <v>216</v>
      </c>
      <c r="B606" s="2" t="s">
        <v>1753</v>
      </c>
      <c r="C606" s="3" t="s">
        <v>810</v>
      </c>
      <c r="D606" s="3" t="s">
        <v>23</v>
      </c>
      <c r="E606" s="2" t="s">
        <v>1660</v>
      </c>
      <c r="F606" s="4">
        <v>0</v>
      </c>
      <c r="G606" s="8">
        <f t="shared" si="110"/>
        <v>1</v>
      </c>
      <c r="H606" s="4" t="str">
        <f t="shared" si="107"/>
        <v>Ohms</v>
      </c>
      <c r="I606" s="6">
        <v>0.45800000000000002</v>
      </c>
      <c r="J606" s="6" t="str">
        <f t="shared" si="108"/>
        <v>Ohms</v>
      </c>
      <c r="K606" s="2" t="str">
        <f t="shared" si="109"/>
        <v>RTG</v>
      </c>
      <c r="L606" s="2"/>
      <c r="M606" s="7">
        <v>46072</v>
      </c>
      <c r="N606" s="7">
        <f t="shared" si="111"/>
        <v>46437</v>
      </c>
      <c r="O606" s="7" t="str">
        <f t="shared" si="105"/>
        <v>Anual</v>
      </c>
      <c r="P606" s="2" t="str">
        <f t="shared" ca="1" si="112"/>
        <v>VIGENTE</v>
      </c>
      <c r="Q606" s="6" t="s">
        <v>25</v>
      </c>
      <c r="R606" s="2"/>
    </row>
    <row r="607" spans="1:18" x14ac:dyDescent="0.25">
      <c r="A607" s="23" t="s">
        <v>216</v>
      </c>
      <c r="B607" s="2" t="s">
        <v>1754</v>
      </c>
      <c r="C607" s="3" t="s">
        <v>802</v>
      </c>
      <c r="D607" s="3" t="s">
        <v>23</v>
      </c>
      <c r="E607" s="2" t="s">
        <v>803</v>
      </c>
      <c r="F607" s="4">
        <v>0</v>
      </c>
      <c r="G607" s="8">
        <f t="shared" si="110"/>
        <v>1</v>
      </c>
      <c r="H607" s="4" t="str">
        <f t="shared" si="107"/>
        <v>Ohms</v>
      </c>
      <c r="I607" s="6">
        <v>0.50600000000000001</v>
      </c>
      <c r="J607" s="6" t="str">
        <f t="shared" si="108"/>
        <v>Ohms</v>
      </c>
      <c r="K607" s="2" t="str">
        <f t="shared" si="109"/>
        <v>RTG</v>
      </c>
      <c r="L607" s="2"/>
      <c r="M607" s="7">
        <v>46072</v>
      </c>
      <c r="N607" s="7">
        <f t="shared" si="111"/>
        <v>46437</v>
      </c>
      <c r="O607" s="7" t="str">
        <f t="shared" si="105"/>
        <v>Anual</v>
      </c>
      <c r="P607" s="2" t="str">
        <f t="shared" ca="1" si="112"/>
        <v>VIGENTE</v>
      </c>
      <c r="Q607" s="6" t="s">
        <v>25</v>
      </c>
      <c r="R607" s="2"/>
    </row>
    <row r="608" spans="1:18" x14ac:dyDescent="0.25">
      <c r="A608" s="23" t="s">
        <v>216</v>
      </c>
      <c r="B608" s="2" t="s">
        <v>1755</v>
      </c>
      <c r="C608" s="3" t="s">
        <v>800</v>
      </c>
      <c r="D608" s="3" t="s">
        <v>23</v>
      </c>
      <c r="E608" s="2" t="s">
        <v>24</v>
      </c>
      <c r="F608" s="4">
        <v>0</v>
      </c>
      <c r="G608" s="8">
        <f t="shared" si="110"/>
        <v>10</v>
      </c>
      <c r="H608" s="4" t="str">
        <f t="shared" si="107"/>
        <v>Segundos</v>
      </c>
      <c r="I608" s="6">
        <v>5</v>
      </c>
      <c r="J608" s="6" t="str">
        <f t="shared" si="108"/>
        <v>Segundos</v>
      </c>
      <c r="K608" s="2" t="str">
        <f t="shared" si="109"/>
        <v>Plato de carga</v>
      </c>
      <c r="L608" s="2"/>
      <c r="M608" s="7">
        <v>46045</v>
      </c>
      <c r="N608" s="7">
        <f t="shared" si="111"/>
        <v>46135</v>
      </c>
      <c r="O608" s="7" t="str">
        <f t="shared" si="105"/>
        <v>Trimestral</v>
      </c>
      <c r="P608" s="2" t="str">
        <f t="shared" ca="1" si="112"/>
        <v>VIGENTE</v>
      </c>
      <c r="Q608" s="6" t="s">
        <v>25</v>
      </c>
      <c r="R608" s="2"/>
    </row>
    <row r="609" spans="1:18" x14ac:dyDescent="0.25">
      <c r="A609" s="23" t="s">
        <v>216</v>
      </c>
      <c r="B609" s="2" t="s">
        <v>1756</v>
      </c>
      <c r="C609" s="3" t="s">
        <v>805</v>
      </c>
      <c r="D609" s="3" t="s">
        <v>23</v>
      </c>
      <c r="E609" s="2" t="s">
        <v>1660</v>
      </c>
      <c r="F609" s="4">
        <v>0</v>
      </c>
      <c r="G609" s="8">
        <f t="shared" si="110"/>
        <v>1</v>
      </c>
      <c r="H609" s="4" t="str">
        <f t="shared" si="107"/>
        <v>Ohms</v>
      </c>
      <c r="I609" s="6">
        <v>0.57599999999999996</v>
      </c>
      <c r="J609" s="6" t="str">
        <f t="shared" si="108"/>
        <v>Ohms</v>
      </c>
      <c r="K609" s="2" t="str">
        <f t="shared" si="109"/>
        <v>RTG</v>
      </c>
      <c r="L609" s="2"/>
      <c r="M609" s="7">
        <v>46072</v>
      </c>
      <c r="N609" s="7">
        <f t="shared" si="111"/>
        <v>46437</v>
      </c>
      <c r="O609" s="7" t="str">
        <f t="shared" si="105"/>
        <v>Anual</v>
      </c>
      <c r="P609" s="2" t="str">
        <f t="shared" ca="1" si="112"/>
        <v>VIGENTE</v>
      </c>
      <c r="Q609" s="6" t="s">
        <v>25</v>
      </c>
      <c r="R609" s="2"/>
    </row>
    <row r="610" spans="1:18" x14ac:dyDescent="0.25">
      <c r="A610" s="23" t="s">
        <v>216</v>
      </c>
      <c r="B610" s="2" t="s">
        <v>1757</v>
      </c>
      <c r="C610" s="3" t="s">
        <v>261</v>
      </c>
      <c r="D610" s="3" t="s">
        <v>23</v>
      </c>
      <c r="E610" s="2" t="s">
        <v>1660</v>
      </c>
      <c r="F610" s="4">
        <v>0</v>
      </c>
      <c r="G610" s="8">
        <f t="shared" si="110"/>
        <v>1</v>
      </c>
      <c r="H610" s="4" t="str">
        <f t="shared" si="107"/>
        <v>Ohms</v>
      </c>
      <c r="I610" s="6">
        <v>0.73799999999999999</v>
      </c>
      <c r="J610" s="6" t="str">
        <f t="shared" si="108"/>
        <v>Ohms</v>
      </c>
      <c r="K610" s="2" t="str">
        <f t="shared" si="109"/>
        <v>RTG</v>
      </c>
      <c r="L610" s="2"/>
      <c r="M610" s="7">
        <v>46072</v>
      </c>
      <c r="N610" s="7">
        <f t="shared" si="111"/>
        <v>46437</v>
      </c>
      <c r="O610" s="7" t="str">
        <f t="shared" si="105"/>
        <v>Anual</v>
      </c>
      <c r="P610" s="2" t="str">
        <f t="shared" ca="1" si="112"/>
        <v>VIGENTE</v>
      </c>
      <c r="Q610" s="6" t="s">
        <v>25</v>
      </c>
      <c r="R610" s="2"/>
    </row>
    <row r="611" spans="1:18" x14ac:dyDescent="0.25">
      <c r="A611" s="23" t="s">
        <v>216</v>
      </c>
      <c r="B611" s="2" t="s">
        <v>217</v>
      </c>
      <c r="C611" s="3" t="s">
        <v>210</v>
      </c>
      <c r="D611" s="3" t="s">
        <v>23</v>
      </c>
      <c r="E611" s="2" t="s">
        <v>211</v>
      </c>
      <c r="F611" s="4">
        <v>0</v>
      </c>
      <c r="G611" s="8">
        <f t="shared" si="110"/>
        <v>1</v>
      </c>
      <c r="H611" s="4" t="str">
        <f t="shared" si="107"/>
        <v>Ohms</v>
      </c>
      <c r="I611" s="6">
        <v>0.27500000000000002</v>
      </c>
      <c r="J611" s="6" t="str">
        <f t="shared" si="108"/>
        <v>Ohms</v>
      </c>
      <c r="K611" s="2" t="str">
        <f t="shared" si="109"/>
        <v>RTG</v>
      </c>
      <c r="L611" s="2"/>
      <c r="M611" s="7">
        <v>46072</v>
      </c>
      <c r="N611" s="7">
        <f t="shared" si="111"/>
        <v>46437</v>
      </c>
      <c r="O611" s="7" t="str">
        <f t="shared" si="105"/>
        <v>Anual</v>
      </c>
      <c r="P611" s="2" t="str">
        <f t="shared" ca="1" si="112"/>
        <v>VIGENTE</v>
      </c>
      <c r="Q611" s="6" t="s">
        <v>25</v>
      </c>
      <c r="R611" s="2"/>
    </row>
    <row r="612" spans="1:18" x14ac:dyDescent="0.25">
      <c r="A612" s="23" t="s">
        <v>216</v>
      </c>
      <c r="B612" s="2" t="s">
        <v>1758</v>
      </c>
      <c r="C612" s="3" t="s">
        <v>259</v>
      </c>
      <c r="D612" s="3" t="s">
        <v>23</v>
      </c>
      <c r="E612" s="2" t="s">
        <v>1660</v>
      </c>
      <c r="F612" s="4">
        <v>0</v>
      </c>
      <c r="G612" s="8">
        <f t="shared" si="110"/>
        <v>1</v>
      </c>
      <c r="H612" s="4" t="str">
        <f t="shared" si="107"/>
        <v>Ohms</v>
      </c>
      <c r="I612" s="6">
        <v>0.58599999999999997</v>
      </c>
      <c r="J612" s="6" t="str">
        <f t="shared" si="108"/>
        <v>Ohms</v>
      </c>
      <c r="K612" s="2" t="str">
        <f t="shared" si="109"/>
        <v>RTG</v>
      </c>
      <c r="L612" s="2"/>
      <c r="M612" s="7">
        <v>46072</v>
      </c>
      <c r="N612" s="7">
        <f t="shared" si="111"/>
        <v>46437</v>
      </c>
      <c r="O612" s="7" t="str">
        <f t="shared" si="105"/>
        <v>Anual</v>
      </c>
      <c r="P612" s="2" t="str">
        <f t="shared" ca="1" si="112"/>
        <v>VIGENTE</v>
      </c>
      <c r="Q612" s="6" t="s">
        <v>25</v>
      </c>
      <c r="R612" s="2"/>
    </row>
    <row r="613" spans="1:18" x14ac:dyDescent="0.25">
      <c r="A613" s="23" t="s">
        <v>216</v>
      </c>
      <c r="B613" s="2" t="s">
        <v>1759</v>
      </c>
      <c r="C613" s="3" t="s">
        <v>813</v>
      </c>
      <c r="D613" s="3" t="s">
        <v>23</v>
      </c>
      <c r="E613" s="2" t="s">
        <v>1660</v>
      </c>
      <c r="F613" s="4">
        <v>0</v>
      </c>
      <c r="G613" s="8">
        <f t="shared" si="110"/>
        <v>1</v>
      </c>
      <c r="H613" s="4" t="str">
        <f t="shared" si="107"/>
        <v>Ohms</v>
      </c>
      <c r="I613" s="6">
        <v>0.495</v>
      </c>
      <c r="J613" s="6" t="str">
        <f t="shared" si="108"/>
        <v>Ohms</v>
      </c>
      <c r="K613" s="2" t="str">
        <f t="shared" si="109"/>
        <v>RTG</v>
      </c>
      <c r="L613" s="2"/>
      <c r="M613" s="7">
        <v>46072</v>
      </c>
      <c r="N613" s="7">
        <f t="shared" si="111"/>
        <v>46437</v>
      </c>
      <c r="O613" s="7" t="str">
        <f t="shared" si="105"/>
        <v>Anual</v>
      </c>
      <c r="P613" s="2" t="str">
        <f t="shared" ca="1" si="112"/>
        <v>VIGENTE</v>
      </c>
      <c r="Q613" s="6" t="s">
        <v>25</v>
      </c>
      <c r="R613" s="2"/>
    </row>
    <row r="614" spans="1:18" x14ac:dyDescent="0.25">
      <c r="A614" s="23" t="s">
        <v>216</v>
      </c>
      <c r="B614" s="2" t="s">
        <v>1760</v>
      </c>
      <c r="C614" s="3" t="s">
        <v>261</v>
      </c>
      <c r="D614" s="3" t="s">
        <v>23</v>
      </c>
      <c r="E614" s="2" t="s">
        <v>1660</v>
      </c>
      <c r="F614" s="4">
        <v>0</v>
      </c>
      <c r="G614" s="8">
        <f t="shared" si="110"/>
        <v>1</v>
      </c>
      <c r="H614" s="4" t="str">
        <f t="shared" si="107"/>
        <v>Ohms</v>
      </c>
      <c r="I614" s="6">
        <v>0.58399999999999996</v>
      </c>
      <c r="J614" s="6" t="str">
        <f t="shared" si="108"/>
        <v>Ohms</v>
      </c>
      <c r="K614" s="2" t="str">
        <f t="shared" si="109"/>
        <v>RTG</v>
      </c>
      <c r="L614" s="2"/>
      <c r="M614" s="7">
        <v>46072</v>
      </c>
      <c r="N614" s="7">
        <f t="shared" si="111"/>
        <v>46437</v>
      </c>
      <c r="O614" s="7" t="str">
        <f t="shared" si="105"/>
        <v>Anual</v>
      </c>
      <c r="P614" s="2" t="str">
        <f t="shared" ca="1" si="112"/>
        <v>VIGENTE</v>
      </c>
      <c r="Q614" s="6" t="s">
        <v>25</v>
      </c>
      <c r="R614" s="2"/>
    </row>
    <row r="615" spans="1:18" x14ac:dyDescent="0.25">
      <c r="A615" s="23" t="s">
        <v>216</v>
      </c>
      <c r="B615" s="2" t="s">
        <v>229</v>
      </c>
      <c r="C615" s="3" t="s">
        <v>210</v>
      </c>
      <c r="D615" s="3" t="s">
        <v>23</v>
      </c>
      <c r="E615" s="2" t="s">
        <v>211</v>
      </c>
      <c r="F615" s="4">
        <v>0</v>
      </c>
      <c r="G615" s="8">
        <f t="shared" si="110"/>
        <v>1</v>
      </c>
      <c r="H615" s="4" t="str">
        <f t="shared" si="107"/>
        <v>Ohms</v>
      </c>
      <c r="I615" s="6">
        <v>0.47499999999999998</v>
      </c>
      <c r="J615" s="6" t="str">
        <f t="shared" si="108"/>
        <v>Ohms</v>
      </c>
      <c r="K615" s="2" t="str">
        <f t="shared" si="109"/>
        <v>RTG</v>
      </c>
      <c r="L615" s="2"/>
      <c r="M615" s="7">
        <v>46072</v>
      </c>
      <c r="N615" s="7">
        <f t="shared" si="111"/>
        <v>46437</v>
      </c>
      <c r="O615" s="7" t="str">
        <f t="shared" si="105"/>
        <v>Anual</v>
      </c>
      <c r="P615" s="2" t="str">
        <f t="shared" ca="1" si="112"/>
        <v>VIGENTE</v>
      </c>
      <c r="Q615" s="6" t="s">
        <v>25</v>
      </c>
      <c r="R615" s="2"/>
    </row>
    <row r="616" spans="1:18" x14ac:dyDescent="0.25">
      <c r="A616" s="23" t="s">
        <v>216</v>
      </c>
      <c r="B616" s="2" t="s">
        <v>1761</v>
      </c>
      <c r="C616" s="3" t="s">
        <v>818</v>
      </c>
      <c r="D616" s="3" t="s">
        <v>23</v>
      </c>
      <c r="E616" s="2" t="s">
        <v>1660</v>
      </c>
      <c r="F616" s="4">
        <v>0</v>
      </c>
      <c r="G616" s="8">
        <f t="shared" si="110"/>
        <v>1</v>
      </c>
      <c r="H616" s="4" t="str">
        <f t="shared" si="107"/>
        <v>Ohms</v>
      </c>
      <c r="I616" s="6">
        <v>0.34899999999999998</v>
      </c>
      <c r="J616" s="6" t="str">
        <f t="shared" si="108"/>
        <v>Ohms</v>
      </c>
      <c r="K616" s="2" t="str">
        <f t="shared" si="109"/>
        <v>RTG</v>
      </c>
      <c r="L616" s="2"/>
      <c r="M616" s="7">
        <v>46072</v>
      </c>
      <c r="N616" s="7">
        <f t="shared" si="111"/>
        <v>46437</v>
      </c>
      <c r="O616" s="7" t="str">
        <f t="shared" si="105"/>
        <v>Anual</v>
      </c>
      <c r="P616" s="2" t="str">
        <f t="shared" ca="1" si="112"/>
        <v>VIGENTE</v>
      </c>
      <c r="Q616" s="6" t="s">
        <v>25</v>
      </c>
      <c r="R616" s="2"/>
    </row>
    <row r="617" spans="1:18" x14ac:dyDescent="0.25">
      <c r="A617" s="23" t="s">
        <v>216</v>
      </c>
      <c r="B617" s="2" t="s">
        <v>1762</v>
      </c>
      <c r="C617" s="3" t="s">
        <v>261</v>
      </c>
      <c r="D617" s="3" t="s">
        <v>23</v>
      </c>
      <c r="E617" s="2" t="s">
        <v>1660</v>
      </c>
      <c r="F617" s="4">
        <v>0</v>
      </c>
      <c r="G617" s="8">
        <f t="shared" si="110"/>
        <v>1</v>
      </c>
      <c r="H617" s="4" t="str">
        <f t="shared" si="107"/>
        <v>Ohms</v>
      </c>
      <c r="I617" s="6">
        <v>0.79700000000000004</v>
      </c>
      <c r="J617" s="6" t="str">
        <f t="shared" si="108"/>
        <v>Ohms</v>
      </c>
      <c r="K617" s="2" t="str">
        <f t="shared" si="109"/>
        <v>RTG</v>
      </c>
      <c r="L617" s="2"/>
      <c r="M617" s="7">
        <v>46072</v>
      </c>
      <c r="N617" s="7">
        <f t="shared" si="111"/>
        <v>46437</v>
      </c>
      <c r="O617" s="7" t="str">
        <f t="shared" si="105"/>
        <v>Anual</v>
      </c>
      <c r="P617" s="2" t="str">
        <f t="shared" ca="1" si="112"/>
        <v>VIGENTE</v>
      </c>
      <c r="Q617" s="6" t="s">
        <v>25</v>
      </c>
      <c r="R617" s="2"/>
    </row>
    <row r="618" spans="1:18" x14ac:dyDescent="0.25">
      <c r="A618" s="23" t="s">
        <v>216</v>
      </c>
      <c r="B618" s="2" t="s">
        <v>1763</v>
      </c>
      <c r="C618" s="3" t="s">
        <v>822</v>
      </c>
      <c r="D618" s="3" t="s">
        <v>23</v>
      </c>
      <c r="E618" s="2" t="s">
        <v>823</v>
      </c>
      <c r="F618" s="4">
        <v>0</v>
      </c>
      <c r="G618" s="8">
        <f t="shared" si="110"/>
        <v>1</v>
      </c>
      <c r="H618" s="4" t="str">
        <f t="shared" si="107"/>
        <v>Ohms</v>
      </c>
      <c r="I618" s="6">
        <v>0.27500000000000002</v>
      </c>
      <c r="J618" s="6" t="str">
        <f t="shared" si="108"/>
        <v>Ohms</v>
      </c>
      <c r="K618" s="2" t="str">
        <f t="shared" si="109"/>
        <v>RTG</v>
      </c>
      <c r="L618" s="2"/>
      <c r="M618" s="7">
        <v>46072</v>
      </c>
      <c r="N618" s="7">
        <f t="shared" si="111"/>
        <v>46437</v>
      </c>
      <c r="O618" s="7" t="str">
        <f t="shared" si="105"/>
        <v>Anual</v>
      </c>
      <c r="P618" s="2" t="str">
        <f t="shared" ca="1" si="112"/>
        <v>VIGENTE</v>
      </c>
      <c r="Q618" s="6" t="s">
        <v>25</v>
      </c>
      <c r="R618" s="2"/>
    </row>
    <row r="619" spans="1:18" x14ac:dyDescent="0.25">
      <c r="A619" s="23" t="s">
        <v>216</v>
      </c>
      <c r="B619" s="2" t="s">
        <v>1764</v>
      </c>
      <c r="C619" s="3" t="s">
        <v>265</v>
      </c>
      <c r="D619" s="3" t="s">
        <v>23</v>
      </c>
      <c r="E619" s="2" t="s">
        <v>1660</v>
      </c>
      <c r="F619" s="4">
        <v>0</v>
      </c>
      <c r="G619" s="8">
        <f t="shared" si="110"/>
        <v>1</v>
      </c>
      <c r="H619" s="4" t="str">
        <f t="shared" si="107"/>
        <v>Ohms</v>
      </c>
      <c r="I619" s="6">
        <v>0.64500000000000002</v>
      </c>
      <c r="J619" s="6" t="str">
        <f t="shared" si="108"/>
        <v>Ohms</v>
      </c>
      <c r="K619" s="2" t="str">
        <f t="shared" si="109"/>
        <v>RTG</v>
      </c>
      <c r="L619" s="2"/>
      <c r="M619" s="7">
        <v>46072</v>
      </c>
      <c r="N619" s="7">
        <f t="shared" si="111"/>
        <v>46437</v>
      </c>
      <c r="O619" s="7" t="str">
        <f t="shared" si="105"/>
        <v>Anual</v>
      </c>
      <c r="P619" s="2" t="str">
        <f t="shared" ca="1" si="112"/>
        <v>VIGENTE</v>
      </c>
      <c r="Q619" s="6" t="s">
        <v>25</v>
      </c>
      <c r="R619" s="2"/>
    </row>
    <row r="620" spans="1:18" x14ac:dyDescent="0.25">
      <c r="A620" s="23" t="s">
        <v>216</v>
      </c>
      <c r="B620" s="2" t="s">
        <v>1765</v>
      </c>
      <c r="C620" s="3" t="s">
        <v>820</v>
      </c>
      <c r="D620" s="3" t="s">
        <v>23</v>
      </c>
      <c r="E620" s="2" t="s">
        <v>1660</v>
      </c>
      <c r="F620" s="4">
        <v>0</v>
      </c>
      <c r="G620" s="8">
        <f t="shared" si="110"/>
        <v>1</v>
      </c>
      <c r="H620" s="4" t="str">
        <f t="shared" si="107"/>
        <v>Ohms</v>
      </c>
      <c r="I620" s="6">
        <v>0.65400000000000003</v>
      </c>
      <c r="J620" s="6" t="str">
        <f t="shared" si="108"/>
        <v>Ohms</v>
      </c>
      <c r="K620" s="2" t="str">
        <f t="shared" si="109"/>
        <v>RTG</v>
      </c>
      <c r="L620" s="2"/>
      <c r="M620" s="7">
        <v>46072</v>
      </c>
      <c r="N620" s="7">
        <f t="shared" si="111"/>
        <v>46437</v>
      </c>
      <c r="O620" s="7" t="str">
        <f t="shared" si="105"/>
        <v>Anual</v>
      </c>
      <c r="P620" s="2" t="str">
        <f t="shared" ca="1" si="112"/>
        <v>VIGENTE</v>
      </c>
      <c r="Q620" s="6" t="s">
        <v>25</v>
      </c>
      <c r="R620" s="2"/>
    </row>
    <row r="621" spans="1:18" x14ac:dyDescent="0.25">
      <c r="A621" s="23" t="s">
        <v>216</v>
      </c>
      <c r="B621" s="2" t="s">
        <v>1766</v>
      </c>
      <c r="C621" s="3" t="s">
        <v>828</v>
      </c>
      <c r="D621" s="3" t="s">
        <v>23</v>
      </c>
      <c r="E621" s="2" t="s">
        <v>829</v>
      </c>
      <c r="F621" s="4">
        <v>0</v>
      </c>
      <c r="G621" s="8">
        <f t="shared" si="110"/>
        <v>1</v>
      </c>
      <c r="H621" s="4" t="str">
        <f t="shared" si="107"/>
        <v>Ohms</v>
      </c>
      <c r="I621" s="6">
        <v>0.26500000000000001</v>
      </c>
      <c r="J621" s="6" t="str">
        <f t="shared" si="108"/>
        <v>Ohms</v>
      </c>
      <c r="K621" s="2" t="str">
        <f t="shared" si="109"/>
        <v>RTG</v>
      </c>
      <c r="L621" s="2"/>
      <c r="M621" s="7">
        <v>46072</v>
      </c>
      <c r="N621" s="7">
        <f t="shared" si="111"/>
        <v>46437</v>
      </c>
      <c r="O621" s="7" t="str">
        <f t="shared" si="105"/>
        <v>Anual</v>
      </c>
      <c r="P621" s="2" t="str">
        <f t="shared" ca="1" si="112"/>
        <v>VIGENTE</v>
      </c>
      <c r="Q621" s="6" t="s">
        <v>25</v>
      </c>
      <c r="R621" s="2"/>
    </row>
    <row r="622" spans="1:18" x14ac:dyDescent="0.25">
      <c r="A622" s="23" t="s">
        <v>216</v>
      </c>
      <c r="B622" s="2" t="s">
        <v>1767</v>
      </c>
      <c r="C622" s="3" t="s">
        <v>828</v>
      </c>
      <c r="D622" s="3" t="s">
        <v>23</v>
      </c>
      <c r="E622" s="2" t="s">
        <v>829</v>
      </c>
      <c r="F622" s="4">
        <v>0</v>
      </c>
      <c r="G622" s="8">
        <f t="shared" si="110"/>
        <v>1</v>
      </c>
      <c r="H622" s="4" t="str">
        <f t="shared" si="107"/>
        <v>Ohms</v>
      </c>
      <c r="I622" s="6">
        <v>0.245</v>
      </c>
      <c r="J622" s="6" t="str">
        <f t="shared" si="108"/>
        <v>Ohms</v>
      </c>
      <c r="K622" s="2" t="str">
        <f t="shared" si="109"/>
        <v>RTG</v>
      </c>
      <c r="L622" s="2"/>
      <c r="M622" s="7">
        <v>46072</v>
      </c>
      <c r="N622" s="7">
        <f t="shared" si="111"/>
        <v>46437</v>
      </c>
      <c r="O622" s="7" t="str">
        <f t="shared" si="105"/>
        <v>Anual</v>
      </c>
      <c r="P622" s="2" t="str">
        <f t="shared" ca="1" si="112"/>
        <v>VIGENTE</v>
      </c>
      <c r="Q622" s="6" t="s">
        <v>25</v>
      </c>
      <c r="R622" s="2"/>
    </row>
    <row r="623" spans="1:18" x14ac:dyDescent="0.25">
      <c r="A623" s="23" t="s">
        <v>216</v>
      </c>
      <c r="B623" s="2" t="s">
        <v>1768</v>
      </c>
      <c r="C623" s="3" t="s">
        <v>828</v>
      </c>
      <c r="D623" s="3" t="s">
        <v>23</v>
      </c>
      <c r="E623" s="2" t="s">
        <v>829</v>
      </c>
      <c r="F623" s="4">
        <v>0</v>
      </c>
      <c r="G623" s="8">
        <f t="shared" si="110"/>
        <v>1</v>
      </c>
      <c r="H623" s="4" t="str">
        <f t="shared" si="107"/>
        <v>Ohms</v>
      </c>
      <c r="I623" s="6">
        <v>0.17599999999999999</v>
      </c>
      <c r="J623" s="6" t="str">
        <f t="shared" si="108"/>
        <v>Ohms</v>
      </c>
      <c r="K623" s="2" t="str">
        <f t="shared" si="109"/>
        <v>RTG</v>
      </c>
      <c r="L623" s="2"/>
      <c r="M623" s="7">
        <v>46072</v>
      </c>
      <c r="N623" s="7">
        <f t="shared" si="111"/>
        <v>46437</v>
      </c>
      <c r="O623" s="7" t="str">
        <f t="shared" si="105"/>
        <v>Anual</v>
      </c>
      <c r="P623" s="2" t="str">
        <f t="shared" ca="1" si="112"/>
        <v>VIGENTE</v>
      </c>
      <c r="Q623" s="6" t="s">
        <v>25</v>
      </c>
      <c r="R623" s="2"/>
    </row>
    <row r="624" spans="1:18" x14ac:dyDescent="0.25">
      <c r="A624" s="23" t="s">
        <v>216</v>
      </c>
      <c r="B624" s="2" t="s">
        <v>1769</v>
      </c>
      <c r="C624" s="3" t="s">
        <v>828</v>
      </c>
      <c r="D624" s="3" t="s">
        <v>23</v>
      </c>
      <c r="E624" s="2" t="s">
        <v>829</v>
      </c>
      <c r="F624" s="4">
        <v>0</v>
      </c>
      <c r="G624" s="8">
        <f t="shared" si="110"/>
        <v>1</v>
      </c>
      <c r="H624" s="4" t="str">
        <f t="shared" si="107"/>
        <v>Ohms</v>
      </c>
      <c r="I624" s="6">
        <v>0.69299999999999995</v>
      </c>
      <c r="J624" s="6" t="str">
        <f t="shared" si="108"/>
        <v>Ohms</v>
      </c>
      <c r="K624" s="2" t="str">
        <f t="shared" si="109"/>
        <v>RTG</v>
      </c>
      <c r="L624" s="2"/>
      <c r="M624" s="7">
        <v>46072</v>
      </c>
      <c r="N624" s="7">
        <f t="shared" si="111"/>
        <v>46437</v>
      </c>
      <c r="O624" s="7" t="str">
        <f t="shared" si="105"/>
        <v>Anual</v>
      </c>
      <c r="P624" s="2" t="str">
        <f t="shared" ca="1" si="112"/>
        <v>VIGENTE</v>
      </c>
      <c r="Q624" s="6" t="s">
        <v>25</v>
      </c>
      <c r="R624" s="2"/>
    </row>
    <row r="625" spans="1:18" x14ac:dyDescent="0.25">
      <c r="A625" s="23" t="s">
        <v>216</v>
      </c>
      <c r="B625" s="2" t="s">
        <v>1770</v>
      </c>
      <c r="C625" s="3" t="s">
        <v>828</v>
      </c>
      <c r="D625" s="3" t="s">
        <v>23</v>
      </c>
      <c r="E625" s="2" t="s">
        <v>829</v>
      </c>
      <c r="F625" s="4">
        <v>0</v>
      </c>
      <c r="G625" s="8">
        <f t="shared" si="110"/>
        <v>1</v>
      </c>
      <c r="H625" s="4" t="str">
        <f t="shared" si="107"/>
        <v>Ohms</v>
      </c>
      <c r="I625" s="6">
        <v>0.57199999999999995</v>
      </c>
      <c r="J625" s="6" t="str">
        <f t="shared" si="108"/>
        <v>Ohms</v>
      </c>
      <c r="K625" s="2" t="str">
        <f t="shared" si="109"/>
        <v>RTG</v>
      </c>
      <c r="L625" s="2"/>
      <c r="M625" s="7">
        <v>46072</v>
      </c>
      <c r="N625" s="7">
        <f t="shared" si="111"/>
        <v>46437</v>
      </c>
      <c r="O625" s="7" t="str">
        <f t="shared" si="105"/>
        <v>Anual</v>
      </c>
      <c r="P625" s="2" t="str">
        <f t="shared" ca="1" si="112"/>
        <v>VIGENTE</v>
      </c>
      <c r="Q625" s="6" t="s">
        <v>25</v>
      </c>
      <c r="R625" s="2"/>
    </row>
    <row r="626" spans="1:18" x14ac:dyDescent="0.25">
      <c r="A626" s="23" t="s">
        <v>216</v>
      </c>
      <c r="B626" s="2" t="s">
        <v>1771</v>
      </c>
      <c r="C626" s="3" t="s">
        <v>828</v>
      </c>
      <c r="D626" s="3" t="s">
        <v>23</v>
      </c>
      <c r="E626" s="2" t="s">
        <v>829</v>
      </c>
      <c r="F626" s="4">
        <v>0</v>
      </c>
      <c r="G626" s="8">
        <f t="shared" si="110"/>
        <v>1</v>
      </c>
      <c r="H626" s="4" t="str">
        <f t="shared" si="107"/>
        <v>Ohms</v>
      </c>
      <c r="I626" s="6">
        <v>0.42699999999999999</v>
      </c>
      <c r="J626" s="6" t="str">
        <f t="shared" si="108"/>
        <v>Ohms</v>
      </c>
      <c r="K626" s="2" t="str">
        <f t="shared" si="109"/>
        <v>RTG</v>
      </c>
      <c r="L626" s="2"/>
      <c r="M626" s="7">
        <v>46072</v>
      </c>
      <c r="N626" s="7">
        <f t="shared" si="111"/>
        <v>46437</v>
      </c>
      <c r="O626" s="7" t="str">
        <f t="shared" si="105"/>
        <v>Anual</v>
      </c>
      <c r="P626" s="2" t="str">
        <f t="shared" ca="1" si="112"/>
        <v>VIGENTE</v>
      </c>
      <c r="Q626" s="6" t="s">
        <v>25</v>
      </c>
      <c r="R626" s="2"/>
    </row>
    <row r="627" spans="1:18" x14ac:dyDescent="0.25">
      <c r="A627" s="23" t="s">
        <v>216</v>
      </c>
      <c r="B627" s="2" t="s">
        <v>1772</v>
      </c>
      <c r="C627" s="3" t="s">
        <v>828</v>
      </c>
      <c r="D627" s="3" t="s">
        <v>23</v>
      </c>
      <c r="E627" s="2" t="s">
        <v>829</v>
      </c>
      <c r="F627" s="4">
        <v>0</v>
      </c>
      <c r="G627" s="8">
        <f t="shared" si="110"/>
        <v>1</v>
      </c>
      <c r="H627" s="4" t="str">
        <f t="shared" si="107"/>
        <v>Ohms</v>
      </c>
      <c r="I627" s="6">
        <v>0.372</v>
      </c>
      <c r="J627" s="6" t="str">
        <f t="shared" si="108"/>
        <v>Ohms</v>
      </c>
      <c r="K627" s="2" t="str">
        <f t="shared" si="109"/>
        <v>RTG</v>
      </c>
      <c r="L627" s="2"/>
      <c r="M627" s="7">
        <v>46072</v>
      </c>
      <c r="N627" s="7">
        <f t="shared" si="111"/>
        <v>46437</v>
      </c>
      <c r="O627" s="7" t="str">
        <f t="shared" si="105"/>
        <v>Anual</v>
      </c>
      <c r="P627" s="2" t="str">
        <f t="shared" ca="1" si="112"/>
        <v>VIGENTE</v>
      </c>
      <c r="Q627" s="6" t="s">
        <v>25</v>
      </c>
      <c r="R627" s="2"/>
    </row>
    <row r="628" spans="1:18" x14ac:dyDescent="0.25">
      <c r="A628" s="23" t="s">
        <v>216</v>
      </c>
      <c r="B628" s="2" t="s">
        <v>1773</v>
      </c>
      <c r="C628" s="3" t="s">
        <v>828</v>
      </c>
      <c r="D628" s="3" t="s">
        <v>23</v>
      </c>
      <c r="E628" s="2" t="s">
        <v>829</v>
      </c>
      <c r="F628" s="4">
        <v>0</v>
      </c>
      <c r="G628" s="8">
        <f t="shared" si="110"/>
        <v>1</v>
      </c>
      <c r="H628" s="4" t="str">
        <f t="shared" si="107"/>
        <v>Ohms</v>
      </c>
      <c r="I628" s="6">
        <v>0.26300000000000001</v>
      </c>
      <c r="J628" s="6" t="str">
        <f t="shared" si="108"/>
        <v>Ohms</v>
      </c>
      <c r="K628" s="2" t="str">
        <f t="shared" si="109"/>
        <v>RTG</v>
      </c>
      <c r="L628" s="2"/>
      <c r="M628" s="7">
        <v>46072</v>
      </c>
      <c r="N628" s="7">
        <f t="shared" si="111"/>
        <v>46437</v>
      </c>
      <c r="O628" s="7" t="str">
        <f t="shared" si="105"/>
        <v>Anual</v>
      </c>
      <c r="P628" s="2" t="str">
        <f t="shared" ca="1" si="112"/>
        <v>VIGENTE</v>
      </c>
      <c r="Q628" s="6" t="s">
        <v>25</v>
      </c>
      <c r="R628" s="2"/>
    </row>
    <row r="629" spans="1:18" x14ac:dyDescent="0.25">
      <c r="A629" s="23" t="s">
        <v>216</v>
      </c>
      <c r="B629" s="2" t="s">
        <v>1774</v>
      </c>
      <c r="C629" s="3" t="s">
        <v>828</v>
      </c>
      <c r="D629" s="3" t="s">
        <v>23</v>
      </c>
      <c r="E629" s="2" t="s">
        <v>829</v>
      </c>
      <c r="F629" s="4">
        <v>0</v>
      </c>
      <c r="G629" s="8">
        <f t="shared" si="110"/>
        <v>1</v>
      </c>
      <c r="H629" s="4" t="str">
        <f t="shared" si="107"/>
        <v>Ohms</v>
      </c>
      <c r="I629" s="6">
        <v>0.32400000000000001</v>
      </c>
      <c r="J629" s="6" t="str">
        <f t="shared" si="108"/>
        <v>Ohms</v>
      </c>
      <c r="K629" s="2" t="str">
        <f t="shared" si="109"/>
        <v>RTG</v>
      </c>
      <c r="L629" s="2"/>
      <c r="M629" s="7">
        <v>46072</v>
      </c>
      <c r="N629" s="7">
        <f t="shared" si="111"/>
        <v>46437</v>
      </c>
      <c r="O629" s="7" t="str">
        <f t="shared" si="105"/>
        <v>Anual</v>
      </c>
      <c r="P629" s="2" t="str">
        <f t="shared" ca="1" si="112"/>
        <v>VIGENTE</v>
      </c>
      <c r="Q629" s="6" t="s">
        <v>25</v>
      </c>
      <c r="R629" s="2"/>
    </row>
    <row r="630" spans="1:18" x14ac:dyDescent="0.25">
      <c r="A630" s="23" t="s">
        <v>216</v>
      </c>
      <c r="B630" s="2" t="s">
        <v>1775</v>
      </c>
      <c r="C630" s="3" t="s">
        <v>828</v>
      </c>
      <c r="D630" s="3" t="s">
        <v>23</v>
      </c>
      <c r="E630" s="2" t="s">
        <v>829</v>
      </c>
      <c r="F630" s="4">
        <v>0</v>
      </c>
      <c r="G630" s="8">
        <f t="shared" si="110"/>
        <v>1</v>
      </c>
      <c r="H630" s="4" t="str">
        <f t="shared" si="107"/>
        <v>Ohms</v>
      </c>
      <c r="I630" s="6">
        <v>0.36099999999999999</v>
      </c>
      <c r="J630" s="6" t="str">
        <f t="shared" si="108"/>
        <v>Ohms</v>
      </c>
      <c r="K630" s="2" t="str">
        <f t="shared" si="109"/>
        <v>RTG</v>
      </c>
      <c r="L630" s="2"/>
      <c r="M630" s="7">
        <v>46072</v>
      </c>
      <c r="N630" s="7">
        <f t="shared" si="111"/>
        <v>46437</v>
      </c>
      <c r="O630" s="7" t="str">
        <f t="shared" si="105"/>
        <v>Anual</v>
      </c>
      <c r="P630" s="2" t="str">
        <f t="shared" ca="1" si="112"/>
        <v>VIGENTE</v>
      </c>
      <c r="Q630" s="6" t="s">
        <v>25</v>
      </c>
      <c r="R630" s="2"/>
    </row>
    <row r="631" spans="1:18" x14ac:dyDescent="0.25">
      <c r="A631" s="23" t="s">
        <v>216</v>
      </c>
      <c r="B631" s="2" t="s">
        <v>1776</v>
      </c>
      <c r="C631" s="3" t="s">
        <v>836</v>
      </c>
      <c r="D631" s="3" t="s">
        <v>23</v>
      </c>
      <c r="E631" s="2" t="s">
        <v>1660</v>
      </c>
      <c r="F631" s="4">
        <v>0</v>
      </c>
      <c r="G631" s="8">
        <f t="shared" si="110"/>
        <v>1</v>
      </c>
      <c r="H631" s="4" t="str">
        <f t="shared" si="107"/>
        <v>Ohms</v>
      </c>
      <c r="I631" s="6">
        <v>0.81200000000000006</v>
      </c>
      <c r="J631" s="6" t="str">
        <f t="shared" si="108"/>
        <v>Ohms</v>
      </c>
      <c r="K631" s="2" t="str">
        <f t="shared" si="109"/>
        <v>RTG</v>
      </c>
      <c r="L631" s="2"/>
      <c r="M631" s="7">
        <v>46072</v>
      </c>
      <c r="N631" s="7">
        <f t="shared" si="111"/>
        <v>46437</v>
      </c>
      <c r="O631" s="7" t="str">
        <f t="shared" si="105"/>
        <v>Anual</v>
      </c>
      <c r="P631" s="2" t="str">
        <f t="shared" ca="1" si="112"/>
        <v>VIGENTE</v>
      </c>
      <c r="Q631" s="6" t="s">
        <v>25</v>
      </c>
      <c r="R631" s="2"/>
    </row>
    <row r="632" spans="1:18" x14ac:dyDescent="0.25">
      <c r="A632" s="23" t="s">
        <v>216</v>
      </c>
      <c r="B632" s="2" t="s">
        <v>1777</v>
      </c>
      <c r="C632" s="3" t="s">
        <v>820</v>
      </c>
      <c r="D632" s="3" t="s">
        <v>23</v>
      </c>
      <c r="E632" s="2" t="s">
        <v>1660</v>
      </c>
      <c r="F632" s="4">
        <v>0</v>
      </c>
      <c r="G632" s="8">
        <f t="shared" si="110"/>
        <v>1</v>
      </c>
      <c r="H632" s="4" t="str">
        <f t="shared" si="107"/>
        <v>Ohms</v>
      </c>
      <c r="I632" s="6">
        <v>0.47499999999999998</v>
      </c>
      <c r="J632" s="6" t="str">
        <f t="shared" si="108"/>
        <v>Ohms</v>
      </c>
      <c r="K632" s="2" t="str">
        <f t="shared" si="109"/>
        <v>RTG</v>
      </c>
      <c r="L632" s="2"/>
      <c r="M632" s="7">
        <v>46072</v>
      </c>
      <c r="N632" s="7">
        <f t="shared" si="111"/>
        <v>46437</v>
      </c>
      <c r="O632" s="7" t="str">
        <f t="shared" si="105"/>
        <v>Anual</v>
      </c>
      <c r="P632" s="2" t="str">
        <f t="shared" ca="1" si="112"/>
        <v>VIGENTE</v>
      </c>
      <c r="Q632" s="6" t="s">
        <v>25</v>
      </c>
      <c r="R632" s="2"/>
    </row>
    <row r="633" spans="1:18" x14ac:dyDescent="0.25">
      <c r="A633" s="23" t="s">
        <v>216</v>
      </c>
      <c r="B633" s="2" t="s">
        <v>1778</v>
      </c>
      <c r="C633" s="3" t="s">
        <v>836</v>
      </c>
      <c r="D633" s="3" t="s">
        <v>23</v>
      </c>
      <c r="E633" s="2" t="s">
        <v>1660</v>
      </c>
      <c r="F633" s="4">
        <v>0</v>
      </c>
      <c r="G633" s="8">
        <f t="shared" si="110"/>
        <v>1</v>
      </c>
      <c r="H633" s="4" t="str">
        <f t="shared" si="107"/>
        <v>Ohms</v>
      </c>
      <c r="I633" s="6">
        <v>0.25700000000000001</v>
      </c>
      <c r="J633" s="6" t="str">
        <f t="shared" si="108"/>
        <v>Ohms</v>
      </c>
      <c r="K633" s="2" t="str">
        <f t="shared" si="109"/>
        <v>RTG</v>
      </c>
      <c r="L633" s="2"/>
      <c r="M633" s="7">
        <v>46072</v>
      </c>
      <c r="N633" s="7">
        <f t="shared" si="111"/>
        <v>46437</v>
      </c>
      <c r="O633" s="7" t="str">
        <f t="shared" si="105"/>
        <v>Anual</v>
      </c>
      <c r="P633" s="2" t="str">
        <f t="shared" ca="1" si="112"/>
        <v>VIGENTE</v>
      </c>
      <c r="Q633" s="6" t="s">
        <v>25</v>
      </c>
      <c r="R633" s="2"/>
    </row>
    <row r="634" spans="1:18" x14ac:dyDescent="0.25">
      <c r="A634" s="23" t="s">
        <v>216</v>
      </c>
      <c r="B634" s="2" t="s">
        <v>1779</v>
      </c>
      <c r="C634" s="3" t="s">
        <v>261</v>
      </c>
      <c r="D634" s="3" t="s">
        <v>23</v>
      </c>
      <c r="E634" s="2" t="s">
        <v>1660</v>
      </c>
      <c r="F634" s="4">
        <v>0</v>
      </c>
      <c r="G634" s="8">
        <f t="shared" si="110"/>
        <v>1</v>
      </c>
      <c r="H634" s="4" t="str">
        <f t="shared" si="107"/>
        <v>Ohms</v>
      </c>
      <c r="I634" s="6">
        <v>0.22800000000000001</v>
      </c>
      <c r="J634" s="6" t="str">
        <f t="shared" si="108"/>
        <v>Ohms</v>
      </c>
      <c r="K634" s="2" t="str">
        <f t="shared" si="109"/>
        <v>RTG</v>
      </c>
      <c r="L634" s="2"/>
      <c r="M634" s="7">
        <v>46072</v>
      </c>
      <c r="N634" s="7">
        <f t="shared" si="111"/>
        <v>46437</v>
      </c>
      <c r="O634" s="7" t="str">
        <f t="shared" si="105"/>
        <v>Anual</v>
      </c>
      <c r="P634" s="2" t="str">
        <f t="shared" ca="1" si="112"/>
        <v>VIGENTE</v>
      </c>
      <c r="Q634" s="6" t="s">
        <v>25</v>
      </c>
      <c r="R634" s="2"/>
    </row>
    <row r="635" spans="1:18" x14ac:dyDescent="0.25">
      <c r="A635" s="23" t="s">
        <v>216</v>
      </c>
      <c r="B635" s="2" t="s">
        <v>1780</v>
      </c>
      <c r="C635" s="3" t="s">
        <v>261</v>
      </c>
      <c r="D635" s="3" t="s">
        <v>23</v>
      </c>
      <c r="E635" s="2" t="s">
        <v>1660</v>
      </c>
      <c r="F635" s="4">
        <v>0</v>
      </c>
      <c r="G635" s="8">
        <f t="shared" si="110"/>
        <v>1</v>
      </c>
      <c r="H635" s="4" t="str">
        <f t="shared" si="107"/>
        <v>Ohms</v>
      </c>
      <c r="I635" s="6">
        <v>0.35</v>
      </c>
      <c r="J635" s="6" t="str">
        <f t="shared" si="108"/>
        <v>Ohms</v>
      </c>
      <c r="K635" s="2" t="str">
        <f t="shared" si="109"/>
        <v>RTG</v>
      </c>
      <c r="L635" s="2"/>
      <c r="M635" s="7">
        <v>46072</v>
      </c>
      <c r="N635" s="7">
        <f t="shared" si="111"/>
        <v>46437</v>
      </c>
      <c r="O635" s="7" t="str">
        <f t="shared" si="105"/>
        <v>Anual</v>
      </c>
      <c r="P635" s="2" t="str">
        <f t="shared" ca="1" si="112"/>
        <v>VIGENTE</v>
      </c>
      <c r="Q635" s="6" t="s">
        <v>25</v>
      </c>
      <c r="R635" s="2"/>
    </row>
    <row r="636" spans="1:18" x14ac:dyDescent="0.25">
      <c r="A636" s="23" t="s">
        <v>216</v>
      </c>
      <c r="B636" s="2" t="s">
        <v>1781</v>
      </c>
      <c r="C636" s="3" t="s">
        <v>838</v>
      </c>
      <c r="D636" s="3" t="s">
        <v>23</v>
      </c>
      <c r="E636" s="2" t="s">
        <v>839</v>
      </c>
      <c r="F636" s="4">
        <v>0</v>
      </c>
      <c r="G636" s="8">
        <f t="shared" si="110"/>
        <v>1</v>
      </c>
      <c r="H636" s="4" t="str">
        <f t="shared" si="107"/>
        <v>Ohms</v>
      </c>
      <c r="I636" s="6">
        <v>0.22800000000000001</v>
      </c>
      <c r="J636" s="6" t="str">
        <f t="shared" si="108"/>
        <v>Ohms</v>
      </c>
      <c r="K636" s="2" t="str">
        <f t="shared" si="109"/>
        <v>RTG</v>
      </c>
      <c r="L636" s="2"/>
      <c r="M636" s="7">
        <v>46072</v>
      </c>
      <c r="N636" s="7">
        <f t="shared" si="111"/>
        <v>46437</v>
      </c>
      <c r="O636" s="7" t="str">
        <f t="shared" ref="O636:O644" si="113">IF(C636="Ionizador", "Trimestral", IF(C636="Rack", "Anual", IF(C636="Mesa", "Anual", IF(C636="Tapete", "Semestral", IF(C636="Cautín", "Semestral", IF(C636="Silla", "Semestral", "Anual"))))))</f>
        <v>Anual</v>
      </c>
      <c r="P636" s="2" t="str">
        <f t="shared" ref="P636:P644" ca="1" si="114">IF(N636&lt;TODAY(),"VENCIDO",IF(N636=TODAY(),"VIGENTE",IF(N636&gt;TODAY(),"VIGENTE")))</f>
        <v>VIGENTE</v>
      </c>
      <c r="Q636" s="6" t="s">
        <v>25</v>
      </c>
      <c r="R636" s="2"/>
    </row>
    <row r="637" spans="1:18" x14ac:dyDescent="0.25">
      <c r="A637" s="23" t="s">
        <v>216</v>
      </c>
      <c r="B637" s="2" t="s">
        <v>1782</v>
      </c>
      <c r="C637" s="3" t="s">
        <v>261</v>
      </c>
      <c r="D637" s="3" t="s">
        <v>23</v>
      </c>
      <c r="E637" s="2" t="s">
        <v>1660</v>
      </c>
      <c r="F637" s="4">
        <v>0</v>
      </c>
      <c r="G637" s="8">
        <f t="shared" si="110"/>
        <v>1</v>
      </c>
      <c r="H637" s="4" t="str">
        <f t="shared" ref="H637:H700" si="115">IF(C637="Ionizador", "Segundos", "Ohms")</f>
        <v>Ohms</v>
      </c>
      <c r="I637" s="6">
        <v>0.35</v>
      </c>
      <c r="J637" s="6" t="str">
        <f t="shared" ref="J637:J700" si="116">H637</f>
        <v>Ohms</v>
      </c>
      <c r="K637" s="2" t="str">
        <f t="shared" ref="K637:K700" si="117">IF(C637="Ionizador", "Plato de carga", IF(C637="Cautín", "PTG", IF(C637="ESD Tester", "PTP Deviation", "RTG")))</f>
        <v>RTG</v>
      </c>
      <c r="L637" s="2"/>
      <c r="M637" s="7">
        <v>46072</v>
      </c>
      <c r="N637" s="7">
        <f t="shared" si="111"/>
        <v>46437</v>
      </c>
      <c r="O637" s="7" t="str">
        <f t="shared" si="113"/>
        <v>Anual</v>
      </c>
      <c r="P637" s="2" t="str">
        <f t="shared" ca="1" si="114"/>
        <v>VIGENTE</v>
      </c>
      <c r="Q637" s="6" t="s">
        <v>25</v>
      </c>
      <c r="R637" s="2"/>
    </row>
    <row r="638" spans="1:18" x14ac:dyDescent="0.25">
      <c r="A638" s="23" t="s">
        <v>216</v>
      </c>
      <c r="B638" s="2" t="s">
        <v>1783</v>
      </c>
      <c r="C638" s="3" t="s">
        <v>261</v>
      </c>
      <c r="D638" s="3" t="s">
        <v>23</v>
      </c>
      <c r="E638" s="2" t="s">
        <v>1660</v>
      </c>
      <c r="F638" s="4">
        <v>0</v>
      </c>
      <c r="G638" s="8">
        <f t="shared" si="110"/>
        <v>1</v>
      </c>
      <c r="H638" s="4" t="str">
        <f t="shared" si="115"/>
        <v>Ohms</v>
      </c>
      <c r="I638" s="6">
        <v>0.69799999999999995</v>
      </c>
      <c r="J638" s="6" t="str">
        <f t="shared" si="116"/>
        <v>Ohms</v>
      </c>
      <c r="K638" s="2" t="str">
        <f t="shared" si="117"/>
        <v>RTG</v>
      </c>
      <c r="L638" s="2"/>
      <c r="M638" s="7">
        <v>46072</v>
      </c>
      <c r="N638" s="7">
        <f t="shared" si="111"/>
        <v>46437</v>
      </c>
      <c r="O638" s="7" t="str">
        <f t="shared" si="113"/>
        <v>Anual</v>
      </c>
      <c r="P638" s="2" t="str">
        <f t="shared" ca="1" si="114"/>
        <v>VIGENTE</v>
      </c>
      <c r="Q638" s="6" t="s">
        <v>25</v>
      </c>
      <c r="R638" s="2"/>
    </row>
    <row r="639" spans="1:18" x14ac:dyDescent="0.25">
      <c r="A639" s="23" t="s">
        <v>216</v>
      </c>
      <c r="B639" s="2" t="s">
        <v>1784</v>
      </c>
      <c r="C639" s="3" t="s">
        <v>838</v>
      </c>
      <c r="D639" s="3" t="s">
        <v>23</v>
      </c>
      <c r="E639" s="2" t="s">
        <v>839</v>
      </c>
      <c r="F639" s="4">
        <v>0</v>
      </c>
      <c r="G639" s="8">
        <f t="shared" si="110"/>
        <v>1</v>
      </c>
      <c r="H639" s="4" t="str">
        <f t="shared" si="115"/>
        <v>Ohms</v>
      </c>
      <c r="I639" s="6">
        <v>0.14899999999999999</v>
      </c>
      <c r="J639" s="6" t="str">
        <f t="shared" si="116"/>
        <v>Ohms</v>
      </c>
      <c r="K639" s="2" t="str">
        <f t="shared" si="117"/>
        <v>RTG</v>
      </c>
      <c r="L639" s="2"/>
      <c r="M639" s="7">
        <v>46072</v>
      </c>
      <c r="N639" s="7">
        <f t="shared" si="111"/>
        <v>46437</v>
      </c>
      <c r="O639" s="7" t="str">
        <f t="shared" si="113"/>
        <v>Anual</v>
      </c>
      <c r="P639" s="2" t="str">
        <f t="shared" ca="1" si="114"/>
        <v>VIGENTE</v>
      </c>
      <c r="Q639" s="6" t="s">
        <v>25</v>
      </c>
      <c r="R639" s="2"/>
    </row>
    <row r="640" spans="1:18" x14ac:dyDescent="0.25">
      <c r="A640" s="23" t="s">
        <v>216</v>
      </c>
      <c r="B640" s="2" t="s">
        <v>1785</v>
      </c>
      <c r="C640" s="3" t="s">
        <v>844</v>
      </c>
      <c r="D640" s="3" t="s">
        <v>23</v>
      </c>
      <c r="E640" s="2" t="s">
        <v>1660</v>
      </c>
      <c r="F640" s="4">
        <v>0</v>
      </c>
      <c r="G640" s="8">
        <f t="shared" si="110"/>
        <v>1</v>
      </c>
      <c r="H640" s="4" t="str">
        <f t="shared" si="115"/>
        <v>Ohms</v>
      </c>
      <c r="I640" s="6">
        <v>0.33</v>
      </c>
      <c r="J640" s="6" t="str">
        <f t="shared" si="116"/>
        <v>Ohms</v>
      </c>
      <c r="K640" s="2" t="str">
        <f t="shared" si="117"/>
        <v>RTG</v>
      </c>
      <c r="L640" s="2"/>
      <c r="M640" s="7">
        <v>46072</v>
      </c>
      <c r="N640" s="7">
        <f t="shared" si="111"/>
        <v>46437</v>
      </c>
      <c r="O640" s="7" t="str">
        <f t="shared" si="113"/>
        <v>Anual</v>
      </c>
      <c r="P640" s="2" t="str">
        <f t="shared" ca="1" si="114"/>
        <v>VIGENTE</v>
      </c>
      <c r="Q640" s="6" t="s">
        <v>25</v>
      </c>
      <c r="R640" s="2"/>
    </row>
    <row r="641" spans="1:18" x14ac:dyDescent="0.25">
      <c r="A641" s="23" t="s">
        <v>216</v>
      </c>
      <c r="B641" s="2" t="s">
        <v>1786</v>
      </c>
      <c r="C641" s="3" t="s">
        <v>820</v>
      </c>
      <c r="D641" s="3" t="s">
        <v>23</v>
      </c>
      <c r="E641" s="2" t="s">
        <v>1660</v>
      </c>
      <c r="F641" s="4">
        <v>0</v>
      </c>
      <c r="G641" s="8">
        <f t="shared" si="110"/>
        <v>1</v>
      </c>
      <c r="H641" s="4" t="str">
        <f t="shared" si="115"/>
        <v>Ohms</v>
      </c>
      <c r="I641" s="6">
        <v>0.32600000000000001</v>
      </c>
      <c r="J641" s="6" t="str">
        <f t="shared" si="116"/>
        <v>Ohms</v>
      </c>
      <c r="K641" s="2" t="str">
        <f t="shared" si="117"/>
        <v>RTG</v>
      </c>
      <c r="L641" s="2"/>
      <c r="M641" s="7">
        <v>46072</v>
      </c>
      <c r="N641" s="7">
        <f t="shared" si="111"/>
        <v>46437</v>
      </c>
      <c r="O641" s="7" t="str">
        <f t="shared" si="113"/>
        <v>Anual</v>
      </c>
      <c r="P641" s="2" t="str">
        <f t="shared" ca="1" si="114"/>
        <v>VIGENTE</v>
      </c>
      <c r="Q641" s="6" t="s">
        <v>25</v>
      </c>
      <c r="R641" s="2"/>
    </row>
    <row r="642" spans="1:18" x14ac:dyDescent="0.25">
      <c r="A642" s="23" t="s">
        <v>216</v>
      </c>
      <c r="B642" s="2" t="s">
        <v>1787</v>
      </c>
      <c r="C642" s="3" t="s">
        <v>847</v>
      </c>
      <c r="D642" s="3" t="s">
        <v>23</v>
      </c>
      <c r="E642" s="2" t="s">
        <v>823</v>
      </c>
      <c r="F642" s="4">
        <v>0</v>
      </c>
      <c r="G642" s="8">
        <f t="shared" si="110"/>
        <v>1</v>
      </c>
      <c r="H642" s="4" t="str">
        <f t="shared" si="115"/>
        <v>Ohms</v>
      </c>
      <c r="I642" s="6">
        <v>0.251</v>
      </c>
      <c r="J642" s="6" t="str">
        <f t="shared" si="116"/>
        <v>Ohms</v>
      </c>
      <c r="K642" s="2" t="str">
        <f t="shared" si="117"/>
        <v>RTG</v>
      </c>
      <c r="L642" s="2"/>
      <c r="M642" s="7">
        <v>46072</v>
      </c>
      <c r="N642" s="7">
        <f t="shared" si="111"/>
        <v>46437</v>
      </c>
      <c r="O642" s="7" t="str">
        <f t="shared" si="113"/>
        <v>Anual</v>
      </c>
      <c r="P642" s="2" t="str">
        <f t="shared" ca="1" si="114"/>
        <v>VIGENTE</v>
      </c>
      <c r="Q642" s="6" t="s">
        <v>25</v>
      </c>
      <c r="R642" s="2"/>
    </row>
    <row r="643" spans="1:18" x14ac:dyDescent="0.25">
      <c r="A643" s="23" t="s">
        <v>216</v>
      </c>
      <c r="B643" s="2" t="s">
        <v>1788</v>
      </c>
      <c r="C643" s="3" t="s">
        <v>265</v>
      </c>
      <c r="D643" s="3" t="s">
        <v>23</v>
      </c>
      <c r="E643" s="2" t="s">
        <v>1660</v>
      </c>
      <c r="F643" s="4">
        <v>0</v>
      </c>
      <c r="G643" s="8">
        <f t="shared" si="110"/>
        <v>1</v>
      </c>
      <c r="H643" s="4" t="str">
        <f t="shared" si="115"/>
        <v>Ohms</v>
      </c>
      <c r="I643" s="6">
        <v>0.192</v>
      </c>
      <c r="J643" s="6" t="str">
        <f t="shared" si="116"/>
        <v>Ohms</v>
      </c>
      <c r="K643" s="2" t="str">
        <f t="shared" si="117"/>
        <v>RTG</v>
      </c>
      <c r="L643" s="2"/>
      <c r="M643" s="7">
        <v>46072</v>
      </c>
      <c r="N643" s="7">
        <f t="shared" si="111"/>
        <v>46437</v>
      </c>
      <c r="O643" s="7" t="str">
        <f t="shared" si="113"/>
        <v>Anual</v>
      </c>
      <c r="P643" s="2" t="str">
        <f t="shared" ca="1" si="114"/>
        <v>VIGENTE</v>
      </c>
      <c r="Q643" s="6" t="s">
        <v>25</v>
      </c>
      <c r="R643" s="2"/>
    </row>
    <row r="644" spans="1:18" x14ac:dyDescent="0.25">
      <c r="A644" s="23" t="s">
        <v>216</v>
      </c>
      <c r="B644" s="2" t="s">
        <v>1789</v>
      </c>
      <c r="C644" s="3" t="s">
        <v>267</v>
      </c>
      <c r="D644" s="3" t="s">
        <v>23</v>
      </c>
      <c r="E644" s="2" t="s">
        <v>1660</v>
      </c>
      <c r="F644" s="4">
        <v>0</v>
      </c>
      <c r="G644" s="8">
        <f t="shared" si="110"/>
        <v>1</v>
      </c>
      <c r="H644" s="4" t="str">
        <f t="shared" si="115"/>
        <v>Ohms</v>
      </c>
      <c r="I644" s="6">
        <v>0.19800000000000001</v>
      </c>
      <c r="J644" s="6" t="str">
        <f t="shared" si="116"/>
        <v>Ohms</v>
      </c>
      <c r="K644" s="2" t="str">
        <f t="shared" si="117"/>
        <v>RTG</v>
      </c>
      <c r="L644" s="2"/>
      <c r="M644" s="7">
        <v>46072</v>
      </c>
      <c r="N644" s="7">
        <f t="shared" si="111"/>
        <v>46437</v>
      </c>
      <c r="O644" s="7" t="str">
        <f t="shared" si="113"/>
        <v>Anual</v>
      </c>
      <c r="P644" s="2" t="str">
        <f t="shared" ca="1" si="114"/>
        <v>VIGENTE</v>
      </c>
      <c r="Q644" s="6" t="s">
        <v>25</v>
      </c>
      <c r="R644" s="2"/>
    </row>
    <row r="645" spans="1:18" x14ac:dyDescent="0.25">
      <c r="A645" s="23" t="s">
        <v>924</v>
      </c>
      <c r="B645" s="2" t="s">
        <v>925</v>
      </c>
      <c r="C645" s="3" t="s">
        <v>800</v>
      </c>
      <c r="D645" s="3" t="s">
        <v>23</v>
      </c>
      <c r="E645" s="2" t="s">
        <v>829</v>
      </c>
      <c r="F645" s="4">
        <v>0</v>
      </c>
      <c r="G645" s="8">
        <f t="shared" si="110"/>
        <v>10</v>
      </c>
      <c r="H645" s="4" t="str">
        <f t="shared" si="115"/>
        <v>Segundos</v>
      </c>
      <c r="I645" s="6">
        <v>3</v>
      </c>
      <c r="J645" s="6" t="str">
        <f t="shared" si="116"/>
        <v>Segundos</v>
      </c>
      <c r="K645" s="2" t="str">
        <f t="shared" si="117"/>
        <v>Plato de carga</v>
      </c>
      <c r="L645" s="2"/>
      <c r="M645" s="7">
        <v>45624</v>
      </c>
      <c r="N645" s="7">
        <f t="shared" si="111"/>
        <v>45714</v>
      </c>
      <c r="O645" s="7" t="str">
        <f t="shared" ref="O645:O664" si="118">IF(C645="Ionizador", "Trimestral", IF(C645="Rack", "Semestral", IF(C645="Mesa", "Semestral", IF(C645="Tapete", "Semestral", IF(C645="Cautín", "Semestral", IF(C645="Silla", "Semestral", "Anual"))))))</f>
        <v>Trimestral</v>
      </c>
      <c r="P645" s="2" t="str">
        <f t="shared" ref="P645:P664" ca="1" si="119">IF(N645&lt;TODAY(),"VENCIDO",IF(N645=TODAY(),"VENCE HOY",IF(N645&gt;TODAY(),"VIGENTE")))</f>
        <v>VENCIDO</v>
      </c>
      <c r="Q645" s="13" t="s">
        <v>228</v>
      </c>
      <c r="R645" s="2" t="s">
        <v>926</v>
      </c>
    </row>
    <row r="646" spans="1:18" x14ac:dyDescent="0.25">
      <c r="A646" s="23" t="s">
        <v>924</v>
      </c>
      <c r="B646" s="2" t="s">
        <v>927</v>
      </c>
      <c r="C646" s="3" t="s">
        <v>259</v>
      </c>
      <c r="D646" s="3" t="s">
        <v>23</v>
      </c>
      <c r="E646" s="2" t="s">
        <v>814</v>
      </c>
      <c r="F646" s="4">
        <v>0</v>
      </c>
      <c r="G646" s="8">
        <f t="shared" si="110"/>
        <v>1</v>
      </c>
      <c r="H646" s="4" t="str">
        <f t="shared" si="115"/>
        <v>Ohms</v>
      </c>
      <c r="I646" s="6">
        <v>0.34</v>
      </c>
      <c r="J646" s="6" t="str">
        <f t="shared" si="116"/>
        <v>Ohms</v>
      </c>
      <c r="K646" s="2" t="str">
        <f t="shared" si="117"/>
        <v>RTG</v>
      </c>
      <c r="L646" s="2"/>
      <c r="M646" s="7">
        <v>45709</v>
      </c>
      <c r="N646" s="7">
        <f t="shared" si="111"/>
        <v>46074</v>
      </c>
      <c r="O646" s="7" t="str">
        <f t="shared" si="118"/>
        <v>Anual</v>
      </c>
      <c r="P646" s="2" t="str">
        <f t="shared" ca="1" si="119"/>
        <v>VENCIDO</v>
      </c>
      <c r="Q646" s="13" t="s">
        <v>228</v>
      </c>
      <c r="R646" s="2" t="s">
        <v>926</v>
      </c>
    </row>
    <row r="647" spans="1:18" x14ac:dyDescent="0.25">
      <c r="A647" s="23" t="s">
        <v>924</v>
      </c>
      <c r="B647" s="2" t="s">
        <v>928</v>
      </c>
      <c r="C647" s="3" t="s">
        <v>802</v>
      </c>
      <c r="D647" s="3" t="s">
        <v>23</v>
      </c>
      <c r="E647" s="2" t="s">
        <v>803</v>
      </c>
      <c r="F647" s="4">
        <v>0</v>
      </c>
      <c r="G647" s="8">
        <f t="shared" si="110"/>
        <v>1</v>
      </c>
      <c r="H647" s="4" t="str">
        <f t="shared" si="115"/>
        <v>Ohms</v>
      </c>
      <c r="I647" s="6">
        <v>0.317</v>
      </c>
      <c r="J647" s="6" t="str">
        <f t="shared" si="116"/>
        <v>Ohms</v>
      </c>
      <c r="K647" s="2" t="str">
        <f t="shared" si="117"/>
        <v>RTG</v>
      </c>
      <c r="L647" s="2"/>
      <c r="M647" s="7">
        <v>45709</v>
      </c>
      <c r="N647" s="7">
        <f t="shared" si="111"/>
        <v>46074</v>
      </c>
      <c r="O647" s="7" t="str">
        <f t="shared" si="118"/>
        <v>Anual</v>
      </c>
      <c r="P647" s="2" t="str">
        <f t="shared" ca="1" si="119"/>
        <v>VENCIDO</v>
      </c>
      <c r="Q647" s="13" t="s">
        <v>228</v>
      </c>
      <c r="R647" s="2" t="s">
        <v>926</v>
      </c>
    </row>
    <row r="648" spans="1:18" x14ac:dyDescent="0.25">
      <c r="A648" s="23" t="s">
        <v>924</v>
      </c>
      <c r="B648" s="2" t="s">
        <v>929</v>
      </c>
      <c r="C648" s="3" t="s">
        <v>805</v>
      </c>
      <c r="D648" s="3" t="s">
        <v>23</v>
      </c>
      <c r="E648" s="2" t="s">
        <v>814</v>
      </c>
      <c r="F648" s="4">
        <v>0</v>
      </c>
      <c r="G648" s="8">
        <f t="shared" si="110"/>
        <v>1</v>
      </c>
      <c r="H648" s="4" t="str">
        <f t="shared" si="115"/>
        <v>Ohms</v>
      </c>
      <c r="I648" s="6">
        <v>1.3140000000000001</v>
      </c>
      <c r="J648" s="6" t="str">
        <f t="shared" si="116"/>
        <v>Ohms</v>
      </c>
      <c r="K648" s="2" t="str">
        <f t="shared" si="117"/>
        <v>RTG</v>
      </c>
      <c r="L648" s="2"/>
      <c r="M648" s="7">
        <v>45709</v>
      </c>
      <c r="N648" s="7">
        <f t="shared" si="111"/>
        <v>46074</v>
      </c>
      <c r="O648" s="7" t="str">
        <f t="shared" si="118"/>
        <v>Anual</v>
      </c>
      <c r="P648" s="2" t="str">
        <f t="shared" ca="1" si="119"/>
        <v>VENCIDO</v>
      </c>
      <c r="Q648" s="13" t="s">
        <v>228</v>
      </c>
      <c r="R648" s="2" t="s">
        <v>926</v>
      </c>
    </row>
    <row r="649" spans="1:18" x14ac:dyDescent="0.25">
      <c r="A649" s="23" t="s">
        <v>924</v>
      </c>
      <c r="B649" s="2" t="s">
        <v>930</v>
      </c>
      <c r="C649" s="3" t="s">
        <v>261</v>
      </c>
      <c r="D649" s="3" t="s">
        <v>23</v>
      </c>
      <c r="E649" s="2" t="s">
        <v>814</v>
      </c>
      <c r="F649" s="4">
        <v>0</v>
      </c>
      <c r="G649" s="8">
        <f t="shared" si="110"/>
        <v>1</v>
      </c>
      <c r="H649" s="4" t="str">
        <f t="shared" si="115"/>
        <v>Ohms</v>
      </c>
      <c r="I649" s="6">
        <v>0.14099999999999999</v>
      </c>
      <c r="J649" s="6" t="str">
        <f t="shared" si="116"/>
        <v>Ohms</v>
      </c>
      <c r="K649" s="2" t="str">
        <f t="shared" si="117"/>
        <v>RTG</v>
      </c>
      <c r="L649" s="2"/>
      <c r="M649" s="7">
        <v>45709</v>
      </c>
      <c r="N649" s="7">
        <f t="shared" si="111"/>
        <v>46074</v>
      </c>
      <c r="O649" s="7" t="str">
        <f t="shared" si="118"/>
        <v>Anual</v>
      </c>
      <c r="P649" s="2" t="str">
        <f t="shared" ca="1" si="119"/>
        <v>VENCIDO</v>
      </c>
      <c r="Q649" s="13" t="s">
        <v>228</v>
      </c>
      <c r="R649" s="2" t="s">
        <v>926</v>
      </c>
    </row>
    <row r="650" spans="1:18" x14ac:dyDescent="0.25">
      <c r="A650" s="23" t="s">
        <v>924</v>
      </c>
      <c r="B650" s="2" t="s">
        <v>931</v>
      </c>
      <c r="C650" s="3" t="s">
        <v>210</v>
      </c>
      <c r="D650" s="3" t="s">
        <v>23</v>
      </c>
      <c r="E650" s="2" t="s">
        <v>932</v>
      </c>
      <c r="F650" s="4">
        <v>0</v>
      </c>
      <c r="G650" s="8">
        <f t="shared" si="110"/>
        <v>1</v>
      </c>
      <c r="H650" s="4" t="str">
        <f t="shared" si="115"/>
        <v>Ohms</v>
      </c>
      <c r="I650" s="6">
        <v>0.38400000000000001</v>
      </c>
      <c r="J650" s="6" t="str">
        <f t="shared" si="116"/>
        <v>Ohms</v>
      </c>
      <c r="K650" s="2" t="str">
        <f t="shared" si="117"/>
        <v>RTG</v>
      </c>
      <c r="L650" s="2"/>
      <c r="M650" s="7">
        <v>45709</v>
      </c>
      <c r="N650" s="7">
        <f t="shared" si="111"/>
        <v>46074</v>
      </c>
      <c r="O650" s="7" t="str">
        <f t="shared" si="118"/>
        <v>Anual</v>
      </c>
      <c r="P650" s="2" t="str">
        <f t="shared" ca="1" si="119"/>
        <v>VENCIDO</v>
      </c>
      <c r="Q650" s="13" t="s">
        <v>228</v>
      </c>
      <c r="R650" s="2" t="s">
        <v>926</v>
      </c>
    </row>
    <row r="651" spans="1:18" x14ac:dyDescent="0.25">
      <c r="A651" s="23" t="s">
        <v>924</v>
      </c>
      <c r="B651" s="2" t="s">
        <v>933</v>
      </c>
      <c r="C651" s="3" t="s">
        <v>261</v>
      </c>
      <c r="D651" s="3" t="s">
        <v>23</v>
      </c>
      <c r="E651" s="2" t="s">
        <v>814</v>
      </c>
      <c r="F651" s="4">
        <v>0</v>
      </c>
      <c r="G651" s="8">
        <f t="shared" si="110"/>
        <v>1</v>
      </c>
      <c r="H651" s="4" t="str">
        <f t="shared" si="115"/>
        <v>Ohms</v>
      </c>
      <c r="I651" s="6">
        <v>0.33100000000000002</v>
      </c>
      <c r="J651" s="6" t="str">
        <f t="shared" si="116"/>
        <v>Ohms</v>
      </c>
      <c r="K651" s="2" t="str">
        <f t="shared" si="117"/>
        <v>RTG</v>
      </c>
      <c r="L651" s="2"/>
      <c r="M651" s="7">
        <v>45709</v>
      </c>
      <c r="N651" s="7">
        <f t="shared" si="111"/>
        <v>46074</v>
      </c>
      <c r="O651" s="7" t="str">
        <f t="shared" si="118"/>
        <v>Anual</v>
      </c>
      <c r="P651" s="2" t="str">
        <f t="shared" ca="1" si="119"/>
        <v>VENCIDO</v>
      </c>
      <c r="Q651" s="13" t="s">
        <v>228</v>
      </c>
      <c r="R651" s="2" t="s">
        <v>926</v>
      </c>
    </row>
    <row r="652" spans="1:18" x14ac:dyDescent="0.25">
      <c r="A652" s="23" t="s">
        <v>924</v>
      </c>
      <c r="B652" s="2" t="s">
        <v>934</v>
      </c>
      <c r="C652" s="3" t="s">
        <v>822</v>
      </c>
      <c r="D652" s="3" t="s">
        <v>23</v>
      </c>
      <c r="E652" s="2" t="s">
        <v>823</v>
      </c>
      <c r="F652" s="4">
        <v>0</v>
      </c>
      <c r="G652" s="8">
        <f t="shared" si="110"/>
        <v>1</v>
      </c>
      <c r="H652" s="4" t="str">
        <f t="shared" si="115"/>
        <v>Ohms</v>
      </c>
      <c r="I652" s="6">
        <v>0.23699999999999999</v>
      </c>
      <c r="J652" s="6" t="str">
        <f t="shared" si="116"/>
        <v>Ohms</v>
      </c>
      <c r="K652" s="2" t="str">
        <f t="shared" si="117"/>
        <v>RTG</v>
      </c>
      <c r="L652" s="2"/>
      <c r="M652" s="7">
        <v>45709</v>
      </c>
      <c r="N652" s="7">
        <f t="shared" si="111"/>
        <v>46074</v>
      </c>
      <c r="O652" s="7" t="str">
        <f t="shared" si="118"/>
        <v>Anual</v>
      </c>
      <c r="P652" s="2" t="str">
        <f t="shared" ca="1" si="119"/>
        <v>VENCIDO</v>
      </c>
      <c r="Q652" s="13" t="s">
        <v>228</v>
      </c>
      <c r="R652" s="2" t="s">
        <v>926</v>
      </c>
    </row>
    <row r="653" spans="1:18" x14ac:dyDescent="0.25">
      <c r="A653" s="23" t="s">
        <v>924</v>
      </c>
      <c r="B653" s="2" t="s">
        <v>935</v>
      </c>
      <c r="C653" s="3" t="s">
        <v>265</v>
      </c>
      <c r="D653" s="3" t="s">
        <v>23</v>
      </c>
      <c r="E653" s="2" t="s">
        <v>814</v>
      </c>
      <c r="F653" s="4">
        <v>0</v>
      </c>
      <c r="G653" s="8">
        <f t="shared" si="110"/>
        <v>1</v>
      </c>
      <c r="H653" s="4" t="str">
        <f t="shared" si="115"/>
        <v>Ohms</v>
      </c>
      <c r="I653" s="6" t="s">
        <v>936</v>
      </c>
      <c r="J653" s="6" t="str">
        <f t="shared" si="116"/>
        <v>Ohms</v>
      </c>
      <c r="K653" s="2" t="str">
        <f t="shared" si="117"/>
        <v>RTG</v>
      </c>
      <c r="L653" s="2"/>
      <c r="M653" s="7">
        <v>45709</v>
      </c>
      <c r="N653" s="7">
        <f t="shared" si="111"/>
        <v>46074</v>
      </c>
      <c r="O653" s="7" t="str">
        <f t="shared" si="118"/>
        <v>Anual</v>
      </c>
      <c r="P653" s="2" t="str">
        <f t="shared" ca="1" si="119"/>
        <v>VENCIDO</v>
      </c>
      <c r="Q653" s="13" t="s">
        <v>228</v>
      </c>
      <c r="R653" s="2" t="s">
        <v>926</v>
      </c>
    </row>
    <row r="654" spans="1:18" x14ac:dyDescent="0.25">
      <c r="A654" s="23" t="s">
        <v>924</v>
      </c>
      <c r="B654" s="2" t="s">
        <v>937</v>
      </c>
      <c r="C654" s="3" t="s">
        <v>261</v>
      </c>
      <c r="D654" s="3" t="s">
        <v>23</v>
      </c>
      <c r="E654" s="2" t="s">
        <v>814</v>
      </c>
      <c r="F654" s="4">
        <v>0</v>
      </c>
      <c r="G654" s="8">
        <f t="shared" si="110"/>
        <v>1</v>
      </c>
      <c r="H654" s="4" t="str">
        <f t="shared" si="115"/>
        <v>Ohms</v>
      </c>
      <c r="I654" s="6">
        <v>0.27800000000000002</v>
      </c>
      <c r="J654" s="6" t="str">
        <f t="shared" si="116"/>
        <v>Ohms</v>
      </c>
      <c r="K654" s="2" t="str">
        <f t="shared" si="117"/>
        <v>RTG</v>
      </c>
      <c r="L654" s="2"/>
      <c r="M654" s="7">
        <v>45709</v>
      </c>
      <c r="N654" s="7">
        <f t="shared" si="111"/>
        <v>46074</v>
      </c>
      <c r="O654" s="7" t="str">
        <f t="shared" si="118"/>
        <v>Anual</v>
      </c>
      <c r="P654" s="2" t="str">
        <f t="shared" ca="1" si="119"/>
        <v>VENCIDO</v>
      </c>
      <c r="Q654" s="13" t="s">
        <v>228</v>
      </c>
      <c r="R654" s="2" t="s">
        <v>926</v>
      </c>
    </row>
    <row r="655" spans="1:18" x14ac:dyDescent="0.25">
      <c r="A655" s="23" t="s">
        <v>924</v>
      </c>
      <c r="B655" s="2" t="s">
        <v>938</v>
      </c>
      <c r="C655" s="3" t="s">
        <v>828</v>
      </c>
      <c r="D655" s="3" t="s">
        <v>23</v>
      </c>
      <c r="E655" s="2" t="s">
        <v>829</v>
      </c>
      <c r="F655" s="4">
        <v>0</v>
      </c>
      <c r="G655" s="8">
        <f t="shared" si="110"/>
        <v>1</v>
      </c>
      <c r="H655" s="4" t="str">
        <f t="shared" si="115"/>
        <v>Ohms</v>
      </c>
      <c r="I655" s="6">
        <v>0.189</v>
      </c>
      <c r="J655" s="6" t="str">
        <f t="shared" si="116"/>
        <v>Ohms</v>
      </c>
      <c r="K655" s="2" t="str">
        <f t="shared" si="117"/>
        <v>RTG</v>
      </c>
      <c r="L655" s="2"/>
      <c r="M655" s="7">
        <v>45709</v>
      </c>
      <c r="N655" s="7">
        <f t="shared" si="111"/>
        <v>46074</v>
      </c>
      <c r="O655" s="7" t="str">
        <f t="shared" si="118"/>
        <v>Anual</v>
      </c>
      <c r="P655" s="2" t="str">
        <f t="shared" ca="1" si="119"/>
        <v>VENCIDO</v>
      </c>
      <c r="Q655" s="13" t="s">
        <v>228</v>
      </c>
      <c r="R655" s="2" t="s">
        <v>926</v>
      </c>
    </row>
    <row r="656" spans="1:18" x14ac:dyDescent="0.25">
      <c r="A656" s="23" t="s">
        <v>924</v>
      </c>
      <c r="B656" s="2" t="s">
        <v>939</v>
      </c>
      <c r="C656" s="3" t="s">
        <v>828</v>
      </c>
      <c r="D656" s="3" t="s">
        <v>23</v>
      </c>
      <c r="E656" s="2" t="s">
        <v>829</v>
      </c>
      <c r="F656" s="4">
        <v>0</v>
      </c>
      <c r="G656" s="8">
        <f t="shared" si="110"/>
        <v>1</v>
      </c>
      <c r="H656" s="4" t="str">
        <f t="shared" si="115"/>
        <v>Ohms</v>
      </c>
      <c r="I656" s="6">
        <v>0.15</v>
      </c>
      <c r="J656" s="6" t="str">
        <f t="shared" si="116"/>
        <v>Ohms</v>
      </c>
      <c r="K656" s="2" t="str">
        <f t="shared" si="117"/>
        <v>RTG</v>
      </c>
      <c r="L656" s="2"/>
      <c r="M656" s="7">
        <v>45709</v>
      </c>
      <c r="N656" s="7">
        <f t="shared" si="111"/>
        <v>46074</v>
      </c>
      <c r="O656" s="7" t="str">
        <f t="shared" si="118"/>
        <v>Anual</v>
      </c>
      <c r="P656" s="2" t="str">
        <f t="shared" ca="1" si="119"/>
        <v>VENCIDO</v>
      </c>
      <c r="Q656" s="13" t="s">
        <v>228</v>
      </c>
      <c r="R656" s="2" t="s">
        <v>926</v>
      </c>
    </row>
    <row r="657" spans="1:18" x14ac:dyDescent="0.25">
      <c r="A657" s="23" t="s">
        <v>924</v>
      </c>
      <c r="B657" s="2" t="s">
        <v>940</v>
      </c>
      <c r="C657" s="3" t="s">
        <v>261</v>
      </c>
      <c r="D657" s="3" t="s">
        <v>23</v>
      </c>
      <c r="E657" s="2" t="s">
        <v>814</v>
      </c>
      <c r="F657" s="4">
        <v>0</v>
      </c>
      <c r="G657" s="8">
        <f t="shared" si="110"/>
        <v>1</v>
      </c>
      <c r="H657" s="4" t="str">
        <f t="shared" si="115"/>
        <v>Ohms</v>
      </c>
      <c r="I657" s="6">
        <v>0.17399999999999999</v>
      </c>
      <c r="J657" s="6" t="str">
        <f t="shared" si="116"/>
        <v>Ohms</v>
      </c>
      <c r="K657" s="2" t="str">
        <f t="shared" si="117"/>
        <v>RTG</v>
      </c>
      <c r="L657" s="2"/>
      <c r="M657" s="7">
        <v>45709</v>
      </c>
      <c r="N657" s="7">
        <f t="shared" si="111"/>
        <v>46074</v>
      </c>
      <c r="O657" s="7" t="str">
        <f t="shared" si="118"/>
        <v>Anual</v>
      </c>
      <c r="P657" s="2" t="str">
        <f t="shared" ca="1" si="119"/>
        <v>VENCIDO</v>
      </c>
      <c r="Q657" s="13" t="s">
        <v>228</v>
      </c>
      <c r="R657" s="2" t="s">
        <v>926</v>
      </c>
    </row>
    <row r="658" spans="1:18" x14ac:dyDescent="0.25">
      <c r="A658" s="23" t="s">
        <v>924</v>
      </c>
      <c r="B658" s="2" t="s">
        <v>941</v>
      </c>
      <c r="C658" s="3" t="s">
        <v>838</v>
      </c>
      <c r="D658" s="3" t="s">
        <v>23</v>
      </c>
      <c r="E658" s="2" t="s">
        <v>942</v>
      </c>
      <c r="F658" s="4">
        <v>0</v>
      </c>
      <c r="G658" s="8">
        <f t="shared" si="110"/>
        <v>1</v>
      </c>
      <c r="H658" s="4" t="str">
        <f t="shared" si="115"/>
        <v>Ohms</v>
      </c>
      <c r="I658" s="6">
        <v>0.54200000000000004</v>
      </c>
      <c r="J658" s="6" t="str">
        <f t="shared" si="116"/>
        <v>Ohms</v>
      </c>
      <c r="K658" s="2" t="str">
        <f t="shared" si="117"/>
        <v>RTG</v>
      </c>
      <c r="L658" s="2"/>
      <c r="M658" s="7">
        <v>45709</v>
      </c>
      <c r="N658" s="7">
        <f t="shared" si="111"/>
        <v>46074</v>
      </c>
      <c r="O658" s="7" t="str">
        <f t="shared" si="118"/>
        <v>Anual</v>
      </c>
      <c r="P658" s="2" t="str">
        <f t="shared" ca="1" si="119"/>
        <v>VENCIDO</v>
      </c>
      <c r="Q658" s="13" t="s">
        <v>228</v>
      </c>
      <c r="R658" s="2" t="s">
        <v>926</v>
      </c>
    </row>
    <row r="659" spans="1:18" x14ac:dyDescent="0.25">
      <c r="A659" s="23" t="s">
        <v>924</v>
      </c>
      <c r="B659" s="2" t="s">
        <v>943</v>
      </c>
      <c r="C659" s="3" t="s">
        <v>261</v>
      </c>
      <c r="D659" s="3" t="s">
        <v>23</v>
      </c>
      <c r="E659" s="2" t="s">
        <v>814</v>
      </c>
      <c r="F659" s="4">
        <v>0</v>
      </c>
      <c r="G659" s="8">
        <f t="shared" si="110"/>
        <v>1</v>
      </c>
      <c r="H659" s="4" t="str">
        <f t="shared" si="115"/>
        <v>Ohms</v>
      </c>
      <c r="I659" s="6">
        <v>0.33200000000000002</v>
      </c>
      <c r="J659" s="6" t="str">
        <f t="shared" si="116"/>
        <v>Ohms</v>
      </c>
      <c r="K659" s="2" t="str">
        <f t="shared" si="117"/>
        <v>RTG</v>
      </c>
      <c r="L659" s="2"/>
      <c r="M659" s="7">
        <v>45709</v>
      </c>
      <c r="N659" s="7">
        <f t="shared" si="111"/>
        <v>46074</v>
      </c>
      <c r="O659" s="7" t="str">
        <f t="shared" si="118"/>
        <v>Anual</v>
      </c>
      <c r="P659" s="2" t="str">
        <f t="shared" ca="1" si="119"/>
        <v>VENCIDO</v>
      </c>
      <c r="Q659" s="13" t="s">
        <v>228</v>
      </c>
      <c r="R659" s="2" t="s">
        <v>926</v>
      </c>
    </row>
    <row r="660" spans="1:18" x14ac:dyDescent="0.25">
      <c r="A660" s="23" t="s">
        <v>924</v>
      </c>
      <c r="B660" s="2" t="s">
        <v>944</v>
      </c>
      <c r="C660" s="3" t="s">
        <v>844</v>
      </c>
      <c r="D660" s="3" t="s">
        <v>23</v>
      </c>
      <c r="E660" s="2" t="s">
        <v>814</v>
      </c>
      <c r="F660" s="4">
        <v>0</v>
      </c>
      <c r="G660" s="8">
        <f t="shared" si="110"/>
        <v>1</v>
      </c>
      <c r="H660" s="4" t="str">
        <f t="shared" si="115"/>
        <v>Ohms</v>
      </c>
      <c r="I660" s="6">
        <v>0.26200000000000001</v>
      </c>
      <c r="J660" s="6" t="str">
        <f t="shared" si="116"/>
        <v>Ohms</v>
      </c>
      <c r="K660" s="2" t="str">
        <f t="shared" si="117"/>
        <v>RTG</v>
      </c>
      <c r="L660" s="2"/>
      <c r="M660" s="7">
        <v>45709</v>
      </c>
      <c r="N660" s="7">
        <f t="shared" si="111"/>
        <v>46074</v>
      </c>
      <c r="O660" s="7" t="str">
        <f t="shared" si="118"/>
        <v>Anual</v>
      </c>
      <c r="P660" s="2" t="str">
        <f t="shared" ca="1" si="119"/>
        <v>VENCIDO</v>
      </c>
      <c r="Q660" s="13" t="s">
        <v>228</v>
      </c>
      <c r="R660" s="2" t="s">
        <v>926</v>
      </c>
    </row>
    <row r="661" spans="1:18" x14ac:dyDescent="0.25">
      <c r="A661" s="23" t="s">
        <v>924</v>
      </c>
      <c r="B661" s="2" t="s">
        <v>945</v>
      </c>
      <c r="C661" s="3" t="s">
        <v>261</v>
      </c>
      <c r="D661" s="3" t="s">
        <v>23</v>
      </c>
      <c r="E661" s="2" t="s">
        <v>814</v>
      </c>
      <c r="F661" s="4">
        <v>0</v>
      </c>
      <c r="G661" s="8">
        <f t="shared" si="110"/>
        <v>1</v>
      </c>
      <c r="H661" s="4" t="str">
        <f t="shared" si="115"/>
        <v>Ohms</v>
      </c>
      <c r="I661" s="6">
        <v>0.124</v>
      </c>
      <c r="J661" s="6" t="str">
        <f t="shared" si="116"/>
        <v>Ohms</v>
      </c>
      <c r="K661" s="2" t="str">
        <f t="shared" si="117"/>
        <v>RTG</v>
      </c>
      <c r="L661" s="2"/>
      <c r="M661" s="7">
        <v>45709</v>
      </c>
      <c r="N661" s="7">
        <f t="shared" si="111"/>
        <v>46074</v>
      </c>
      <c r="O661" s="7" t="str">
        <f t="shared" si="118"/>
        <v>Anual</v>
      </c>
      <c r="P661" s="2" t="str">
        <f t="shared" ca="1" si="119"/>
        <v>VENCIDO</v>
      </c>
      <c r="Q661" s="13" t="s">
        <v>228</v>
      </c>
      <c r="R661" s="2" t="s">
        <v>926</v>
      </c>
    </row>
    <row r="662" spans="1:18" x14ac:dyDescent="0.25">
      <c r="A662" s="23" t="s">
        <v>924</v>
      </c>
      <c r="B662" s="2" t="s">
        <v>946</v>
      </c>
      <c r="C662" s="3" t="s">
        <v>847</v>
      </c>
      <c r="D662" s="3" t="s">
        <v>23</v>
      </c>
      <c r="E662" s="2" t="s">
        <v>823</v>
      </c>
      <c r="F662" s="4">
        <v>0</v>
      </c>
      <c r="G662" s="8">
        <f t="shared" si="110"/>
        <v>1</v>
      </c>
      <c r="H662" s="4" t="str">
        <f t="shared" si="115"/>
        <v>Ohms</v>
      </c>
      <c r="I662" s="6">
        <v>0.41199999999999998</v>
      </c>
      <c r="J662" s="6" t="str">
        <f t="shared" si="116"/>
        <v>Ohms</v>
      </c>
      <c r="K662" s="2" t="str">
        <f t="shared" si="117"/>
        <v>RTG</v>
      </c>
      <c r="L662" s="2"/>
      <c r="M662" s="7">
        <v>45709</v>
      </c>
      <c r="N662" s="7">
        <f t="shared" si="111"/>
        <v>46074</v>
      </c>
      <c r="O662" s="7" t="str">
        <f t="shared" si="118"/>
        <v>Anual</v>
      </c>
      <c r="P662" s="2" t="str">
        <f t="shared" ca="1" si="119"/>
        <v>VENCIDO</v>
      </c>
      <c r="Q662" s="13" t="s">
        <v>228</v>
      </c>
      <c r="R662" s="2" t="s">
        <v>926</v>
      </c>
    </row>
    <row r="663" spans="1:18" x14ac:dyDescent="0.25">
      <c r="A663" s="23" t="s">
        <v>924</v>
      </c>
      <c r="B663" s="2" t="s">
        <v>947</v>
      </c>
      <c r="C663" s="3" t="s">
        <v>265</v>
      </c>
      <c r="D663" s="3" t="s">
        <v>23</v>
      </c>
      <c r="E663" s="2" t="s">
        <v>814</v>
      </c>
      <c r="F663" s="4">
        <v>0</v>
      </c>
      <c r="G663" s="8">
        <f t="shared" si="110"/>
        <v>1</v>
      </c>
      <c r="H663" s="4" t="str">
        <f t="shared" si="115"/>
        <v>Ohms</v>
      </c>
      <c r="I663" s="6" t="s">
        <v>936</v>
      </c>
      <c r="J663" s="6" t="str">
        <f t="shared" si="116"/>
        <v>Ohms</v>
      </c>
      <c r="K663" s="2" t="str">
        <f t="shared" si="117"/>
        <v>RTG</v>
      </c>
      <c r="L663" s="2"/>
      <c r="M663" s="7">
        <v>45709</v>
      </c>
      <c r="N663" s="7">
        <f t="shared" si="111"/>
        <v>46074</v>
      </c>
      <c r="O663" s="7" t="str">
        <f t="shared" si="118"/>
        <v>Anual</v>
      </c>
      <c r="P663" s="2" t="str">
        <f t="shared" ca="1" si="119"/>
        <v>VENCIDO</v>
      </c>
      <c r="Q663" s="13" t="s">
        <v>228</v>
      </c>
      <c r="R663" s="2" t="s">
        <v>926</v>
      </c>
    </row>
    <row r="664" spans="1:18" x14ac:dyDescent="0.25">
      <c r="A664" s="23" t="s">
        <v>924</v>
      </c>
      <c r="B664" s="2" t="s">
        <v>948</v>
      </c>
      <c r="C664" s="3" t="s">
        <v>267</v>
      </c>
      <c r="D664" s="3" t="s">
        <v>23</v>
      </c>
      <c r="E664" s="2" t="s">
        <v>814</v>
      </c>
      <c r="F664" s="4">
        <v>0</v>
      </c>
      <c r="G664" s="8">
        <f t="shared" si="110"/>
        <v>1</v>
      </c>
      <c r="H664" s="4" t="str">
        <f t="shared" si="115"/>
        <v>Ohms</v>
      </c>
      <c r="I664" s="6">
        <v>0.29099999999999998</v>
      </c>
      <c r="J664" s="6" t="str">
        <f t="shared" si="116"/>
        <v>Ohms</v>
      </c>
      <c r="K664" s="2" t="str">
        <f t="shared" si="117"/>
        <v>RTG</v>
      </c>
      <c r="L664" s="2"/>
      <c r="M664" s="7">
        <v>45709</v>
      </c>
      <c r="N664" s="7">
        <f t="shared" si="111"/>
        <v>46074</v>
      </c>
      <c r="O664" s="7" t="str">
        <f t="shared" si="118"/>
        <v>Anual</v>
      </c>
      <c r="P664" s="2" t="str">
        <f t="shared" ca="1" si="119"/>
        <v>VENCIDO</v>
      </c>
      <c r="Q664" s="13" t="s">
        <v>228</v>
      </c>
      <c r="R664" s="2" t="s">
        <v>926</v>
      </c>
    </row>
    <row r="665" spans="1:18" x14ac:dyDescent="0.25">
      <c r="A665" s="23" t="s">
        <v>124</v>
      </c>
      <c r="B665" s="2" t="s">
        <v>1790</v>
      </c>
      <c r="C665" s="3" t="s">
        <v>810</v>
      </c>
      <c r="D665" s="3" t="s">
        <v>23</v>
      </c>
      <c r="E665" s="2" t="s">
        <v>24</v>
      </c>
      <c r="F665" s="4">
        <v>0</v>
      </c>
      <c r="G665" s="8">
        <f t="shared" si="110"/>
        <v>1</v>
      </c>
      <c r="H665" s="4" t="str">
        <f t="shared" si="115"/>
        <v>Ohms</v>
      </c>
      <c r="I665" s="6">
        <v>0.42799999999999999</v>
      </c>
      <c r="J665" s="6" t="str">
        <f t="shared" si="116"/>
        <v>Ohms</v>
      </c>
      <c r="K665" s="2" t="str">
        <f t="shared" si="117"/>
        <v>RTG</v>
      </c>
      <c r="L665" s="2">
        <v>53235321</v>
      </c>
      <c r="M665" s="7">
        <v>45999</v>
      </c>
      <c r="N665" s="7">
        <f t="shared" si="111"/>
        <v>46364</v>
      </c>
      <c r="O665" s="7" t="str">
        <f t="shared" ref="O665:O728" si="120">IF(C665="Ionizador", "Trimestral", IF(C665="Rack", "Anual", IF(C665="Mesa", "Anual", IF(C665="Tapete", "Semestral", IF(C665="Cautín", "Semestral", IF(C665="Silla", "Semestral", "Anual"))))))</f>
        <v>Anual</v>
      </c>
      <c r="P665" s="2" t="str">
        <f t="shared" ref="P665:P696" ca="1" si="121">IF(N665&lt;TODAY(),"VENCIDO",IF(N665=TODAY(),"VIGENTE",IF(N665&gt;TODAY(),"VIGENTE")))</f>
        <v>VIGENTE</v>
      </c>
      <c r="Q665" s="6" t="s">
        <v>25</v>
      </c>
      <c r="R665" s="2"/>
    </row>
    <row r="666" spans="1:18" x14ac:dyDescent="0.25">
      <c r="A666" s="23" t="s">
        <v>124</v>
      </c>
      <c r="B666" s="2" t="s">
        <v>1791</v>
      </c>
      <c r="C666" s="3" t="s">
        <v>802</v>
      </c>
      <c r="D666" s="3" t="s">
        <v>23</v>
      </c>
      <c r="E666" s="2" t="s">
        <v>24</v>
      </c>
      <c r="F666" s="4">
        <v>0</v>
      </c>
      <c r="G666" s="8">
        <f t="shared" si="110"/>
        <v>1</v>
      </c>
      <c r="H666" s="4" t="str">
        <f t="shared" si="115"/>
        <v>Ohms</v>
      </c>
      <c r="I666" s="6">
        <v>0.42199999999999999</v>
      </c>
      <c r="J666" s="6" t="str">
        <f t="shared" si="116"/>
        <v>Ohms</v>
      </c>
      <c r="K666" s="2" t="str">
        <f t="shared" si="117"/>
        <v>RTG</v>
      </c>
      <c r="L666" s="2">
        <v>53235321</v>
      </c>
      <c r="M666" s="7">
        <v>45999</v>
      </c>
      <c r="N666" s="7">
        <f t="shared" si="111"/>
        <v>46364</v>
      </c>
      <c r="O666" s="7" t="str">
        <f t="shared" si="120"/>
        <v>Anual</v>
      </c>
      <c r="P666" s="2" t="str">
        <f t="shared" ca="1" si="121"/>
        <v>VIGENTE</v>
      </c>
      <c r="Q666" s="6" t="s">
        <v>25</v>
      </c>
      <c r="R666" s="2"/>
    </row>
    <row r="667" spans="1:18" x14ac:dyDescent="0.25">
      <c r="A667" s="23" t="s">
        <v>124</v>
      </c>
      <c r="B667" s="2" t="s">
        <v>1792</v>
      </c>
      <c r="C667" s="3" t="s">
        <v>805</v>
      </c>
      <c r="D667" s="3" t="s">
        <v>23</v>
      </c>
      <c r="E667" s="2" t="s">
        <v>24</v>
      </c>
      <c r="F667" s="4">
        <v>0</v>
      </c>
      <c r="G667" s="8">
        <f t="shared" si="110"/>
        <v>1</v>
      </c>
      <c r="H667" s="4" t="str">
        <f t="shared" si="115"/>
        <v>Ohms</v>
      </c>
      <c r="I667" s="6">
        <v>0.34699999999999998</v>
      </c>
      <c r="J667" s="6" t="str">
        <f t="shared" si="116"/>
        <v>Ohms</v>
      </c>
      <c r="K667" s="2" t="str">
        <f t="shared" si="117"/>
        <v>RTG</v>
      </c>
      <c r="L667" s="2">
        <v>53235321</v>
      </c>
      <c r="M667" s="7">
        <v>45999</v>
      </c>
      <c r="N667" s="7">
        <f t="shared" si="111"/>
        <v>46364</v>
      </c>
      <c r="O667" s="7" t="str">
        <f t="shared" si="120"/>
        <v>Anual</v>
      </c>
      <c r="P667" s="2" t="str">
        <f t="shared" ca="1" si="121"/>
        <v>VIGENTE</v>
      </c>
      <c r="Q667" s="6" t="s">
        <v>25</v>
      </c>
      <c r="R667" s="2"/>
    </row>
    <row r="668" spans="1:18" x14ac:dyDescent="0.25">
      <c r="A668" s="23" t="s">
        <v>124</v>
      </c>
      <c r="B668" s="2" t="s">
        <v>1793</v>
      </c>
      <c r="C668" s="3" t="s">
        <v>800</v>
      </c>
      <c r="D668" s="3" t="s">
        <v>23</v>
      </c>
      <c r="E668" s="2" t="s">
        <v>24</v>
      </c>
      <c r="F668" s="4">
        <v>0</v>
      </c>
      <c r="G668" s="8">
        <f t="shared" ref="G668:G731" si="122">IF(C668="Ionizador", 10, IF(C668="Mesa", 1000000000, IF(C668="Rack", 1000000000, IF(C668="Piso", 1000000000, IF(C668="Tapete", 1000000000, IF(C668="Carrito", 1000000000, IF(C668="Cautín", 10, 1)))))))</f>
        <v>10</v>
      </c>
      <c r="H668" s="4" t="str">
        <f t="shared" si="115"/>
        <v>Segundos</v>
      </c>
      <c r="I668" s="6">
        <v>2</v>
      </c>
      <c r="J668" s="6" t="str">
        <f t="shared" si="116"/>
        <v>Segundos</v>
      </c>
      <c r="K668" s="2" t="str">
        <f t="shared" si="117"/>
        <v>Plato de carga</v>
      </c>
      <c r="L668" s="2"/>
      <c r="M668" s="7">
        <v>46044</v>
      </c>
      <c r="N668" s="7">
        <f t="shared" ref="N668:N731" si="123">IF(O668="Trimestral", M668+90, IF(O668="Semestral", M668+180, IF(O668="Mensual", M668+30, M668+365)))</f>
        <v>46134</v>
      </c>
      <c r="O668" s="7" t="str">
        <f t="shared" si="120"/>
        <v>Trimestral</v>
      </c>
      <c r="P668" s="2" t="str">
        <f t="shared" ca="1" si="121"/>
        <v>VIGENTE</v>
      </c>
      <c r="Q668" s="6" t="s">
        <v>25</v>
      </c>
      <c r="R668" s="2"/>
    </row>
    <row r="669" spans="1:18" x14ac:dyDescent="0.25">
      <c r="A669" s="23" t="s">
        <v>124</v>
      </c>
      <c r="B669" s="2" t="s">
        <v>1794</v>
      </c>
      <c r="C669" s="3" t="s">
        <v>261</v>
      </c>
      <c r="D669" s="3" t="s">
        <v>23</v>
      </c>
      <c r="E669" s="2" t="s">
        <v>24</v>
      </c>
      <c r="F669" s="4">
        <v>0</v>
      </c>
      <c r="G669" s="8">
        <f t="shared" si="122"/>
        <v>1</v>
      </c>
      <c r="H669" s="4" t="str">
        <f t="shared" si="115"/>
        <v>Ohms</v>
      </c>
      <c r="I669" s="6">
        <v>0.34799999999999998</v>
      </c>
      <c r="J669" s="6" t="str">
        <f t="shared" si="116"/>
        <v>Ohms</v>
      </c>
      <c r="K669" s="2" t="str">
        <f t="shared" si="117"/>
        <v>RTG</v>
      </c>
      <c r="L669" s="2">
        <v>53235321</v>
      </c>
      <c r="M669" s="7">
        <v>45999</v>
      </c>
      <c r="N669" s="7">
        <f t="shared" si="123"/>
        <v>46364</v>
      </c>
      <c r="O669" s="7" t="str">
        <f t="shared" si="120"/>
        <v>Anual</v>
      </c>
      <c r="P669" s="2" t="str">
        <f t="shared" ca="1" si="121"/>
        <v>VIGENTE</v>
      </c>
      <c r="Q669" s="6" t="s">
        <v>25</v>
      </c>
      <c r="R669" s="2"/>
    </row>
    <row r="670" spans="1:18" x14ac:dyDescent="0.25">
      <c r="A670" s="23" t="s">
        <v>124</v>
      </c>
      <c r="B670" s="2" t="s">
        <v>222</v>
      </c>
      <c r="C670" s="3" t="s">
        <v>210</v>
      </c>
      <c r="D670" s="3" t="s">
        <v>23</v>
      </c>
      <c r="E670" s="2" t="s">
        <v>24</v>
      </c>
      <c r="F670" s="4">
        <v>0</v>
      </c>
      <c r="G670" s="8">
        <f t="shared" si="122"/>
        <v>1</v>
      </c>
      <c r="H670" s="4" t="str">
        <f t="shared" si="115"/>
        <v>Ohms</v>
      </c>
      <c r="I670" s="6">
        <v>0.26800000000000002</v>
      </c>
      <c r="J670" s="6" t="str">
        <f t="shared" si="116"/>
        <v>Ohms</v>
      </c>
      <c r="K670" s="2" t="str">
        <f t="shared" si="117"/>
        <v>RTG</v>
      </c>
      <c r="L670" s="2">
        <v>53235321</v>
      </c>
      <c r="M670" s="7">
        <v>45999</v>
      </c>
      <c r="N670" s="7">
        <f t="shared" si="123"/>
        <v>46364</v>
      </c>
      <c r="O670" s="7" t="str">
        <f t="shared" si="120"/>
        <v>Anual</v>
      </c>
      <c r="P670" s="2" t="str">
        <f t="shared" ca="1" si="121"/>
        <v>VIGENTE</v>
      </c>
      <c r="Q670" s="6" t="s">
        <v>25</v>
      </c>
      <c r="R670" s="2"/>
    </row>
    <row r="671" spans="1:18" x14ac:dyDescent="0.25">
      <c r="A671" s="23" t="s">
        <v>124</v>
      </c>
      <c r="B671" s="2" t="s">
        <v>1795</v>
      </c>
      <c r="C671" s="3" t="s">
        <v>259</v>
      </c>
      <c r="D671" s="3" t="s">
        <v>23</v>
      </c>
      <c r="E671" s="2" t="s">
        <v>24</v>
      </c>
      <c r="F671" s="4">
        <v>0</v>
      </c>
      <c r="G671" s="8">
        <f t="shared" si="122"/>
        <v>1</v>
      </c>
      <c r="H671" s="4" t="str">
        <f t="shared" si="115"/>
        <v>Ohms</v>
      </c>
      <c r="I671" s="6">
        <v>0.443</v>
      </c>
      <c r="J671" s="6" t="str">
        <f t="shared" si="116"/>
        <v>Ohms</v>
      </c>
      <c r="K671" s="2" t="str">
        <f t="shared" si="117"/>
        <v>RTG</v>
      </c>
      <c r="L671" s="2">
        <v>53235321</v>
      </c>
      <c r="M671" s="7">
        <v>45999</v>
      </c>
      <c r="N671" s="7">
        <f t="shared" si="123"/>
        <v>46364</v>
      </c>
      <c r="O671" s="7" t="str">
        <f t="shared" si="120"/>
        <v>Anual</v>
      </c>
      <c r="P671" s="2" t="str">
        <f t="shared" ca="1" si="121"/>
        <v>VIGENTE</v>
      </c>
      <c r="Q671" s="6" t="s">
        <v>25</v>
      </c>
      <c r="R671" s="2"/>
    </row>
    <row r="672" spans="1:18" x14ac:dyDescent="0.25">
      <c r="A672" s="23" t="s">
        <v>124</v>
      </c>
      <c r="B672" s="2" t="s">
        <v>1796</v>
      </c>
      <c r="C672" s="3" t="s">
        <v>813</v>
      </c>
      <c r="D672" s="3" t="s">
        <v>23</v>
      </c>
      <c r="E672" s="2" t="s">
        <v>24</v>
      </c>
      <c r="F672" s="4">
        <v>0</v>
      </c>
      <c r="G672" s="8">
        <f t="shared" si="122"/>
        <v>1</v>
      </c>
      <c r="H672" s="4" t="str">
        <f t="shared" si="115"/>
        <v>Ohms</v>
      </c>
      <c r="I672" s="6">
        <v>0.38100000000000001</v>
      </c>
      <c r="J672" s="6" t="str">
        <f t="shared" si="116"/>
        <v>Ohms</v>
      </c>
      <c r="K672" s="2" t="str">
        <f t="shared" si="117"/>
        <v>RTG</v>
      </c>
      <c r="L672" s="2">
        <v>53235321</v>
      </c>
      <c r="M672" s="7">
        <v>45999</v>
      </c>
      <c r="N672" s="7">
        <f t="shared" si="123"/>
        <v>46364</v>
      </c>
      <c r="O672" s="7" t="str">
        <f t="shared" si="120"/>
        <v>Anual</v>
      </c>
      <c r="P672" s="2" t="str">
        <f t="shared" ca="1" si="121"/>
        <v>VIGENTE</v>
      </c>
      <c r="Q672" s="6" t="s">
        <v>25</v>
      </c>
      <c r="R672" s="2"/>
    </row>
    <row r="673" spans="1:18" x14ac:dyDescent="0.25">
      <c r="A673" s="23" t="s">
        <v>124</v>
      </c>
      <c r="B673" s="2" t="s">
        <v>1797</v>
      </c>
      <c r="C673" s="3" t="s">
        <v>261</v>
      </c>
      <c r="D673" s="3" t="s">
        <v>23</v>
      </c>
      <c r="E673" s="2" t="s">
        <v>24</v>
      </c>
      <c r="F673" s="4">
        <v>0</v>
      </c>
      <c r="G673" s="8">
        <f t="shared" si="122"/>
        <v>1</v>
      </c>
      <c r="H673" s="4" t="str">
        <f t="shared" si="115"/>
        <v>Ohms</v>
      </c>
      <c r="I673" s="6">
        <v>0.40300000000000002</v>
      </c>
      <c r="J673" s="6" t="str">
        <f t="shared" si="116"/>
        <v>Ohms</v>
      </c>
      <c r="K673" s="2" t="str">
        <f t="shared" si="117"/>
        <v>RTG</v>
      </c>
      <c r="L673" s="2">
        <v>53235321</v>
      </c>
      <c r="M673" s="7">
        <v>45999</v>
      </c>
      <c r="N673" s="7">
        <f t="shared" si="123"/>
        <v>46364</v>
      </c>
      <c r="O673" s="7" t="str">
        <f t="shared" si="120"/>
        <v>Anual</v>
      </c>
      <c r="P673" s="2" t="str">
        <f t="shared" ca="1" si="121"/>
        <v>VIGENTE</v>
      </c>
      <c r="Q673" s="6" t="s">
        <v>25</v>
      </c>
      <c r="R673" s="2"/>
    </row>
    <row r="674" spans="1:18" x14ac:dyDescent="0.25">
      <c r="A674" s="23" t="s">
        <v>124</v>
      </c>
      <c r="B674" s="2" t="s">
        <v>230</v>
      </c>
      <c r="C674" s="3" t="s">
        <v>210</v>
      </c>
      <c r="D674" s="3" t="s">
        <v>23</v>
      </c>
      <c r="E674" s="2" t="s">
        <v>24</v>
      </c>
      <c r="F674" s="4">
        <v>0</v>
      </c>
      <c r="G674" s="8">
        <f t="shared" si="122"/>
        <v>1</v>
      </c>
      <c r="H674" s="4" t="str">
        <f t="shared" si="115"/>
        <v>Ohms</v>
      </c>
      <c r="I674" s="6">
        <v>0.75</v>
      </c>
      <c r="J674" s="6" t="str">
        <f t="shared" si="116"/>
        <v>Ohms</v>
      </c>
      <c r="K674" s="2" t="str">
        <f t="shared" si="117"/>
        <v>RTG</v>
      </c>
      <c r="L674" s="2">
        <v>53235321</v>
      </c>
      <c r="M674" s="7">
        <v>45999</v>
      </c>
      <c r="N674" s="7">
        <f t="shared" si="123"/>
        <v>46364</v>
      </c>
      <c r="O674" s="7" t="str">
        <f t="shared" si="120"/>
        <v>Anual</v>
      </c>
      <c r="P674" s="2" t="str">
        <f t="shared" ca="1" si="121"/>
        <v>VIGENTE</v>
      </c>
      <c r="Q674" s="6" t="s">
        <v>25</v>
      </c>
      <c r="R674" s="2"/>
    </row>
    <row r="675" spans="1:18" x14ac:dyDescent="0.25">
      <c r="A675" s="23" t="s">
        <v>124</v>
      </c>
      <c r="B675" s="2" t="s">
        <v>1798</v>
      </c>
      <c r="C675" s="3" t="s">
        <v>1799</v>
      </c>
      <c r="D675" s="3" t="s">
        <v>23</v>
      </c>
      <c r="E675" s="2" t="s">
        <v>24</v>
      </c>
      <c r="F675" s="4">
        <v>0</v>
      </c>
      <c r="G675" s="8">
        <f t="shared" si="122"/>
        <v>1</v>
      </c>
      <c r="H675" s="4" t="str">
        <f t="shared" si="115"/>
        <v>Ohms</v>
      </c>
      <c r="I675" s="6">
        <v>0.40799999999999997</v>
      </c>
      <c r="J675" s="6" t="str">
        <f t="shared" si="116"/>
        <v>Ohms</v>
      </c>
      <c r="K675" s="2" t="str">
        <f t="shared" si="117"/>
        <v>RTG</v>
      </c>
      <c r="L675" s="2">
        <v>53235321</v>
      </c>
      <c r="M675" s="7">
        <v>45999</v>
      </c>
      <c r="N675" s="7">
        <f t="shared" si="123"/>
        <v>46364</v>
      </c>
      <c r="O675" s="7" t="str">
        <f t="shared" si="120"/>
        <v>Anual</v>
      </c>
      <c r="P675" s="2" t="str">
        <f t="shared" ca="1" si="121"/>
        <v>VIGENTE</v>
      </c>
      <c r="Q675" s="6" t="s">
        <v>25</v>
      </c>
      <c r="R675" s="2"/>
    </row>
    <row r="676" spans="1:18" x14ac:dyDescent="0.25">
      <c r="A676" s="23" t="s">
        <v>124</v>
      </c>
      <c r="B676" s="2" t="s">
        <v>1800</v>
      </c>
      <c r="C676" s="3" t="s">
        <v>261</v>
      </c>
      <c r="D676" s="3" t="s">
        <v>23</v>
      </c>
      <c r="E676" s="2" t="s">
        <v>24</v>
      </c>
      <c r="F676" s="4">
        <v>0</v>
      </c>
      <c r="G676" s="8">
        <f t="shared" si="122"/>
        <v>1</v>
      </c>
      <c r="H676" s="4" t="str">
        <f t="shared" si="115"/>
        <v>Ohms</v>
      </c>
      <c r="I676" s="6">
        <v>0.2</v>
      </c>
      <c r="J676" s="6" t="str">
        <f t="shared" si="116"/>
        <v>Ohms</v>
      </c>
      <c r="K676" s="2" t="str">
        <f t="shared" si="117"/>
        <v>RTG</v>
      </c>
      <c r="L676" s="2">
        <v>53235321</v>
      </c>
      <c r="M676" s="7">
        <v>45999</v>
      </c>
      <c r="N676" s="7">
        <f t="shared" si="123"/>
        <v>46364</v>
      </c>
      <c r="O676" s="7" t="str">
        <f t="shared" si="120"/>
        <v>Anual</v>
      </c>
      <c r="P676" s="2" t="str">
        <f t="shared" ca="1" si="121"/>
        <v>VIGENTE</v>
      </c>
      <c r="Q676" s="6" t="s">
        <v>25</v>
      </c>
      <c r="R676" s="2"/>
    </row>
    <row r="677" spans="1:18" x14ac:dyDescent="0.25">
      <c r="A677" s="23" t="s">
        <v>124</v>
      </c>
      <c r="B677" s="2" t="s">
        <v>1801</v>
      </c>
      <c r="C677" s="3" t="s">
        <v>822</v>
      </c>
      <c r="D677" s="3" t="s">
        <v>23</v>
      </c>
      <c r="E677" s="2" t="s">
        <v>24</v>
      </c>
      <c r="F677" s="4">
        <v>0</v>
      </c>
      <c r="G677" s="8">
        <f t="shared" si="122"/>
        <v>1</v>
      </c>
      <c r="H677" s="4" t="str">
        <f t="shared" si="115"/>
        <v>Ohms</v>
      </c>
      <c r="I677" s="6">
        <v>0.46500000000000002</v>
      </c>
      <c r="J677" s="6" t="str">
        <f t="shared" si="116"/>
        <v>Ohms</v>
      </c>
      <c r="K677" s="2" t="str">
        <f t="shared" si="117"/>
        <v>RTG</v>
      </c>
      <c r="L677" s="2">
        <v>53235321</v>
      </c>
      <c r="M677" s="7">
        <v>45999</v>
      </c>
      <c r="N677" s="7">
        <f t="shared" si="123"/>
        <v>46364</v>
      </c>
      <c r="O677" s="7" t="str">
        <f t="shared" si="120"/>
        <v>Anual</v>
      </c>
      <c r="P677" s="2" t="str">
        <f t="shared" ca="1" si="121"/>
        <v>VIGENTE</v>
      </c>
      <c r="Q677" s="6" t="s">
        <v>25</v>
      </c>
      <c r="R677" s="2"/>
    </row>
    <row r="678" spans="1:18" x14ac:dyDescent="0.25">
      <c r="A678" s="23" t="s">
        <v>124</v>
      </c>
      <c r="B678" s="2" t="s">
        <v>1802</v>
      </c>
      <c r="C678" s="3" t="s">
        <v>265</v>
      </c>
      <c r="D678" s="3" t="s">
        <v>23</v>
      </c>
      <c r="E678" s="2" t="s">
        <v>24</v>
      </c>
      <c r="F678" s="4">
        <v>0</v>
      </c>
      <c r="G678" s="8">
        <f t="shared" si="122"/>
        <v>1</v>
      </c>
      <c r="H678" s="4" t="str">
        <f t="shared" si="115"/>
        <v>Ohms</v>
      </c>
      <c r="I678" s="6">
        <v>0.32300000000000001</v>
      </c>
      <c r="J678" s="6" t="str">
        <f t="shared" si="116"/>
        <v>Ohms</v>
      </c>
      <c r="K678" s="2" t="str">
        <f t="shared" si="117"/>
        <v>RTG</v>
      </c>
      <c r="L678" s="2">
        <v>53235321</v>
      </c>
      <c r="M678" s="7">
        <v>45999</v>
      </c>
      <c r="N678" s="7">
        <f t="shared" si="123"/>
        <v>46364</v>
      </c>
      <c r="O678" s="7" t="str">
        <f t="shared" si="120"/>
        <v>Anual</v>
      </c>
      <c r="P678" s="2" t="str">
        <f t="shared" ca="1" si="121"/>
        <v>VIGENTE</v>
      </c>
      <c r="Q678" s="6" t="s">
        <v>25</v>
      </c>
      <c r="R678" s="2"/>
    </row>
    <row r="679" spans="1:18" x14ac:dyDescent="0.25">
      <c r="A679" s="23" t="s">
        <v>124</v>
      </c>
      <c r="B679" s="2" t="s">
        <v>1803</v>
      </c>
      <c r="C679" s="3" t="s">
        <v>1799</v>
      </c>
      <c r="D679" s="3" t="s">
        <v>23</v>
      </c>
      <c r="E679" s="2" t="s">
        <v>24</v>
      </c>
      <c r="F679" s="4">
        <v>0</v>
      </c>
      <c r="G679" s="8">
        <f t="shared" si="122"/>
        <v>1</v>
      </c>
      <c r="H679" s="4" t="str">
        <f t="shared" si="115"/>
        <v>Ohms</v>
      </c>
      <c r="I679" s="6">
        <v>0.502</v>
      </c>
      <c r="J679" s="6" t="str">
        <f t="shared" si="116"/>
        <v>Ohms</v>
      </c>
      <c r="K679" s="2" t="str">
        <f t="shared" si="117"/>
        <v>RTG</v>
      </c>
      <c r="L679" s="2">
        <v>53235321</v>
      </c>
      <c r="M679" s="7">
        <v>45999</v>
      </c>
      <c r="N679" s="7">
        <f t="shared" si="123"/>
        <v>46364</v>
      </c>
      <c r="O679" s="7" t="str">
        <f t="shared" si="120"/>
        <v>Anual</v>
      </c>
      <c r="P679" s="2" t="str">
        <f t="shared" ca="1" si="121"/>
        <v>VIGENTE</v>
      </c>
      <c r="Q679" s="6" t="s">
        <v>25</v>
      </c>
      <c r="R679" s="2"/>
    </row>
    <row r="680" spans="1:18" x14ac:dyDescent="0.25">
      <c r="A680" s="23" t="s">
        <v>124</v>
      </c>
      <c r="B680" s="2" t="s">
        <v>1804</v>
      </c>
      <c r="C680" s="3" t="s">
        <v>828</v>
      </c>
      <c r="D680" s="3" t="s">
        <v>23</v>
      </c>
      <c r="E680" s="2" t="s">
        <v>24</v>
      </c>
      <c r="F680" s="4">
        <v>0</v>
      </c>
      <c r="G680" s="8">
        <f t="shared" si="122"/>
        <v>1</v>
      </c>
      <c r="H680" s="4" t="str">
        <f t="shared" si="115"/>
        <v>Ohms</v>
      </c>
      <c r="I680" s="6">
        <v>0.29499999999999998</v>
      </c>
      <c r="J680" s="6" t="str">
        <f t="shared" si="116"/>
        <v>Ohms</v>
      </c>
      <c r="K680" s="2" t="str">
        <f t="shared" si="117"/>
        <v>RTG</v>
      </c>
      <c r="L680" s="2">
        <v>53235321</v>
      </c>
      <c r="M680" s="7">
        <v>45999</v>
      </c>
      <c r="N680" s="7">
        <f t="shared" si="123"/>
        <v>46364</v>
      </c>
      <c r="O680" s="7" t="str">
        <f t="shared" si="120"/>
        <v>Anual</v>
      </c>
      <c r="P680" s="2" t="str">
        <f t="shared" ca="1" si="121"/>
        <v>VIGENTE</v>
      </c>
      <c r="Q680" s="6" t="s">
        <v>25</v>
      </c>
      <c r="R680" s="2"/>
    </row>
    <row r="681" spans="1:18" x14ac:dyDescent="0.25">
      <c r="A681" s="23" t="s">
        <v>124</v>
      </c>
      <c r="B681" s="2" t="s">
        <v>1805</v>
      </c>
      <c r="C681" s="3" t="s">
        <v>828</v>
      </c>
      <c r="D681" s="3" t="s">
        <v>23</v>
      </c>
      <c r="E681" s="2" t="s">
        <v>24</v>
      </c>
      <c r="F681" s="4">
        <v>0</v>
      </c>
      <c r="G681" s="8">
        <f t="shared" si="122"/>
        <v>1</v>
      </c>
      <c r="H681" s="4" t="str">
        <f t="shared" si="115"/>
        <v>Ohms</v>
      </c>
      <c r="I681" s="6">
        <v>0.20599999999999999</v>
      </c>
      <c r="J681" s="6" t="str">
        <f t="shared" si="116"/>
        <v>Ohms</v>
      </c>
      <c r="K681" s="2" t="str">
        <f t="shared" si="117"/>
        <v>RTG</v>
      </c>
      <c r="L681" s="2">
        <v>53235321</v>
      </c>
      <c r="M681" s="7">
        <v>45999</v>
      </c>
      <c r="N681" s="7">
        <f t="shared" si="123"/>
        <v>46364</v>
      </c>
      <c r="O681" s="7" t="str">
        <f t="shared" si="120"/>
        <v>Anual</v>
      </c>
      <c r="P681" s="2" t="str">
        <f t="shared" ca="1" si="121"/>
        <v>VIGENTE</v>
      </c>
      <c r="Q681" s="6" t="s">
        <v>25</v>
      </c>
      <c r="R681" s="2"/>
    </row>
    <row r="682" spans="1:18" x14ac:dyDescent="0.25">
      <c r="A682" s="23" t="s">
        <v>124</v>
      </c>
      <c r="B682" s="2" t="s">
        <v>1806</v>
      </c>
      <c r="C682" s="3" t="s">
        <v>828</v>
      </c>
      <c r="D682" s="3" t="s">
        <v>23</v>
      </c>
      <c r="E682" s="2" t="s">
        <v>24</v>
      </c>
      <c r="F682" s="4">
        <v>0</v>
      </c>
      <c r="G682" s="8">
        <f t="shared" si="122"/>
        <v>1</v>
      </c>
      <c r="H682" s="4" t="str">
        <f t="shared" si="115"/>
        <v>Ohms</v>
      </c>
      <c r="I682" s="6">
        <v>0.189</v>
      </c>
      <c r="J682" s="6" t="str">
        <f t="shared" si="116"/>
        <v>Ohms</v>
      </c>
      <c r="K682" s="2" t="str">
        <f t="shared" si="117"/>
        <v>RTG</v>
      </c>
      <c r="L682" s="2">
        <v>53235321</v>
      </c>
      <c r="M682" s="7">
        <v>45999</v>
      </c>
      <c r="N682" s="7">
        <f t="shared" si="123"/>
        <v>46364</v>
      </c>
      <c r="O682" s="7" t="str">
        <f t="shared" si="120"/>
        <v>Anual</v>
      </c>
      <c r="P682" s="2" t="str">
        <f t="shared" ca="1" si="121"/>
        <v>VIGENTE</v>
      </c>
      <c r="Q682" s="6" t="s">
        <v>25</v>
      </c>
      <c r="R682" s="2"/>
    </row>
    <row r="683" spans="1:18" x14ac:dyDescent="0.25">
      <c r="A683" s="23" t="s">
        <v>124</v>
      </c>
      <c r="B683" s="2" t="s">
        <v>1807</v>
      </c>
      <c r="C683" s="3" t="s">
        <v>828</v>
      </c>
      <c r="D683" s="3" t="s">
        <v>23</v>
      </c>
      <c r="E683" s="2" t="s">
        <v>24</v>
      </c>
      <c r="F683" s="4">
        <v>0</v>
      </c>
      <c r="G683" s="8">
        <f t="shared" si="122"/>
        <v>1</v>
      </c>
      <c r="H683" s="4" t="str">
        <f t="shared" si="115"/>
        <v>Ohms</v>
      </c>
      <c r="I683" s="6">
        <v>0.192</v>
      </c>
      <c r="J683" s="6" t="str">
        <f t="shared" si="116"/>
        <v>Ohms</v>
      </c>
      <c r="K683" s="2" t="str">
        <f t="shared" si="117"/>
        <v>RTG</v>
      </c>
      <c r="L683" s="2">
        <v>53235321</v>
      </c>
      <c r="M683" s="7">
        <v>45999</v>
      </c>
      <c r="N683" s="7">
        <f t="shared" si="123"/>
        <v>46364</v>
      </c>
      <c r="O683" s="7" t="str">
        <f t="shared" si="120"/>
        <v>Anual</v>
      </c>
      <c r="P683" s="2" t="str">
        <f t="shared" ca="1" si="121"/>
        <v>VIGENTE</v>
      </c>
      <c r="Q683" s="6" t="s">
        <v>25</v>
      </c>
      <c r="R683" s="2"/>
    </row>
    <row r="684" spans="1:18" x14ac:dyDescent="0.25">
      <c r="A684" s="23" t="s">
        <v>124</v>
      </c>
      <c r="B684" s="2" t="s">
        <v>1808</v>
      </c>
      <c r="C684" s="3" t="s">
        <v>828</v>
      </c>
      <c r="D684" s="3" t="s">
        <v>23</v>
      </c>
      <c r="E684" s="2" t="s">
        <v>24</v>
      </c>
      <c r="F684" s="4">
        <v>0</v>
      </c>
      <c r="G684" s="8">
        <f t="shared" si="122"/>
        <v>1</v>
      </c>
      <c r="H684" s="4" t="str">
        <f t="shared" si="115"/>
        <v>Ohms</v>
      </c>
      <c r="I684" s="6">
        <v>0.20499999999999999</v>
      </c>
      <c r="J684" s="6" t="str">
        <f t="shared" si="116"/>
        <v>Ohms</v>
      </c>
      <c r="K684" s="2" t="str">
        <f t="shared" si="117"/>
        <v>RTG</v>
      </c>
      <c r="L684" s="2">
        <v>53235321</v>
      </c>
      <c r="M684" s="7">
        <v>45999</v>
      </c>
      <c r="N684" s="7">
        <f t="shared" si="123"/>
        <v>46364</v>
      </c>
      <c r="O684" s="7" t="str">
        <f t="shared" si="120"/>
        <v>Anual</v>
      </c>
      <c r="P684" s="2" t="str">
        <f t="shared" ca="1" si="121"/>
        <v>VIGENTE</v>
      </c>
      <c r="Q684" s="6" t="s">
        <v>25</v>
      </c>
      <c r="R684" s="2"/>
    </row>
    <row r="685" spans="1:18" x14ac:dyDescent="0.25">
      <c r="A685" s="23" t="s">
        <v>124</v>
      </c>
      <c r="B685" s="2" t="s">
        <v>1809</v>
      </c>
      <c r="C685" s="3" t="s">
        <v>828</v>
      </c>
      <c r="D685" s="3" t="s">
        <v>23</v>
      </c>
      <c r="E685" s="2" t="s">
        <v>24</v>
      </c>
      <c r="F685" s="4">
        <v>0</v>
      </c>
      <c r="G685" s="8">
        <f t="shared" si="122"/>
        <v>1</v>
      </c>
      <c r="H685" s="4" t="str">
        <f t="shared" si="115"/>
        <v>Ohms</v>
      </c>
      <c r="I685" s="6">
        <v>0.29299999999999998</v>
      </c>
      <c r="J685" s="6" t="str">
        <f t="shared" si="116"/>
        <v>Ohms</v>
      </c>
      <c r="K685" s="2" t="str">
        <f t="shared" si="117"/>
        <v>RTG</v>
      </c>
      <c r="L685" s="2">
        <v>53235321</v>
      </c>
      <c r="M685" s="7">
        <v>45999</v>
      </c>
      <c r="N685" s="7">
        <f t="shared" si="123"/>
        <v>46364</v>
      </c>
      <c r="O685" s="7" t="str">
        <f t="shared" si="120"/>
        <v>Anual</v>
      </c>
      <c r="P685" s="2" t="str">
        <f t="shared" ca="1" si="121"/>
        <v>VIGENTE</v>
      </c>
      <c r="Q685" s="6" t="s">
        <v>25</v>
      </c>
      <c r="R685" s="2"/>
    </row>
    <row r="686" spans="1:18" x14ac:dyDescent="0.25">
      <c r="A686" s="23" t="s">
        <v>124</v>
      </c>
      <c r="B686" s="2" t="s">
        <v>1810</v>
      </c>
      <c r="C686" s="3" t="s">
        <v>836</v>
      </c>
      <c r="D686" s="3" t="s">
        <v>23</v>
      </c>
      <c r="E686" s="2" t="s">
        <v>24</v>
      </c>
      <c r="F686" s="4">
        <v>0</v>
      </c>
      <c r="G686" s="8">
        <f t="shared" si="122"/>
        <v>1</v>
      </c>
      <c r="H686" s="4" t="str">
        <f t="shared" si="115"/>
        <v>Ohms</v>
      </c>
      <c r="I686" s="6">
        <v>0.9</v>
      </c>
      <c r="J686" s="6" t="str">
        <f t="shared" si="116"/>
        <v>Ohms</v>
      </c>
      <c r="K686" s="2" t="str">
        <f t="shared" si="117"/>
        <v>RTG</v>
      </c>
      <c r="L686" s="2">
        <v>53235321</v>
      </c>
      <c r="M686" s="7">
        <v>45999</v>
      </c>
      <c r="N686" s="7">
        <f t="shared" si="123"/>
        <v>46364</v>
      </c>
      <c r="O686" s="7" t="str">
        <f t="shared" si="120"/>
        <v>Anual</v>
      </c>
      <c r="P686" s="2" t="str">
        <f t="shared" ca="1" si="121"/>
        <v>VIGENTE</v>
      </c>
      <c r="Q686" s="6" t="s">
        <v>25</v>
      </c>
      <c r="R686" s="2"/>
    </row>
    <row r="687" spans="1:18" x14ac:dyDescent="0.25">
      <c r="A687" s="23" t="s">
        <v>124</v>
      </c>
      <c r="B687" s="2" t="s">
        <v>1811</v>
      </c>
      <c r="C687" s="3" t="s">
        <v>261</v>
      </c>
      <c r="D687" s="3" t="s">
        <v>23</v>
      </c>
      <c r="E687" s="2" t="s">
        <v>24</v>
      </c>
      <c r="F687" s="4">
        <v>0</v>
      </c>
      <c r="G687" s="8">
        <f t="shared" si="122"/>
        <v>1</v>
      </c>
      <c r="H687" s="4" t="str">
        <f t="shared" si="115"/>
        <v>Ohms</v>
      </c>
      <c r="I687" s="6">
        <v>0.6</v>
      </c>
      <c r="J687" s="6" t="str">
        <f t="shared" si="116"/>
        <v>Ohms</v>
      </c>
      <c r="K687" s="2" t="str">
        <f t="shared" si="117"/>
        <v>RTG</v>
      </c>
      <c r="L687" s="2">
        <v>53235321</v>
      </c>
      <c r="M687" s="7">
        <v>45999</v>
      </c>
      <c r="N687" s="7">
        <f t="shared" si="123"/>
        <v>46364</v>
      </c>
      <c r="O687" s="7" t="str">
        <f t="shared" si="120"/>
        <v>Anual</v>
      </c>
      <c r="P687" s="2" t="str">
        <f t="shared" ca="1" si="121"/>
        <v>VIGENTE</v>
      </c>
      <c r="Q687" s="6" t="s">
        <v>25</v>
      </c>
      <c r="R687" s="2"/>
    </row>
    <row r="688" spans="1:18" x14ac:dyDescent="0.25">
      <c r="A688" s="23" t="s">
        <v>124</v>
      </c>
      <c r="B688" s="2" t="s">
        <v>1812</v>
      </c>
      <c r="C688" s="3" t="s">
        <v>838</v>
      </c>
      <c r="D688" s="3" t="s">
        <v>23</v>
      </c>
      <c r="E688" s="2" t="s">
        <v>24</v>
      </c>
      <c r="F688" s="4">
        <v>0</v>
      </c>
      <c r="G688" s="8">
        <f t="shared" si="122"/>
        <v>1</v>
      </c>
      <c r="H688" s="4" t="str">
        <f t="shared" si="115"/>
        <v>Ohms</v>
      </c>
      <c r="I688" s="6">
        <v>0.4</v>
      </c>
      <c r="J688" s="6" t="str">
        <f t="shared" si="116"/>
        <v>Ohms</v>
      </c>
      <c r="K688" s="2" t="str">
        <f t="shared" si="117"/>
        <v>RTG</v>
      </c>
      <c r="L688" s="2">
        <v>53235321</v>
      </c>
      <c r="M688" s="7">
        <v>45999</v>
      </c>
      <c r="N688" s="7">
        <f t="shared" si="123"/>
        <v>46364</v>
      </c>
      <c r="O688" s="7" t="str">
        <f t="shared" si="120"/>
        <v>Anual</v>
      </c>
      <c r="P688" s="2" t="str">
        <f t="shared" ca="1" si="121"/>
        <v>VIGENTE</v>
      </c>
      <c r="Q688" s="6" t="s">
        <v>25</v>
      </c>
      <c r="R688" s="2"/>
    </row>
    <row r="689" spans="1:18" x14ac:dyDescent="0.25">
      <c r="A689" s="23" t="s">
        <v>124</v>
      </c>
      <c r="B689" s="2" t="s">
        <v>1813</v>
      </c>
      <c r="C689" s="3" t="s">
        <v>261</v>
      </c>
      <c r="D689" s="3" t="s">
        <v>23</v>
      </c>
      <c r="E689" s="2" t="s">
        <v>24</v>
      </c>
      <c r="F689" s="4">
        <v>0</v>
      </c>
      <c r="G689" s="8">
        <f t="shared" si="122"/>
        <v>1</v>
      </c>
      <c r="H689" s="4" t="str">
        <f t="shared" si="115"/>
        <v>Ohms</v>
      </c>
      <c r="I689" s="6">
        <v>0.6</v>
      </c>
      <c r="J689" s="6" t="str">
        <f t="shared" si="116"/>
        <v>Ohms</v>
      </c>
      <c r="K689" s="2" t="str">
        <f t="shared" si="117"/>
        <v>RTG</v>
      </c>
      <c r="L689" s="2">
        <v>53235321</v>
      </c>
      <c r="M689" s="7">
        <v>45999</v>
      </c>
      <c r="N689" s="7">
        <f t="shared" si="123"/>
        <v>46364</v>
      </c>
      <c r="O689" s="7" t="str">
        <f t="shared" si="120"/>
        <v>Anual</v>
      </c>
      <c r="P689" s="2" t="str">
        <f t="shared" ca="1" si="121"/>
        <v>VIGENTE</v>
      </c>
      <c r="Q689" s="6" t="s">
        <v>25</v>
      </c>
      <c r="R689" s="2"/>
    </row>
    <row r="690" spans="1:18" x14ac:dyDescent="0.25">
      <c r="A690" s="23" t="s">
        <v>124</v>
      </c>
      <c r="B690" s="2" t="s">
        <v>1814</v>
      </c>
      <c r="C690" s="3" t="s">
        <v>836</v>
      </c>
      <c r="D690" s="3" t="s">
        <v>23</v>
      </c>
      <c r="E690" s="2" t="s">
        <v>24</v>
      </c>
      <c r="F690" s="4">
        <v>0</v>
      </c>
      <c r="G690" s="8">
        <f t="shared" si="122"/>
        <v>1</v>
      </c>
      <c r="H690" s="4" t="str">
        <f t="shared" si="115"/>
        <v>Ohms</v>
      </c>
      <c r="I690" s="6">
        <v>0.8</v>
      </c>
      <c r="J690" s="6" t="str">
        <f t="shared" si="116"/>
        <v>Ohms</v>
      </c>
      <c r="K690" s="2" t="str">
        <f t="shared" si="117"/>
        <v>RTG</v>
      </c>
      <c r="L690" s="2">
        <v>53235321</v>
      </c>
      <c r="M690" s="7">
        <v>45999</v>
      </c>
      <c r="N690" s="7">
        <f t="shared" si="123"/>
        <v>46364</v>
      </c>
      <c r="O690" s="7" t="str">
        <f t="shared" si="120"/>
        <v>Anual</v>
      </c>
      <c r="P690" s="2" t="str">
        <f t="shared" ca="1" si="121"/>
        <v>VIGENTE</v>
      </c>
      <c r="Q690" s="6" t="s">
        <v>25</v>
      </c>
      <c r="R690" s="2"/>
    </row>
    <row r="691" spans="1:18" x14ac:dyDescent="0.25">
      <c r="A691" s="23" t="s">
        <v>124</v>
      </c>
      <c r="B691" s="2" t="s">
        <v>1815</v>
      </c>
      <c r="C691" s="3" t="s">
        <v>844</v>
      </c>
      <c r="D691" s="3" t="s">
        <v>23</v>
      </c>
      <c r="E691" s="2" t="s">
        <v>24</v>
      </c>
      <c r="F691" s="4">
        <v>0</v>
      </c>
      <c r="G691" s="8">
        <f t="shared" si="122"/>
        <v>1</v>
      </c>
      <c r="H691" s="4" t="str">
        <f t="shared" si="115"/>
        <v>Ohms</v>
      </c>
      <c r="I691" s="6">
        <v>0.6</v>
      </c>
      <c r="J691" s="6" t="str">
        <f t="shared" si="116"/>
        <v>Ohms</v>
      </c>
      <c r="K691" s="2" t="str">
        <f t="shared" si="117"/>
        <v>RTG</v>
      </c>
      <c r="L691" s="2">
        <v>53235321</v>
      </c>
      <c r="M691" s="7">
        <v>45999</v>
      </c>
      <c r="N691" s="7">
        <f t="shared" si="123"/>
        <v>46364</v>
      </c>
      <c r="O691" s="7" t="str">
        <f t="shared" si="120"/>
        <v>Anual</v>
      </c>
      <c r="P691" s="2" t="str">
        <f t="shared" ca="1" si="121"/>
        <v>VIGENTE</v>
      </c>
      <c r="Q691" s="6" t="s">
        <v>25</v>
      </c>
      <c r="R691" s="2"/>
    </row>
    <row r="692" spans="1:18" x14ac:dyDescent="0.25">
      <c r="A692" s="23" t="s">
        <v>124</v>
      </c>
      <c r="B692" s="2" t="s">
        <v>1816</v>
      </c>
      <c r="C692" s="3" t="s">
        <v>847</v>
      </c>
      <c r="D692" s="3" t="s">
        <v>23</v>
      </c>
      <c r="E692" s="2" t="s">
        <v>24</v>
      </c>
      <c r="F692" s="4">
        <v>0</v>
      </c>
      <c r="G692" s="8">
        <f t="shared" si="122"/>
        <v>1</v>
      </c>
      <c r="H692" s="4" t="str">
        <f t="shared" si="115"/>
        <v>Ohms</v>
      </c>
      <c r="I692" s="6">
        <v>0.78500000000000003</v>
      </c>
      <c r="J692" s="6" t="str">
        <f t="shared" si="116"/>
        <v>Ohms</v>
      </c>
      <c r="K692" s="2" t="str">
        <f t="shared" si="117"/>
        <v>RTG</v>
      </c>
      <c r="L692" s="2">
        <v>53235321</v>
      </c>
      <c r="M692" s="7">
        <v>45999</v>
      </c>
      <c r="N692" s="7">
        <f t="shared" si="123"/>
        <v>46364</v>
      </c>
      <c r="O692" s="7" t="str">
        <f t="shared" si="120"/>
        <v>Anual</v>
      </c>
      <c r="P692" s="2" t="str">
        <f t="shared" ca="1" si="121"/>
        <v>VIGENTE</v>
      </c>
      <c r="Q692" s="6" t="s">
        <v>25</v>
      </c>
      <c r="R692" s="2"/>
    </row>
    <row r="693" spans="1:18" x14ac:dyDescent="0.25">
      <c r="A693" s="23" t="s">
        <v>124</v>
      </c>
      <c r="B693" s="2" t="s">
        <v>1817</v>
      </c>
      <c r="C693" s="3" t="s">
        <v>265</v>
      </c>
      <c r="D693" s="3" t="s">
        <v>23</v>
      </c>
      <c r="E693" s="2" t="s">
        <v>24</v>
      </c>
      <c r="F693" s="4">
        <v>0</v>
      </c>
      <c r="G693" s="8">
        <f t="shared" si="122"/>
        <v>1</v>
      </c>
      <c r="H693" s="4" t="str">
        <f t="shared" si="115"/>
        <v>Ohms</v>
      </c>
      <c r="I693" s="6">
        <v>0.71899999999999997</v>
      </c>
      <c r="J693" s="6" t="str">
        <f t="shared" si="116"/>
        <v>Ohms</v>
      </c>
      <c r="K693" s="2" t="str">
        <f t="shared" si="117"/>
        <v>RTG</v>
      </c>
      <c r="L693" s="2">
        <v>53235321</v>
      </c>
      <c r="M693" s="7">
        <v>45999</v>
      </c>
      <c r="N693" s="7">
        <f t="shared" si="123"/>
        <v>46364</v>
      </c>
      <c r="O693" s="7" t="str">
        <f t="shared" si="120"/>
        <v>Anual</v>
      </c>
      <c r="P693" s="2" t="str">
        <f t="shared" ca="1" si="121"/>
        <v>VIGENTE</v>
      </c>
      <c r="Q693" s="6" t="s">
        <v>25</v>
      </c>
      <c r="R693" s="2"/>
    </row>
    <row r="694" spans="1:18" x14ac:dyDescent="0.25">
      <c r="A694" s="23" t="s">
        <v>124</v>
      </c>
      <c r="B694" s="2" t="s">
        <v>1818</v>
      </c>
      <c r="C694" s="3" t="s">
        <v>267</v>
      </c>
      <c r="D694" s="3" t="s">
        <v>23</v>
      </c>
      <c r="E694" s="2" t="s">
        <v>24</v>
      </c>
      <c r="F694" s="4">
        <v>0</v>
      </c>
      <c r="G694" s="8">
        <f t="shared" si="122"/>
        <v>1</v>
      </c>
      <c r="H694" s="4" t="str">
        <f t="shared" si="115"/>
        <v>Ohms</v>
      </c>
      <c r="I694" s="6">
        <v>0.7</v>
      </c>
      <c r="J694" s="6" t="str">
        <f t="shared" si="116"/>
        <v>Ohms</v>
      </c>
      <c r="K694" s="2" t="str">
        <f t="shared" si="117"/>
        <v>RTG</v>
      </c>
      <c r="L694" s="2">
        <v>53235321</v>
      </c>
      <c r="M694" s="7">
        <v>45999</v>
      </c>
      <c r="N694" s="7">
        <f t="shared" si="123"/>
        <v>46364</v>
      </c>
      <c r="O694" s="7" t="str">
        <f t="shared" si="120"/>
        <v>Anual</v>
      </c>
      <c r="P694" s="2" t="str">
        <f t="shared" ca="1" si="121"/>
        <v>VIGENTE</v>
      </c>
      <c r="Q694" s="6" t="s">
        <v>25</v>
      </c>
      <c r="R694" s="2"/>
    </row>
    <row r="695" spans="1:18" x14ac:dyDescent="0.25">
      <c r="A695" s="23" t="s">
        <v>218</v>
      </c>
      <c r="B695" s="2" t="s">
        <v>1819</v>
      </c>
      <c r="C695" s="3" t="s">
        <v>810</v>
      </c>
      <c r="D695" s="3" t="s">
        <v>23</v>
      </c>
      <c r="E695" s="2" t="s">
        <v>24</v>
      </c>
      <c r="F695" s="4">
        <v>0</v>
      </c>
      <c r="G695" s="8">
        <f t="shared" si="122"/>
        <v>1</v>
      </c>
      <c r="H695" s="4" t="str">
        <f t="shared" si="115"/>
        <v>Ohms</v>
      </c>
      <c r="I695" s="6">
        <v>0.26900000000000002</v>
      </c>
      <c r="J695" s="6" t="str">
        <f t="shared" si="116"/>
        <v>Ohms</v>
      </c>
      <c r="K695" s="2" t="str">
        <f t="shared" si="117"/>
        <v>RTG</v>
      </c>
      <c r="L695" s="2">
        <v>47672569</v>
      </c>
      <c r="M695" s="7">
        <v>45756</v>
      </c>
      <c r="N695" s="7">
        <f t="shared" si="123"/>
        <v>46121</v>
      </c>
      <c r="O695" s="7" t="str">
        <f t="shared" si="120"/>
        <v>Anual</v>
      </c>
      <c r="P695" s="2" t="str">
        <f t="shared" ca="1" si="121"/>
        <v>VIGENTE</v>
      </c>
      <c r="Q695" s="6" t="s">
        <v>25</v>
      </c>
      <c r="R695" s="2"/>
    </row>
    <row r="696" spans="1:18" x14ac:dyDescent="0.25">
      <c r="A696" s="23" t="s">
        <v>218</v>
      </c>
      <c r="B696" s="2" t="s">
        <v>1820</v>
      </c>
      <c r="C696" s="3" t="s">
        <v>802</v>
      </c>
      <c r="D696" s="3" t="s">
        <v>23</v>
      </c>
      <c r="E696" s="2" t="s">
        <v>24</v>
      </c>
      <c r="F696" s="4">
        <v>0</v>
      </c>
      <c r="G696" s="8">
        <f t="shared" si="122"/>
        <v>1</v>
      </c>
      <c r="H696" s="4" t="str">
        <f t="shared" si="115"/>
        <v>Ohms</v>
      </c>
      <c r="I696" s="6">
        <v>0.105</v>
      </c>
      <c r="J696" s="6" t="str">
        <f t="shared" si="116"/>
        <v>Ohms</v>
      </c>
      <c r="K696" s="2" t="str">
        <f t="shared" si="117"/>
        <v>RTG</v>
      </c>
      <c r="L696" s="2">
        <v>47672569</v>
      </c>
      <c r="M696" s="7">
        <v>45756</v>
      </c>
      <c r="N696" s="7">
        <f t="shared" si="123"/>
        <v>46121</v>
      </c>
      <c r="O696" s="7" t="str">
        <f t="shared" si="120"/>
        <v>Anual</v>
      </c>
      <c r="P696" s="2" t="str">
        <f t="shared" ca="1" si="121"/>
        <v>VIGENTE</v>
      </c>
      <c r="Q696" s="6" t="s">
        <v>25</v>
      </c>
      <c r="R696" s="2"/>
    </row>
    <row r="697" spans="1:18" x14ac:dyDescent="0.25">
      <c r="A697" s="23" t="s">
        <v>218</v>
      </c>
      <c r="B697" s="2" t="s">
        <v>1821</v>
      </c>
      <c r="C697" s="3" t="s">
        <v>1822</v>
      </c>
      <c r="D697" s="3" t="s">
        <v>23</v>
      </c>
      <c r="E697" s="2" t="s">
        <v>24</v>
      </c>
      <c r="F697" s="4">
        <v>0</v>
      </c>
      <c r="G697" s="8">
        <f t="shared" si="122"/>
        <v>1</v>
      </c>
      <c r="H697" s="4" t="str">
        <f t="shared" si="115"/>
        <v>Ohms</v>
      </c>
      <c r="I697" s="6">
        <v>0.91600000000000004</v>
      </c>
      <c r="J697" s="6" t="str">
        <f t="shared" si="116"/>
        <v>Ohms</v>
      </c>
      <c r="K697" s="2" t="str">
        <f t="shared" si="117"/>
        <v>RTG</v>
      </c>
      <c r="L697" s="2">
        <v>47672569</v>
      </c>
      <c r="M697" s="7">
        <v>45838</v>
      </c>
      <c r="N697" s="7">
        <f t="shared" si="123"/>
        <v>46203</v>
      </c>
      <c r="O697" s="7" t="str">
        <f t="shared" si="120"/>
        <v>Anual</v>
      </c>
      <c r="P697" s="2" t="str">
        <f t="shared" ref="P697:P728" ca="1" si="124">IF(N697&lt;TODAY(),"VENCIDO",IF(N697=TODAY(),"VIGENTE",IF(N697&gt;TODAY(),"VIGENTE")))</f>
        <v>VIGENTE</v>
      </c>
      <c r="Q697" s="6" t="s">
        <v>25</v>
      </c>
      <c r="R697" s="2"/>
    </row>
    <row r="698" spans="1:18" x14ac:dyDescent="0.25">
      <c r="A698" s="23" t="s">
        <v>218</v>
      </c>
      <c r="B698" s="2" t="s">
        <v>1823</v>
      </c>
      <c r="C698" s="3" t="s">
        <v>800</v>
      </c>
      <c r="D698" s="3" t="s">
        <v>23</v>
      </c>
      <c r="E698" s="2" t="s">
        <v>24</v>
      </c>
      <c r="F698" s="4">
        <v>0</v>
      </c>
      <c r="G698" s="8">
        <f t="shared" si="122"/>
        <v>10</v>
      </c>
      <c r="H698" s="4" t="str">
        <f t="shared" si="115"/>
        <v>Segundos</v>
      </c>
      <c r="I698" s="6">
        <v>4</v>
      </c>
      <c r="J698" s="6" t="str">
        <f t="shared" si="116"/>
        <v>Segundos</v>
      </c>
      <c r="K698" s="2" t="str">
        <f t="shared" si="117"/>
        <v>Plato de carga</v>
      </c>
      <c r="L698" s="2"/>
      <c r="M698" s="7">
        <v>46044</v>
      </c>
      <c r="N698" s="7">
        <f t="shared" si="123"/>
        <v>46134</v>
      </c>
      <c r="O698" s="7" t="str">
        <f t="shared" si="120"/>
        <v>Trimestral</v>
      </c>
      <c r="P698" s="2" t="str">
        <f t="shared" ca="1" si="124"/>
        <v>VIGENTE</v>
      </c>
      <c r="Q698" s="6" t="s">
        <v>25</v>
      </c>
      <c r="R698" s="2"/>
    </row>
    <row r="699" spans="1:18" x14ac:dyDescent="0.25">
      <c r="A699" s="23" t="s">
        <v>218</v>
      </c>
      <c r="B699" s="2" t="s">
        <v>1824</v>
      </c>
      <c r="C699" s="3" t="s">
        <v>261</v>
      </c>
      <c r="D699" s="3" t="s">
        <v>23</v>
      </c>
      <c r="E699" s="2" t="s">
        <v>24</v>
      </c>
      <c r="F699" s="4">
        <v>0</v>
      </c>
      <c r="G699" s="8">
        <f t="shared" si="122"/>
        <v>1</v>
      </c>
      <c r="H699" s="4" t="str">
        <f t="shared" si="115"/>
        <v>Ohms</v>
      </c>
      <c r="I699" s="6">
        <v>0.69099999999999995</v>
      </c>
      <c r="J699" s="6" t="str">
        <f t="shared" si="116"/>
        <v>Ohms</v>
      </c>
      <c r="K699" s="2" t="str">
        <f t="shared" si="117"/>
        <v>RTG</v>
      </c>
      <c r="L699" s="2">
        <v>47672569</v>
      </c>
      <c r="M699" s="7">
        <v>45756</v>
      </c>
      <c r="N699" s="7">
        <f t="shared" si="123"/>
        <v>46121</v>
      </c>
      <c r="O699" s="7" t="str">
        <f t="shared" si="120"/>
        <v>Anual</v>
      </c>
      <c r="P699" s="2" t="str">
        <f t="shared" ca="1" si="124"/>
        <v>VIGENTE</v>
      </c>
      <c r="Q699" s="6" t="s">
        <v>25</v>
      </c>
      <c r="R699" s="2"/>
    </row>
    <row r="700" spans="1:18" x14ac:dyDescent="0.25">
      <c r="A700" s="23" t="s">
        <v>218</v>
      </c>
      <c r="B700" s="2" t="s">
        <v>219</v>
      </c>
      <c r="C700" s="3" t="s">
        <v>210</v>
      </c>
      <c r="D700" s="3" t="s">
        <v>23</v>
      </c>
      <c r="E700" s="2" t="s">
        <v>24</v>
      </c>
      <c r="F700" s="4">
        <v>0</v>
      </c>
      <c r="G700" s="8">
        <f t="shared" si="122"/>
        <v>1</v>
      </c>
      <c r="H700" s="4" t="str">
        <f t="shared" si="115"/>
        <v>Ohms</v>
      </c>
      <c r="I700" s="6">
        <v>0.74099999999999999</v>
      </c>
      <c r="J700" s="6" t="str">
        <f t="shared" si="116"/>
        <v>Ohms</v>
      </c>
      <c r="K700" s="2" t="str">
        <f t="shared" si="117"/>
        <v>RTG</v>
      </c>
      <c r="L700" s="2">
        <v>47672569</v>
      </c>
      <c r="M700" s="7">
        <v>45756</v>
      </c>
      <c r="N700" s="7">
        <f t="shared" si="123"/>
        <v>46121</v>
      </c>
      <c r="O700" s="7" t="str">
        <f t="shared" si="120"/>
        <v>Anual</v>
      </c>
      <c r="P700" s="2" t="str">
        <f t="shared" ca="1" si="124"/>
        <v>VIGENTE</v>
      </c>
      <c r="Q700" s="6" t="s">
        <v>25</v>
      </c>
      <c r="R700" s="2"/>
    </row>
    <row r="701" spans="1:18" x14ac:dyDescent="0.25">
      <c r="A701" s="23" t="s">
        <v>218</v>
      </c>
      <c r="B701" s="2" t="s">
        <v>1825</v>
      </c>
      <c r="C701" s="3" t="s">
        <v>836</v>
      </c>
      <c r="D701" s="3" t="s">
        <v>23</v>
      </c>
      <c r="E701" s="2" t="s">
        <v>24</v>
      </c>
      <c r="F701" s="4">
        <v>0</v>
      </c>
      <c r="G701" s="8">
        <f t="shared" si="122"/>
        <v>1</v>
      </c>
      <c r="H701" s="4" t="str">
        <f t="shared" ref="H701:H732" si="125">IF(C701="Ionizador", "Segundos", "Ohms")</f>
        <v>Ohms</v>
      </c>
      <c r="I701" s="6">
        <v>0.25</v>
      </c>
      <c r="J701" s="6" t="str">
        <f t="shared" ref="J701:J732" si="126">H701</f>
        <v>Ohms</v>
      </c>
      <c r="K701" s="2" t="str">
        <f t="shared" ref="K701:K732" si="127">IF(C701="Ionizador", "Plato de carga", IF(C701="Cautín", "PTG", IF(C701="ESD Tester", "PTP Deviation", "RTG")))</f>
        <v>RTG</v>
      </c>
      <c r="L701" s="2">
        <v>47672569</v>
      </c>
      <c r="M701" s="7">
        <v>45756</v>
      </c>
      <c r="N701" s="7">
        <f t="shared" si="123"/>
        <v>46121</v>
      </c>
      <c r="O701" s="7" t="str">
        <f t="shared" si="120"/>
        <v>Anual</v>
      </c>
      <c r="P701" s="2" t="str">
        <f t="shared" ca="1" si="124"/>
        <v>VIGENTE</v>
      </c>
      <c r="Q701" s="6" t="s">
        <v>25</v>
      </c>
      <c r="R701" s="2"/>
    </row>
    <row r="702" spans="1:18" x14ac:dyDescent="0.25">
      <c r="A702" s="23" t="s">
        <v>218</v>
      </c>
      <c r="B702" s="2" t="s">
        <v>1826</v>
      </c>
      <c r="C702" s="3" t="s">
        <v>267</v>
      </c>
      <c r="D702" s="3" t="s">
        <v>23</v>
      </c>
      <c r="E702" s="2" t="s">
        <v>24</v>
      </c>
      <c r="F702" s="4">
        <v>0</v>
      </c>
      <c r="G702" s="8">
        <f t="shared" si="122"/>
        <v>1</v>
      </c>
      <c r="H702" s="4" t="str">
        <f t="shared" si="125"/>
        <v>Ohms</v>
      </c>
      <c r="I702" s="6">
        <v>0.129</v>
      </c>
      <c r="J702" s="6" t="str">
        <f t="shared" si="126"/>
        <v>Ohms</v>
      </c>
      <c r="K702" s="2" t="str">
        <f t="shared" si="127"/>
        <v>RTG</v>
      </c>
      <c r="L702" s="2">
        <v>47672569</v>
      </c>
      <c r="M702" s="7">
        <v>45756</v>
      </c>
      <c r="N702" s="7">
        <f t="shared" si="123"/>
        <v>46121</v>
      </c>
      <c r="O702" s="7" t="str">
        <f t="shared" si="120"/>
        <v>Anual</v>
      </c>
      <c r="P702" s="2" t="str">
        <f t="shared" ca="1" si="124"/>
        <v>VIGENTE</v>
      </c>
      <c r="Q702" s="6" t="s">
        <v>25</v>
      </c>
      <c r="R702" s="2"/>
    </row>
    <row r="703" spans="1:18" x14ac:dyDescent="0.25">
      <c r="A703" s="23" t="s">
        <v>218</v>
      </c>
      <c r="B703" s="2" t="s">
        <v>1827</v>
      </c>
      <c r="C703" s="3" t="s">
        <v>813</v>
      </c>
      <c r="D703" s="3" t="s">
        <v>23</v>
      </c>
      <c r="E703" s="2" t="s">
        <v>24</v>
      </c>
      <c r="F703" s="4">
        <v>0</v>
      </c>
      <c r="G703" s="8">
        <f t="shared" si="122"/>
        <v>1</v>
      </c>
      <c r="H703" s="4" t="str">
        <f t="shared" si="125"/>
        <v>Ohms</v>
      </c>
      <c r="I703" s="6">
        <v>0.105</v>
      </c>
      <c r="J703" s="6" t="str">
        <f t="shared" si="126"/>
        <v>Ohms</v>
      </c>
      <c r="K703" s="2" t="str">
        <f t="shared" si="127"/>
        <v>RTG</v>
      </c>
      <c r="L703" s="2">
        <v>47672569</v>
      </c>
      <c r="M703" s="7">
        <v>45756</v>
      </c>
      <c r="N703" s="7">
        <f t="shared" si="123"/>
        <v>46121</v>
      </c>
      <c r="O703" s="7" t="str">
        <f t="shared" si="120"/>
        <v>Anual</v>
      </c>
      <c r="P703" s="2" t="str">
        <f t="shared" ca="1" si="124"/>
        <v>VIGENTE</v>
      </c>
      <c r="Q703" s="6" t="s">
        <v>25</v>
      </c>
      <c r="R703" s="2"/>
    </row>
    <row r="704" spans="1:18" x14ac:dyDescent="0.25">
      <c r="A704" s="23" t="s">
        <v>218</v>
      </c>
      <c r="B704" s="2" t="s">
        <v>1828</v>
      </c>
      <c r="C704" s="3" t="s">
        <v>261</v>
      </c>
      <c r="D704" s="3" t="s">
        <v>23</v>
      </c>
      <c r="E704" s="2" t="s">
        <v>24</v>
      </c>
      <c r="F704" s="4">
        <v>0</v>
      </c>
      <c r="G704" s="8">
        <f t="shared" si="122"/>
        <v>1</v>
      </c>
      <c r="H704" s="4" t="str">
        <f t="shared" si="125"/>
        <v>Ohms</v>
      </c>
      <c r="I704" s="6">
        <v>0.13600000000000001</v>
      </c>
      <c r="J704" s="6" t="str">
        <f t="shared" si="126"/>
        <v>Ohms</v>
      </c>
      <c r="K704" s="2" t="str">
        <f t="shared" si="127"/>
        <v>RTG</v>
      </c>
      <c r="L704" s="2">
        <v>47672569</v>
      </c>
      <c r="M704" s="7">
        <v>45756</v>
      </c>
      <c r="N704" s="7">
        <f t="shared" si="123"/>
        <v>46121</v>
      </c>
      <c r="O704" s="7" t="str">
        <f t="shared" si="120"/>
        <v>Anual</v>
      </c>
      <c r="P704" s="2" t="str">
        <f t="shared" ca="1" si="124"/>
        <v>VIGENTE</v>
      </c>
      <c r="Q704" s="6" t="s">
        <v>25</v>
      </c>
      <c r="R704" s="2"/>
    </row>
    <row r="705" spans="1:18" x14ac:dyDescent="0.25">
      <c r="A705" s="23" t="s">
        <v>218</v>
      </c>
      <c r="B705" s="2" t="s">
        <v>231</v>
      </c>
      <c r="C705" s="3" t="s">
        <v>210</v>
      </c>
      <c r="D705" s="3" t="s">
        <v>23</v>
      </c>
      <c r="E705" s="2" t="s">
        <v>24</v>
      </c>
      <c r="F705" s="4">
        <v>0</v>
      </c>
      <c r="G705" s="8">
        <f t="shared" si="122"/>
        <v>1</v>
      </c>
      <c r="H705" s="4" t="str">
        <f t="shared" si="125"/>
        <v>Ohms</v>
      </c>
      <c r="I705" s="6">
        <v>0.18</v>
      </c>
      <c r="J705" s="6" t="str">
        <f t="shared" si="126"/>
        <v>Ohms</v>
      </c>
      <c r="K705" s="2" t="str">
        <f t="shared" si="127"/>
        <v>RTG</v>
      </c>
      <c r="L705" s="2">
        <v>47672569</v>
      </c>
      <c r="M705" s="7">
        <v>45756</v>
      </c>
      <c r="N705" s="7">
        <f t="shared" si="123"/>
        <v>46121</v>
      </c>
      <c r="O705" s="7" t="str">
        <f t="shared" si="120"/>
        <v>Anual</v>
      </c>
      <c r="P705" s="2" t="str">
        <f t="shared" ca="1" si="124"/>
        <v>VIGENTE</v>
      </c>
      <c r="Q705" s="6" t="s">
        <v>25</v>
      </c>
      <c r="R705" s="2"/>
    </row>
    <row r="706" spans="1:18" x14ac:dyDescent="0.25">
      <c r="A706" s="23" t="s">
        <v>218</v>
      </c>
      <c r="B706" s="2" t="s">
        <v>1829</v>
      </c>
      <c r="C706" s="3" t="s">
        <v>261</v>
      </c>
      <c r="D706" s="3" t="s">
        <v>23</v>
      </c>
      <c r="E706" s="2" t="s">
        <v>24</v>
      </c>
      <c r="F706" s="4">
        <v>0</v>
      </c>
      <c r="G706" s="8">
        <f t="shared" si="122"/>
        <v>1</v>
      </c>
      <c r="H706" s="4" t="str">
        <f t="shared" si="125"/>
        <v>Ohms</v>
      </c>
      <c r="I706" s="6">
        <v>0.193</v>
      </c>
      <c r="J706" s="6" t="str">
        <f t="shared" si="126"/>
        <v>Ohms</v>
      </c>
      <c r="K706" s="2" t="str">
        <f t="shared" si="127"/>
        <v>RTG</v>
      </c>
      <c r="L706" s="2">
        <v>47672569</v>
      </c>
      <c r="M706" s="7">
        <v>45756</v>
      </c>
      <c r="N706" s="7">
        <f t="shared" si="123"/>
        <v>46121</v>
      </c>
      <c r="O706" s="7" t="str">
        <f t="shared" si="120"/>
        <v>Anual</v>
      </c>
      <c r="P706" s="2" t="str">
        <f t="shared" ca="1" si="124"/>
        <v>VIGENTE</v>
      </c>
      <c r="Q706" s="6" t="s">
        <v>25</v>
      </c>
      <c r="R706" s="2"/>
    </row>
    <row r="707" spans="1:18" x14ac:dyDescent="0.25">
      <c r="A707" s="23" t="s">
        <v>218</v>
      </c>
      <c r="B707" s="2" t="s">
        <v>1830</v>
      </c>
      <c r="C707" s="3" t="s">
        <v>822</v>
      </c>
      <c r="D707" s="3" t="s">
        <v>23</v>
      </c>
      <c r="E707" s="2" t="s">
        <v>24</v>
      </c>
      <c r="F707" s="4">
        <v>0</v>
      </c>
      <c r="G707" s="8">
        <f t="shared" si="122"/>
        <v>1</v>
      </c>
      <c r="H707" s="4" t="str">
        <f t="shared" si="125"/>
        <v>Ohms</v>
      </c>
      <c r="I707" s="6">
        <v>0.21199999999999999</v>
      </c>
      <c r="J707" s="6" t="str">
        <f t="shared" si="126"/>
        <v>Ohms</v>
      </c>
      <c r="K707" s="2" t="str">
        <f t="shared" si="127"/>
        <v>RTG</v>
      </c>
      <c r="L707" s="2">
        <v>47672569</v>
      </c>
      <c r="M707" s="7">
        <v>45756</v>
      </c>
      <c r="N707" s="7">
        <f t="shared" si="123"/>
        <v>46121</v>
      </c>
      <c r="O707" s="7" t="str">
        <f t="shared" si="120"/>
        <v>Anual</v>
      </c>
      <c r="P707" s="2" t="str">
        <f t="shared" ca="1" si="124"/>
        <v>VIGENTE</v>
      </c>
      <c r="Q707" s="6" t="s">
        <v>25</v>
      </c>
      <c r="R707" s="2"/>
    </row>
    <row r="708" spans="1:18" x14ac:dyDescent="0.25">
      <c r="A708" s="23" t="s">
        <v>218</v>
      </c>
      <c r="B708" s="2" t="s">
        <v>1831</v>
      </c>
      <c r="C708" s="3" t="s">
        <v>265</v>
      </c>
      <c r="D708" s="3" t="s">
        <v>23</v>
      </c>
      <c r="E708" s="2" t="s">
        <v>24</v>
      </c>
      <c r="F708" s="4">
        <v>0</v>
      </c>
      <c r="G708" s="8">
        <f t="shared" si="122"/>
        <v>1</v>
      </c>
      <c r="H708" s="4" t="str">
        <f t="shared" si="125"/>
        <v>Ohms</v>
      </c>
      <c r="I708" s="6">
        <v>0.24199999999999999</v>
      </c>
      <c r="J708" s="6" t="str">
        <f t="shared" si="126"/>
        <v>Ohms</v>
      </c>
      <c r="K708" s="2" t="str">
        <f t="shared" si="127"/>
        <v>RTG</v>
      </c>
      <c r="L708" s="2">
        <v>47672569</v>
      </c>
      <c r="M708" s="7">
        <v>45756</v>
      </c>
      <c r="N708" s="7">
        <f t="shared" si="123"/>
        <v>46121</v>
      </c>
      <c r="O708" s="7" t="str">
        <f t="shared" si="120"/>
        <v>Anual</v>
      </c>
      <c r="P708" s="2" t="str">
        <f t="shared" ca="1" si="124"/>
        <v>VIGENTE</v>
      </c>
      <c r="Q708" s="6" t="s">
        <v>25</v>
      </c>
      <c r="R708" s="2"/>
    </row>
    <row r="709" spans="1:18" x14ac:dyDescent="0.25">
      <c r="A709" s="23" t="s">
        <v>218</v>
      </c>
      <c r="B709" s="2" t="s">
        <v>1832</v>
      </c>
      <c r="C709" s="3" t="s">
        <v>261</v>
      </c>
      <c r="D709" s="3" t="s">
        <v>23</v>
      </c>
      <c r="E709" s="2" t="s">
        <v>24</v>
      </c>
      <c r="F709" s="4">
        <v>0</v>
      </c>
      <c r="G709" s="8">
        <f t="shared" si="122"/>
        <v>1</v>
      </c>
      <c r="H709" s="4" t="str">
        <f t="shared" si="125"/>
        <v>Ohms</v>
      </c>
      <c r="I709" s="6">
        <v>0.19700000000000001</v>
      </c>
      <c r="J709" s="6" t="str">
        <f t="shared" si="126"/>
        <v>Ohms</v>
      </c>
      <c r="K709" s="2" t="str">
        <f t="shared" si="127"/>
        <v>RTG</v>
      </c>
      <c r="L709" s="2">
        <v>47672569</v>
      </c>
      <c r="M709" s="7">
        <v>45756</v>
      </c>
      <c r="N709" s="7">
        <f t="shared" si="123"/>
        <v>46121</v>
      </c>
      <c r="O709" s="7" t="str">
        <f t="shared" si="120"/>
        <v>Anual</v>
      </c>
      <c r="P709" s="2" t="str">
        <f t="shared" ca="1" si="124"/>
        <v>VIGENTE</v>
      </c>
      <c r="Q709" s="6" t="s">
        <v>25</v>
      </c>
      <c r="R709" s="2"/>
    </row>
    <row r="710" spans="1:18" x14ac:dyDescent="0.25">
      <c r="A710" s="23" t="s">
        <v>218</v>
      </c>
      <c r="B710" s="2" t="s">
        <v>1833</v>
      </c>
      <c r="C710" s="3" t="s">
        <v>828</v>
      </c>
      <c r="D710" s="3" t="s">
        <v>23</v>
      </c>
      <c r="E710" s="2" t="s">
        <v>24</v>
      </c>
      <c r="F710" s="4">
        <v>0</v>
      </c>
      <c r="G710" s="8">
        <f t="shared" si="122"/>
        <v>1</v>
      </c>
      <c r="H710" s="4" t="str">
        <f t="shared" si="125"/>
        <v>Ohms</v>
      </c>
      <c r="I710" s="6">
        <v>0.114</v>
      </c>
      <c r="J710" s="6" t="str">
        <f t="shared" si="126"/>
        <v>Ohms</v>
      </c>
      <c r="K710" s="2" t="str">
        <f t="shared" si="127"/>
        <v>RTG</v>
      </c>
      <c r="L710" s="2">
        <v>47672569</v>
      </c>
      <c r="M710" s="7">
        <v>45756</v>
      </c>
      <c r="N710" s="7">
        <f t="shared" si="123"/>
        <v>46121</v>
      </c>
      <c r="O710" s="7" t="str">
        <f t="shared" si="120"/>
        <v>Anual</v>
      </c>
      <c r="P710" s="2" t="str">
        <f t="shared" ca="1" si="124"/>
        <v>VIGENTE</v>
      </c>
      <c r="Q710" s="6" t="s">
        <v>25</v>
      </c>
      <c r="R710" s="2"/>
    </row>
    <row r="711" spans="1:18" x14ac:dyDescent="0.25">
      <c r="A711" s="23" t="s">
        <v>218</v>
      </c>
      <c r="B711" s="2" t="s">
        <v>1834</v>
      </c>
      <c r="C711" s="3" t="s">
        <v>828</v>
      </c>
      <c r="D711" s="3" t="s">
        <v>23</v>
      </c>
      <c r="E711" s="2" t="s">
        <v>24</v>
      </c>
      <c r="F711" s="4">
        <v>0</v>
      </c>
      <c r="G711" s="8">
        <f t="shared" si="122"/>
        <v>1</v>
      </c>
      <c r="H711" s="4" t="str">
        <f t="shared" si="125"/>
        <v>Ohms</v>
      </c>
      <c r="I711" s="6">
        <v>0.108</v>
      </c>
      <c r="J711" s="6" t="str">
        <f t="shared" si="126"/>
        <v>Ohms</v>
      </c>
      <c r="K711" s="2" t="str">
        <f t="shared" si="127"/>
        <v>RTG</v>
      </c>
      <c r="L711" s="2">
        <v>47672569</v>
      </c>
      <c r="M711" s="7">
        <v>45756</v>
      </c>
      <c r="N711" s="7">
        <f t="shared" si="123"/>
        <v>46121</v>
      </c>
      <c r="O711" s="7" t="str">
        <f t="shared" si="120"/>
        <v>Anual</v>
      </c>
      <c r="P711" s="2" t="str">
        <f t="shared" ca="1" si="124"/>
        <v>VIGENTE</v>
      </c>
      <c r="Q711" s="6" t="s">
        <v>25</v>
      </c>
      <c r="R711" s="2"/>
    </row>
    <row r="712" spans="1:18" x14ac:dyDescent="0.25">
      <c r="A712" s="23" t="s">
        <v>218</v>
      </c>
      <c r="B712" s="2" t="s">
        <v>1835</v>
      </c>
      <c r="C712" s="3" t="s">
        <v>828</v>
      </c>
      <c r="D712" s="3" t="s">
        <v>23</v>
      </c>
      <c r="E712" s="2" t="s">
        <v>24</v>
      </c>
      <c r="F712" s="4">
        <v>0</v>
      </c>
      <c r="G712" s="8">
        <f t="shared" si="122"/>
        <v>1</v>
      </c>
      <c r="H712" s="4" t="str">
        <f t="shared" si="125"/>
        <v>Ohms</v>
      </c>
      <c r="I712" s="6">
        <v>0.11</v>
      </c>
      <c r="J712" s="6" t="str">
        <f t="shared" si="126"/>
        <v>Ohms</v>
      </c>
      <c r="K712" s="2" t="str">
        <f t="shared" si="127"/>
        <v>RTG</v>
      </c>
      <c r="L712" s="2">
        <v>47672569</v>
      </c>
      <c r="M712" s="7">
        <v>45756</v>
      </c>
      <c r="N712" s="7">
        <f t="shared" si="123"/>
        <v>46121</v>
      </c>
      <c r="O712" s="7" t="str">
        <f t="shared" si="120"/>
        <v>Anual</v>
      </c>
      <c r="P712" s="2" t="str">
        <f t="shared" ca="1" si="124"/>
        <v>VIGENTE</v>
      </c>
      <c r="Q712" s="6" t="s">
        <v>25</v>
      </c>
      <c r="R712" s="2"/>
    </row>
    <row r="713" spans="1:18" x14ac:dyDescent="0.25">
      <c r="A713" s="23" t="s">
        <v>218</v>
      </c>
      <c r="B713" s="2" t="s">
        <v>1836</v>
      </c>
      <c r="C713" s="3" t="s">
        <v>828</v>
      </c>
      <c r="D713" s="3" t="s">
        <v>23</v>
      </c>
      <c r="E713" s="2" t="s">
        <v>24</v>
      </c>
      <c r="F713" s="4">
        <v>0</v>
      </c>
      <c r="G713" s="8">
        <f t="shared" si="122"/>
        <v>1</v>
      </c>
      <c r="H713" s="4" t="str">
        <f t="shared" si="125"/>
        <v>Ohms</v>
      </c>
      <c r="I713" s="6">
        <v>0.13</v>
      </c>
      <c r="J713" s="6" t="str">
        <f t="shared" si="126"/>
        <v>Ohms</v>
      </c>
      <c r="K713" s="2" t="str">
        <f t="shared" si="127"/>
        <v>RTG</v>
      </c>
      <c r="L713" s="2">
        <v>47672569</v>
      </c>
      <c r="M713" s="7">
        <v>45756</v>
      </c>
      <c r="N713" s="7">
        <f t="shared" si="123"/>
        <v>46121</v>
      </c>
      <c r="O713" s="7" t="str">
        <f t="shared" si="120"/>
        <v>Anual</v>
      </c>
      <c r="P713" s="2" t="str">
        <f t="shared" ca="1" si="124"/>
        <v>VIGENTE</v>
      </c>
      <c r="Q713" s="6" t="s">
        <v>25</v>
      </c>
      <c r="R713" s="2"/>
    </row>
    <row r="714" spans="1:18" x14ac:dyDescent="0.25">
      <c r="A714" s="23" t="s">
        <v>218</v>
      </c>
      <c r="B714" s="2" t="s">
        <v>1837</v>
      </c>
      <c r="C714" s="3" t="s">
        <v>828</v>
      </c>
      <c r="D714" s="3" t="s">
        <v>23</v>
      </c>
      <c r="E714" s="2" t="s">
        <v>24</v>
      </c>
      <c r="F714" s="4">
        <v>0</v>
      </c>
      <c r="G714" s="8">
        <f t="shared" si="122"/>
        <v>1</v>
      </c>
      <c r="H714" s="4" t="str">
        <f t="shared" si="125"/>
        <v>Ohms</v>
      </c>
      <c r="I714" s="6">
        <v>0.129</v>
      </c>
      <c r="J714" s="6" t="str">
        <f t="shared" si="126"/>
        <v>Ohms</v>
      </c>
      <c r="K714" s="2" t="str">
        <f t="shared" si="127"/>
        <v>RTG</v>
      </c>
      <c r="L714" s="2">
        <v>47672569</v>
      </c>
      <c r="M714" s="7">
        <v>45756</v>
      </c>
      <c r="N714" s="7">
        <f t="shared" si="123"/>
        <v>46121</v>
      </c>
      <c r="O714" s="7" t="str">
        <f t="shared" si="120"/>
        <v>Anual</v>
      </c>
      <c r="P714" s="2" t="str">
        <f t="shared" ca="1" si="124"/>
        <v>VIGENTE</v>
      </c>
      <c r="Q714" s="6" t="s">
        <v>25</v>
      </c>
      <c r="R714" s="2"/>
    </row>
    <row r="715" spans="1:18" x14ac:dyDescent="0.25">
      <c r="A715" s="23" t="s">
        <v>218</v>
      </c>
      <c r="B715" s="2" t="s">
        <v>1838</v>
      </c>
      <c r="C715" s="3" t="s">
        <v>828</v>
      </c>
      <c r="D715" s="3" t="s">
        <v>23</v>
      </c>
      <c r="E715" s="2" t="s">
        <v>24</v>
      </c>
      <c r="F715" s="4">
        <v>0</v>
      </c>
      <c r="G715" s="8">
        <f t="shared" si="122"/>
        <v>1</v>
      </c>
      <c r="H715" s="4" t="str">
        <f t="shared" si="125"/>
        <v>Ohms</v>
      </c>
      <c r="I715" s="6">
        <v>0.152</v>
      </c>
      <c r="J715" s="6" t="str">
        <f t="shared" si="126"/>
        <v>Ohms</v>
      </c>
      <c r="K715" s="2" t="str">
        <f t="shared" si="127"/>
        <v>RTG</v>
      </c>
      <c r="L715" s="2">
        <v>47672569</v>
      </c>
      <c r="M715" s="7">
        <v>45756</v>
      </c>
      <c r="N715" s="7">
        <f t="shared" si="123"/>
        <v>46121</v>
      </c>
      <c r="O715" s="7" t="str">
        <f t="shared" si="120"/>
        <v>Anual</v>
      </c>
      <c r="P715" s="2" t="str">
        <f t="shared" ca="1" si="124"/>
        <v>VIGENTE</v>
      </c>
      <c r="Q715" s="6" t="s">
        <v>25</v>
      </c>
      <c r="R715" s="2"/>
    </row>
    <row r="716" spans="1:18" x14ac:dyDescent="0.25">
      <c r="A716" s="23" t="s">
        <v>218</v>
      </c>
      <c r="B716" s="2" t="s">
        <v>1839</v>
      </c>
      <c r="C716" s="3" t="s">
        <v>836</v>
      </c>
      <c r="D716" s="3" t="s">
        <v>23</v>
      </c>
      <c r="E716" s="2" t="s">
        <v>24</v>
      </c>
      <c r="F716" s="4">
        <v>0</v>
      </c>
      <c r="G716" s="8">
        <f t="shared" si="122"/>
        <v>1</v>
      </c>
      <c r="H716" s="4" t="str">
        <f t="shared" si="125"/>
        <v>Ohms</v>
      </c>
      <c r="I716" s="6">
        <v>0.56200000000000006</v>
      </c>
      <c r="J716" s="6" t="str">
        <f t="shared" si="126"/>
        <v>Ohms</v>
      </c>
      <c r="K716" s="2" t="str">
        <f t="shared" si="127"/>
        <v>RTG</v>
      </c>
      <c r="L716" s="2">
        <v>47672569</v>
      </c>
      <c r="M716" s="7">
        <v>45756</v>
      </c>
      <c r="N716" s="7">
        <f t="shared" si="123"/>
        <v>46121</v>
      </c>
      <c r="O716" s="7" t="str">
        <f t="shared" si="120"/>
        <v>Anual</v>
      </c>
      <c r="P716" s="2" t="str">
        <f t="shared" ca="1" si="124"/>
        <v>VIGENTE</v>
      </c>
      <c r="Q716" s="6" t="s">
        <v>25</v>
      </c>
      <c r="R716" s="2"/>
    </row>
    <row r="717" spans="1:18" x14ac:dyDescent="0.25">
      <c r="A717" s="23" t="s">
        <v>218</v>
      </c>
      <c r="B717" s="2" t="s">
        <v>1840</v>
      </c>
      <c r="C717" s="3" t="s">
        <v>261</v>
      </c>
      <c r="D717" s="3" t="s">
        <v>23</v>
      </c>
      <c r="E717" s="2" t="s">
        <v>24</v>
      </c>
      <c r="F717" s="4">
        <v>0</v>
      </c>
      <c r="G717" s="8">
        <f t="shared" si="122"/>
        <v>1</v>
      </c>
      <c r="H717" s="4" t="str">
        <f t="shared" si="125"/>
        <v>Ohms</v>
      </c>
      <c r="I717" s="6">
        <v>0.11899999999999999</v>
      </c>
      <c r="J717" s="6" t="str">
        <f t="shared" si="126"/>
        <v>Ohms</v>
      </c>
      <c r="K717" s="2" t="str">
        <f t="shared" si="127"/>
        <v>RTG</v>
      </c>
      <c r="L717" s="2">
        <v>47672569</v>
      </c>
      <c r="M717" s="7">
        <v>45756</v>
      </c>
      <c r="N717" s="7">
        <f t="shared" si="123"/>
        <v>46121</v>
      </c>
      <c r="O717" s="7" t="str">
        <f t="shared" si="120"/>
        <v>Anual</v>
      </c>
      <c r="P717" s="2" t="str">
        <f t="shared" ca="1" si="124"/>
        <v>VIGENTE</v>
      </c>
      <c r="Q717" s="6" t="s">
        <v>25</v>
      </c>
      <c r="R717" s="2"/>
    </row>
    <row r="718" spans="1:18" x14ac:dyDescent="0.25">
      <c r="A718" s="23" t="s">
        <v>218</v>
      </c>
      <c r="B718" s="2" t="s">
        <v>1841</v>
      </c>
      <c r="C718" s="3" t="s">
        <v>838</v>
      </c>
      <c r="D718" s="3" t="s">
        <v>23</v>
      </c>
      <c r="E718" s="2" t="s">
        <v>24</v>
      </c>
      <c r="F718" s="4">
        <v>0</v>
      </c>
      <c r="G718" s="8">
        <f t="shared" si="122"/>
        <v>1</v>
      </c>
      <c r="H718" s="4" t="str">
        <f t="shared" si="125"/>
        <v>Ohms</v>
      </c>
      <c r="I718" s="6">
        <v>0.121</v>
      </c>
      <c r="J718" s="6" t="str">
        <f t="shared" si="126"/>
        <v>Ohms</v>
      </c>
      <c r="K718" s="2" t="str">
        <f t="shared" si="127"/>
        <v>RTG</v>
      </c>
      <c r="L718" s="2">
        <v>47672569</v>
      </c>
      <c r="M718" s="7">
        <v>45756</v>
      </c>
      <c r="N718" s="7">
        <f t="shared" si="123"/>
        <v>46121</v>
      </c>
      <c r="O718" s="7" t="str">
        <f t="shared" si="120"/>
        <v>Anual</v>
      </c>
      <c r="P718" s="2" t="str">
        <f t="shared" ca="1" si="124"/>
        <v>VIGENTE</v>
      </c>
      <c r="Q718" s="6" t="s">
        <v>25</v>
      </c>
      <c r="R718" s="2"/>
    </row>
    <row r="719" spans="1:18" x14ac:dyDescent="0.25">
      <c r="A719" s="23" t="s">
        <v>218</v>
      </c>
      <c r="B719" s="2" t="s">
        <v>1842</v>
      </c>
      <c r="C719" s="3" t="s">
        <v>261</v>
      </c>
      <c r="D719" s="3" t="s">
        <v>23</v>
      </c>
      <c r="E719" s="2" t="s">
        <v>24</v>
      </c>
      <c r="F719" s="4">
        <v>0</v>
      </c>
      <c r="G719" s="8">
        <f t="shared" si="122"/>
        <v>1</v>
      </c>
      <c r="H719" s="4" t="str">
        <f t="shared" si="125"/>
        <v>Ohms</v>
      </c>
      <c r="I719" s="6">
        <v>0.155</v>
      </c>
      <c r="J719" s="6" t="str">
        <f t="shared" si="126"/>
        <v>Ohms</v>
      </c>
      <c r="K719" s="2" t="str">
        <f t="shared" si="127"/>
        <v>RTG</v>
      </c>
      <c r="L719" s="2">
        <v>47672569</v>
      </c>
      <c r="M719" s="7">
        <v>45756</v>
      </c>
      <c r="N719" s="7">
        <f t="shared" si="123"/>
        <v>46121</v>
      </c>
      <c r="O719" s="7" t="str">
        <f t="shared" si="120"/>
        <v>Anual</v>
      </c>
      <c r="P719" s="2" t="str">
        <f t="shared" ca="1" si="124"/>
        <v>VIGENTE</v>
      </c>
      <c r="Q719" s="6" t="s">
        <v>25</v>
      </c>
      <c r="R719" s="2"/>
    </row>
    <row r="720" spans="1:18" x14ac:dyDescent="0.25">
      <c r="A720" s="23" t="s">
        <v>218</v>
      </c>
      <c r="B720" s="2" t="s">
        <v>1843</v>
      </c>
      <c r="C720" s="3" t="s">
        <v>836</v>
      </c>
      <c r="D720" s="3" t="s">
        <v>23</v>
      </c>
      <c r="E720" s="2" t="s">
        <v>24</v>
      </c>
      <c r="F720" s="4">
        <v>0</v>
      </c>
      <c r="G720" s="8">
        <f t="shared" si="122"/>
        <v>1</v>
      </c>
      <c r="H720" s="4" t="str">
        <f t="shared" si="125"/>
        <v>Ohms</v>
      </c>
      <c r="I720" s="6">
        <v>0.999</v>
      </c>
      <c r="J720" s="6" t="str">
        <f t="shared" si="126"/>
        <v>Ohms</v>
      </c>
      <c r="K720" s="2" t="str">
        <f t="shared" si="127"/>
        <v>RTG</v>
      </c>
      <c r="L720" s="2">
        <v>47672569</v>
      </c>
      <c r="M720" s="7">
        <v>45756</v>
      </c>
      <c r="N720" s="7">
        <f t="shared" si="123"/>
        <v>46121</v>
      </c>
      <c r="O720" s="7" t="str">
        <f t="shared" si="120"/>
        <v>Anual</v>
      </c>
      <c r="P720" s="2" t="str">
        <f t="shared" ca="1" si="124"/>
        <v>VIGENTE</v>
      </c>
      <c r="Q720" s="6" t="s">
        <v>25</v>
      </c>
      <c r="R720" s="2"/>
    </row>
    <row r="721" spans="1:18" x14ac:dyDescent="0.25">
      <c r="A721" s="23" t="s">
        <v>218</v>
      </c>
      <c r="B721" s="2" t="s">
        <v>1844</v>
      </c>
      <c r="C721" s="3" t="s">
        <v>844</v>
      </c>
      <c r="D721" s="3" t="s">
        <v>23</v>
      </c>
      <c r="E721" s="2" t="s">
        <v>24</v>
      </c>
      <c r="F721" s="4">
        <v>0</v>
      </c>
      <c r="G721" s="8">
        <f t="shared" si="122"/>
        <v>1</v>
      </c>
      <c r="H721" s="4" t="str">
        <f t="shared" si="125"/>
        <v>Ohms</v>
      </c>
      <c r="I721" s="6">
        <v>0.104</v>
      </c>
      <c r="J721" s="6" t="str">
        <f t="shared" si="126"/>
        <v>Ohms</v>
      </c>
      <c r="K721" s="2" t="str">
        <f t="shared" si="127"/>
        <v>RTG</v>
      </c>
      <c r="L721" s="2">
        <v>47672569</v>
      </c>
      <c r="M721" s="7">
        <v>45756</v>
      </c>
      <c r="N721" s="7">
        <f t="shared" si="123"/>
        <v>46121</v>
      </c>
      <c r="O721" s="7" t="str">
        <f t="shared" si="120"/>
        <v>Anual</v>
      </c>
      <c r="P721" s="2" t="str">
        <f t="shared" ca="1" si="124"/>
        <v>VIGENTE</v>
      </c>
      <c r="Q721" s="6" t="s">
        <v>25</v>
      </c>
      <c r="R721" s="2"/>
    </row>
    <row r="722" spans="1:18" x14ac:dyDescent="0.25">
      <c r="A722" s="23" t="s">
        <v>218</v>
      </c>
      <c r="B722" s="2" t="s">
        <v>1845</v>
      </c>
      <c r="C722" s="3" t="s">
        <v>847</v>
      </c>
      <c r="D722" s="3" t="s">
        <v>23</v>
      </c>
      <c r="E722" s="2" t="s">
        <v>24</v>
      </c>
      <c r="F722" s="4">
        <v>0</v>
      </c>
      <c r="G722" s="8">
        <f t="shared" si="122"/>
        <v>1</v>
      </c>
      <c r="H722" s="4" t="str">
        <f t="shared" si="125"/>
        <v>Ohms</v>
      </c>
      <c r="I722" s="6">
        <v>0.129</v>
      </c>
      <c r="J722" s="6" t="str">
        <f t="shared" si="126"/>
        <v>Ohms</v>
      </c>
      <c r="K722" s="2" t="str">
        <f t="shared" si="127"/>
        <v>RTG</v>
      </c>
      <c r="L722" s="2">
        <v>47672569</v>
      </c>
      <c r="M722" s="7">
        <v>45756</v>
      </c>
      <c r="N722" s="7">
        <f t="shared" si="123"/>
        <v>46121</v>
      </c>
      <c r="O722" s="7" t="str">
        <f t="shared" si="120"/>
        <v>Anual</v>
      </c>
      <c r="P722" s="2" t="str">
        <f t="shared" ca="1" si="124"/>
        <v>VIGENTE</v>
      </c>
      <c r="Q722" s="6" t="s">
        <v>25</v>
      </c>
      <c r="R722" s="2"/>
    </row>
    <row r="723" spans="1:18" x14ac:dyDescent="0.25">
      <c r="A723" s="23" t="s">
        <v>218</v>
      </c>
      <c r="B723" s="2" t="s">
        <v>1846</v>
      </c>
      <c r="C723" s="3" t="s">
        <v>265</v>
      </c>
      <c r="D723" s="3" t="s">
        <v>23</v>
      </c>
      <c r="E723" s="2" t="s">
        <v>24</v>
      </c>
      <c r="F723" s="4">
        <v>0</v>
      </c>
      <c r="G723" s="8">
        <f t="shared" si="122"/>
        <v>1</v>
      </c>
      <c r="H723" s="4" t="str">
        <f t="shared" si="125"/>
        <v>Ohms</v>
      </c>
      <c r="I723" s="6">
        <v>0.107</v>
      </c>
      <c r="J723" s="6" t="str">
        <f t="shared" si="126"/>
        <v>Ohms</v>
      </c>
      <c r="K723" s="2" t="str">
        <f t="shared" si="127"/>
        <v>RTG</v>
      </c>
      <c r="L723" s="2">
        <v>47672569</v>
      </c>
      <c r="M723" s="7">
        <v>45756</v>
      </c>
      <c r="N723" s="7">
        <f t="shared" si="123"/>
        <v>46121</v>
      </c>
      <c r="O723" s="7" t="str">
        <f t="shared" si="120"/>
        <v>Anual</v>
      </c>
      <c r="P723" s="2" t="str">
        <f t="shared" ca="1" si="124"/>
        <v>VIGENTE</v>
      </c>
      <c r="Q723" s="6" t="s">
        <v>25</v>
      </c>
      <c r="R723" s="2"/>
    </row>
    <row r="724" spans="1:18" x14ac:dyDescent="0.25">
      <c r="A724" s="23" t="s">
        <v>218</v>
      </c>
      <c r="B724" s="2" t="s">
        <v>1847</v>
      </c>
      <c r="C724" s="3" t="s">
        <v>836</v>
      </c>
      <c r="D724" s="3" t="s">
        <v>23</v>
      </c>
      <c r="E724" s="2" t="s">
        <v>24</v>
      </c>
      <c r="F724" s="4">
        <v>0</v>
      </c>
      <c r="G724" s="8">
        <f t="shared" si="122"/>
        <v>1</v>
      </c>
      <c r="H724" s="4" t="str">
        <f t="shared" si="125"/>
        <v>Ohms</v>
      </c>
      <c r="I724" s="6">
        <v>0.104</v>
      </c>
      <c r="J724" s="6" t="str">
        <f t="shared" si="126"/>
        <v>Ohms</v>
      </c>
      <c r="K724" s="2" t="str">
        <f t="shared" si="127"/>
        <v>RTG</v>
      </c>
      <c r="L724" s="2">
        <v>47672569</v>
      </c>
      <c r="M724" s="7">
        <v>45756</v>
      </c>
      <c r="N724" s="7">
        <f t="shared" si="123"/>
        <v>46121</v>
      </c>
      <c r="O724" s="7" t="str">
        <f t="shared" si="120"/>
        <v>Anual</v>
      </c>
      <c r="P724" s="2" t="str">
        <f t="shared" ca="1" si="124"/>
        <v>VIGENTE</v>
      </c>
      <c r="Q724" s="6" t="s">
        <v>25</v>
      </c>
      <c r="R724" s="2"/>
    </row>
    <row r="725" spans="1:18" x14ac:dyDescent="0.25">
      <c r="A725" s="23" t="s">
        <v>218</v>
      </c>
      <c r="B725" s="2" t="s">
        <v>1848</v>
      </c>
      <c r="C725" s="3" t="s">
        <v>259</v>
      </c>
      <c r="D725" s="3" t="s">
        <v>23</v>
      </c>
      <c r="E725" s="2" t="s">
        <v>24</v>
      </c>
      <c r="F725" s="4">
        <v>0</v>
      </c>
      <c r="G725" s="8">
        <f t="shared" si="122"/>
        <v>1</v>
      </c>
      <c r="H725" s="4" t="str">
        <f t="shared" si="125"/>
        <v>Ohms</v>
      </c>
      <c r="I725" s="6">
        <v>0.14599999999999999</v>
      </c>
      <c r="J725" s="6" t="str">
        <f t="shared" si="126"/>
        <v>Ohms</v>
      </c>
      <c r="K725" s="2" t="str">
        <f t="shared" si="127"/>
        <v>RTG</v>
      </c>
      <c r="L725" s="2">
        <v>47672569</v>
      </c>
      <c r="M725" s="7">
        <v>45756</v>
      </c>
      <c r="N725" s="7">
        <f t="shared" si="123"/>
        <v>46121</v>
      </c>
      <c r="O725" s="7" t="str">
        <f t="shared" si="120"/>
        <v>Anual</v>
      </c>
      <c r="P725" s="2" t="str">
        <f t="shared" ca="1" si="124"/>
        <v>VIGENTE</v>
      </c>
      <c r="Q725" s="6" t="s">
        <v>25</v>
      </c>
      <c r="R725" s="2"/>
    </row>
    <row r="726" spans="1:18" x14ac:dyDescent="0.25">
      <c r="A726" s="23" t="s">
        <v>220</v>
      </c>
      <c r="B726" s="2" t="s">
        <v>1849</v>
      </c>
      <c r="C726" s="3" t="s">
        <v>810</v>
      </c>
      <c r="D726" s="3" t="s">
        <v>23</v>
      </c>
      <c r="E726" s="2" t="s">
        <v>24</v>
      </c>
      <c r="F726" s="4">
        <v>0</v>
      </c>
      <c r="G726" s="8">
        <f t="shared" si="122"/>
        <v>1</v>
      </c>
      <c r="H726" s="4" t="str">
        <f t="shared" si="125"/>
        <v>Ohms</v>
      </c>
      <c r="I726" s="6">
        <v>0.39100000000000001</v>
      </c>
      <c r="J726" s="6" t="str">
        <f t="shared" si="126"/>
        <v>Ohms</v>
      </c>
      <c r="K726" s="2" t="str">
        <f t="shared" si="127"/>
        <v>RTG</v>
      </c>
      <c r="L726" s="2">
        <v>51970604</v>
      </c>
      <c r="M726" s="7">
        <v>45930</v>
      </c>
      <c r="N726" s="7">
        <f t="shared" si="123"/>
        <v>46295</v>
      </c>
      <c r="O726" s="7" t="str">
        <f t="shared" si="120"/>
        <v>Anual</v>
      </c>
      <c r="P726" s="2" t="str">
        <f t="shared" ca="1" si="124"/>
        <v>VIGENTE</v>
      </c>
      <c r="Q726" s="6" t="s">
        <v>25</v>
      </c>
      <c r="R726" s="2"/>
    </row>
    <row r="727" spans="1:18" x14ac:dyDescent="0.25">
      <c r="A727" s="23" t="s">
        <v>220</v>
      </c>
      <c r="B727" s="2" t="s">
        <v>1850</v>
      </c>
      <c r="C727" s="3" t="s">
        <v>1851</v>
      </c>
      <c r="D727" s="3" t="s">
        <v>23</v>
      </c>
      <c r="E727" s="2" t="s">
        <v>24</v>
      </c>
      <c r="F727" s="4">
        <v>0</v>
      </c>
      <c r="G727" s="8">
        <f t="shared" si="122"/>
        <v>1</v>
      </c>
      <c r="H727" s="4" t="str">
        <f t="shared" si="125"/>
        <v>Ohms</v>
      </c>
      <c r="I727" s="6">
        <v>0.89300000000000002</v>
      </c>
      <c r="J727" s="6" t="str">
        <f t="shared" si="126"/>
        <v>Ohms</v>
      </c>
      <c r="K727" s="2" t="str">
        <f t="shared" si="127"/>
        <v>RTG</v>
      </c>
      <c r="L727" s="2">
        <v>51970604</v>
      </c>
      <c r="M727" s="7">
        <v>45930</v>
      </c>
      <c r="N727" s="7">
        <f t="shared" si="123"/>
        <v>46295</v>
      </c>
      <c r="O727" s="7" t="str">
        <f t="shared" si="120"/>
        <v>Anual</v>
      </c>
      <c r="P727" s="2" t="str">
        <f t="shared" ca="1" si="124"/>
        <v>VIGENTE</v>
      </c>
      <c r="Q727" s="6" t="s">
        <v>25</v>
      </c>
      <c r="R727" s="2"/>
    </row>
    <row r="728" spans="1:18" x14ac:dyDescent="0.25">
      <c r="A728" s="23" t="s">
        <v>220</v>
      </c>
      <c r="B728" s="2" t="s">
        <v>1852</v>
      </c>
      <c r="C728" s="3" t="s">
        <v>1822</v>
      </c>
      <c r="D728" s="3" t="s">
        <v>23</v>
      </c>
      <c r="E728" s="2" t="s">
        <v>24</v>
      </c>
      <c r="F728" s="4">
        <v>0</v>
      </c>
      <c r="G728" s="8">
        <f t="shared" si="122"/>
        <v>1</v>
      </c>
      <c r="H728" s="4" t="str">
        <f t="shared" si="125"/>
        <v>Ohms</v>
      </c>
      <c r="I728" s="6">
        <v>0.32400000000000001</v>
      </c>
      <c r="J728" s="6" t="str">
        <f t="shared" si="126"/>
        <v>Ohms</v>
      </c>
      <c r="K728" s="2" t="str">
        <f t="shared" si="127"/>
        <v>RTG</v>
      </c>
      <c r="L728" s="2">
        <v>51970604</v>
      </c>
      <c r="M728" s="7">
        <v>45930</v>
      </c>
      <c r="N728" s="7">
        <f t="shared" si="123"/>
        <v>46295</v>
      </c>
      <c r="O728" s="7" t="str">
        <f t="shared" si="120"/>
        <v>Anual</v>
      </c>
      <c r="P728" s="2" t="str">
        <f t="shared" ca="1" si="124"/>
        <v>VIGENTE</v>
      </c>
      <c r="Q728" s="6" t="s">
        <v>25</v>
      </c>
      <c r="R728" s="2"/>
    </row>
    <row r="729" spans="1:18" x14ac:dyDescent="0.25">
      <c r="A729" s="23" t="s">
        <v>220</v>
      </c>
      <c r="B729" s="2" t="s">
        <v>1853</v>
      </c>
      <c r="C729" s="3" t="s">
        <v>800</v>
      </c>
      <c r="D729" s="3" t="s">
        <v>23</v>
      </c>
      <c r="E729" s="2" t="s">
        <v>24</v>
      </c>
      <c r="F729" s="4">
        <v>0</v>
      </c>
      <c r="G729" s="8">
        <f t="shared" si="122"/>
        <v>10</v>
      </c>
      <c r="H729" s="4" t="str">
        <f t="shared" si="125"/>
        <v>Segundos</v>
      </c>
      <c r="I729" s="6">
        <v>1</v>
      </c>
      <c r="J729" s="6" t="str">
        <f t="shared" si="126"/>
        <v>Segundos</v>
      </c>
      <c r="K729" s="2" t="str">
        <f t="shared" si="127"/>
        <v>Plato de carga</v>
      </c>
      <c r="L729" s="2"/>
      <c r="M729" s="7">
        <v>46044</v>
      </c>
      <c r="N729" s="7">
        <f t="shared" si="123"/>
        <v>46134</v>
      </c>
      <c r="O729" s="7" t="str">
        <f t="shared" ref="O729:O776" si="128">IF(C729="Ionizador", "Trimestral", IF(C729="Rack", "Anual", IF(C729="Mesa", "Anual", IF(C729="Tapete", "Semestral", IF(C729="Cautín", "Semestral", IF(C729="Silla", "Semestral", "Anual"))))))</f>
        <v>Trimestral</v>
      </c>
      <c r="P729" s="2" t="str">
        <f t="shared" ref="P729:P760" ca="1" si="129">IF(N729&lt;TODAY(),"VENCIDO",IF(N729=TODAY(),"VIGENTE",IF(N729&gt;TODAY(),"VIGENTE")))</f>
        <v>VIGENTE</v>
      </c>
      <c r="Q729" s="6" t="s">
        <v>25</v>
      </c>
      <c r="R729" s="2"/>
    </row>
    <row r="730" spans="1:18" x14ac:dyDescent="0.25">
      <c r="A730" s="23" t="s">
        <v>220</v>
      </c>
      <c r="B730" s="2" t="s">
        <v>1854</v>
      </c>
      <c r="C730" s="3" t="s">
        <v>261</v>
      </c>
      <c r="D730" s="3" t="s">
        <v>23</v>
      </c>
      <c r="E730" s="2" t="s">
        <v>24</v>
      </c>
      <c r="F730" s="4">
        <v>0</v>
      </c>
      <c r="G730" s="8">
        <f t="shared" si="122"/>
        <v>1</v>
      </c>
      <c r="H730" s="4" t="str">
        <f t="shared" si="125"/>
        <v>Ohms</v>
      </c>
      <c r="I730" s="6">
        <v>0.20100000000000001</v>
      </c>
      <c r="J730" s="6" t="str">
        <f t="shared" si="126"/>
        <v>Ohms</v>
      </c>
      <c r="K730" s="2" t="str">
        <f t="shared" si="127"/>
        <v>RTG</v>
      </c>
      <c r="L730" s="2">
        <v>51970604</v>
      </c>
      <c r="M730" s="7">
        <v>45930</v>
      </c>
      <c r="N730" s="7">
        <f t="shared" si="123"/>
        <v>46295</v>
      </c>
      <c r="O730" s="7" t="str">
        <f t="shared" si="128"/>
        <v>Anual</v>
      </c>
      <c r="P730" s="2" t="str">
        <f t="shared" ca="1" si="129"/>
        <v>VIGENTE</v>
      </c>
      <c r="Q730" s="6" t="s">
        <v>25</v>
      </c>
      <c r="R730" s="2"/>
    </row>
    <row r="731" spans="1:18" x14ac:dyDescent="0.25">
      <c r="A731" s="23" t="s">
        <v>220</v>
      </c>
      <c r="B731" s="2" t="s">
        <v>221</v>
      </c>
      <c r="C731" s="3" t="s">
        <v>210</v>
      </c>
      <c r="D731" s="3" t="s">
        <v>23</v>
      </c>
      <c r="E731" s="2" t="s">
        <v>24</v>
      </c>
      <c r="F731" s="4">
        <v>0</v>
      </c>
      <c r="G731" s="8">
        <f t="shared" si="122"/>
        <v>1</v>
      </c>
      <c r="H731" s="4" t="str">
        <f t="shared" si="125"/>
        <v>Ohms</v>
      </c>
      <c r="I731" s="6">
        <v>0.27400000000000002</v>
      </c>
      <c r="J731" s="6" t="str">
        <f t="shared" si="126"/>
        <v>Ohms</v>
      </c>
      <c r="K731" s="2" t="str">
        <f t="shared" si="127"/>
        <v>RTG</v>
      </c>
      <c r="L731" s="2">
        <v>51970604</v>
      </c>
      <c r="M731" s="7">
        <v>45930</v>
      </c>
      <c r="N731" s="7">
        <f t="shared" si="123"/>
        <v>46295</v>
      </c>
      <c r="O731" s="7" t="str">
        <f t="shared" si="128"/>
        <v>Anual</v>
      </c>
      <c r="P731" s="2" t="str">
        <f t="shared" ca="1" si="129"/>
        <v>VIGENTE</v>
      </c>
      <c r="Q731" s="6" t="s">
        <v>25</v>
      </c>
      <c r="R731" s="2"/>
    </row>
    <row r="732" spans="1:18" x14ac:dyDescent="0.25">
      <c r="A732" s="23" t="s">
        <v>220</v>
      </c>
      <c r="B732" s="2" t="s">
        <v>1855</v>
      </c>
      <c r="C732" s="3" t="s">
        <v>836</v>
      </c>
      <c r="D732" s="3" t="s">
        <v>23</v>
      </c>
      <c r="E732" s="2" t="s">
        <v>24</v>
      </c>
      <c r="F732" s="4">
        <v>0</v>
      </c>
      <c r="G732" s="8">
        <f t="shared" ref="G732:G773" si="130">IF(C732="Ionizador", 10, IF(C732="Mesa", 1000000000, IF(C732="Rack", 1000000000, IF(C732="Piso", 1000000000, IF(C732="Tapete", 1000000000, IF(C732="Carrito", 1000000000, IF(C732="Cautín", 10, 1)))))))</f>
        <v>1</v>
      </c>
      <c r="H732" s="4" t="str">
        <f t="shared" si="125"/>
        <v>Ohms</v>
      </c>
      <c r="I732" s="6">
        <v>0.36299999999999999</v>
      </c>
      <c r="J732" s="6" t="str">
        <f t="shared" si="126"/>
        <v>Ohms</v>
      </c>
      <c r="K732" s="2" t="str">
        <f t="shared" si="127"/>
        <v>RTG</v>
      </c>
      <c r="L732" s="2">
        <v>51970604</v>
      </c>
      <c r="M732" s="7">
        <v>45930</v>
      </c>
      <c r="N732" s="7">
        <f t="shared" ref="N732:N763" si="131">IF(O732="Trimestral", M732+90, IF(O732="Semestral", M732+180, IF(O732="Mensual", M732+30, M732+365)))</f>
        <v>46295</v>
      </c>
      <c r="O732" s="7" t="str">
        <f t="shared" si="128"/>
        <v>Anual</v>
      </c>
      <c r="P732" s="2" t="str">
        <f t="shared" ca="1" si="129"/>
        <v>VIGENTE</v>
      </c>
      <c r="Q732" s="6" t="s">
        <v>25</v>
      </c>
      <c r="R732" s="2"/>
    </row>
    <row r="733" spans="1:18" x14ac:dyDescent="0.25">
      <c r="A733" s="23" t="s">
        <v>220</v>
      </c>
      <c r="B733" s="2" t="s">
        <v>1856</v>
      </c>
      <c r="C733" s="3" t="s">
        <v>267</v>
      </c>
      <c r="D733" s="3" t="s">
        <v>23</v>
      </c>
      <c r="E733" s="2" t="s">
        <v>24</v>
      </c>
      <c r="F733" s="4">
        <v>0</v>
      </c>
      <c r="G733" s="8">
        <f t="shared" si="130"/>
        <v>1</v>
      </c>
      <c r="H733" s="4" t="str">
        <f t="shared" ref="H733:H764" si="132">IF(C733="Ionizador", "Segundos", "Ohms")</f>
        <v>Ohms</v>
      </c>
      <c r="I733" s="6">
        <v>0.26900000000000002</v>
      </c>
      <c r="J733" s="6" t="str">
        <f t="shared" ref="J733:J764" si="133">H733</f>
        <v>Ohms</v>
      </c>
      <c r="K733" s="2" t="str">
        <f t="shared" ref="K733:K764" si="134">IF(C733="Ionizador", "Plato de carga", IF(C733="Cautín", "PTG", IF(C733="ESD Tester", "PTP Deviation", "RTG")))</f>
        <v>RTG</v>
      </c>
      <c r="L733" s="2">
        <v>51970604</v>
      </c>
      <c r="M733" s="7">
        <v>45930</v>
      </c>
      <c r="N733" s="7">
        <f t="shared" si="131"/>
        <v>46295</v>
      </c>
      <c r="O733" s="7" t="str">
        <f t="shared" si="128"/>
        <v>Anual</v>
      </c>
      <c r="P733" s="2" t="str">
        <f t="shared" ca="1" si="129"/>
        <v>VIGENTE</v>
      </c>
      <c r="Q733" s="6" t="s">
        <v>25</v>
      </c>
      <c r="R733" s="2"/>
    </row>
    <row r="734" spans="1:18" x14ac:dyDescent="0.25">
      <c r="A734" s="23" t="s">
        <v>220</v>
      </c>
      <c r="B734" s="2" t="s">
        <v>1857</v>
      </c>
      <c r="C734" s="3" t="s">
        <v>813</v>
      </c>
      <c r="D734" s="3" t="s">
        <v>23</v>
      </c>
      <c r="E734" s="2" t="s">
        <v>24</v>
      </c>
      <c r="F734" s="4">
        <v>0</v>
      </c>
      <c r="G734" s="8">
        <f t="shared" si="130"/>
        <v>1</v>
      </c>
      <c r="H734" s="4" t="str">
        <f t="shared" si="132"/>
        <v>Ohms</v>
      </c>
      <c r="I734" s="6">
        <v>0.24399999999999999</v>
      </c>
      <c r="J734" s="6" t="str">
        <f t="shared" si="133"/>
        <v>Ohms</v>
      </c>
      <c r="K734" s="2" t="str">
        <f t="shared" si="134"/>
        <v>RTG</v>
      </c>
      <c r="L734" s="2">
        <v>51970604</v>
      </c>
      <c r="M734" s="7">
        <v>45930</v>
      </c>
      <c r="N734" s="7">
        <f t="shared" si="131"/>
        <v>46295</v>
      </c>
      <c r="O734" s="7" t="str">
        <f t="shared" si="128"/>
        <v>Anual</v>
      </c>
      <c r="P734" s="2" t="str">
        <f t="shared" ca="1" si="129"/>
        <v>VIGENTE</v>
      </c>
      <c r="Q734" s="6" t="s">
        <v>25</v>
      </c>
      <c r="R734" s="2"/>
    </row>
    <row r="735" spans="1:18" x14ac:dyDescent="0.25">
      <c r="A735" s="23" t="s">
        <v>220</v>
      </c>
      <c r="B735" s="2" t="s">
        <v>1858</v>
      </c>
      <c r="C735" s="3" t="s">
        <v>261</v>
      </c>
      <c r="D735" s="3" t="s">
        <v>23</v>
      </c>
      <c r="E735" s="2" t="s">
        <v>24</v>
      </c>
      <c r="F735" s="4">
        <v>0</v>
      </c>
      <c r="G735" s="8">
        <f t="shared" si="130"/>
        <v>1</v>
      </c>
      <c r="H735" s="4" t="str">
        <f t="shared" si="132"/>
        <v>Ohms</v>
      </c>
      <c r="I735" s="6">
        <v>0.61699999999999999</v>
      </c>
      <c r="J735" s="6" t="str">
        <f t="shared" si="133"/>
        <v>Ohms</v>
      </c>
      <c r="K735" s="2" t="str">
        <f t="shared" si="134"/>
        <v>RTG</v>
      </c>
      <c r="L735" s="2">
        <v>51970604</v>
      </c>
      <c r="M735" s="7">
        <v>45930</v>
      </c>
      <c r="N735" s="7">
        <f t="shared" si="131"/>
        <v>46295</v>
      </c>
      <c r="O735" s="7" t="str">
        <f t="shared" si="128"/>
        <v>Anual</v>
      </c>
      <c r="P735" s="2" t="str">
        <f t="shared" ca="1" si="129"/>
        <v>VIGENTE</v>
      </c>
      <c r="Q735" s="6" t="s">
        <v>25</v>
      </c>
      <c r="R735" s="2"/>
    </row>
    <row r="736" spans="1:18" x14ac:dyDescent="0.25">
      <c r="A736" s="23" t="s">
        <v>220</v>
      </c>
      <c r="B736" s="2" t="s">
        <v>232</v>
      </c>
      <c r="C736" s="3" t="s">
        <v>210</v>
      </c>
      <c r="D736" s="3" t="s">
        <v>23</v>
      </c>
      <c r="E736" s="2" t="s">
        <v>24</v>
      </c>
      <c r="F736" s="4">
        <v>0</v>
      </c>
      <c r="G736" s="8">
        <f t="shared" si="130"/>
        <v>1</v>
      </c>
      <c r="H736" s="4" t="str">
        <f t="shared" si="132"/>
        <v>Ohms</v>
      </c>
      <c r="I736" s="6">
        <v>0.33200000000000002</v>
      </c>
      <c r="J736" s="6" t="str">
        <f t="shared" si="133"/>
        <v>Ohms</v>
      </c>
      <c r="K736" s="2" t="str">
        <f t="shared" si="134"/>
        <v>RTG</v>
      </c>
      <c r="L736" s="2">
        <v>51970604</v>
      </c>
      <c r="M736" s="7">
        <v>45930</v>
      </c>
      <c r="N736" s="7">
        <f t="shared" si="131"/>
        <v>46295</v>
      </c>
      <c r="O736" s="7" t="str">
        <f t="shared" si="128"/>
        <v>Anual</v>
      </c>
      <c r="P736" s="2" t="str">
        <f t="shared" ca="1" si="129"/>
        <v>VIGENTE</v>
      </c>
      <c r="Q736" s="6" t="s">
        <v>25</v>
      </c>
      <c r="R736" s="2"/>
    </row>
    <row r="737" spans="1:18" x14ac:dyDescent="0.25">
      <c r="A737" s="23" t="s">
        <v>220</v>
      </c>
      <c r="B737" s="2" t="s">
        <v>1859</v>
      </c>
      <c r="C737" s="3" t="s">
        <v>261</v>
      </c>
      <c r="D737" s="3" t="s">
        <v>23</v>
      </c>
      <c r="E737" s="2" t="s">
        <v>24</v>
      </c>
      <c r="F737" s="4">
        <v>0</v>
      </c>
      <c r="G737" s="8">
        <f t="shared" si="130"/>
        <v>1</v>
      </c>
      <c r="H737" s="4" t="str">
        <f t="shared" si="132"/>
        <v>Ohms</v>
      </c>
      <c r="I737" s="6">
        <v>0.29899999999999999</v>
      </c>
      <c r="J737" s="6" t="str">
        <f t="shared" si="133"/>
        <v>Ohms</v>
      </c>
      <c r="K737" s="2" t="str">
        <f t="shared" si="134"/>
        <v>RTG</v>
      </c>
      <c r="L737" s="2">
        <v>51970604</v>
      </c>
      <c r="M737" s="7">
        <v>45930</v>
      </c>
      <c r="N737" s="7">
        <f t="shared" si="131"/>
        <v>46295</v>
      </c>
      <c r="O737" s="7" t="str">
        <f t="shared" si="128"/>
        <v>Anual</v>
      </c>
      <c r="P737" s="2" t="str">
        <f t="shared" ca="1" si="129"/>
        <v>VIGENTE</v>
      </c>
      <c r="Q737" s="6" t="s">
        <v>25</v>
      </c>
      <c r="R737" s="2"/>
    </row>
    <row r="738" spans="1:18" x14ac:dyDescent="0.25">
      <c r="A738" s="23" t="s">
        <v>220</v>
      </c>
      <c r="B738" s="2" t="s">
        <v>1860</v>
      </c>
      <c r="C738" s="3" t="s">
        <v>822</v>
      </c>
      <c r="D738" s="3" t="s">
        <v>23</v>
      </c>
      <c r="E738" s="2" t="s">
        <v>24</v>
      </c>
      <c r="F738" s="4">
        <v>0</v>
      </c>
      <c r="G738" s="8">
        <f t="shared" si="130"/>
        <v>1</v>
      </c>
      <c r="H738" s="4" t="str">
        <f t="shared" si="132"/>
        <v>Ohms</v>
      </c>
      <c r="I738" s="6">
        <v>0.17799999999999999</v>
      </c>
      <c r="J738" s="6" t="str">
        <f t="shared" si="133"/>
        <v>Ohms</v>
      </c>
      <c r="K738" s="2" t="str">
        <f t="shared" si="134"/>
        <v>RTG</v>
      </c>
      <c r="L738" s="2">
        <v>51970604</v>
      </c>
      <c r="M738" s="7">
        <v>45930</v>
      </c>
      <c r="N738" s="7">
        <f t="shared" si="131"/>
        <v>46295</v>
      </c>
      <c r="O738" s="7" t="str">
        <f t="shared" si="128"/>
        <v>Anual</v>
      </c>
      <c r="P738" s="2" t="str">
        <f t="shared" ca="1" si="129"/>
        <v>VIGENTE</v>
      </c>
      <c r="Q738" s="6" t="s">
        <v>25</v>
      </c>
      <c r="R738" s="2"/>
    </row>
    <row r="739" spans="1:18" x14ac:dyDescent="0.25">
      <c r="A739" s="23" t="s">
        <v>220</v>
      </c>
      <c r="B739" s="2" t="s">
        <v>1861</v>
      </c>
      <c r="C739" s="3" t="s">
        <v>265</v>
      </c>
      <c r="D739" s="3" t="s">
        <v>23</v>
      </c>
      <c r="E739" s="2" t="s">
        <v>24</v>
      </c>
      <c r="F739" s="4">
        <v>0</v>
      </c>
      <c r="G739" s="8">
        <f t="shared" si="130"/>
        <v>1</v>
      </c>
      <c r="H739" s="4" t="str">
        <f t="shared" si="132"/>
        <v>Ohms</v>
      </c>
      <c r="I739" s="6">
        <v>0.33700000000000002</v>
      </c>
      <c r="J739" s="6" t="str">
        <f t="shared" si="133"/>
        <v>Ohms</v>
      </c>
      <c r="K739" s="2" t="str">
        <f t="shared" si="134"/>
        <v>RTG</v>
      </c>
      <c r="L739" s="2">
        <v>51970604</v>
      </c>
      <c r="M739" s="7">
        <v>45930</v>
      </c>
      <c r="N739" s="7">
        <f t="shared" si="131"/>
        <v>46295</v>
      </c>
      <c r="O739" s="7" t="str">
        <f t="shared" si="128"/>
        <v>Anual</v>
      </c>
      <c r="P739" s="2" t="str">
        <f t="shared" ca="1" si="129"/>
        <v>VIGENTE</v>
      </c>
      <c r="Q739" s="6" t="s">
        <v>25</v>
      </c>
      <c r="R739" s="2"/>
    </row>
    <row r="740" spans="1:18" x14ac:dyDescent="0.25">
      <c r="A740" s="23" t="s">
        <v>220</v>
      </c>
      <c r="B740" s="2" t="s">
        <v>1862</v>
      </c>
      <c r="C740" s="3" t="s">
        <v>261</v>
      </c>
      <c r="D740" s="3" t="s">
        <v>23</v>
      </c>
      <c r="E740" s="2" t="s">
        <v>24</v>
      </c>
      <c r="F740" s="4">
        <v>0</v>
      </c>
      <c r="G740" s="8">
        <f t="shared" si="130"/>
        <v>1</v>
      </c>
      <c r="H740" s="4" t="str">
        <f t="shared" si="132"/>
        <v>Ohms</v>
      </c>
      <c r="I740" s="6">
        <v>0.997</v>
      </c>
      <c r="J740" s="6" t="str">
        <f t="shared" si="133"/>
        <v>Ohms</v>
      </c>
      <c r="K740" s="2" t="str">
        <f t="shared" si="134"/>
        <v>RTG</v>
      </c>
      <c r="L740" s="2">
        <v>51970604</v>
      </c>
      <c r="M740" s="7">
        <v>45930</v>
      </c>
      <c r="N740" s="7">
        <f t="shared" si="131"/>
        <v>46295</v>
      </c>
      <c r="O740" s="7" t="str">
        <f t="shared" si="128"/>
        <v>Anual</v>
      </c>
      <c r="P740" s="2" t="str">
        <f t="shared" ca="1" si="129"/>
        <v>VIGENTE</v>
      </c>
      <c r="Q740" s="6" t="s">
        <v>25</v>
      </c>
      <c r="R740" s="2"/>
    </row>
    <row r="741" spans="1:18" x14ac:dyDescent="0.25">
      <c r="A741" s="23" t="s">
        <v>220</v>
      </c>
      <c r="B741" s="2" t="s">
        <v>1863</v>
      </c>
      <c r="C741" s="3" t="s">
        <v>828</v>
      </c>
      <c r="D741" s="3" t="s">
        <v>23</v>
      </c>
      <c r="E741" s="2" t="s">
        <v>24</v>
      </c>
      <c r="F741" s="4">
        <v>0</v>
      </c>
      <c r="G741" s="8">
        <f t="shared" si="130"/>
        <v>1</v>
      </c>
      <c r="H741" s="4" t="str">
        <f t="shared" si="132"/>
        <v>Ohms</v>
      </c>
      <c r="I741" s="6">
        <v>0.14199999999999999</v>
      </c>
      <c r="J741" s="6" t="str">
        <f t="shared" si="133"/>
        <v>Ohms</v>
      </c>
      <c r="K741" s="2" t="str">
        <f t="shared" si="134"/>
        <v>RTG</v>
      </c>
      <c r="L741" s="2">
        <v>51970604</v>
      </c>
      <c r="M741" s="7">
        <v>45930</v>
      </c>
      <c r="N741" s="7">
        <f t="shared" si="131"/>
        <v>46295</v>
      </c>
      <c r="O741" s="7" t="str">
        <f t="shared" si="128"/>
        <v>Anual</v>
      </c>
      <c r="P741" s="2" t="str">
        <f t="shared" ca="1" si="129"/>
        <v>VIGENTE</v>
      </c>
      <c r="Q741" s="6" t="s">
        <v>25</v>
      </c>
      <c r="R741" s="2"/>
    </row>
    <row r="742" spans="1:18" x14ac:dyDescent="0.25">
      <c r="A742" s="23" t="s">
        <v>220</v>
      </c>
      <c r="B742" s="2" t="s">
        <v>1864</v>
      </c>
      <c r="C742" s="3" t="s">
        <v>828</v>
      </c>
      <c r="D742" s="3" t="s">
        <v>23</v>
      </c>
      <c r="E742" s="2" t="s">
        <v>24</v>
      </c>
      <c r="F742" s="4">
        <v>0</v>
      </c>
      <c r="G742" s="8">
        <f t="shared" si="130"/>
        <v>1</v>
      </c>
      <c r="H742" s="4" t="str">
        <f t="shared" si="132"/>
        <v>Ohms</v>
      </c>
      <c r="I742" s="6">
        <v>0.14099999999999999</v>
      </c>
      <c r="J742" s="6" t="str">
        <f t="shared" si="133"/>
        <v>Ohms</v>
      </c>
      <c r="K742" s="2" t="str">
        <f t="shared" si="134"/>
        <v>RTG</v>
      </c>
      <c r="L742" s="2">
        <v>51970604</v>
      </c>
      <c r="M742" s="7">
        <v>45930</v>
      </c>
      <c r="N742" s="7">
        <f t="shared" si="131"/>
        <v>46295</v>
      </c>
      <c r="O742" s="7" t="str">
        <f t="shared" si="128"/>
        <v>Anual</v>
      </c>
      <c r="P742" s="2" t="str">
        <f t="shared" ca="1" si="129"/>
        <v>VIGENTE</v>
      </c>
      <c r="Q742" s="6" t="s">
        <v>25</v>
      </c>
      <c r="R742" s="2"/>
    </row>
    <row r="743" spans="1:18" x14ac:dyDescent="0.25">
      <c r="A743" s="23" t="s">
        <v>220</v>
      </c>
      <c r="B743" s="2" t="s">
        <v>1865</v>
      </c>
      <c r="C743" s="3" t="s">
        <v>828</v>
      </c>
      <c r="D743" s="3" t="s">
        <v>23</v>
      </c>
      <c r="E743" s="2" t="s">
        <v>24</v>
      </c>
      <c r="F743" s="4">
        <v>0</v>
      </c>
      <c r="G743" s="8">
        <f t="shared" si="130"/>
        <v>1</v>
      </c>
      <c r="H743" s="4" t="str">
        <f t="shared" si="132"/>
        <v>Ohms</v>
      </c>
      <c r="I743" s="6">
        <v>0.152</v>
      </c>
      <c r="J743" s="6" t="str">
        <f t="shared" si="133"/>
        <v>Ohms</v>
      </c>
      <c r="K743" s="2" t="str">
        <f t="shared" si="134"/>
        <v>RTG</v>
      </c>
      <c r="L743" s="2">
        <v>51970604</v>
      </c>
      <c r="M743" s="7">
        <v>45930</v>
      </c>
      <c r="N743" s="7">
        <f t="shared" si="131"/>
        <v>46295</v>
      </c>
      <c r="O743" s="7" t="str">
        <f t="shared" si="128"/>
        <v>Anual</v>
      </c>
      <c r="P743" s="2" t="str">
        <f t="shared" ca="1" si="129"/>
        <v>VIGENTE</v>
      </c>
      <c r="Q743" s="6" t="s">
        <v>25</v>
      </c>
      <c r="R743" s="2"/>
    </row>
    <row r="744" spans="1:18" x14ac:dyDescent="0.25">
      <c r="A744" s="23" t="s">
        <v>220</v>
      </c>
      <c r="B744" s="2" t="s">
        <v>1866</v>
      </c>
      <c r="C744" s="3" t="s">
        <v>828</v>
      </c>
      <c r="D744" s="3" t="s">
        <v>23</v>
      </c>
      <c r="E744" s="2" t="s">
        <v>24</v>
      </c>
      <c r="F744" s="4">
        <v>0</v>
      </c>
      <c r="G744" s="8">
        <f t="shared" si="130"/>
        <v>1</v>
      </c>
      <c r="H744" s="4" t="str">
        <f t="shared" si="132"/>
        <v>Ohms</v>
      </c>
      <c r="I744" s="6">
        <v>0.14599999999999999</v>
      </c>
      <c r="J744" s="6" t="str">
        <f t="shared" si="133"/>
        <v>Ohms</v>
      </c>
      <c r="K744" s="2" t="str">
        <f t="shared" si="134"/>
        <v>RTG</v>
      </c>
      <c r="L744" s="2">
        <v>51970604</v>
      </c>
      <c r="M744" s="7">
        <v>45930</v>
      </c>
      <c r="N744" s="7">
        <f t="shared" si="131"/>
        <v>46295</v>
      </c>
      <c r="O744" s="7" t="str">
        <f t="shared" si="128"/>
        <v>Anual</v>
      </c>
      <c r="P744" s="2" t="str">
        <f t="shared" ca="1" si="129"/>
        <v>VIGENTE</v>
      </c>
      <c r="Q744" s="6" t="s">
        <v>25</v>
      </c>
      <c r="R744" s="2"/>
    </row>
    <row r="745" spans="1:18" x14ac:dyDescent="0.25">
      <c r="A745" s="23" t="s">
        <v>220</v>
      </c>
      <c r="B745" s="2" t="s">
        <v>1867</v>
      </c>
      <c r="C745" s="3" t="s">
        <v>828</v>
      </c>
      <c r="D745" s="3" t="s">
        <v>23</v>
      </c>
      <c r="E745" s="2" t="s">
        <v>24</v>
      </c>
      <c r="F745" s="4">
        <v>0</v>
      </c>
      <c r="G745" s="8">
        <f t="shared" si="130"/>
        <v>1</v>
      </c>
      <c r="H745" s="4" t="str">
        <f t="shared" si="132"/>
        <v>Ohms</v>
      </c>
      <c r="I745" s="6">
        <v>0.15</v>
      </c>
      <c r="J745" s="6" t="str">
        <f t="shared" si="133"/>
        <v>Ohms</v>
      </c>
      <c r="K745" s="2" t="str">
        <f t="shared" si="134"/>
        <v>RTG</v>
      </c>
      <c r="L745" s="2">
        <v>51970604</v>
      </c>
      <c r="M745" s="7">
        <v>45930</v>
      </c>
      <c r="N745" s="7">
        <f t="shared" si="131"/>
        <v>46295</v>
      </c>
      <c r="O745" s="7" t="str">
        <f t="shared" si="128"/>
        <v>Anual</v>
      </c>
      <c r="P745" s="2" t="str">
        <f t="shared" ca="1" si="129"/>
        <v>VIGENTE</v>
      </c>
      <c r="Q745" s="6" t="s">
        <v>25</v>
      </c>
      <c r="R745" s="2"/>
    </row>
    <row r="746" spans="1:18" x14ac:dyDescent="0.25">
      <c r="A746" s="23" t="s">
        <v>220</v>
      </c>
      <c r="B746" s="2" t="s">
        <v>1868</v>
      </c>
      <c r="C746" s="3" t="s">
        <v>828</v>
      </c>
      <c r="D746" s="3" t="s">
        <v>23</v>
      </c>
      <c r="E746" s="2" t="s">
        <v>24</v>
      </c>
      <c r="F746" s="4">
        <v>0</v>
      </c>
      <c r="G746" s="8">
        <f t="shared" si="130"/>
        <v>1</v>
      </c>
      <c r="H746" s="4" t="str">
        <f t="shared" si="132"/>
        <v>Ohms</v>
      </c>
      <c r="I746" s="6">
        <v>0.151</v>
      </c>
      <c r="J746" s="6" t="str">
        <f t="shared" si="133"/>
        <v>Ohms</v>
      </c>
      <c r="K746" s="2" t="str">
        <f t="shared" si="134"/>
        <v>RTG</v>
      </c>
      <c r="L746" s="2">
        <v>51970604</v>
      </c>
      <c r="M746" s="7">
        <v>45930</v>
      </c>
      <c r="N746" s="7">
        <f t="shared" si="131"/>
        <v>46295</v>
      </c>
      <c r="O746" s="7" t="str">
        <f t="shared" si="128"/>
        <v>Anual</v>
      </c>
      <c r="P746" s="2" t="str">
        <f t="shared" ca="1" si="129"/>
        <v>VIGENTE</v>
      </c>
      <c r="Q746" s="6" t="s">
        <v>25</v>
      </c>
      <c r="R746" s="2"/>
    </row>
    <row r="747" spans="1:18" x14ac:dyDescent="0.25">
      <c r="A747" s="23" t="s">
        <v>220</v>
      </c>
      <c r="B747" s="2" t="s">
        <v>1869</v>
      </c>
      <c r="C747" s="3" t="s">
        <v>261</v>
      </c>
      <c r="D747" s="3" t="s">
        <v>23</v>
      </c>
      <c r="E747" s="2" t="s">
        <v>24</v>
      </c>
      <c r="F747" s="4">
        <v>0</v>
      </c>
      <c r="G747" s="8">
        <f t="shared" si="130"/>
        <v>1</v>
      </c>
      <c r="H747" s="4" t="str">
        <f t="shared" si="132"/>
        <v>Ohms</v>
      </c>
      <c r="I747" s="6">
        <v>0.44600000000000001</v>
      </c>
      <c r="J747" s="6" t="str">
        <f t="shared" si="133"/>
        <v>Ohms</v>
      </c>
      <c r="K747" s="2" t="str">
        <f t="shared" si="134"/>
        <v>RTG</v>
      </c>
      <c r="L747" s="2">
        <v>51970604</v>
      </c>
      <c r="M747" s="7">
        <v>45930</v>
      </c>
      <c r="N747" s="7">
        <f t="shared" si="131"/>
        <v>46295</v>
      </c>
      <c r="O747" s="7" t="str">
        <f t="shared" si="128"/>
        <v>Anual</v>
      </c>
      <c r="P747" s="2" t="str">
        <f t="shared" ca="1" si="129"/>
        <v>VIGENTE</v>
      </c>
      <c r="Q747" s="6" t="s">
        <v>25</v>
      </c>
      <c r="R747" s="2"/>
    </row>
    <row r="748" spans="1:18" x14ac:dyDescent="0.25">
      <c r="A748" s="23" t="s">
        <v>220</v>
      </c>
      <c r="B748" s="2" t="s">
        <v>1870</v>
      </c>
      <c r="C748" s="3" t="s">
        <v>838</v>
      </c>
      <c r="D748" s="3" t="s">
        <v>23</v>
      </c>
      <c r="E748" s="2" t="s">
        <v>24</v>
      </c>
      <c r="F748" s="4">
        <v>0</v>
      </c>
      <c r="G748" s="8">
        <f t="shared" si="130"/>
        <v>1</v>
      </c>
      <c r="H748" s="4" t="str">
        <f t="shared" si="132"/>
        <v>Ohms</v>
      </c>
      <c r="I748" s="6">
        <v>0.17699999999999999</v>
      </c>
      <c r="J748" s="6" t="str">
        <f t="shared" si="133"/>
        <v>Ohms</v>
      </c>
      <c r="K748" s="2" t="str">
        <f t="shared" si="134"/>
        <v>RTG</v>
      </c>
      <c r="L748" s="2">
        <v>51970604</v>
      </c>
      <c r="M748" s="7">
        <v>45930</v>
      </c>
      <c r="N748" s="7">
        <f t="shared" si="131"/>
        <v>46295</v>
      </c>
      <c r="O748" s="7" t="str">
        <f t="shared" si="128"/>
        <v>Anual</v>
      </c>
      <c r="P748" s="2" t="str">
        <f t="shared" ca="1" si="129"/>
        <v>VIGENTE</v>
      </c>
      <c r="Q748" s="6" t="s">
        <v>25</v>
      </c>
      <c r="R748" s="2"/>
    </row>
    <row r="749" spans="1:18" x14ac:dyDescent="0.25">
      <c r="A749" s="23" t="s">
        <v>220</v>
      </c>
      <c r="B749" s="2" t="s">
        <v>1871</v>
      </c>
      <c r="C749" s="3" t="s">
        <v>261</v>
      </c>
      <c r="D749" s="3" t="s">
        <v>23</v>
      </c>
      <c r="E749" s="2" t="s">
        <v>24</v>
      </c>
      <c r="F749" s="4">
        <v>0</v>
      </c>
      <c r="G749" s="8">
        <f t="shared" si="130"/>
        <v>1</v>
      </c>
      <c r="H749" s="4" t="str">
        <f t="shared" si="132"/>
        <v>Ohms</v>
      </c>
      <c r="I749" s="6">
        <v>0.40200000000000002</v>
      </c>
      <c r="J749" s="6" t="str">
        <f t="shared" si="133"/>
        <v>Ohms</v>
      </c>
      <c r="K749" s="2" t="str">
        <f t="shared" si="134"/>
        <v>RTG</v>
      </c>
      <c r="L749" s="2">
        <v>51970604</v>
      </c>
      <c r="M749" s="7">
        <v>45930</v>
      </c>
      <c r="N749" s="7">
        <f t="shared" si="131"/>
        <v>46295</v>
      </c>
      <c r="O749" s="7" t="str">
        <f t="shared" si="128"/>
        <v>Anual</v>
      </c>
      <c r="P749" s="2" t="str">
        <f t="shared" ca="1" si="129"/>
        <v>VIGENTE</v>
      </c>
      <c r="Q749" s="6" t="s">
        <v>25</v>
      </c>
      <c r="R749" s="2"/>
    </row>
    <row r="750" spans="1:18" x14ac:dyDescent="0.25">
      <c r="A750" s="23" t="s">
        <v>220</v>
      </c>
      <c r="B750" s="2" t="s">
        <v>1872</v>
      </c>
      <c r="C750" s="3" t="s">
        <v>844</v>
      </c>
      <c r="D750" s="3" t="s">
        <v>23</v>
      </c>
      <c r="E750" s="2" t="s">
        <v>24</v>
      </c>
      <c r="F750" s="4">
        <v>0</v>
      </c>
      <c r="G750" s="8">
        <f t="shared" si="130"/>
        <v>1</v>
      </c>
      <c r="H750" s="4" t="str">
        <f t="shared" si="132"/>
        <v>Ohms</v>
      </c>
      <c r="I750" s="6">
        <v>0.48599999999999999</v>
      </c>
      <c r="J750" s="6" t="str">
        <f t="shared" si="133"/>
        <v>Ohms</v>
      </c>
      <c r="K750" s="2" t="str">
        <f t="shared" si="134"/>
        <v>RTG</v>
      </c>
      <c r="L750" s="2">
        <v>51970604</v>
      </c>
      <c r="M750" s="7">
        <v>45930</v>
      </c>
      <c r="N750" s="7">
        <f t="shared" si="131"/>
        <v>46295</v>
      </c>
      <c r="O750" s="7" t="str">
        <f t="shared" si="128"/>
        <v>Anual</v>
      </c>
      <c r="P750" s="2" t="str">
        <f t="shared" ca="1" si="129"/>
        <v>VIGENTE</v>
      </c>
      <c r="Q750" s="6" t="s">
        <v>25</v>
      </c>
      <c r="R750" s="2"/>
    </row>
    <row r="751" spans="1:18" x14ac:dyDescent="0.25">
      <c r="A751" s="23" t="s">
        <v>220</v>
      </c>
      <c r="B751" s="2" t="s">
        <v>1873</v>
      </c>
      <c r="C751" s="3" t="s">
        <v>847</v>
      </c>
      <c r="D751" s="3" t="s">
        <v>23</v>
      </c>
      <c r="E751" s="2" t="s">
        <v>24</v>
      </c>
      <c r="F751" s="4">
        <v>0</v>
      </c>
      <c r="G751" s="8">
        <f t="shared" si="130"/>
        <v>1</v>
      </c>
      <c r="H751" s="4" t="str">
        <f t="shared" si="132"/>
        <v>Ohms</v>
      </c>
      <c r="I751" s="6">
        <v>0.23699999999999999</v>
      </c>
      <c r="J751" s="6" t="str">
        <f t="shared" si="133"/>
        <v>Ohms</v>
      </c>
      <c r="K751" s="2" t="str">
        <f t="shared" si="134"/>
        <v>RTG</v>
      </c>
      <c r="L751" s="2">
        <v>51970604</v>
      </c>
      <c r="M751" s="7">
        <v>45930</v>
      </c>
      <c r="N751" s="7">
        <f t="shared" si="131"/>
        <v>46295</v>
      </c>
      <c r="O751" s="7" t="str">
        <f t="shared" si="128"/>
        <v>Anual</v>
      </c>
      <c r="P751" s="2" t="str">
        <f t="shared" ca="1" si="129"/>
        <v>VIGENTE</v>
      </c>
      <c r="Q751" s="6" t="s">
        <v>25</v>
      </c>
      <c r="R751" s="2"/>
    </row>
    <row r="752" spans="1:18" x14ac:dyDescent="0.25">
      <c r="A752" s="23" t="s">
        <v>220</v>
      </c>
      <c r="B752" s="2" t="s">
        <v>1874</v>
      </c>
      <c r="C752" s="3" t="s">
        <v>265</v>
      </c>
      <c r="D752" s="3" t="s">
        <v>23</v>
      </c>
      <c r="E752" s="2" t="s">
        <v>24</v>
      </c>
      <c r="F752" s="4">
        <v>0</v>
      </c>
      <c r="G752" s="8">
        <f t="shared" si="130"/>
        <v>1</v>
      </c>
      <c r="H752" s="4" t="str">
        <f t="shared" si="132"/>
        <v>Ohms</v>
      </c>
      <c r="I752" s="6">
        <v>0.498</v>
      </c>
      <c r="J752" s="6" t="str">
        <f t="shared" si="133"/>
        <v>Ohms</v>
      </c>
      <c r="K752" s="2" t="str">
        <f t="shared" si="134"/>
        <v>RTG</v>
      </c>
      <c r="L752" s="2">
        <v>51970604</v>
      </c>
      <c r="M752" s="7">
        <v>45930</v>
      </c>
      <c r="N752" s="7">
        <f t="shared" si="131"/>
        <v>46295</v>
      </c>
      <c r="O752" s="7" t="str">
        <f t="shared" si="128"/>
        <v>Anual</v>
      </c>
      <c r="P752" s="2" t="str">
        <f t="shared" ca="1" si="129"/>
        <v>VIGENTE</v>
      </c>
      <c r="Q752" s="6" t="s">
        <v>25</v>
      </c>
      <c r="R752" s="2"/>
    </row>
    <row r="753" spans="1:18" x14ac:dyDescent="0.25">
      <c r="A753" s="23" t="s">
        <v>220</v>
      </c>
      <c r="B753" s="2" t="s">
        <v>1875</v>
      </c>
      <c r="C753" s="3" t="s">
        <v>836</v>
      </c>
      <c r="D753" s="3" t="s">
        <v>23</v>
      </c>
      <c r="E753" s="2" t="s">
        <v>24</v>
      </c>
      <c r="F753" s="4">
        <v>0</v>
      </c>
      <c r="G753" s="8">
        <f t="shared" si="130"/>
        <v>1</v>
      </c>
      <c r="H753" s="4" t="str">
        <f t="shared" si="132"/>
        <v>Ohms</v>
      </c>
      <c r="I753" s="6">
        <v>0.26</v>
      </c>
      <c r="J753" s="6" t="str">
        <f t="shared" si="133"/>
        <v>Ohms</v>
      </c>
      <c r="K753" s="2" t="str">
        <f t="shared" si="134"/>
        <v>RTG</v>
      </c>
      <c r="L753" s="2">
        <v>51970604</v>
      </c>
      <c r="M753" s="7">
        <v>45930</v>
      </c>
      <c r="N753" s="7">
        <f t="shared" si="131"/>
        <v>46295</v>
      </c>
      <c r="O753" s="7" t="str">
        <f t="shared" si="128"/>
        <v>Anual</v>
      </c>
      <c r="P753" s="2" t="str">
        <f t="shared" ca="1" si="129"/>
        <v>VIGENTE</v>
      </c>
      <c r="Q753" s="6" t="s">
        <v>25</v>
      </c>
      <c r="R753" s="2"/>
    </row>
    <row r="754" spans="1:18" x14ac:dyDescent="0.25">
      <c r="A754" s="23" t="s">
        <v>220</v>
      </c>
      <c r="B754" s="2" t="s">
        <v>1876</v>
      </c>
      <c r="C754" s="3" t="s">
        <v>259</v>
      </c>
      <c r="D754" s="3" t="s">
        <v>23</v>
      </c>
      <c r="E754" s="2" t="s">
        <v>24</v>
      </c>
      <c r="F754" s="4">
        <v>0</v>
      </c>
      <c r="G754" s="8">
        <f t="shared" si="130"/>
        <v>1</v>
      </c>
      <c r="H754" s="4" t="str">
        <f t="shared" si="132"/>
        <v>Ohms</v>
      </c>
      <c r="I754" s="6">
        <v>0.26100000000000001</v>
      </c>
      <c r="J754" s="6" t="str">
        <f t="shared" si="133"/>
        <v>Ohms</v>
      </c>
      <c r="K754" s="2" t="str">
        <f t="shared" si="134"/>
        <v>RTG</v>
      </c>
      <c r="L754" s="2">
        <v>51970604</v>
      </c>
      <c r="M754" s="7">
        <v>45930</v>
      </c>
      <c r="N754" s="7">
        <f t="shared" si="131"/>
        <v>46295</v>
      </c>
      <c r="O754" s="7" t="str">
        <f t="shared" si="128"/>
        <v>Anual</v>
      </c>
      <c r="P754" s="2" t="str">
        <f t="shared" ca="1" si="129"/>
        <v>VIGENTE</v>
      </c>
      <c r="Q754" s="6" t="s">
        <v>25</v>
      </c>
      <c r="R754" s="2"/>
    </row>
    <row r="755" spans="1:18" x14ac:dyDescent="0.25">
      <c r="A755" s="23" t="s">
        <v>140</v>
      </c>
      <c r="B755" s="2" t="s">
        <v>1882</v>
      </c>
      <c r="C755" s="3" t="s">
        <v>1169</v>
      </c>
      <c r="D755" s="3" t="s">
        <v>23</v>
      </c>
      <c r="E755" s="2" t="s">
        <v>24</v>
      </c>
      <c r="F755" s="4">
        <v>0</v>
      </c>
      <c r="G755" s="8">
        <f t="shared" si="130"/>
        <v>1</v>
      </c>
      <c r="H755" s="4" t="str">
        <f t="shared" si="132"/>
        <v>Ohms</v>
      </c>
      <c r="I755" s="6">
        <v>0.68100000000000005</v>
      </c>
      <c r="J755" s="6" t="str">
        <f t="shared" si="133"/>
        <v>Ohms</v>
      </c>
      <c r="K755" s="2" t="str">
        <f t="shared" si="134"/>
        <v>RTG</v>
      </c>
      <c r="L755" s="2">
        <v>56096766</v>
      </c>
      <c r="M755" s="7">
        <v>46076</v>
      </c>
      <c r="N755" s="7">
        <f t="shared" si="131"/>
        <v>46441</v>
      </c>
      <c r="O755" s="7" t="str">
        <f t="shared" si="128"/>
        <v>Anual</v>
      </c>
      <c r="P755" s="2" t="str">
        <f t="shared" ca="1" si="129"/>
        <v>VIGENTE</v>
      </c>
      <c r="Q755" s="6" t="s">
        <v>25</v>
      </c>
      <c r="R755" s="2"/>
    </row>
    <row r="756" spans="1:18" x14ac:dyDescent="0.25">
      <c r="A756" s="23" t="s">
        <v>140</v>
      </c>
      <c r="B756" s="2" t="s">
        <v>1883</v>
      </c>
      <c r="C756" s="3" t="s">
        <v>261</v>
      </c>
      <c r="D756" s="3" t="s">
        <v>23</v>
      </c>
      <c r="E756" s="2" t="s">
        <v>24</v>
      </c>
      <c r="F756" s="4">
        <v>0</v>
      </c>
      <c r="G756" s="8">
        <f t="shared" si="130"/>
        <v>1</v>
      </c>
      <c r="H756" s="4" t="str">
        <f t="shared" si="132"/>
        <v>Ohms</v>
      </c>
      <c r="I756" s="6">
        <v>0.56200000000000006</v>
      </c>
      <c r="J756" s="6" t="str">
        <f t="shared" si="133"/>
        <v>Ohms</v>
      </c>
      <c r="K756" s="2" t="str">
        <f t="shared" si="134"/>
        <v>RTG</v>
      </c>
      <c r="L756" s="2">
        <v>56096766</v>
      </c>
      <c r="M756" s="7">
        <v>46076</v>
      </c>
      <c r="N756" s="7">
        <f t="shared" si="131"/>
        <v>46441</v>
      </c>
      <c r="O756" s="7" t="str">
        <f t="shared" si="128"/>
        <v>Anual</v>
      </c>
      <c r="P756" s="2" t="str">
        <f t="shared" ca="1" si="129"/>
        <v>VIGENTE</v>
      </c>
      <c r="Q756" s="6" t="s">
        <v>25</v>
      </c>
      <c r="R756" s="2"/>
    </row>
    <row r="757" spans="1:18" x14ac:dyDescent="0.25">
      <c r="A757" s="23" t="s">
        <v>140</v>
      </c>
      <c r="B757" s="2" t="s">
        <v>1884</v>
      </c>
      <c r="C757" s="3" t="s">
        <v>1885</v>
      </c>
      <c r="D757" s="3" t="s">
        <v>23</v>
      </c>
      <c r="E757" s="2" t="s">
        <v>24</v>
      </c>
      <c r="F757" s="4">
        <v>0</v>
      </c>
      <c r="G757" s="8">
        <f t="shared" si="130"/>
        <v>1</v>
      </c>
      <c r="H757" s="4" t="str">
        <f t="shared" si="132"/>
        <v>Ohms</v>
      </c>
      <c r="I757" s="6">
        <v>0.53500000000000003</v>
      </c>
      <c r="J757" s="6" t="str">
        <f t="shared" si="133"/>
        <v>Ohms</v>
      </c>
      <c r="K757" s="2" t="str">
        <f t="shared" si="134"/>
        <v>RTG</v>
      </c>
      <c r="L757" s="2">
        <v>56096766</v>
      </c>
      <c r="M757" s="7">
        <v>46076</v>
      </c>
      <c r="N757" s="7">
        <f t="shared" si="131"/>
        <v>46441</v>
      </c>
      <c r="O757" s="7" t="str">
        <f t="shared" si="128"/>
        <v>Anual</v>
      </c>
      <c r="P757" s="2" t="str">
        <f t="shared" ca="1" si="129"/>
        <v>VIGENTE</v>
      </c>
      <c r="Q757" s="6" t="s">
        <v>25</v>
      </c>
      <c r="R757" s="2"/>
    </row>
    <row r="758" spans="1:18" x14ac:dyDescent="0.25">
      <c r="A758" s="23" t="s">
        <v>140</v>
      </c>
      <c r="B758" s="2" t="s">
        <v>1886</v>
      </c>
      <c r="C758" s="3" t="s">
        <v>747</v>
      </c>
      <c r="D758" s="3" t="s">
        <v>23</v>
      </c>
      <c r="E758" s="2" t="s">
        <v>24</v>
      </c>
      <c r="F758" s="4">
        <v>0</v>
      </c>
      <c r="G758" s="8">
        <f t="shared" si="130"/>
        <v>1</v>
      </c>
      <c r="H758" s="4" t="str">
        <f t="shared" si="132"/>
        <v>Ohms</v>
      </c>
      <c r="I758" s="6">
        <v>0.38400000000000001</v>
      </c>
      <c r="J758" s="6" t="str">
        <f t="shared" si="133"/>
        <v>Ohms</v>
      </c>
      <c r="K758" s="2" t="str">
        <f t="shared" si="134"/>
        <v>RTG</v>
      </c>
      <c r="L758" s="2">
        <v>56096766</v>
      </c>
      <c r="M758" s="7">
        <v>46076</v>
      </c>
      <c r="N758" s="7">
        <f t="shared" si="131"/>
        <v>46441</v>
      </c>
      <c r="O758" s="7" t="str">
        <f t="shared" si="128"/>
        <v>Anual</v>
      </c>
      <c r="P758" s="2" t="str">
        <f t="shared" ca="1" si="129"/>
        <v>VIGENTE</v>
      </c>
      <c r="Q758" s="6" t="s">
        <v>25</v>
      </c>
      <c r="R758" s="2"/>
    </row>
    <row r="759" spans="1:18" x14ac:dyDescent="0.25">
      <c r="A759" s="23" t="s">
        <v>140</v>
      </c>
      <c r="B759" s="2" t="s">
        <v>1887</v>
      </c>
      <c r="C759" s="3" t="s">
        <v>1885</v>
      </c>
      <c r="D759" s="3" t="s">
        <v>23</v>
      </c>
      <c r="E759" s="2" t="s">
        <v>24</v>
      </c>
      <c r="F759" s="4">
        <v>0</v>
      </c>
      <c r="G759" s="8">
        <f t="shared" si="130"/>
        <v>1</v>
      </c>
      <c r="H759" s="4" t="str">
        <f t="shared" si="132"/>
        <v>Ohms</v>
      </c>
      <c r="I759" s="6">
        <v>0.47499999999999998</v>
      </c>
      <c r="J759" s="6" t="str">
        <f t="shared" si="133"/>
        <v>Ohms</v>
      </c>
      <c r="K759" s="2" t="str">
        <f t="shared" si="134"/>
        <v>RTG</v>
      </c>
      <c r="L759" s="2">
        <v>56096766</v>
      </c>
      <c r="M759" s="7">
        <v>46076</v>
      </c>
      <c r="N759" s="7">
        <f t="shared" si="131"/>
        <v>46441</v>
      </c>
      <c r="O759" s="7" t="str">
        <f t="shared" si="128"/>
        <v>Anual</v>
      </c>
      <c r="P759" s="2" t="str">
        <f t="shared" ca="1" si="129"/>
        <v>VIGENTE</v>
      </c>
      <c r="Q759" s="6" t="s">
        <v>25</v>
      </c>
      <c r="R759" s="2"/>
    </row>
    <row r="760" spans="1:18" x14ac:dyDescent="0.25">
      <c r="A760" s="23" t="s">
        <v>140</v>
      </c>
      <c r="B760" s="2" t="s">
        <v>1888</v>
      </c>
      <c r="C760" s="3" t="s">
        <v>1889</v>
      </c>
      <c r="D760" s="3" t="s">
        <v>23</v>
      </c>
      <c r="E760" s="2" t="s">
        <v>24</v>
      </c>
      <c r="F760" s="4">
        <v>0</v>
      </c>
      <c r="G760" s="8">
        <f t="shared" si="130"/>
        <v>1</v>
      </c>
      <c r="H760" s="4" t="str">
        <f t="shared" si="132"/>
        <v>Ohms</v>
      </c>
      <c r="I760" s="6">
        <v>0.57299999999999995</v>
      </c>
      <c r="J760" s="6" t="str">
        <f t="shared" si="133"/>
        <v>Ohms</v>
      </c>
      <c r="K760" s="2" t="str">
        <f t="shared" si="134"/>
        <v>RTG</v>
      </c>
      <c r="L760" s="2">
        <v>56096766</v>
      </c>
      <c r="M760" s="7">
        <v>46076</v>
      </c>
      <c r="N760" s="7">
        <f t="shared" si="131"/>
        <v>46441</v>
      </c>
      <c r="O760" s="7" t="str">
        <f t="shared" si="128"/>
        <v>Anual</v>
      </c>
      <c r="P760" s="2" t="str">
        <f t="shared" ca="1" si="129"/>
        <v>VIGENTE</v>
      </c>
      <c r="Q760" s="6" t="s">
        <v>25</v>
      </c>
      <c r="R760" s="2"/>
    </row>
    <row r="761" spans="1:18" x14ac:dyDescent="0.25">
      <c r="A761" s="23" t="s">
        <v>140</v>
      </c>
      <c r="B761" s="2" t="s">
        <v>1890</v>
      </c>
      <c r="C761" s="3" t="s">
        <v>1889</v>
      </c>
      <c r="D761" s="3" t="s">
        <v>23</v>
      </c>
      <c r="E761" s="2" t="s">
        <v>24</v>
      </c>
      <c r="F761" s="4">
        <v>0</v>
      </c>
      <c r="G761" s="8">
        <f t="shared" si="130"/>
        <v>1</v>
      </c>
      <c r="H761" s="4" t="str">
        <f t="shared" si="132"/>
        <v>Ohms</v>
      </c>
      <c r="I761" s="6">
        <v>0.42699999999999999</v>
      </c>
      <c r="J761" s="6" t="str">
        <f t="shared" si="133"/>
        <v>Ohms</v>
      </c>
      <c r="K761" s="2" t="str">
        <f t="shared" si="134"/>
        <v>RTG</v>
      </c>
      <c r="L761" s="2">
        <v>56096766</v>
      </c>
      <c r="M761" s="7">
        <v>46076</v>
      </c>
      <c r="N761" s="7">
        <f t="shared" si="131"/>
        <v>46441</v>
      </c>
      <c r="O761" s="7" t="str">
        <f t="shared" si="128"/>
        <v>Anual</v>
      </c>
      <c r="P761" s="2" t="str">
        <f t="shared" ref="P761:P796" ca="1" si="135">IF(N761&lt;TODAY(),"VENCIDO",IF(N761=TODAY(),"VIGENTE",IF(N761&gt;TODAY(),"VIGENTE")))</f>
        <v>VIGENTE</v>
      </c>
      <c r="Q761" s="6" t="s">
        <v>25</v>
      </c>
      <c r="R761" s="2"/>
    </row>
    <row r="762" spans="1:18" x14ac:dyDescent="0.25">
      <c r="A762" s="23" t="s">
        <v>140</v>
      </c>
      <c r="B762" s="2" t="s">
        <v>1891</v>
      </c>
      <c r="C762" s="3" t="s">
        <v>847</v>
      </c>
      <c r="D762" s="3" t="s">
        <v>23</v>
      </c>
      <c r="E762" s="2" t="s">
        <v>24</v>
      </c>
      <c r="F762" s="4">
        <v>0</v>
      </c>
      <c r="G762" s="8">
        <f t="shared" si="130"/>
        <v>1</v>
      </c>
      <c r="H762" s="4" t="str">
        <f t="shared" si="132"/>
        <v>Ohms</v>
      </c>
      <c r="I762" s="6">
        <v>0.57399999999999995</v>
      </c>
      <c r="J762" s="6" t="str">
        <f t="shared" si="133"/>
        <v>Ohms</v>
      </c>
      <c r="K762" s="2" t="str">
        <f t="shared" si="134"/>
        <v>RTG</v>
      </c>
      <c r="L762" s="2">
        <v>56096766</v>
      </c>
      <c r="M762" s="7">
        <v>46076</v>
      </c>
      <c r="N762" s="7">
        <f t="shared" si="131"/>
        <v>46441</v>
      </c>
      <c r="O762" s="7" t="str">
        <f t="shared" si="128"/>
        <v>Anual</v>
      </c>
      <c r="P762" s="2" t="str">
        <f t="shared" ca="1" si="135"/>
        <v>VIGENTE</v>
      </c>
      <c r="Q762" s="6" t="s">
        <v>25</v>
      </c>
      <c r="R762" s="2"/>
    </row>
    <row r="763" spans="1:18" x14ac:dyDescent="0.25">
      <c r="A763" s="23" t="s">
        <v>140</v>
      </c>
      <c r="B763" s="2" t="s">
        <v>1892</v>
      </c>
      <c r="C763" s="3" t="s">
        <v>1885</v>
      </c>
      <c r="D763" s="3" t="s">
        <v>23</v>
      </c>
      <c r="E763" s="2" t="s">
        <v>24</v>
      </c>
      <c r="F763" s="4">
        <v>0</v>
      </c>
      <c r="G763" s="8">
        <f t="shared" si="130"/>
        <v>1</v>
      </c>
      <c r="H763" s="4" t="str">
        <f t="shared" si="132"/>
        <v>Ohms</v>
      </c>
      <c r="I763" s="6">
        <v>0.78100000000000003</v>
      </c>
      <c r="J763" s="6" t="str">
        <f t="shared" si="133"/>
        <v>Ohms</v>
      </c>
      <c r="K763" s="2" t="str">
        <f t="shared" si="134"/>
        <v>RTG</v>
      </c>
      <c r="L763" s="2">
        <v>56096766</v>
      </c>
      <c r="M763" s="7">
        <v>46076</v>
      </c>
      <c r="N763" s="7">
        <f t="shared" si="131"/>
        <v>46441</v>
      </c>
      <c r="O763" s="7" t="str">
        <f t="shared" si="128"/>
        <v>Anual</v>
      </c>
      <c r="P763" s="2" t="str">
        <f t="shared" ca="1" si="135"/>
        <v>VIGENTE</v>
      </c>
      <c r="Q763" s="6" t="s">
        <v>25</v>
      </c>
      <c r="R763" s="2"/>
    </row>
    <row r="764" spans="1:18" x14ac:dyDescent="0.25">
      <c r="A764" s="23" t="s">
        <v>140</v>
      </c>
      <c r="B764" s="2" t="s">
        <v>1893</v>
      </c>
      <c r="C764" s="3" t="s">
        <v>747</v>
      </c>
      <c r="D764" s="3" t="s">
        <v>23</v>
      </c>
      <c r="E764" s="2" t="s">
        <v>24</v>
      </c>
      <c r="F764" s="4">
        <v>0</v>
      </c>
      <c r="G764" s="8">
        <f t="shared" si="130"/>
        <v>1</v>
      </c>
      <c r="H764" s="4" t="str">
        <f t="shared" si="132"/>
        <v>Ohms</v>
      </c>
      <c r="I764" s="6">
        <v>0.624</v>
      </c>
      <c r="J764" s="6" t="str">
        <f t="shared" si="133"/>
        <v>Ohms</v>
      </c>
      <c r="K764" s="2" t="str">
        <f t="shared" si="134"/>
        <v>RTG</v>
      </c>
      <c r="L764" s="2">
        <v>56096766</v>
      </c>
      <c r="M764" s="7">
        <v>46076</v>
      </c>
      <c r="N764" s="7">
        <f t="shared" ref="N764:N795" si="136">IF(O764="Trimestral", M764+90, IF(O764="Semestral", M764+180, IF(O764="Mensual", M764+30, M764+365)))</f>
        <v>46441</v>
      </c>
      <c r="O764" s="7" t="str">
        <f t="shared" si="128"/>
        <v>Anual</v>
      </c>
      <c r="P764" s="2" t="str">
        <f t="shared" ca="1" si="135"/>
        <v>VIGENTE</v>
      </c>
      <c r="Q764" s="6" t="s">
        <v>25</v>
      </c>
      <c r="R764" s="2"/>
    </row>
    <row r="765" spans="1:18" x14ac:dyDescent="0.25">
      <c r="A765" s="23" t="s">
        <v>140</v>
      </c>
      <c r="B765" s="2" t="s">
        <v>1894</v>
      </c>
      <c r="C765" s="3" t="s">
        <v>800</v>
      </c>
      <c r="D765" s="3" t="s">
        <v>23</v>
      </c>
      <c r="E765" s="2" t="s">
        <v>1239</v>
      </c>
      <c r="F765" s="4">
        <v>0</v>
      </c>
      <c r="G765" s="8">
        <f t="shared" si="130"/>
        <v>10</v>
      </c>
      <c r="H765" s="4" t="str">
        <f t="shared" ref="H765:H773" si="137">IF(C765="Ionizador", "Segundos", "Ohms")</f>
        <v>Segundos</v>
      </c>
      <c r="I765" s="6">
        <v>3</v>
      </c>
      <c r="J765" s="6" t="str">
        <f t="shared" ref="J765:J828" si="138">H765</f>
        <v>Segundos</v>
      </c>
      <c r="K765" s="2" t="str">
        <f t="shared" ref="K765:K828" si="139">IF(C765="Ionizador", "Plato de carga", IF(C765="Cautín", "PTG", IF(C765="ESD Tester", "PTP Deviation", "RTG")))</f>
        <v>Plato de carga</v>
      </c>
      <c r="L765" s="2"/>
      <c r="M765" s="7">
        <v>46367</v>
      </c>
      <c r="N765" s="7">
        <f t="shared" si="136"/>
        <v>46457</v>
      </c>
      <c r="O765" s="7" t="str">
        <f t="shared" si="128"/>
        <v>Trimestral</v>
      </c>
      <c r="P765" s="2" t="str">
        <f t="shared" ca="1" si="135"/>
        <v>VIGENTE</v>
      </c>
      <c r="Q765" s="6" t="s">
        <v>25</v>
      </c>
      <c r="R765" s="2"/>
    </row>
    <row r="766" spans="1:18" x14ac:dyDescent="0.25">
      <c r="A766" s="23" t="s">
        <v>140</v>
      </c>
      <c r="B766" s="2" t="s">
        <v>1895</v>
      </c>
      <c r="C766" s="3" t="s">
        <v>800</v>
      </c>
      <c r="D766" s="3" t="s">
        <v>23</v>
      </c>
      <c r="E766" s="2" t="s">
        <v>1239</v>
      </c>
      <c r="F766" s="4">
        <v>0</v>
      </c>
      <c r="G766" s="8">
        <f t="shared" si="130"/>
        <v>10</v>
      </c>
      <c r="H766" s="4" t="str">
        <f t="shared" si="137"/>
        <v>Segundos</v>
      </c>
      <c r="I766" s="6">
        <v>3</v>
      </c>
      <c r="J766" s="6" t="str">
        <f t="shared" si="138"/>
        <v>Segundos</v>
      </c>
      <c r="K766" s="2" t="str">
        <f t="shared" si="139"/>
        <v>Plato de carga</v>
      </c>
      <c r="L766" s="2"/>
      <c r="M766" s="7">
        <v>46367</v>
      </c>
      <c r="N766" s="7">
        <f t="shared" si="136"/>
        <v>46457</v>
      </c>
      <c r="O766" s="7" t="str">
        <f t="shared" si="128"/>
        <v>Trimestral</v>
      </c>
      <c r="P766" s="2" t="str">
        <f t="shared" ca="1" si="135"/>
        <v>VIGENTE</v>
      </c>
      <c r="Q766" s="6" t="s">
        <v>25</v>
      </c>
      <c r="R766" s="2"/>
    </row>
    <row r="767" spans="1:18" x14ac:dyDescent="0.25">
      <c r="A767" s="23" t="s">
        <v>140</v>
      </c>
      <c r="B767" s="2" t="s">
        <v>1896</v>
      </c>
      <c r="C767" s="3" t="s">
        <v>747</v>
      </c>
      <c r="D767" s="3" t="s">
        <v>23</v>
      </c>
      <c r="E767" s="2" t="s">
        <v>24</v>
      </c>
      <c r="F767" s="4">
        <v>0</v>
      </c>
      <c r="G767" s="8">
        <f t="shared" si="130"/>
        <v>1</v>
      </c>
      <c r="H767" s="4" t="str">
        <f t="shared" si="137"/>
        <v>Ohms</v>
      </c>
      <c r="I767" s="6">
        <v>0.16200000000000001</v>
      </c>
      <c r="J767" s="6" t="str">
        <f t="shared" si="138"/>
        <v>Ohms</v>
      </c>
      <c r="K767" s="2" t="str">
        <f t="shared" si="139"/>
        <v>RTG</v>
      </c>
      <c r="L767" s="2">
        <v>56096766</v>
      </c>
      <c r="M767" s="7">
        <v>46076</v>
      </c>
      <c r="N767" s="7">
        <f t="shared" si="136"/>
        <v>46441</v>
      </c>
      <c r="O767" s="7" t="str">
        <f t="shared" si="128"/>
        <v>Anual</v>
      </c>
      <c r="P767" s="2" t="str">
        <f t="shared" ca="1" si="135"/>
        <v>VIGENTE</v>
      </c>
      <c r="Q767" s="6" t="s">
        <v>25</v>
      </c>
      <c r="R767" s="2"/>
    </row>
    <row r="768" spans="1:18" x14ac:dyDescent="0.25">
      <c r="A768" s="23" t="s">
        <v>140</v>
      </c>
      <c r="B768" s="2" t="s">
        <v>1897</v>
      </c>
      <c r="C768" s="3" t="s">
        <v>261</v>
      </c>
      <c r="D768" s="3" t="s">
        <v>23</v>
      </c>
      <c r="E768" s="2" t="s">
        <v>24</v>
      </c>
      <c r="F768" s="4">
        <v>0</v>
      </c>
      <c r="G768" s="8">
        <f t="shared" si="130"/>
        <v>1</v>
      </c>
      <c r="H768" s="4" t="str">
        <f t="shared" si="137"/>
        <v>Ohms</v>
      </c>
      <c r="I768" s="6">
        <v>0.61799999999999999</v>
      </c>
      <c r="J768" s="6" t="str">
        <f t="shared" si="138"/>
        <v>Ohms</v>
      </c>
      <c r="K768" s="2" t="str">
        <f t="shared" si="139"/>
        <v>RTG</v>
      </c>
      <c r="L768" s="2">
        <v>56096766</v>
      </c>
      <c r="M768" s="7">
        <v>46076</v>
      </c>
      <c r="N768" s="7">
        <f t="shared" si="136"/>
        <v>46441</v>
      </c>
      <c r="O768" s="7" t="str">
        <f t="shared" si="128"/>
        <v>Anual</v>
      </c>
      <c r="P768" s="2" t="str">
        <f t="shared" ca="1" si="135"/>
        <v>VIGENTE</v>
      </c>
      <c r="Q768" s="6" t="s">
        <v>25</v>
      </c>
      <c r="R768" s="2"/>
    </row>
    <row r="769" spans="1:18" x14ac:dyDescent="0.25">
      <c r="A769" s="23" t="s">
        <v>140</v>
      </c>
      <c r="B769" s="2" t="s">
        <v>1898</v>
      </c>
      <c r="C769" s="3" t="s">
        <v>1169</v>
      </c>
      <c r="D769" s="3" t="s">
        <v>23</v>
      </c>
      <c r="E769" s="2" t="s">
        <v>24</v>
      </c>
      <c r="F769" s="4">
        <v>0</v>
      </c>
      <c r="G769" s="8">
        <f t="shared" si="130"/>
        <v>1</v>
      </c>
      <c r="H769" s="4" t="str">
        <f t="shared" si="137"/>
        <v>Ohms</v>
      </c>
      <c r="I769" s="6">
        <v>0.17199999999999999</v>
      </c>
      <c r="J769" s="6" t="str">
        <f t="shared" si="138"/>
        <v>Ohms</v>
      </c>
      <c r="K769" s="2" t="str">
        <f t="shared" si="139"/>
        <v>RTG</v>
      </c>
      <c r="L769" s="2">
        <v>56096766</v>
      </c>
      <c r="M769" s="7">
        <v>46076</v>
      </c>
      <c r="N769" s="7">
        <f t="shared" si="136"/>
        <v>46441</v>
      </c>
      <c r="O769" s="7" t="str">
        <f t="shared" si="128"/>
        <v>Anual</v>
      </c>
      <c r="P769" s="2" t="str">
        <f t="shared" ca="1" si="135"/>
        <v>VIGENTE</v>
      </c>
      <c r="Q769" s="6" t="s">
        <v>25</v>
      </c>
      <c r="R769" s="2"/>
    </row>
    <row r="770" spans="1:18" x14ac:dyDescent="0.25">
      <c r="A770" s="23" t="s">
        <v>140</v>
      </c>
      <c r="B770" s="2" t="s">
        <v>1899</v>
      </c>
      <c r="C770" s="3" t="s">
        <v>747</v>
      </c>
      <c r="D770" s="3" t="s">
        <v>23</v>
      </c>
      <c r="E770" s="2" t="s">
        <v>24</v>
      </c>
      <c r="F770" s="4">
        <v>0</v>
      </c>
      <c r="G770" s="8">
        <f t="shared" si="130"/>
        <v>1</v>
      </c>
      <c r="H770" s="4" t="str">
        <f t="shared" si="137"/>
        <v>Ohms</v>
      </c>
      <c r="I770" s="6">
        <v>0.61799999999999999</v>
      </c>
      <c r="J770" s="6" t="str">
        <f t="shared" si="138"/>
        <v>Ohms</v>
      </c>
      <c r="K770" s="2" t="str">
        <f t="shared" si="139"/>
        <v>RTG</v>
      </c>
      <c r="L770" s="2">
        <v>56096766</v>
      </c>
      <c r="M770" s="7">
        <v>46076</v>
      </c>
      <c r="N770" s="7">
        <f t="shared" si="136"/>
        <v>46441</v>
      </c>
      <c r="O770" s="7" t="str">
        <f t="shared" si="128"/>
        <v>Anual</v>
      </c>
      <c r="P770" s="2" t="str">
        <f t="shared" ca="1" si="135"/>
        <v>VIGENTE</v>
      </c>
      <c r="Q770" s="6" t="s">
        <v>25</v>
      </c>
      <c r="R770" s="2"/>
    </row>
    <row r="771" spans="1:18" x14ac:dyDescent="0.25">
      <c r="A771" s="23" t="s">
        <v>140</v>
      </c>
      <c r="B771" s="2" t="s">
        <v>1900</v>
      </c>
      <c r="C771" s="3" t="s">
        <v>847</v>
      </c>
      <c r="D771" s="3" t="s">
        <v>23</v>
      </c>
      <c r="E771" s="2" t="s">
        <v>24</v>
      </c>
      <c r="F771" s="4">
        <v>0</v>
      </c>
      <c r="G771" s="8">
        <f t="shared" si="130"/>
        <v>1</v>
      </c>
      <c r="H771" s="4" t="str">
        <f t="shared" si="137"/>
        <v>Ohms</v>
      </c>
      <c r="I771" s="6">
        <v>0.14699999999999999</v>
      </c>
      <c r="J771" s="6" t="str">
        <f t="shared" si="138"/>
        <v>Ohms</v>
      </c>
      <c r="K771" s="2" t="str">
        <f t="shared" si="139"/>
        <v>RTG</v>
      </c>
      <c r="L771" s="2">
        <v>56096766</v>
      </c>
      <c r="M771" s="7">
        <v>46076</v>
      </c>
      <c r="N771" s="7">
        <f t="shared" si="136"/>
        <v>46441</v>
      </c>
      <c r="O771" s="7" t="str">
        <f t="shared" si="128"/>
        <v>Anual</v>
      </c>
      <c r="P771" s="2" t="str">
        <f t="shared" ca="1" si="135"/>
        <v>VIGENTE</v>
      </c>
      <c r="Q771" s="6" t="s">
        <v>25</v>
      </c>
      <c r="R771" s="2"/>
    </row>
    <row r="772" spans="1:18" x14ac:dyDescent="0.25">
      <c r="A772" s="23" t="s">
        <v>140</v>
      </c>
      <c r="B772" s="2" t="s">
        <v>1901</v>
      </c>
      <c r="C772" s="3" t="s">
        <v>1180</v>
      </c>
      <c r="D772" s="3" t="s">
        <v>23</v>
      </c>
      <c r="E772" s="2" t="s">
        <v>24</v>
      </c>
      <c r="F772" s="4">
        <v>0</v>
      </c>
      <c r="G772" s="8">
        <f t="shared" si="130"/>
        <v>1</v>
      </c>
      <c r="H772" s="4" t="str">
        <f t="shared" si="137"/>
        <v>Ohms</v>
      </c>
      <c r="I772" s="6">
        <v>0.58099999999999996</v>
      </c>
      <c r="J772" s="6" t="str">
        <f t="shared" si="138"/>
        <v>Ohms</v>
      </c>
      <c r="K772" s="2" t="str">
        <f t="shared" si="139"/>
        <v>RTG</v>
      </c>
      <c r="L772" s="2">
        <v>56096766</v>
      </c>
      <c r="M772" s="7">
        <v>46076</v>
      </c>
      <c r="N772" s="7">
        <f t="shared" si="136"/>
        <v>46441</v>
      </c>
      <c r="O772" s="7" t="str">
        <f t="shared" si="128"/>
        <v>Anual</v>
      </c>
      <c r="P772" s="2" t="str">
        <f t="shared" ca="1" si="135"/>
        <v>VIGENTE</v>
      </c>
      <c r="Q772" s="6" t="s">
        <v>25</v>
      </c>
      <c r="R772" s="2"/>
    </row>
    <row r="773" spans="1:18" x14ac:dyDescent="0.25">
      <c r="A773" s="23" t="s">
        <v>140</v>
      </c>
      <c r="B773" s="2" t="s">
        <v>1902</v>
      </c>
      <c r="C773" s="3" t="s">
        <v>1180</v>
      </c>
      <c r="D773" s="3" t="s">
        <v>23</v>
      </c>
      <c r="E773" s="2" t="s">
        <v>24</v>
      </c>
      <c r="F773" s="4">
        <v>0</v>
      </c>
      <c r="G773" s="8">
        <f t="shared" si="130"/>
        <v>1</v>
      </c>
      <c r="H773" s="4" t="str">
        <f t="shared" si="137"/>
        <v>Ohms</v>
      </c>
      <c r="I773" s="6">
        <v>0.17499999999999999</v>
      </c>
      <c r="J773" s="6" t="str">
        <f t="shared" si="138"/>
        <v>Ohms</v>
      </c>
      <c r="K773" s="2" t="str">
        <f t="shared" si="139"/>
        <v>RTG</v>
      </c>
      <c r="L773" s="2">
        <v>56096766</v>
      </c>
      <c r="M773" s="7">
        <v>46076</v>
      </c>
      <c r="N773" s="7">
        <f t="shared" si="136"/>
        <v>46441</v>
      </c>
      <c r="O773" s="7" t="str">
        <f t="shared" si="128"/>
        <v>Anual</v>
      </c>
      <c r="P773" s="2" t="str">
        <f t="shared" ca="1" si="135"/>
        <v>VIGENTE</v>
      </c>
      <c r="Q773" s="6" t="s">
        <v>25</v>
      </c>
      <c r="R773" s="2"/>
    </row>
    <row r="774" spans="1:18" x14ac:dyDescent="0.25">
      <c r="A774" s="23" t="s">
        <v>1903</v>
      </c>
      <c r="B774" s="2" t="s">
        <v>1904</v>
      </c>
      <c r="C774" s="3" t="s">
        <v>1905</v>
      </c>
      <c r="D774" s="3" t="s">
        <v>23</v>
      </c>
      <c r="E774" s="2" t="s">
        <v>1906</v>
      </c>
      <c r="F774" s="47">
        <v>0</v>
      </c>
      <c r="G774" s="47">
        <v>0.05</v>
      </c>
      <c r="H774" s="4" t="s">
        <v>1907</v>
      </c>
      <c r="I774" s="5">
        <v>0.43499999999999994</v>
      </c>
      <c r="J774" s="2" t="str">
        <f t="shared" si="138"/>
        <v>Deviation</v>
      </c>
      <c r="K774" s="2" t="str">
        <f t="shared" si="139"/>
        <v>PTP Deviation</v>
      </c>
      <c r="L774" s="2"/>
      <c r="M774" s="7">
        <v>46090</v>
      </c>
      <c r="N774" s="7">
        <f t="shared" si="136"/>
        <v>46455</v>
      </c>
      <c r="O774" s="7" t="str">
        <f t="shared" si="128"/>
        <v>Anual</v>
      </c>
      <c r="P774" s="2" t="str">
        <f t="shared" ca="1" si="135"/>
        <v>VIGENTE</v>
      </c>
      <c r="Q774" s="6" t="s">
        <v>25</v>
      </c>
      <c r="R774" s="2"/>
    </row>
    <row r="775" spans="1:18" x14ac:dyDescent="0.25">
      <c r="A775" s="23" t="s">
        <v>1903</v>
      </c>
      <c r="B775" s="2" t="s">
        <v>1908</v>
      </c>
      <c r="C775" s="3" t="s">
        <v>1905</v>
      </c>
      <c r="D775" s="3" t="s">
        <v>23</v>
      </c>
      <c r="E775" s="2" t="s">
        <v>1906</v>
      </c>
      <c r="F775" s="47">
        <v>0</v>
      </c>
      <c r="G775" s="47">
        <v>0.05</v>
      </c>
      <c r="H775" s="4" t="s">
        <v>1907</v>
      </c>
      <c r="I775" s="5">
        <v>0.53500000000000003</v>
      </c>
      <c r="J775" s="2" t="str">
        <f t="shared" si="138"/>
        <v>Deviation</v>
      </c>
      <c r="K775" s="2" t="str">
        <f t="shared" si="139"/>
        <v>PTP Deviation</v>
      </c>
      <c r="L775" s="2"/>
      <c r="M775" s="7">
        <v>46090</v>
      </c>
      <c r="N775" s="7">
        <f t="shared" si="136"/>
        <v>46455</v>
      </c>
      <c r="O775" s="7" t="str">
        <f t="shared" si="128"/>
        <v>Anual</v>
      </c>
      <c r="P775" s="2" t="str">
        <f t="shared" ca="1" si="135"/>
        <v>VIGENTE</v>
      </c>
      <c r="Q775" s="6" t="s">
        <v>25</v>
      </c>
      <c r="R775" s="2"/>
    </row>
    <row r="776" spans="1:18" x14ac:dyDescent="0.25">
      <c r="A776" s="23" t="s">
        <v>1909</v>
      </c>
      <c r="B776" s="2" t="s">
        <v>1910</v>
      </c>
      <c r="C776" s="3" t="s">
        <v>1905</v>
      </c>
      <c r="D776" s="3" t="s">
        <v>23</v>
      </c>
      <c r="E776" s="2" t="s">
        <v>1906</v>
      </c>
      <c r="F776" s="47">
        <v>0</v>
      </c>
      <c r="G776" s="47">
        <v>0.05</v>
      </c>
      <c r="H776" s="4" t="s">
        <v>1907</v>
      </c>
      <c r="I776" s="5">
        <v>0.59450000000000003</v>
      </c>
      <c r="J776" s="2" t="str">
        <f t="shared" si="138"/>
        <v>Deviation</v>
      </c>
      <c r="K776" s="2" t="str">
        <f t="shared" si="139"/>
        <v>PTP Deviation</v>
      </c>
      <c r="L776" s="2"/>
      <c r="M776" s="7">
        <v>46090</v>
      </c>
      <c r="N776" s="7">
        <f t="shared" si="136"/>
        <v>46455</v>
      </c>
      <c r="O776" s="7" t="str">
        <f t="shared" si="128"/>
        <v>Anual</v>
      </c>
      <c r="P776" s="2" t="str">
        <f t="shared" ca="1" si="135"/>
        <v>VIGENTE</v>
      </c>
      <c r="Q776" s="6" t="s">
        <v>25</v>
      </c>
      <c r="R776" s="2"/>
    </row>
    <row r="777" spans="1:18" x14ac:dyDescent="0.25">
      <c r="A777" s="23" t="s">
        <v>1909</v>
      </c>
      <c r="B777" s="2" t="s">
        <v>1911</v>
      </c>
      <c r="C777" s="3" t="s">
        <v>1905</v>
      </c>
      <c r="D777" s="3" t="s">
        <v>23</v>
      </c>
      <c r="E777" s="2" t="s">
        <v>1906</v>
      </c>
      <c r="F777" s="47">
        <v>0</v>
      </c>
      <c r="G777" s="47">
        <v>0.05</v>
      </c>
      <c r="H777" s="4" t="s">
        <v>1907</v>
      </c>
      <c r="I777" s="5">
        <v>0.67599999999999993</v>
      </c>
      <c r="J777" s="2" t="str">
        <f t="shared" si="138"/>
        <v>Deviation</v>
      </c>
      <c r="K777" s="2" t="str">
        <f t="shared" si="139"/>
        <v>PTP Deviation</v>
      </c>
      <c r="L777" s="2"/>
      <c r="M777" s="7">
        <v>46090</v>
      </c>
      <c r="N777" s="7">
        <f t="shared" si="136"/>
        <v>46455</v>
      </c>
      <c r="O777" s="7" t="str">
        <f t="shared" ref="O777:O781" si="140">IF(C777="Ionizador", "Trimestral", IF(C777="Rack", "Anual", IF(C777="Mesa", "Anual", IF(C777="Tapete", "Semestral", IF(C777="Cautín", "Semestral", IF(C777="Silla", "Semestral", "Anual"))))))</f>
        <v>Anual</v>
      </c>
      <c r="P777" s="2" t="str">
        <f t="shared" ca="1" si="135"/>
        <v>VIGENTE</v>
      </c>
      <c r="Q777" s="6" t="s">
        <v>25</v>
      </c>
      <c r="R777" s="2"/>
    </row>
    <row r="778" spans="1:18" x14ac:dyDescent="0.25">
      <c r="A778" s="23" t="s">
        <v>458</v>
      </c>
      <c r="B778" s="2" t="s">
        <v>1912</v>
      </c>
      <c r="C778" s="3" t="s">
        <v>747</v>
      </c>
      <c r="D778" s="3" t="s">
        <v>23</v>
      </c>
      <c r="E778" s="2" t="s">
        <v>24</v>
      </c>
      <c r="F778" s="4">
        <v>0</v>
      </c>
      <c r="G778" s="8">
        <f t="shared" ref="G778:G809" si="141">IF(C778="Ionizador", 10, IF(C778="Mesa", 1000000000, IF(C778="Rack", 1000000000, IF(C778="Piso", 1000000000, IF(C778="Tapete", 1000000000, IF(C778="Carrito", 1000000000, IF(C778="Cautín", 10, 1)))))))</f>
        <v>1</v>
      </c>
      <c r="H778" s="4" t="str">
        <f t="shared" ref="H778:H809" si="142">IF(C778="Ionizador", "Segundos", "Ohms")</f>
        <v>Ohms</v>
      </c>
      <c r="I778" s="6">
        <v>0.27700000000000002</v>
      </c>
      <c r="J778" s="6" t="str">
        <f t="shared" si="138"/>
        <v>Ohms</v>
      </c>
      <c r="K778" s="2" t="str">
        <f t="shared" si="139"/>
        <v>RTG</v>
      </c>
      <c r="L778" s="2">
        <v>50333308</v>
      </c>
      <c r="M778" s="7">
        <v>45861</v>
      </c>
      <c r="N778" s="7">
        <f t="shared" si="136"/>
        <v>46226</v>
      </c>
      <c r="O778" s="7" t="str">
        <f t="shared" si="140"/>
        <v>Anual</v>
      </c>
      <c r="P778" s="2" t="str">
        <f t="shared" ca="1" si="135"/>
        <v>VIGENTE</v>
      </c>
      <c r="Q778" s="6" t="s">
        <v>25</v>
      </c>
      <c r="R778" s="2"/>
    </row>
    <row r="779" spans="1:18" x14ac:dyDescent="0.25">
      <c r="A779" s="23" t="s">
        <v>458</v>
      </c>
      <c r="B779" s="2" t="s">
        <v>1913</v>
      </c>
      <c r="C779" s="3" t="s">
        <v>747</v>
      </c>
      <c r="D779" s="3" t="s">
        <v>23</v>
      </c>
      <c r="E779" s="2" t="s">
        <v>24</v>
      </c>
      <c r="F779" s="4">
        <v>0</v>
      </c>
      <c r="G779" s="8">
        <f t="shared" si="141"/>
        <v>1</v>
      </c>
      <c r="H779" s="4" t="str">
        <f t="shared" si="142"/>
        <v>Ohms</v>
      </c>
      <c r="I779" s="6">
        <v>0.28299999999999997</v>
      </c>
      <c r="J779" s="6" t="str">
        <f t="shared" si="138"/>
        <v>Ohms</v>
      </c>
      <c r="K779" s="2" t="str">
        <f t="shared" si="139"/>
        <v>RTG</v>
      </c>
      <c r="L779" s="2">
        <v>50333308</v>
      </c>
      <c r="M779" s="7">
        <v>45861</v>
      </c>
      <c r="N779" s="7">
        <f t="shared" si="136"/>
        <v>46226</v>
      </c>
      <c r="O779" s="7" t="str">
        <f t="shared" si="140"/>
        <v>Anual</v>
      </c>
      <c r="P779" s="2" t="str">
        <f t="shared" ca="1" si="135"/>
        <v>VIGENTE</v>
      </c>
      <c r="Q779" s="6" t="s">
        <v>25</v>
      </c>
      <c r="R779" s="2"/>
    </row>
    <row r="780" spans="1:18" x14ac:dyDescent="0.25">
      <c r="A780" s="23" t="s">
        <v>458</v>
      </c>
      <c r="B780" s="2" t="s">
        <v>1914</v>
      </c>
      <c r="C780" s="3" t="s">
        <v>747</v>
      </c>
      <c r="D780" s="3" t="s">
        <v>23</v>
      </c>
      <c r="E780" s="2" t="s">
        <v>24</v>
      </c>
      <c r="F780" s="4">
        <v>0</v>
      </c>
      <c r="G780" s="8">
        <f t="shared" si="141"/>
        <v>1</v>
      </c>
      <c r="H780" s="4" t="str">
        <f t="shared" si="142"/>
        <v>Ohms</v>
      </c>
      <c r="I780" s="6">
        <v>0.40699999999999997</v>
      </c>
      <c r="J780" s="6" t="str">
        <f t="shared" si="138"/>
        <v>Ohms</v>
      </c>
      <c r="K780" s="2" t="str">
        <f t="shared" si="139"/>
        <v>RTG</v>
      </c>
      <c r="L780" s="2">
        <v>50333308</v>
      </c>
      <c r="M780" s="7">
        <v>45861</v>
      </c>
      <c r="N780" s="7">
        <f t="shared" si="136"/>
        <v>46226</v>
      </c>
      <c r="O780" s="7" t="str">
        <f t="shared" si="140"/>
        <v>Anual</v>
      </c>
      <c r="P780" s="2" t="str">
        <f t="shared" ca="1" si="135"/>
        <v>VIGENTE</v>
      </c>
      <c r="Q780" s="6" t="s">
        <v>25</v>
      </c>
      <c r="R780" s="2"/>
    </row>
    <row r="781" spans="1:18" x14ac:dyDescent="0.25">
      <c r="A781" s="23" t="s">
        <v>458</v>
      </c>
      <c r="B781" s="2" t="s">
        <v>1915</v>
      </c>
      <c r="C781" s="3" t="s">
        <v>747</v>
      </c>
      <c r="D781" s="3" t="s">
        <v>23</v>
      </c>
      <c r="E781" s="2" t="s">
        <v>24</v>
      </c>
      <c r="F781" s="4">
        <v>0</v>
      </c>
      <c r="G781" s="8">
        <f t="shared" si="141"/>
        <v>1</v>
      </c>
      <c r="H781" s="4" t="str">
        <f t="shared" si="142"/>
        <v>Ohms</v>
      </c>
      <c r="I781" s="6">
        <v>0.17799999999999999</v>
      </c>
      <c r="J781" s="6" t="str">
        <f t="shared" si="138"/>
        <v>Ohms</v>
      </c>
      <c r="K781" s="2" t="str">
        <f t="shared" si="139"/>
        <v>RTG</v>
      </c>
      <c r="L781" s="2">
        <v>50333308</v>
      </c>
      <c r="M781" s="7">
        <v>45861</v>
      </c>
      <c r="N781" s="7">
        <f t="shared" si="136"/>
        <v>46226</v>
      </c>
      <c r="O781" s="7" t="str">
        <f t="shared" si="140"/>
        <v>Anual</v>
      </c>
      <c r="P781" s="2" t="str">
        <f t="shared" ca="1" si="135"/>
        <v>VIGENTE</v>
      </c>
      <c r="Q781" s="6" t="s">
        <v>25</v>
      </c>
      <c r="R781" s="2"/>
    </row>
    <row r="782" spans="1:18" x14ac:dyDescent="0.25">
      <c r="A782" s="23" t="s">
        <v>1104</v>
      </c>
      <c r="B782" s="2" t="s">
        <v>1916</v>
      </c>
      <c r="C782" s="3" t="s">
        <v>747</v>
      </c>
      <c r="D782" s="3" t="s">
        <v>23</v>
      </c>
      <c r="E782" s="2" t="s">
        <v>24</v>
      </c>
      <c r="F782" s="4">
        <v>0</v>
      </c>
      <c r="G782" s="8">
        <f t="shared" si="141"/>
        <v>1</v>
      </c>
      <c r="H782" s="4" t="str">
        <f t="shared" si="142"/>
        <v>Ohms</v>
      </c>
      <c r="I782" s="6">
        <v>0.14499999999999999</v>
      </c>
      <c r="J782" s="6" t="str">
        <f t="shared" si="138"/>
        <v>Ohms</v>
      </c>
      <c r="K782" s="2" t="str">
        <f t="shared" si="139"/>
        <v>RTG</v>
      </c>
      <c r="L782" s="2"/>
      <c r="M782" s="7">
        <v>45680</v>
      </c>
      <c r="N782" s="7">
        <f t="shared" si="136"/>
        <v>46045</v>
      </c>
      <c r="O782" s="7" t="str">
        <f t="shared" ref="O782:O797" si="143">IF(C782="Ionizador", "Trimestral", IF(C782="Rack", "Semestral", IF(C782="Mesa", "Semestral", IF(C782="Tapete", "Semestral", IF(C782="Cautín", "Semestral", IF(C782="Silla", "Semestral", "Anual"))))))</f>
        <v>Anual</v>
      </c>
      <c r="P782" s="2" t="str">
        <f t="shared" ca="1" si="135"/>
        <v>VENCIDO</v>
      </c>
      <c r="Q782" s="6" t="s">
        <v>25</v>
      </c>
      <c r="R782" s="2"/>
    </row>
    <row r="783" spans="1:18" x14ac:dyDescent="0.25">
      <c r="A783" s="23" t="s">
        <v>1104</v>
      </c>
      <c r="B783" s="2" t="s">
        <v>1917</v>
      </c>
      <c r="C783" s="3" t="s">
        <v>747</v>
      </c>
      <c r="D783" s="3" t="s">
        <v>23</v>
      </c>
      <c r="E783" s="2" t="s">
        <v>24</v>
      </c>
      <c r="F783" s="4">
        <v>0</v>
      </c>
      <c r="G783" s="8">
        <f t="shared" si="141"/>
        <v>1</v>
      </c>
      <c r="H783" s="4" t="str">
        <f t="shared" si="142"/>
        <v>Ohms</v>
      </c>
      <c r="I783" s="6">
        <v>0.14299999999999999</v>
      </c>
      <c r="J783" s="6" t="str">
        <f t="shared" si="138"/>
        <v>Ohms</v>
      </c>
      <c r="K783" s="2" t="str">
        <f t="shared" si="139"/>
        <v>RTG</v>
      </c>
      <c r="L783" s="2"/>
      <c r="M783" s="7">
        <v>45680</v>
      </c>
      <c r="N783" s="7">
        <f t="shared" si="136"/>
        <v>46045</v>
      </c>
      <c r="O783" s="7" t="str">
        <f t="shared" si="143"/>
        <v>Anual</v>
      </c>
      <c r="P783" s="2" t="str">
        <f t="shared" ca="1" si="135"/>
        <v>VENCIDO</v>
      </c>
      <c r="Q783" s="6" t="s">
        <v>25</v>
      </c>
      <c r="R783" s="2"/>
    </row>
    <row r="784" spans="1:18" x14ac:dyDescent="0.25">
      <c r="A784" s="23" t="s">
        <v>1104</v>
      </c>
      <c r="B784" s="2" t="s">
        <v>1918</v>
      </c>
      <c r="C784" s="3" t="s">
        <v>747</v>
      </c>
      <c r="D784" s="3" t="s">
        <v>23</v>
      </c>
      <c r="E784" s="2" t="s">
        <v>24</v>
      </c>
      <c r="F784" s="4">
        <v>0</v>
      </c>
      <c r="G784" s="8">
        <f t="shared" si="141"/>
        <v>1</v>
      </c>
      <c r="H784" s="4" t="str">
        <f t="shared" si="142"/>
        <v>Ohms</v>
      </c>
      <c r="I784" s="6">
        <v>0.13700000000000001</v>
      </c>
      <c r="J784" s="6" t="str">
        <f t="shared" si="138"/>
        <v>Ohms</v>
      </c>
      <c r="K784" s="2" t="str">
        <f t="shared" si="139"/>
        <v>RTG</v>
      </c>
      <c r="L784" s="2"/>
      <c r="M784" s="7">
        <v>45680</v>
      </c>
      <c r="N784" s="7">
        <f t="shared" si="136"/>
        <v>46045</v>
      </c>
      <c r="O784" s="7" t="str">
        <f t="shared" si="143"/>
        <v>Anual</v>
      </c>
      <c r="P784" s="2" t="str">
        <f t="shared" ca="1" si="135"/>
        <v>VENCIDO</v>
      </c>
      <c r="Q784" s="6" t="s">
        <v>25</v>
      </c>
      <c r="R784" s="2"/>
    </row>
    <row r="785" spans="1:18" x14ac:dyDescent="0.25">
      <c r="A785" s="23" t="s">
        <v>1104</v>
      </c>
      <c r="B785" s="2" t="s">
        <v>1919</v>
      </c>
      <c r="C785" s="3" t="s">
        <v>747</v>
      </c>
      <c r="D785" s="3" t="s">
        <v>23</v>
      </c>
      <c r="E785" s="2" t="s">
        <v>24</v>
      </c>
      <c r="F785" s="4">
        <v>0</v>
      </c>
      <c r="G785" s="8">
        <f t="shared" si="141"/>
        <v>1</v>
      </c>
      <c r="H785" s="4" t="str">
        <f t="shared" si="142"/>
        <v>Ohms</v>
      </c>
      <c r="I785" s="6">
        <v>0.378</v>
      </c>
      <c r="J785" s="6" t="str">
        <f t="shared" si="138"/>
        <v>Ohms</v>
      </c>
      <c r="K785" s="2" t="str">
        <f t="shared" si="139"/>
        <v>RTG</v>
      </c>
      <c r="L785" s="2"/>
      <c r="M785" s="7">
        <v>45680</v>
      </c>
      <c r="N785" s="7">
        <f t="shared" si="136"/>
        <v>46045</v>
      </c>
      <c r="O785" s="7" t="str">
        <f t="shared" si="143"/>
        <v>Anual</v>
      </c>
      <c r="P785" s="2" t="str">
        <f t="shared" ca="1" si="135"/>
        <v>VENCIDO</v>
      </c>
      <c r="Q785" s="6" t="s">
        <v>25</v>
      </c>
      <c r="R785" s="2"/>
    </row>
    <row r="786" spans="1:18" x14ac:dyDescent="0.25">
      <c r="A786" s="23" t="s">
        <v>1104</v>
      </c>
      <c r="B786" s="2" t="s">
        <v>1920</v>
      </c>
      <c r="C786" s="3" t="s">
        <v>747</v>
      </c>
      <c r="D786" s="3" t="s">
        <v>23</v>
      </c>
      <c r="E786" s="2" t="s">
        <v>24</v>
      </c>
      <c r="F786" s="4">
        <v>0</v>
      </c>
      <c r="G786" s="8">
        <f t="shared" si="141"/>
        <v>1</v>
      </c>
      <c r="H786" s="4" t="str">
        <f t="shared" si="142"/>
        <v>Ohms</v>
      </c>
      <c r="I786" s="6">
        <v>0.13400000000000001</v>
      </c>
      <c r="J786" s="6" t="str">
        <f t="shared" si="138"/>
        <v>Ohms</v>
      </c>
      <c r="K786" s="2" t="str">
        <f t="shared" si="139"/>
        <v>RTG</v>
      </c>
      <c r="L786" s="2"/>
      <c r="M786" s="7">
        <v>45680</v>
      </c>
      <c r="N786" s="7">
        <f t="shared" si="136"/>
        <v>46045</v>
      </c>
      <c r="O786" s="7" t="str">
        <f t="shared" si="143"/>
        <v>Anual</v>
      </c>
      <c r="P786" s="2" t="str">
        <f t="shared" ca="1" si="135"/>
        <v>VENCIDO</v>
      </c>
      <c r="Q786" s="6" t="s">
        <v>25</v>
      </c>
      <c r="R786" s="2"/>
    </row>
    <row r="787" spans="1:18" x14ac:dyDescent="0.25">
      <c r="A787" s="23" t="s">
        <v>1104</v>
      </c>
      <c r="B787" s="2" t="s">
        <v>1921</v>
      </c>
      <c r="C787" s="3" t="s">
        <v>747</v>
      </c>
      <c r="D787" s="3" t="s">
        <v>23</v>
      </c>
      <c r="E787" s="2" t="s">
        <v>24</v>
      </c>
      <c r="F787" s="4">
        <v>0</v>
      </c>
      <c r="G787" s="8">
        <f t="shared" si="141"/>
        <v>1</v>
      </c>
      <c r="H787" s="4" t="str">
        <f t="shared" si="142"/>
        <v>Ohms</v>
      </c>
      <c r="I787" s="6">
        <v>0.16400000000000001</v>
      </c>
      <c r="J787" s="6" t="str">
        <f t="shared" si="138"/>
        <v>Ohms</v>
      </c>
      <c r="K787" s="2" t="str">
        <f t="shared" si="139"/>
        <v>RTG</v>
      </c>
      <c r="L787" s="2"/>
      <c r="M787" s="7">
        <v>45680</v>
      </c>
      <c r="N787" s="7">
        <f t="shared" si="136"/>
        <v>46045</v>
      </c>
      <c r="O787" s="7" t="str">
        <f t="shared" si="143"/>
        <v>Anual</v>
      </c>
      <c r="P787" s="2" t="str">
        <f t="shared" ca="1" si="135"/>
        <v>VENCIDO</v>
      </c>
      <c r="Q787" s="6" t="s">
        <v>25</v>
      </c>
      <c r="R787" s="2"/>
    </row>
    <row r="788" spans="1:18" x14ac:dyDescent="0.25">
      <c r="A788" s="23" t="s">
        <v>1104</v>
      </c>
      <c r="B788" s="2" t="s">
        <v>1922</v>
      </c>
      <c r="C788" s="3" t="s">
        <v>747</v>
      </c>
      <c r="D788" s="3" t="s">
        <v>23</v>
      </c>
      <c r="E788" s="2" t="s">
        <v>24</v>
      </c>
      <c r="F788" s="4">
        <v>0</v>
      </c>
      <c r="G788" s="8">
        <f t="shared" si="141"/>
        <v>1</v>
      </c>
      <c r="H788" s="4" t="str">
        <f t="shared" si="142"/>
        <v>Ohms</v>
      </c>
      <c r="I788" s="6">
        <v>0.26</v>
      </c>
      <c r="J788" s="6" t="str">
        <f t="shared" si="138"/>
        <v>Ohms</v>
      </c>
      <c r="K788" s="2" t="str">
        <f t="shared" si="139"/>
        <v>RTG</v>
      </c>
      <c r="L788" s="2"/>
      <c r="M788" s="7">
        <v>45680</v>
      </c>
      <c r="N788" s="7">
        <f t="shared" si="136"/>
        <v>46045</v>
      </c>
      <c r="O788" s="7" t="str">
        <f t="shared" si="143"/>
        <v>Anual</v>
      </c>
      <c r="P788" s="2" t="str">
        <f t="shared" ca="1" si="135"/>
        <v>VENCIDO</v>
      </c>
      <c r="Q788" s="6" t="s">
        <v>25</v>
      </c>
      <c r="R788" s="2"/>
    </row>
    <row r="789" spans="1:18" x14ac:dyDescent="0.25">
      <c r="A789" s="23" t="s">
        <v>1104</v>
      </c>
      <c r="B789" s="2" t="s">
        <v>1923</v>
      </c>
      <c r="C789" s="3" t="s">
        <v>747</v>
      </c>
      <c r="D789" s="3" t="s">
        <v>23</v>
      </c>
      <c r="E789" s="2" t="s">
        <v>24</v>
      </c>
      <c r="F789" s="4">
        <v>0</v>
      </c>
      <c r="G789" s="8">
        <f t="shared" si="141"/>
        <v>1</v>
      </c>
      <c r="H789" s="4" t="str">
        <f t="shared" si="142"/>
        <v>Ohms</v>
      </c>
      <c r="I789" s="6">
        <v>0.17499999999999999</v>
      </c>
      <c r="J789" s="6" t="str">
        <f t="shared" si="138"/>
        <v>Ohms</v>
      </c>
      <c r="K789" s="2" t="str">
        <f t="shared" si="139"/>
        <v>RTG</v>
      </c>
      <c r="L789" s="2"/>
      <c r="M789" s="7">
        <v>45680</v>
      </c>
      <c r="N789" s="7">
        <f t="shared" si="136"/>
        <v>46045</v>
      </c>
      <c r="O789" s="7" t="str">
        <f t="shared" si="143"/>
        <v>Anual</v>
      </c>
      <c r="P789" s="2" t="str">
        <f t="shared" ca="1" si="135"/>
        <v>VENCIDO</v>
      </c>
      <c r="Q789" s="6" t="s">
        <v>25</v>
      </c>
      <c r="R789" s="2"/>
    </row>
    <row r="790" spans="1:18" x14ac:dyDescent="0.25">
      <c r="A790" s="23" t="s">
        <v>1104</v>
      </c>
      <c r="B790" s="2" t="s">
        <v>1924</v>
      </c>
      <c r="C790" s="3" t="s">
        <v>747</v>
      </c>
      <c r="D790" s="3" t="s">
        <v>23</v>
      </c>
      <c r="E790" s="2" t="s">
        <v>24</v>
      </c>
      <c r="F790" s="4">
        <v>0</v>
      </c>
      <c r="G790" s="8">
        <f t="shared" si="141"/>
        <v>1</v>
      </c>
      <c r="H790" s="4" t="str">
        <f t="shared" si="142"/>
        <v>Ohms</v>
      </c>
      <c r="I790" s="6">
        <v>0.29699999999999999</v>
      </c>
      <c r="J790" s="6" t="str">
        <f t="shared" si="138"/>
        <v>Ohms</v>
      </c>
      <c r="K790" s="2" t="str">
        <f t="shared" si="139"/>
        <v>RTG</v>
      </c>
      <c r="L790" s="2"/>
      <c r="M790" s="7">
        <v>45680</v>
      </c>
      <c r="N790" s="7">
        <f t="shared" si="136"/>
        <v>46045</v>
      </c>
      <c r="O790" s="7" t="str">
        <f t="shared" si="143"/>
        <v>Anual</v>
      </c>
      <c r="P790" s="2" t="str">
        <f t="shared" ca="1" si="135"/>
        <v>VENCIDO</v>
      </c>
      <c r="Q790" s="6" t="s">
        <v>25</v>
      </c>
      <c r="R790" s="2"/>
    </row>
    <row r="791" spans="1:18" x14ac:dyDescent="0.25">
      <c r="A791" s="23" t="s">
        <v>1104</v>
      </c>
      <c r="B791" s="2" t="s">
        <v>1925</v>
      </c>
      <c r="C791" s="3" t="s">
        <v>747</v>
      </c>
      <c r="D791" s="3" t="s">
        <v>23</v>
      </c>
      <c r="E791" s="2" t="s">
        <v>24</v>
      </c>
      <c r="F791" s="4">
        <v>0</v>
      </c>
      <c r="G791" s="8">
        <f t="shared" si="141"/>
        <v>1</v>
      </c>
      <c r="H791" s="4" t="str">
        <f t="shared" si="142"/>
        <v>Ohms</v>
      </c>
      <c r="I791" s="6">
        <v>0.19700000000000001</v>
      </c>
      <c r="J791" s="6" t="str">
        <f t="shared" si="138"/>
        <v>Ohms</v>
      </c>
      <c r="K791" s="2" t="str">
        <f t="shared" si="139"/>
        <v>RTG</v>
      </c>
      <c r="L791" s="2"/>
      <c r="M791" s="7">
        <v>45680</v>
      </c>
      <c r="N791" s="7">
        <f t="shared" si="136"/>
        <v>46045</v>
      </c>
      <c r="O791" s="7" t="str">
        <f t="shared" si="143"/>
        <v>Anual</v>
      </c>
      <c r="P791" s="2" t="str">
        <f t="shared" ca="1" si="135"/>
        <v>VENCIDO</v>
      </c>
      <c r="Q791" s="6" t="s">
        <v>25</v>
      </c>
      <c r="R791" s="2"/>
    </row>
    <row r="792" spans="1:18" x14ac:dyDescent="0.25">
      <c r="A792" s="23" t="s">
        <v>1104</v>
      </c>
      <c r="B792" s="2" t="s">
        <v>1926</v>
      </c>
      <c r="C792" s="3" t="s">
        <v>747</v>
      </c>
      <c r="D792" s="3" t="s">
        <v>23</v>
      </c>
      <c r="E792" s="2" t="s">
        <v>24</v>
      </c>
      <c r="F792" s="4">
        <v>0</v>
      </c>
      <c r="G792" s="8">
        <f t="shared" si="141"/>
        <v>1</v>
      </c>
      <c r="H792" s="4" t="str">
        <f t="shared" si="142"/>
        <v>Ohms</v>
      </c>
      <c r="I792" s="6">
        <v>0.214</v>
      </c>
      <c r="J792" s="6" t="str">
        <f t="shared" si="138"/>
        <v>Ohms</v>
      </c>
      <c r="K792" s="2" t="str">
        <f t="shared" si="139"/>
        <v>RTG</v>
      </c>
      <c r="L792" s="2"/>
      <c r="M792" s="7">
        <v>45680</v>
      </c>
      <c r="N792" s="7">
        <f t="shared" si="136"/>
        <v>46045</v>
      </c>
      <c r="O792" s="7" t="str">
        <f t="shared" si="143"/>
        <v>Anual</v>
      </c>
      <c r="P792" s="2" t="str">
        <f t="shared" ca="1" si="135"/>
        <v>VENCIDO</v>
      </c>
      <c r="Q792" s="6" t="s">
        <v>25</v>
      </c>
      <c r="R792" s="2"/>
    </row>
    <row r="793" spans="1:18" x14ac:dyDescent="0.25">
      <c r="A793" s="23" t="s">
        <v>1104</v>
      </c>
      <c r="B793" s="2" t="s">
        <v>1927</v>
      </c>
      <c r="C793" s="3" t="s">
        <v>1928</v>
      </c>
      <c r="D793" s="3" t="s">
        <v>23</v>
      </c>
      <c r="E793" s="2" t="s">
        <v>24</v>
      </c>
      <c r="F793" s="4">
        <v>0</v>
      </c>
      <c r="G793" s="8">
        <f t="shared" si="141"/>
        <v>1</v>
      </c>
      <c r="H793" s="4" t="str">
        <f t="shared" si="142"/>
        <v>Ohms</v>
      </c>
      <c r="I793" s="6">
        <v>0.13700000000000001</v>
      </c>
      <c r="J793" s="6" t="str">
        <f t="shared" si="138"/>
        <v>Ohms</v>
      </c>
      <c r="K793" s="2" t="str">
        <f t="shared" si="139"/>
        <v>RTG</v>
      </c>
      <c r="L793" s="2"/>
      <c r="M793" s="7">
        <v>45688</v>
      </c>
      <c r="N793" s="7">
        <f t="shared" si="136"/>
        <v>46053</v>
      </c>
      <c r="O793" s="7" t="str">
        <f t="shared" si="143"/>
        <v>Anual</v>
      </c>
      <c r="P793" s="2" t="str">
        <f t="shared" ca="1" si="135"/>
        <v>VENCIDO</v>
      </c>
      <c r="Q793" s="6" t="s">
        <v>25</v>
      </c>
      <c r="R793" s="2"/>
    </row>
    <row r="794" spans="1:18" x14ac:dyDescent="0.25">
      <c r="A794" s="23" t="s">
        <v>1104</v>
      </c>
      <c r="B794" s="2" t="s">
        <v>1929</v>
      </c>
      <c r="C794" s="3" t="s">
        <v>1930</v>
      </c>
      <c r="D794" s="3" t="s">
        <v>23</v>
      </c>
      <c r="E794" s="2" t="s">
        <v>24</v>
      </c>
      <c r="F794" s="4">
        <v>0</v>
      </c>
      <c r="G794" s="8">
        <f t="shared" si="141"/>
        <v>1</v>
      </c>
      <c r="H794" s="4" t="str">
        <f t="shared" si="142"/>
        <v>Ohms</v>
      </c>
      <c r="I794" s="6">
        <v>0.49199999999999999</v>
      </c>
      <c r="J794" s="6" t="str">
        <f t="shared" si="138"/>
        <v>Ohms</v>
      </c>
      <c r="K794" s="2" t="str">
        <f t="shared" si="139"/>
        <v>RTG</v>
      </c>
      <c r="L794" s="2"/>
      <c r="M794" s="7">
        <v>45820</v>
      </c>
      <c r="N794" s="7">
        <f t="shared" si="136"/>
        <v>46185</v>
      </c>
      <c r="O794" s="7" t="str">
        <f t="shared" ref="O794:O796" si="144">IF(C794="Ionizador", "Trimestral", IF(C794="Rack", "Anual", IF(C794="Mesa", "Anual", IF(C794="Tapete", "Semestral", IF(C794="Cautín", "Semestral", IF(C794="Silla", "Semestral", "Anual"))))))</f>
        <v>Anual</v>
      </c>
      <c r="P794" s="2" t="str">
        <f t="shared" ca="1" si="135"/>
        <v>VIGENTE</v>
      </c>
      <c r="Q794" s="6" t="s">
        <v>25</v>
      </c>
      <c r="R794" s="2"/>
    </row>
    <row r="795" spans="1:18" x14ac:dyDescent="0.25">
      <c r="A795" s="23" t="s">
        <v>1104</v>
      </c>
      <c r="B795" s="2" t="s">
        <v>1931</v>
      </c>
      <c r="C795" s="3" t="s">
        <v>1932</v>
      </c>
      <c r="D795" s="3" t="s">
        <v>23</v>
      </c>
      <c r="E795" s="2" t="s">
        <v>24</v>
      </c>
      <c r="F795" s="4">
        <v>0</v>
      </c>
      <c r="G795" s="8">
        <f t="shared" si="141"/>
        <v>1</v>
      </c>
      <c r="H795" s="4" t="str">
        <f t="shared" si="142"/>
        <v>Ohms</v>
      </c>
      <c r="I795" s="6">
        <v>0.60599999999999998</v>
      </c>
      <c r="J795" s="6" t="str">
        <f t="shared" si="138"/>
        <v>Ohms</v>
      </c>
      <c r="K795" s="2" t="str">
        <f t="shared" si="139"/>
        <v>RTG</v>
      </c>
      <c r="L795" s="2"/>
      <c r="M795" s="7">
        <v>45820</v>
      </c>
      <c r="N795" s="7">
        <f t="shared" si="136"/>
        <v>46185</v>
      </c>
      <c r="O795" s="7" t="str">
        <f t="shared" si="144"/>
        <v>Anual</v>
      </c>
      <c r="P795" s="2" t="str">
        <f t="shared" ca="1" si="135"/>
        <v>VIGENTE</v>
      </c>
      <c r="Q795" s="6" t="s">
        <v>25</v>
      </c>
      <c r="R795" s="2"/>
    </row>
    <row r="796" spans="1:18" x14ac:dyDescent="0.25">
      <c r="A796" s="23" t="s">
        <v>1104</v>
      </c>
      <c r="B796" s="2" t="s">
        <v>1933</v>
      </c>
      <c r="C796" s="3" t="s">
        <v>1932</v>
      </c>
      <c r="D796" s="3" t="s">
        <v>23</v>
      </c>
      <c r="E796" s="2" t="s">
        <v>24</v>
      </c>
      <c r="F796" s="4">
        <v>0</v>
      </c>
      <c r="G796" s="8">
        <f t="shared" si="141"/>
        <v>1</v>
      </c>
      <c r="H796" s="4" t="str">
        <f t="shared" si="142"/>
        <v>Ohms</v>
      </c>
      <c r="I796" s="6">
        <v>0.27500000000000002</v>
      </c>
      <c r="J796" s="6" t="str">
        <f t="shared" si="138"/>
        <v>Ohms</v>
      </c>
      <c r="K796" s="2" t="str">
        <f t="shared" si="139"/>
        <v>RTG</v>
      </c>
      <c r="L796" s="2"/>
      <c r="M796" s="7">
        <v>45820</v>
      </c>
      <c r="N796" s="7">
        <f t="shared" ref="N796:N859" si="145">IF(O796="Trimestral", M796+90, IF(O796="Semestral", M796+180, IF(O796="Mensual", M796+30, M796+365)))</f>
        <v>46185</v>
      </c>
      <c r="O796" s="7" t="str">
        <f t="shared" si="144"/>
        <v>Anual</v>
      </c>
      <c r="P796" s="2" t="str">
        <f t="shared" ca="1" si="135"/>
        <v>VIGENTE</v>
      </c>
      <c r="Q796" s="6" t="s">
        <v>25</v>
      </c>
      <c r="R796" s="2"/>
    </row>
    <row r="797" spans="1:18" x14ac:dyDescent="0.25">
      <c r="A797" s="23" t="s">
        <v>1104</v>
      </c>
      <c r="B797" s="2" t="s">
        <v>1105</v>
      </c>
      <c r="C797" s="3" t="s">
        <v>800</v>
      </c>
      <c r="D797" s="3" t="s">
        <v>23</v>
      </c>
      <c r="E797" s="2" t="s">
        <v>24</v>
      </c>
      <c r="F797" s="4">
        <v>0</v>
      </c>
      <c r="G797" s="8">
        <f t="shared" si="141"/>
        <v>10</v>
      </c>
      <c r="H797" s="4" t="str">
        <f t="shared" si="142"/>
        <v>Segundos</v>
      </c>
      <c r="I797" s="6">
        <v>3</v>
      </c>
      <c r="J797" s="6" t="str">
        <f t="shared" si="138"/>
        <v>Segundos</v>
      </c>
      <c r="K797" s="2" t="str">
        <f t="shared" si="139"/>
        <v>Plato de carga</v>
      </c>
      <c r="L797" s="2"/>
      <c r="M797" s="7">
        <v>45992</v>
      </c>
      <c r="N797" s="7">
        <f t="shared" si="145"/>
        <v>46082</v>
      </c>
      <c r="O797" s="7" t="str">
        <f t="shared" si="143"/>
        <v>Trimestral</v>
      </c>
      <c r="P797" s="2" t="str">
        <f ca="1">IF(N797&lt;TODAY(),"VENCIDO",IF(N797=TODAY(),"VENCE HOY",IF(N797&gt;TODAY(),"VIGENTE")))</f>
        <v>VENCIDO</v>
      </c>
      <c r="Q797" s="6" t="s">
        <v>228</v>
      </c>
      <c r="R797" s="2"/>
    </row>
    <row r="798" spans="1:18" x14ac:dyDescent="0.25">
      <c r="A798" s="23" t="s">
        <v>155</v>
      </c>
      <c r="B798" s="2" t="s">
        <v>1934</v>
      </c>
      <c r="C798" s="3" t="s">
        <v>1169</v>
      </c>
      <c r="D798" s="3" t="s">
        <v>23</v>
      </c>
      <c r="E798" s="2" t="s">
        <v>24</v>
      </c>
      <c r="F798" s="4">
        <v>0</v>
      </c>
      <c r="G798" s="8">
        <f t="shared" si="141"/>
        <v>1</v>
      </c>
      <c r="H798" s="4" t="str">
        <f t="shared" si="142"/>
        <v>Ohms</v>
      </c>
      <c r="I798" s="6">
        <v>0.38400000000000001</v>
      </c>
      <c r="J798" s="6" t="str">
        <f t="shared" si="138"/>
        <v>Ohms</v>
      </c>
      <c r="K798" s="2" t="str">
        <f t="shared" si="139"/>
        <v>RTG</v>
      </c>
      <c r="L798" s="2"/>
      <c r="M798" s="7">
        <v>46080</v>
      </c>
      <c r="N798" s="7">
        <f t="shared" si="145"/>
        <v>46445</v>
      </c>
      <c r="O798" s="7" t="str">
        <f t="shared" ref="O798:O817" si="146">IF(C798="Ionizador", "Trimestral", IF(C798="Rack", "Anual", IF(C798="Mesa", "Anual", IF(C798="Tapete", "Semestral", IF(C798="Cautín", "Semestral", IF(C798="Silla", "Semestral", "Anual"))))))</f>
        <v>Anual</v>
      </c>
      <c r="P798" s="2" t="str">
        <f t="shared" ref="P798:P829" ca="1" si="147">IF(N798&lt;TODAY(),"VENCIDO",IF(N798=TODAY(),"VIGENTE",IF(N798&gt;TODAY(),"VIGENTE")))</f>
        <v>VIGENTE</v>
      </c>
      <c r="Q798" s="6" t="s">
        <v>25</v>
      </c>
      <c r="R798" s="2"/>
    </row>
    <row r="799" spans="1:18" x14ac:dyDescent="0.25">
      <c r="A799" s="23" t="s">
        <v>155</v>
      </c>
      <c r="B799" s="2" t="s">
        <v>1935</v>
      </c>
      <c r="C799" s="3" t="s">
        <v>1180</v>
      </c>
      <c r="D799" s="3" t="s">
        <v>23</v>
      </c>
      <c r="E799" s="2" t="s">
        <v>24</v>
      </c>
      <c r="F799" s="4">
        <v>0</v>
      </c>
      <c r="G799" s="8">
        <f t="shared" si="141"/>
        <v>1</v>
      </c>
      <c r="H799" s="4" t="str">
        <f t="shared" si="142"/>
        <v>Ohms</v>
      </c>
      <c r="I799" s="6">
        <v>0.27</v>
      </c>
      <c r="J799" s="6" t="str">
        <f t="shared" si="138"/>
        <v>Ohms</v>
      </c>
      <c r="K799" s="2" t="str">
        <f t="shared" si="139"/>
        <v>RTG</v>
      </c>
      <c r="L799" s="2"/>
      <c r="M799" s="7">
        <v>46080</v>
      </c>
      <c r="N799" s="7">
        <f t="shared" si="145"/>
        <v>46445</v>
      </c>
      <c r="O799" s="7" t="str">
        <f t="shared" si="146"/>
        <v>Anual</v>
      </c>
      <c r="P799" s="2" t="str">
        <f t="shared" ca="1" si="147"/>
        <v>VIGENTE</v>
      </c>
      <c r="Q799" s="6" t="s">
        <v>25</v>
      </c>
      <c r="R799" s="2"/>
    </row>
    <row r="800" spans="1:18" x14ac:dyDescent="0.25">
      <c r="A800" s="23" t="s">
        <v>155</v>
      </c>
      <c r="B800" s="2" t="s">
        <v>1936</v>
      </c>
      <c r="C800" s="3" t="s">
        <v>1169</v>
      </c>
      <c r="D800" s="3" t="s">
        <v>23</v>
      </c>
      <c r="E800" s="2" t="s">
        <v>24</v>
      </c>
      <c r="F800" s="4">
        <v>0</v>
      </c>
      <c r="G800" s="8">
        <f t="shared" si="141"/>
        <v>1</v>
      </c>
      <c r="H800" s="4" t="str">
        <f t="shared" si="142"/>
        <v>Ohms</v>
      </c>
      <c r="I800" s="6">
        <v>0.60699999999999998</v>
      </c>
      <c r="J800" s="6" t="str">
        <f t="shared" si="138"/>
        <v>Ohms</v>
      </c>
      <c r="K800" s="2" t="str">
        <f t="shared" si="139"/>
        <v>RTG</v>
      </c>
      <c r="L800" s="2"/>
      <c r="M800" s="7">
        <v>46080</v>
      </c>
      <c r="N800" s="7">
        <f t="shared" si="145"/>
        <v>46445</v>
      </c>
      <c r="O800" s="7" t="str">
        <f t="shared" si="146"/>
        <v>Anual</v>
      </c>
      <c r="P800" s="2" t="str">
        <f t="shared" ca="1" si="147"/>
        <v>VIGENTE</v>
      </c>
      <c r="Q800" s="6" t="s">
        <v>25</v>
      </c>
      <c r="R800" s="2"/>
    </row>
    <row r="801" spans="1:18" x14ac:dyDescent="0.25">
      <c r="A801" s="23" t="s">
        <v>155</v>
      </c>
      <c r="B801" s="2" t="s">
        <v>1937</v>
      </c>
      <c r="C801" s="3" t="s">
        <v>802</v>
      </c>
      <c r="D801" s="3" t="s">
        <v>23</v>
      </c>
      <c r="E801" s="2" t="s">
        <v>24</v>
      </c>
      <c r="F801" s="4">
        <v>0</v>
      </c>
      <c r="G801" s="8">
        <f t="shared" si="141"/>
        <v>1</v>
      </c>
      <c r="H801" s="4" t="str">
        <f t="shared" si="142"/>
        <v>Ohms</v>
      </c>
      <c r="I801" s="6">
        <v>0.20599999999999999</v>
      </c>
      <c r="J801" s="6" t="str">
        <f t="shared" si="138"/>
        <v>Ohms</v>
      </c>
      <c r="K801" s="2" t="str">
        <f t="shared" si="139"/>
        <v>RTG</v>
      </c>
      <c r="L801" s="2"/>
      <c r="M801" s="7">
        <v>46080</v>
      </c>
      <c r="N801" s="7">
        <f t="shared" si="145"/>
        <v>46445</v>
      </c>
      <c r="O801" s="7" t="str">
        <f t="shared" si="146"/>
        <v>Anual</v>
      </c>
      <c r="P801" s="2" t="str">
        <f t="shared" ca="1" si="147"/>
        <v>VIGENTE</v>
      </c>
      <c r="Q801" s="6" t="s">
        <v>25</v>
      </c>
      <c r="R801" s="2"/>
    </row>
    <row r="802" spans="1:18" x14ac:dyDescent="0.25">
      <c r="A802" s="23" t="s">
        <v>155</v>
      </c>
      <c r="B802" s="2" t="s">
        <v>1938</v>
      </c>
      <c r="C802" s="3" t="s">
        <v>261</v>
      </c>
      <c r="D802" s="3" t="s">
        <v>23</v>
      </c>
      <c r="E802" s="2" t="s">
        <v>24</v>
      </c>
      <c r="F802" s="4">
        <v>0</v>
      </c>
      <c r="G802" s="8">
        <f t="shared" si="141"/>
        <v>1</v>
      </c>
      <c r="H802" s="4" t="str">
        <f t="shared" si="142"/>
        <v>Ohms</v>
      </c>
      <c r="I802" s="6">
        <v>0.313</v>
      </c>
      <c r="J802" s="6" t="str">
        <f t="shared" si="138"/>
        <v>Ohms</v>
      </c>
      <c r="K802" s="2" t="str">
        <f t="shared" si="139"/>
        <v>RTG</v>
      </c>
      <c r="L802" s="2"/>
      <c r="M802" s="7">
        <v>46080</v>
      </c>
      <c r="N802" s="7">
        <f t="shared" si="145"/>
        <v>46445</v>
      </c>
      <c r="O802" s="7" t="str">
        <f t="shared" si="146"/>
        <v>Anual</v>
      </c>
      <c r="P802" s="2" t="str">
        <f t="shared" ca="1" si="147"/>
        <v>VIGENTE</v>
      </c>
      <c r="Q802" s="6" t="s">
        <v>25</v>
      </c>
      <c r="R802" s="2"/>
    </row>
    <row r="803" spans="1:18" x14ac:dyDescent="0.25">
      <c r="A803" s="23" t="s">
        <v>155</v>
      </c>
      <c r="B803" s="2" t="s">
        <v>1939</v>
      </c>
      <c r="C803" s="3" t="s">
        <v>747</v>
      </c>
      <c r="D803" s="3" t="s">
        <v>23</v>
      </c>
      <c r="E803" s="2" t="s">
        <v>24</v>
      </c>
      <c r="F803" s="4">
        <v>0</v>
      </c>
      <c r="G803" s="8">
        <f t="shared" si="141"/>
        <v>1</v>
      </c>
      <c r="H803" s="4" t="str">
        <f t="shared" si="142"/>
        <v>Ohms</v>
      </c>
      <c r="I803" s="6">
        <v>0.14899999999999999</v>
      </c>
      <c r="J803" s="6" t="str">
        <f t="shared" si="138"/>
        <v>Ohms</v>
      </c>
      <c r="K803" s="2" t="str">
        <f t="shared" si="139"/>
        <v>RTG</v>
      </c>
      <c r="L803" s="2"/>
      <c r="M803" s="7">
        <v>46080</v>
      </c>
      <c r="N803" s="7">
        <f t="shared" si="145"/>
        <v>46445</v>
      </c>
      <c r="O803" s="7" t="str">
        <f t="shared" si="146"/>
        <v>Anual</v>
      </c>
      <c r="P803" s="2" t="str">
        <f t="shared" ca="1" si="147"/>
        <v>VIGENTE</v>
      </c>
      <c r="Q803" s="6" t="s">
        <v>25</v>
      </c>
      <c r="R803" s="2"/>
    </row>
    <row r="804" spans="1:18" x14ac:dyDescent="0.25">
      <c r="A804" s="23" t="s">
        <v>155</v>
      </c>
      <c r="B804" s="2" t="s">
        <v>1940</v>
      </c>
      <c r="C804" s="3" t="s">
        <v>747</v>
      </c>
      <c r="D804" s="3" t="s">
        <v>23</v>
      </c>
      <c r="E804" s="2" t="s">
        <v>24</v>
      </c>
      <c r="F804" s="4">
        <v>0</v>
      </c>
      <c r="G804" s="8">
        <f t="shared" si="141"/>
        <v>1</v>
      </c>
      <c r="H804" s="4" t="str">
        <f t="shared" si="142"/>
        <v>Ohms</v>
      </c>
      <c r="I804" s="6">
        <v>0.123</v>
      </c>
      <c r="J804" s="6" t="str">
        <f t="shared" si="138"/>
        <v>Ohms</v>
      </c>
      <c r="K804" s="2" t="str">
        <f t="shared" si="139"/>
        <v>RTG</v>
      </c>
      <c r="L804" s="2"/>
      <c r="M804" s="7">
        <v>46080</v>
      </c>
      <c r="N804" s="7">
        <f t="shared" si="145"/>
        <v>46445</v>
      </c>
      <c r="O804" s="7" t="str">
        <f t="shared" si="146"/>
        <v>Anual</v>
      </c>
      <c r="P804" s="2" t="str">
        <f t="shared" ca="1" si="147"/>
        <v>VIGENTE</v>
      </c>
      <c r="Q804" s="6" t="s">
        <v>25</v>
      </c>
      <c r="R804" s="2"/>
    </row>
    <row r="805" spans="1:18" x14ac:dyDescent="0.25">
      <c r="A805" s="23" t="s">
        <v>155</v>
      </c>
      <c r="B805" s="2" t="s">
        <v>1941</v>
      </c>
      <c r="C805" s="3" t="s">
        <v>1885</v>
      </c>
      <c r="D805" s="3" t="s">
        <v>23</v>
      </c>
      <c r="E805" s="2" t="s">
        <v>24</v>
      </c>
      <c r="F805" s="4">
        <v>0</v>
      </c>
      <c r="G805" s="8">
        <f t="shared" si="141"/>
        <v>1</v>
      </c>
      <c r="H805" s="4" t="str">
        <f t="shared" si="142"/>
        <v>Ohms</v>
      </c>
      <c r="I805" s="6">
        <v>0.33500000000000002</v>
      </c>
      <c r="J805" s="6" t="str">
        <f t="shared" si="138"/>
        <v>Ohms</v>
      </c>
      <c r="K805" s="2" t="str">
        <f t="shared" si="139"/>
        <v>RTG</v>
      </c>
      <c r="L805" s="2"/>
      <c r="M805" s="7">
        <v>46080</v>
      </c>
      <c r="N805" s="7">
        <f t="shared" si="145"/>
        <v>46445</v>
      </c>
      <c r="O805" s="7" t="str">
        <f t="shared" si="146"/>
        <v>Anual</v>
      </c>
      <c r="P805" s="2" t="str">
        <f t="shared" ca="1" si="147"/>
        <v>VIGENTE</v>
      </c>
      <c r="Q805" s="6" t="s">
        <v>25</v>
      </c>
      <c r="R805" s="2"/>
    </row>
    <row r="806" spans="1:18" x14ac:dyDescent="0.25">
      <c r="A806" s="23" t="s">
        <v>155</v>
      </c>
      <c r="B806" s="2" t="s">
        <v>1942</v>
      </c>
      <c r="C806" s="3" t="s">
        <v>747</v>
      </c>
      <c r="D806" s="3" t="s">
        <v>23</v>
      </c>
      <c r="E806" s="2" t="s">
        <v>24</v>
      </c>
      <c r="F806" s="4">
        <v>0</v>
      </c>
      <c r="G806" s="8">
        <f t="shared" si="141"/>
        <v>1</v>
      </c>
      <c r="H806" s="4" t="str">
        <f t="shared" si="142"/>
        <v>Ohms</v>
      </c>
      <c r="I806" s="6">
        <v>0.23699999999999999</v>
      </c>
      <c r="J806" s="6" t="str">
        <f t="shared" si="138"/>
        <v>Ohms</v>
      </c>
      <c r="K806" s="2" t="str">
        <f t="shared" si="139"/>
        <v>RTG</v>
      </c>
      <c r="L806" s="2"/>
      <c r="M806" s="7">
        <v>46080</v>
      </c>
      <c r="N806" s="7">
        <f t="shared" si="145"/>
        <v>46445</v>
      </c>
      <c r="O806" s="7" t="str">
        <f t="shared" si="146"/>
        <v>Anual</v>
      </c>
      <c r="P806" s="2" t="str">
        <f t="shared" ca="1" si="147"/>
        <v>VIGENTE</v>
      </c>
      <c r="Q806" s="6" t="s">
        <v>25</v>
      </c>
      <c r="R806" s="2"/>
    </row>
    <row r="807" spans="1:18" x14ac:dyDescent="0.25">
      <c r="A807" s="23" t="s">
        <v>155</v>
      </c>
      <c r="B807" s="2" t="s">
        <v>1943</v>
      </c>
      <c r="C807" s="3" t="s">
        <v>747</v>
      </c>
      <c r="D807" s="3" t="s">
        <v>23</v>
      </c>
      <c r="E807" s="2" t="s">
        <v>24</v>
      </c>
      <c r="F807" s="4">
        <v>0</v>
      </c>
      <c r="G807" s="8">
        <f t="shared" si="141"/>
        <v>1</v>
      </c>
      <c r="H807" s="4" t="str">
        <f t="shared" si="142"/>
        <v>Ohms</v>
      </c>
      <c r="I807" s="6">
        <v>0.27800000000000002</v>
      </c>
      <c r="J807" s="6" t="str">
        <f t="shared" si="138"/>
        <v>Ohms</v>
      </c>
      <c r="K807" s="2" t="str">
        <f t="shared" si="139"/>
        <v>RTG</v>
      </c>
      <c r="L807" s="2"/>
      <c r="M807" s="7">
        <v>46080</v>
      </c>
      <c r="N807" s="7">
        <f t="shared" si="145"/>
        <v>46445</v>
      </c>
      <c r="O807" s="7" t="str">
        <f t="shared" si="146"/>
        <v>Anual</v>
      </c>
      <c r="P807" s="2" t="str">
        <f t="shared" ca="1" si="147"/>
        <v>VIGENTE</v>
      </c>
      <c r="Q807" s="6" t="s">
        <v>25</v>
      </c>
      <c r="R807" s="2"/>
    </row>
    <row r="808" spans="1:18" x14ac:dyDescent="0.25">
      <c r="A808" s="23" t="s">
        <v>155</v>
      </c>
      <c r="B808" s="2" t="s">
        <v>1944</v>
      </c>
      <c r="C808" s="3" t="s">
        <v>747</v>
      </c>
      <c r="D808" s="3" t="s">
        <v>23</v>
      </c>
      <c r="E808" s="2" t="s">
        <v>24</v>
      </c>
      <c r="F808" s="4">
        <v>0</v>
      </c>
      <c r="G808" s="8">
        <f t="shared" si="141"/>
        <v>1</v>
      </c>
      <c r="H808" s="4" t="str">
        <f t="shared" si="142"/>
        <v>Ohms</v>
      </c>
      <c r="I808" s="6">
        <v>0.29399999999999998</v>
      </c>
      <c r="J808" s="6" t="str">
        <f t="shared" si="138"/>
        <v>Ohms</v>
      </c>
      <c r="K808" s="2" t="str">
        <f t="shared" si="139"/>
        <v>RTG</v>
      </c>
      <c r="L808" s="2"/>
      <c r="M808" s="7">
        <v>46080</v>
      </c>
      <c r="N808" s="7">
        <f t="shared" si="145"/>
        <v>46445</v>
      </c>
      <c r="O808" s="7" t="str">
        <f t="shared" si="146"/>
        <v>Anual</v>
      </c>
      <c r="P808" s="2" t="str">
        <f t="shared" ca="1" si="147"/>
        <v>VIGENTE</v>
      </c>
      <c r="Q808" s="6" t="s">
        <v>25</v>
      </c>
      <c r="R808" s="2"/>
    </row>
    <row r="809" spans="1:18" x14ac:dyDescent="0.25">
      <c r="A809" s="23" t="s">
        <v>155</v>
      </c>
      <c r="B809" s="2" t="s">
        <v>1945</v>
      </c>
      <c r="C809" s="3" t="s">
        <v>747</v>
      </c>
      <c r="D809" s="3" t="s">
        <v>23</v>
      </c>
      <c r="E809" s="2" t="s">
        <v>24</v>
      </c>
      <c r="F809" s="4">
        <v>0</v>
      </c>
      <c r="G809" s="8">
        <f t="shared" si="141"/>
        <v>1</v>
      </c>
      <c r="H809" s="4" t="str">
        <f t="shared" si="142"/>
        <v>Ohms</v>
      </c>
      <c r="I809" s="6">
        <v>0.27900000000000003</v>
      </c>
      <c r="J809" s="6" t="str">
        <f t="shared" si="138"/>
        <v>Ohms</v>
      </c>
      <c r="K809" s="2" t="str">
        <f t="shared" si="139"/>
        <v>RTG</v>
      </c>
      <c r="L809" s="2"/>
      <c r="M809" s="7">
        <v>46080</v>
      </c>
      <c r="N809" s="7">
        <f t="shared" si="145"/>
        <v>46445</v>
      </c>
      <c r="O809" s="7" t="str">
        <f t="shared" si="146"/>
        <v>Anual</v>
      </c>
      <c r="P809" s="2" t="str">
        <f t="shared" ca="1" si="147"/>
        <v>VIGENTE</v>
      </c>
      <c r="Q809" s="6" t="s">
        <v>25</v>
      </c>
      <c r="R809" s="2"/>
    </row>
    <row r="810" spans="1:18" x14ac:dyDescent="0.25">
      <c r="A810" s="23" t="s">
        <v>155</v>
      </c>
      <c r="B810" s="2" t="s">
        <v>1946</v>
      </c>
      <c r="C810" s="3" t="s">
        <v>747</v>
      </c>
      <c r="D810" s="3" t="s">
        <v>23</v>
      </c>
      <c r="E810" s="2" t="s">
        <v>24</v>
      </c>
      <c r="F810" s="4">
        <v>0</v>
      </c>
      <c r="G810" s="8">
        <f t="shared" ref="G810:G841" si="148">IF(C810="Ionizador", 10, IF(C810="Mesa", 1000000000, IF(C810="Rack", 1000000000, IF(C810="Piso", 1000000000, IF(C810="Tapete", 1000000000, IF(C810="Carrito", 1000000000, IF(C810="Cautín", 10, 1)))))))</f>
        <v>1</v>
      </c>
      <c r="H810" s="4" t="str">
        <f t="shared" ref="H810:H841" si="149">IF(C810="Ionizador", "Segundos", "Ohms")</f>
        <v>Ohms</v>
      </c>
      <c r="I810" s="6">
        <v>0.27800000000000002</v>
      </c>
      <c r="J810" s="6" t="str">
        <f t="shared" si="138"/>
        <v>Ohms</v>
      </c>
      <c r="K810" s="2" t="str">
        <f t="shared" si="139"/>
        <v>RTG</v>
      </c>
      <c r="L810" s="2"/>
      <c r="M810" s="7">
        <v>46080</v>
      </c>
      <c r="N810" s="7">
        <f t="shared" si="145"/>
        <v>46445</v>
      </c>
      <c r="O810" s="7" t="str">
        <f t="shared" si="146"/>
        <v>Anual</v>
      </c>
      <c r="P810" s="2" t="str">
        <f t="shared" ca="1" si="147"/>
        <v>VIGENTE</v>
      </c>
      <c r="Q810" s="6" t="s">
        <v>25</v>
      </c>
      <c r="R810" s="2"/>
    </row>
    <row r="811" spans="1:18" x14ac:dyDescent="0.25">
      <c r="A811" s="23" t="s">
        <v>155</v>
      </c>
      <c r="B811" s="2" t="s">
        <v>1947</v>
      </c>
      <c r="C811" s="3" t="s">
        <v>747</v>
      </c>
      <c r="D811" s="3" t="s">
        <v>23</v>
      </c>
      <c r="E811" s="2" t="s">
        <v>24</v>
      </c>
      <c r="F811" s="4">
        <v>0</v>
      </c>
      <c r="G811" s="8">
        <f t="shared" si="148"/>
        <v>1</v>
      </c>
      <c r="H811" s="4" t="str">
        <f t="shared" si="149"/>
        <v>Ohms</v>
      </c>
      <c r="I811" s="6">
        <v>0.129</v>
      </c>
      <c r="J811" s="6" t="str">
        <f t="shared" si="138"/>
        <v>Ohms</v>
      </c>
      <c r="K811" s="2" t="str">
        <f t="shared" si="139"/>
        <v>RTG</v>
      </c>
      <c r="L811" s="2"/>
      <c r="M811" s="7">
        <v>46080</v>
      </c>
      <c r="N811" s="7">
        <f t="shared" si="145"/>
        <v>46445</v>
      </c>
      <c r="O811" s="7" t="str">
        <f t="shared" si="146"/>
        <v>Anual</v>
      </c>
      <c r="P811" s="2" t="str">
        <f t="shared" ca="1" si="147"/>
        <v>VIGENTE</v>
      </c>
      <c r="Q811" s="6" t="s">
        <v>25</v>
      </c>
      <c r="R811" s="2"/>
    </row>
    <row r="812" spans="1:18" x14ac:dyDescent="0.25">
      <c r="A812" s="23" t="s">
        <v>155</v>
      </c>
      <c r="B812" s="2" t="s">
        <v>1948</v>
      </c>
      <c r="C812" s="3" t="s">
        <v>747</v>
      </c>
      <c r="D812" s="3" t="s">
        <v>23</v>
      </c>
      <c r="E812" s="2" t="s">
        <v>24</v>
      </c>
      <c r="F812" s="4">
        <v>0</v>
      </c>
      <c r="G812" s="8">
        <f t="shared" si="148"/>
        <v>1</v>
      </c>
      <c r="H812" s="4" t="str">
        <f t="shared" si="149"/>
        <v>Ohms</v>
      </c>
      <c r="I812" s="6">
        <v>0.128</v>
      </c>
      <c r="J812" s="6" t="str">
        <f t="shared" si="138"/>
        <v>Ohms</v>
      </c>
      <c r="K812" s="2" t="str">
        <f t="shared" si="139"/>
        <v>RTG</v>
      </c>
      <c r="L812" s="2"/>
      <c r="M812" s="7">
        <v>46080</v>
      </c>
      <c r="N812" s="7">
        <f t="shared" si="145"/>
        <v>46445</v>
      </c>
      <c r="O812" s="7" t="str">
        <f t="shared" si="146"/>
        <v>Anual</v>
      </c>
      <c r="P812" s="2" t="str">
        <f t="shared" ca="1" si="147"/>
        <v>VIGENTE</v>
      </c>
      <c r="Q812" s="6" t="s">
        <v>25</v>
      </c>
      <c r="R812" s="2"/>
    </row>
    <row r="813" spans="1:18" x14ac:dyDescent="0.25">
      <c r="A813" s="23" t="s">
        <v>155</v>
      </c>
      <c r="B813" s="2" t="s">
        <v>1949</v>
      </c>
      <c r="C813" s="3" t="s">
        <v>1169</v>
      </c>
      <c r="D813" s="3" t="s">
        <v>23</v>
      </c>
      <c r="E813" s="2" t="s">
        <v>24</v>
      </c>
      <c r="F813" s="4">
        <v>0</v>
      </c>
      <c r="G813" s="8">
        <f t="shared" si="148"/>
        <v>1</v>
      </c>
      <c r="H813" s="4" t="str">
        <f t="shared" si="149"/>
        <v>Ohms</v>
      </c>
      <c r="I813" s="6">
        <v>0.32300000000000001</v>
      </c>
      <c r="J813" s="6" t="str">
        <f t="shared" si="138"/>
        <v>Ohms</v>
      </c>
      <c r="K813" s="2" t="str">
        <f t="shared" si="139"/>
        <v>RTG</v>
      </c>
      <c r="L813" s="2"/>
      <c r="M813" s="7">
        <v>46080</v>
      </c>
      <c r="N813" s="7">
        <f t="shared" si="145"/>
        <v>46445</v>
      </c>
      <c r="O813" s="7" t="str">
        <f t="shared" si="146"/>
        <v>Anual</v>
      </c>
      <c r="P813" s="2" t="str">
        <f t="shared" ca="1" si="147"/>
        <v>VIGENTE</v>
      </c>
      <c r="Q813" s="6" t="s">
        <v>25</v>
      </c>
      <c r="R813" s="2"/>
    </row>
    <row r="814" spans="1:18" x14ac:dyDescent="0.25">
      <c r="A814" s="23" t="s">
        <v>155</v>
      </c>
      <c r="B814" s="2" t="s">
        <v>1950</v>
      </c>
      <c r="C814" s="3" t="s">
        <v>747</v>
      </c>
      <c r="D814" s="3" t="s">
        <v>23</v>
      </c>
      <c r="E814" s="2" t="s">
        <v>24</v>
      </c>
      <c r="F814" s="4">
        <v>0</v>
      </c>
      <c r="G814" s="8">
        <f t="shared" si="148"/>
        <v>1</v>
      </c>
      <c r="H814" s="4" t="str">
        <f t="shared" si="149"/>
        <v>Ohms</v>
      </c>
      <c r="I814" s="6">
        <v>0.48199999999999998</v>
      </c>
      <c r="J814" s="6" t="str">
        <f t="shared" si="138"/>
        <v>Ohms</v>
      </c>
      <c r="K814" s="2" t="str">
        <f t="shared" si="139"/>
        <v>RTG</v>
      </c>
      <c r="L814" s="2"/>
      <c r="M814" s="7">
        <v>46080</v>
      </c>
      <c r="N814" s="7">
        <f t="shared" si="145"/>
        <v>46445</v>
      </c>
      <c r="O814" s="7" t="str">
        <f t="shared" si="146"/>
        <v>Anual</v>
      </c>
      <c r="P814" s="2" t="str">
        <f t="shared" ca="1" si="147"/>
        <v>VIGENTE</v>
      </c>
      <c r="Q814" s="6" t="s">
        <v>25</v>
      </c>
      <c r="R814" s="2"/>
    </row>
    <row r="815" spans="1:18" x14ac:dyDescent="0.25">
      <c r="A815" s="23" t="s">
        <v>155</v>
      </c>
      <c r="B815" s="2" t="s">
        <v>1951</v>
      </c>
      <c r="C815" s="3" t="s">
        <v>747</v>
      </c>
      <c r="D815" s="3" t="s">
        <v>23</v>
      </c>
      <c r="E815" s="2" t="s">
        <v>24</v>
      </c>
      <c r="F815" s="4">
        <v>0</v>
      </c>
      <c r="G815" s="8">
        <f t="shared" si="148"/>
        <v>1</v>
      </c>
      <c r="H815" s="4" t="str">
        <f t="shared" si="149"/>
        <v>Ohms</v>
      </c>
      <c r="I815" s="6">
        <v>0.315</v>
      </c>
      <c r="J815" s="6" t="str">
        <f t="shared" si="138"/>
        <v>Ohms</v>
      </c>
      <c r="K815" s="2" t="str">
        <f t="shared" si="139"/>
        <v>RTG</v>
      </c>
      <c r="L815" s="2"/>
      <c r="M815" s="7">
        <v>46080</v>
      </c>
      <c r="N815" s="7">
        <f t="shared" si="145"/>
        <v>46445</v>
      </c>
      <c r="O815" s="7" t="str">
        <f t="shared" si="146"/>
        <v>Anual</v>
      </c>
      <c r="P815" s="2" t="str">
        <f t="shared" ca="1" si="147"/>
        <v>VIGENTE</v>
      </c>
      <c r="Q815" s="6" t="s">
        <v>25</v>
      </c>
      <c r="R815" s="2"/>
    </row>
    <row r="816" spans="1:18" x14ac:dyDescent="0.25">
      <c r="A816" s="23" t="s">
        <v>155</v>
      </c>
      <c r="B816" s="2" t="s">
        <v>1952</v>
      </c>
      <c r="C816" s="3" t="s">
        <v>747</v>
      </c>
      <c r="D816" s="3" t="s">
        <v>23</v>
      </c>
      <c r="E816" s="2" t="s">
        <v>24</v>
      </c>
      <c r="F816" s="4">
        <v>0</v>
      </c>
      <c r="G816" s="8">
        <f t="shared" si="148"/>
        <v>1</v>
      </c>
      <c r="H816" s="4" t="str">
        <f t="shared" si="149"/>
        <v>Ohms</v>
      </c>
      <c r="I816" s="6">
        <v>0.20799999999999999</v>
      </c>
      <c r="J816" s="6" t="str">
        <f t="shared" si="138"/>
        <v>Ohms</v>
      </c>
      <c r="K816" s="2" t="str">
        <f t="shared" si="139"/>
        <v>RTG</v>
      </c>
      <c r="L816" s="2"/>
      <c r="M816" s="7">
        <v>46080</v>
      </c>
      <c r="N816" s="7">
        <f t="shared" si="145"/>
        <v>46445</v>
      </c>
      <c r="O816" s="7" t="str">
        <f t="shared" si="146"/>
        <v>Anual</v>
      </c>
      <c r="P816" s="2" t="str">
        <f t="shared" ca="1" si="147"/>
        <v>VIGENTE</v>
      </c>
      <c r="Q816" s="6" t="s">
        <v>25</v>
      </c>
      <c r="R816" s="2"/>
    </row>
    <row r="817" spans="1:18" x14ac:dyDescent="0.25">
      <c r="A817" s="23" t="s">
        <v>155</v>
      </c>
      <c r="B817" s="2" t="s">
        <v>1953</v>
      </c>
      <c r="C817" s="3" t="s">
        <v>1169</v>
      </c>
      <c r="D817" s="3" t="s">
        <v>23</v>
      </c>
      <c r="E817" s="2" t="s">
        <v>24</v>
      </c>
      <c r="F817" s="4">
        <v>0</v>
      </c>
      <c r="G817" s="8">
        <f t="shared" si="148"/>
        <v>1</v>
      </c>
      <c r="H817" s="4" t="str">
        <f t="shared" si="149"/>
        <v>Ohms</v>
      </c>
      <c r="I817" s="6">
        <v>0.22600000000000001</v>
      </c>
      <c r="J817" s="6" t="str">
        <f t="shared" si="138"/>
        <v>Ohms</v>
      </c>
      <c r="K817" s="2" t="str">
        <f t="shared" si="139"/>
        <v>RTG</v>
      </c>
      <c r="L817" s="2"/>
      <c r="M817" s="7">
        <v>46080</v>
      </c>
      <c r="N817" s="7">
        <f t="shared" si="145"/>
        <v>46445</v>
      </c>
      <c r="O817" s="7" t="str">
        <f t="shared" si="146"/>
        <v>Anual</v>
      </c>
      <c r="P817" s="2" t="str">
        <f t="shared" ca="1" si="147"/>
        <v>VIGENTE</v>
      </c>
      <c r="Q817" s="6" t="s">
        <v>25</v>
      </c>
      <c r="R817" s="2"/>
    </row>
    <row r="818" spans="1:18" x14ac:dyDescent="0.25">
      <c r="A818" s="23" t="s">
        <v>155</v>
      </c>
      <c r="B818" s="2" t="s">
        <v>156</v>
      </c>
      <c r="C818" s="3" t="s">
        <v>149</v>
      </c>
      <c r="D818" s="3" t="s">
        <v>23</v>
      </c>
      <c r="E818" s="2" t="s">
        <v>24</v>
      </c>
      <c r="F818" s="4">
        <v>0</v>
      </c>
      <c r="G818" s="8">
        <f t="shared" si="148"/>
        <v>10</v>
      </c>
      <c r="H818" s="4" t="str">
        <f t="shared" si="149"/>
        <v>Ohms</v>
      </c>
      <c r="I818" s="6">
        <v>1.3</v>
      </c>
      <c r="J818" s="6" t="str">
        <f t="shared" si="138"/>
        <v>Ohms</v>
      </c>
      <c r="K818" s="2" t="str">
        <f t="shared" si="139"/>
        <v>PTG</v>
      </c>
      <c r="L818" s="2"/>
      <c r="M818" s="7">
        <v>45845</v>
      </c>
      <c r="N818" s="7">
        <f t="shared" si="145"/>
        <v>46025</v>
      </c>
      <c r="O818" s="7" t="str">
        <f t="shared" ref="O818" si="150">IF(C818="Ionizador", "Trimestral", IF(C818="Rack", "Semestral", IF(C818="Mesa", "Semestral", IF(C818="Tapete", "Semestral", IF(C818="Cautín", "Semestral", IF(C818="Silla", "Semestral", "Anual"))))))</f>
        <v>Semestral</v>
      </c>
      <c r="P818" s="2" t="str">
        <f t="shared" ca="1" si="147"/>
        <v>VENCIDO</v>
      </c>
      <c r="Q818" s="6" t="s">
        <v>25</v>
      </c>
      <c r="R818" s="2" t="s">
        <v>157</v>
      </c>
    </row>
    <row r="819" spans="1:18" x14ac:dyDescent="0.25">
      <c r="A819" s="23" t="s">
        <v>155</v>
      </c>
      <c r="B819" s="2" t="s">
        <v>1954</v>
      </c>
      <c r="C819" s="3" t="s">
        <v>800</v>
      </c>
      <c r="D819" s="3" t="s">
        <v>23</v>
      </c>
      <c r="E819" s="2" t="s">
        <v>1239</v>
      </c>
      <c r="F819" s="4">
        <v>0</v>
      </c>
      <c r="G819" s="8">
        <f t="shared" si="148"/>
        <v>10</v>
      </c>
      <c r="H819" s="4" t="str">
        <f t="shared" si="149"/>
        <v>Segundos</v>
      </c>
      <c r="I819" s="6">
        <v>3</v>
      </c>
      <c r="J819" s="6" t="str">
        <f t="shared" si="138"/>
        <v>Segundos</v>
      </c>
      <c r="K819" s="2" t="str">
        <f t="shared" si="139"/>
        <v>Plato de carga</v>
      </c>
      <c r="L819" s="2"/>
      <c r="M819" s="7">
        <v>46367</v>
      </c>
      <c r="N819" s="7">
        <f t="shared" si="145"/>
        <v>46457</v>
      </c>
      <c r="O819" s="7" t="str">
        <f t="shared" ref="O819:O843" si="151">IF(C819="Ionizador", "Trimestral", IF(C819="Rack", "Anual", IF(C819="Mesa", "Anual", IF(C819="Tapete", "Semestral", IF(C819="Cautín", "Semestral", IF(C819="Silla", "Semestral", "Anual"))))))</f>
        <v>Trimestral</v>
      </c>
      <c r="P819" s="2" t="str">
        <f t="shared" ca="1" si="147"/>
        <v>VIGENTE</v>
      </c>
      <c r="Q819" s="6" t="s">
        <v>25</v>
      </c>
      <c r="R819" s="2"/>
    </row>
    <row r="820" spans="1:18" x14ac:dyDescent="0.25">
      <c r="A820" s="23" t="s">
        <v>155</v>
      </c>
      <c r="B820" s="2" t="s">
        <v>1955</v>
      </c>
      <c r="C820" s="3" t="s">
        <v>800</v>
      </c>
      <c r="D820" s="3" t="s">
        <v>23</v>
      </c>
      <c r="E820" s="2" t="s">
        <v>1239</v>
      </c>
      <c r="F820" s="4">
        <v>0</v>
      </c>
      <c r="G820" s="8">
        <f t="shared" si="148"/>
        <v>10</v>
      </c>
      <c r="H820" s="4" t="str">
        <f t="shared" si="149"/>
        <v>Segundos</v>
      </c>
      <c r="I820" s="14">
        <v>2</v>
      </c>
      <c r="J820" s="6" t="str">
        <f t="shared" si="138"/>
        <v>Segundos</v>
      </c>
      <c r="K820" s="2" t="str">
        <f t="shared" si="139"/>
        <v>Plato de carga</v>
      </c>
      <c r="L820" s="2"/>
      <c r="M820" s="7">
        <v>46367</v>
      </c>
      <c r="N820" s="7">
        <f t="shared" si="145"/>
        <v>46457</v>
      </c>
      <c r="O820" s="7" t="str">
        <f t="shared" si="151"/>
        <v>Trimestral</v>
      </c>
      <c r="P820" s="2" t="str">
        <f t="shared" ca="1" si="147"/>
        <v>VIGENTE</v>
      </c>
      <c r="Q820" s="6" t="s">
        <v>25</v>
      </c>
      <c r="R820" s="2"/>
    </row>
    <row r="821" spans="1:18" x14ac:dyDescent="0.25">
      <c r="A821" s="23" t="s">
        <v>155</v>
      </c>
      <c r="B821" s="2" t="s">
        <v>1956</v>
      </c>
      <c r="C821" s="3" t="s">
        <v>800</v>
      </c>
      <c r="D821" s="3" t="s">
        <v>23</v>
      </c>
      <c r="E821" s="2" t="s">
        <v>1239</v>
      </c>
      <c r="F821" s="4">
        <v>0</v>
      </c>
      <c r="G821" s="8">
        <f t="shared" si="148"/>
        <v>10</v>
      </c>
      <c r="H821" s="4" t="str">
        <f t="shared" si="149"/>
        <v>Segundos</v>
      </c>
      <c r="I821" s="14">
        <v>3</v>
      </c>
      <c r="J821" s="6" t="str">
        <f t="shared" si="138"/>
        <v>Segundos</v>
      </c>
      <c r="K821" s="2" t="str">
        <f t="shared" si="139"/>
        <v>Plato de carga</v>
      </c>
      <c r="L821" s="2"/>
      <c r="M821" s="7">
        <v>46367</v>
      </c>
      <c r="N821" s="7">
        <f t="shared" si="145"/>
        <v>46457</v>
      </c>
      <c r="O821" s="7" t="str">
        <f t="shared" si="151"/>
        <v>Trimestral</v>
      </c>
      <c r="P821" s="2" t="str">
        <f t="shared" ca="1" si="147"/>
        <v>VIGENTE</v>
      </c>
      <c r="Q821" s="6" t="s">
        <v>25</v>
      </c>
      <c r="R821" s="2"/>
    </row>
    <row r="822" spans="1:18" x14ac:dyDescent="0.25">
      <c r="A822" s="23" t="s">
        <v>138</v>
      </c>
      <c r="B822" s="2" t="s">
        <v>1957</v>
      </c>
      <c r="C822" s="3" t="s">
        <v>800</v>
      </c>
      <c r="D822" s="3" t="s">
        <v>23</v>
      </c>
      <c r="E822" s="2" t="s">
        <v>1239</v>
      </c>
      <c r="F822" s="4">
        <v>0</v>
      </c>
      <c r="G822" s="8">
        <f t="shared" si="148"/>
        <v>10</v>
      </c>
      <c r="H822" s="4" t="str">
        <f t="shared" si="149"/>
        <v>Segundos</v>
      </c>
      <c r="I822" s="6">
        <v>2</v>
      </c>
      <c r="J822" s="6" t="str">
        <f t="shared" si="138"/>
        <v>Segundos</v>
      </c>
      <c r="K822" s="2" t="str">
        <f t="shared" si="139"/>
        <v>Plato de carga</v>
      </c>
      <c r="L822" s="2"/>
      <c r="M822" s="7">
        <v>46084</v>
      </c>
      <c r="N822" s="7">
        <f t="shared" si="145"/>
        <v>46174</v>
      </c>
      <c r="O822" s="7" t="str">
        <f t="shared" si="151"/>
        <v>Trimestral</v>
      </c>
      <c r="P822" s="2" t="str">
        <f t="shared" ca="1" si="147"/>
        <v>VIGENTE</v>
      </c>
      <c r="Q822" s="6" t="s">
        <v>25</v>
      </c>
      <c r="R822" s="2"/>
    </row>
    <row r="823" spans="1:18" x14ac:dyDescent="0.25">
      <c r="A823" s="23" t="s">
        <v>138</v>
      </c>
      <c r="B823" s="2" t="s">
        <v>1958</v>
      </c>
      <c r="C823" s="3" t="s">
        <v>800</v>
      </c>
      <c r="D823" s="3" t="s">
        <v>23</v>
      </c>
      <c r="E823" s="2" t="s">
        <v>1239</v>
      </c>
      <c r="F823" s="4">
        <v>0</v>
      </c>
      <c r="G823" s="8">
        <f t="shared" si="148"/>
        <v>10</v>
      </c>
      <c r="H823" s="4" t="str">
        <f t="shared" si="149"/>
        <v>Segundos</v>
      </c>
      <c r="I823" s="6">
        <v>2</v>
      </c>
      <c r="J823" s="6" t="str">
        <f t="shared" si="138"/>
        <v>Segundos</v>
      </c>
      <c r="K823" s="2" t="str">
        <f t="shared" si="139"/>
        <v>Plato de carga</v>
      </c>
      <c r="L823" s="2"/>
      <c r="M823" s="7">
        <v>46084</v>
      </c>
      <c r="N823" s="7">
        <f t="shared" si="145"/>
        <v>46174</v>
      </c>
      <c r="O823" s="7" t="str">
        <f t="shared" si="151"/>
        <v>Trimestral</v>
      </c>
      <c r="P823" s="2" t="str">
        <f t="shared" ca="1" si="147"/>
        <v>VIGENTE</v>
      </c>
      <c r="Q823" s="6" t="s">
        <v>25</v>
      </c>
      <c r="R823" s="2"/>
    </row>
    <row r="824" spans="1:18" x14ac:dyDescent="0.25">
      <c r="A824" s="23" t="s">
        <v>138</v>
      </c>
      <c r="B824" s="2" t="s">
        <v>1959</v>
      </c>
      <c r="C824" s="3" t="s">
        <v>800</v>
      </c>
      <c r="D824" s="3" t="s">
        <v>23</v>
      </c>
      <c r="E824" s="2" t="s">
        <v>1239</v>
      </c>
      <c r="F824" s="4">
        <v>0</v>
      </c>
      <c r="G824" s="8">
        <f t="shared" si="148"/>
        <v>10</v>
      </c>
      <c r="H824" s="4" t="str">
        <f t="shared" si="149"/>
        <v>Segundos</v>
      </c>
      <c r="I824" s="6">
        <v>3</v>
      </c>
      <c r="J824" s="6" t="str">
        <f t="shared" si="138"/>
        <v>Segundos</v>
      </c>
      <c r="K824" s="2" t="str">
        <f t="shared" si="139"/>
        <v>Plato de carga</v>
      </c>
      <c r="L824" s="2"/>
      <c r="M824" s="7">
        <v>46084</v>
      </c>
      <c r="N824" s="7">
        <f t="shared" si="145"/>
        <v>46174</v>
      </c>
      <c r="O824" s="7" t="str">
        <f t="shared" si="151"/>
        <v>Trimestral</v>
      </c>
      <c r="P824" s="2" t="str">
        <f t="shared" ca="1" si="147"/>
        <v>VIGENTE</v>
      </c>
      <c r="Q824" s="6" t="s">
        <v>25</v>
      </c>
      <c r="R824" s="2"/>
    </row>
    <row r="825" spans="1:18" x14ac:dyDescent="0.25">
      <c r="A825" s="23" t="s">
        <v>138</v>
      </c>
      <c r="B825" s="2" t="s">
        <v>1960</v>
      </c>
      <c r="C825" s="3" t="s">
        <v>1169</v>
      </c>
      <c r="D825" s="3" t="s">
        <v>23</v>
      </c>
      <c r="E825" s="2" t="s">
        <v>24</v>
      </c>
      <c r="F825" s="4">
        <v>0</v>
      </c>
      <c r="G825" s="8">
        <f t="shared" si="148"/>
        <v>1</v>
      </c>
      <c r="H825" s="4" t="str">
        <f t="shared" si="149"/>
        <v>Ohms</v>
      </c>
      <c r="I825" s="6">
        <v>6.0999999999999999E-2</v>
      </c>
      <c r="J825" s="6" t="str">
        <f t="shared" si="138"/>
        <v>Ohms</v>
      </c>
      <c r="K825" s="2" t="str">
        <f t="shared" si="139"/>
        <v>RTG</v>
      </c>
      <c r="L825" s="2">
        <v>46416921</v>
      </c>
      <c r="M825" s="7">
        <v>46073</v>
      </c>
      <c r="N825" s="7">
        <f t="shared" si="145"/>
        <v>46438</v>
      </c>
      <c r="O825" s="7" t="str">
        <f t="shared" si="151"/>
        <v>Anual</v>
      </c>
      <c r="P825" s="2" t="str">
        <f t="shared" ca="1" si="147"/>
        <v>VIGENTE</v>
      </c>
      <c r="Q825" s="6" t="s">
        <v>25</v>
      </c>
      <c r="R825" s="2"/>
    </row>
    <row r="826" spans="1:18" x14ac:dyDescent="0.25">
      <c r="A826" s="23" t="s">
        <v>138</v>
      </c>
      <c r="B826" s="2" t="s">
        <v>1961</v>
      </c>
      <c r="C826" s="3" t="s">
        <v>747</v>
      </c>
      <c r="D826" s="3" t="s">
        <v>23</v>
      </c>
      <c r="E826" s="2" t="s">
        <v>24</v>
      </c>
      <c r="F826" s="4">
        <v>0</v>
      </c>
      <c r="G826" s="8">
        <f t="shared" si="148"/>
        <v>1</v>
      </c>
      <c r="H826" s="4" t="str">
        <f t="shared" si="149"/>
        <v>Ohms</v>
      </c>
      <c r="I826" s="6">
        <v>6.8000000000000005E-2</v>
      </c>
      <c r="J826" s="6" t="str">
        <f t="shared" si="138"/>
        <v>Ohms</v>
      </c>
      <c r="K826" s="2" t="str">
        <f t="shared" si="139"/>
        <v>RTG</v>
      </c>
      <c r="L826" s="2">
        <v>46416921</v>
      </c>
      <c r="M826" s="7">
        <v>46073</v>
      </c>
      <c r="N826" s="7">
        <f t="shared" si="145"/>
        <v>46438</v>
      </c>
      <c r="O826" s="7" t="str">
        <f t="shared" si="151"/>
        <v>Anual</v>
      </c>
      <c r="P826" s="2" t="str">
        <f t="shared" ca="1" si="147"/>
        <v>VIGENTE</v>
      </c>
      <c r="Q826" s="6" t="s">
        <v>25</v>
      </c>
      <c r="R826" s="2"/>
    </row>
    <row r="827" spans="1:18" x14ac:dyDescent="0.25">
      <c r="A827" s="23" t="s">
        <v>138</v>
      </c>
      <c r="B827" s="2" t="s">
        <v>1962</v>
      </c>
      <c r="C827" s="3" t="s">
        <v>261</v>
      </c>
      <c r="D827" s="3" t="s">
        <v>23</v>
      </c>
      <c r="E827" s="2" t="s">
        <v>24</v>
      </c>
      <c r="F827" s="4">
        <v>0</v>
      </c>
      <c r="G827" s="8">
        <f t="shared" si="148"/>
        <v>1</v>
      </c>
      <c r="H827" s="4" t="str">
        <f t="shared" si="149"/>
        <v>Ohms</v>
      </c>
      <c r="I827" s="6">
        <v>7.5999999999999998E-2</v>
      </c>
      <c r="J827" s="6" t="str">
        <f t="shared" si="138"/>
        <v>Ohms</v>
      </c>
      <c r="K827" s="2" t="str">
        <f t="shared" si="139"/>
        <v>RTG</v>
      </c>
      <c r="L827" s="2">
        <v>46416921</v>
      </c>
      <c r="M827" s="7">
        <v>46073</v>
      </c>
      <c r="N827" s="7">
        <f t="shared" si="145"/>
        <v>46438</v>
      </c>
      <c r="O827" s="7" t="str">
        <f t="shared" si="151"/>
        <v>Anual</v>
      </c>
      <c r="P827" s="2" t="str">
        <f t="shared" ca="1" si="147"/>
        <v>VIGENTE</v>
      </c>
      <c r="Q827" s="6" t="s">
        <v>25</v>
      </c>
      <c r="R827" s="2"/>
    </row>
    <row r="828" spans="1:18" x14ac:dyDescent="0.25">
      <c r="A828" s="23" t="s">
        <v>138</v>
      </c>
      <c r="B828" s="2" t="s">
        <v>1963</v>
      </c>
      <c r="C828" s="3" t="s">
        <v>747</v>
      </c>
      <c r="D828" s="3" t="s">
        <v>23</v>
      </c>
      <c r="E828" s="2" t="s">
        <v>24</v>
      </c>
      <c r="F828" s="4">
        <v>0</v>
      </c>
      <c r="G828" s="8">
        <f t="shared" si="148"/>
        <v>1</v>
      </c>
      <c r="H828" s="4" t="str">
        <f t="shared" si="149"/>
        <v>Ohms</v>
      </c>
      <c r="I828" s="6">
        <v>0.13500000000000001</v>
      </c>
      <c r="J828" s="6" t="str">
        <f t="shared" si="138"/>
        <v>Ohms</v>
      </c>
      <c r="K828" s="2" t="str">
        <f t="shared" si="139"/>
        <v>RTG</v>
      </c>
      <c r="L828" s="2">
        <v>46416921</v>
      </c>
      <c r="M828" s="7">
        <v>46073</v>
      </c>
      <c r="N828" s="7">
        <f t="shared" si="145"/>
        <v>46438</v>
      </c>
      <c r="O828" s="7" t="str">
        <f t="shared" si="151"/>
        <v>Anual</v>
      </c>
      <c r="P828" s="2" t="str">
        <f t="shared" ca="1" si="147"/>
        <v>VIGENTE</v>
      </c>
      <c r="Q828" s="6" t="s">
        <v>25</v>
      </c>
      <c r="R828" s="2"/>
    </row>
    <row r="829" spans="1:18" x14ac:dyDescent="0.25">
      <c r="A829" s="23" t="s">
        <v>138</v>
      </c>
      <c r="B829" s="2" t="s">
        <v>1964</v>
      </c>
      <c r="C829" s="3" t="s">
        <v>747</v>
      </c>
      <c r="D829" s="3" t="s">
        <v>23</v>
      </c>
      <c r="E829" s="2" t="s">
        <v>24</v>
      </c>
      <c r="F829" s="4">
        <v>0</v>
      </c>
      <c r="G829" s="8">
        <f t="shared" si="148"/>
        <v>1</v>
      </c>
      <c r="H829" s="4" t="str">
        <f t="shared" si="149"/>
        <v>Ohms</v>
      </c>
      <c r="I829" s="6">
        <v>0.13600000000000001</v>
      </c>
      <c r="J829" s="6" t="str">
        <f t="shared" ref="J829:J859" si="152">H829</f>
        <v>Ohms</v>
      </c>
      <c r="K829" s="2" t="str">
        <f t="shared" ref="K829:K859" si="153">IF(C829="Ionizador", "Plato de carga", IF(C829="Cautín", "PTG", IF(C829="ESD Tester", "PTP Deviation", "RTG")))</f>
        <v>RTG</v>
      </c>
      <c r="L829" s="2">
        <v>46416921</v>
      </c>
      <c r="M829" s="7">
        <v>46073</v>
      </c>
      <c r="N829" s="7">
        <f t="shared" si="145"/>
        <v>46438</v>
      </c>
      <c r="O829" s="7" t="str">
        <f t="shared" si="151"/>
        <v>Anual</v>
      </c>
      <c r="P829" s="2" t="str">
        <f t="shared" ca="1" si="147"/>
        <v>VIGENTE</v>
      </c>
      <c r="Q829" s="6" t="s">
        <v>25</v>
      </c>
      <c r="R829" s="2"/>
    </row>
    <row r="830" spans="1:18" x14ac:dyDescent="0.25">
      <c r="A830" s="23" t="s">
        <v>138</v>
      </c>
      <c r="B830" s="2" t="s">
        <v>1965</v>
      </c>
      <c r="C830" s="3" t="s">
        <v>747</v>
      </c>
      <c r="D830" s="3" t="s">
        <v>23</v>
      </c>
      <c r="E830" s="2" t="s">
        <v>24</v>
      </c>
      <c r="F830" s="4">
        <v>0</v>
      </c>
      <c r="G830" s="8">
        <f t="shared" si="148"/>
        <v>1</v>
      </c>
      <c r="H830" s="4" t="str">
        <f t="shared" si="149"/>
        <v>Ohms</v>
      </c>
      <c r="I830" s="6">
        <v>0.75600000000000001</v>
      </c>
      <c r="J830" s="6" t="str">
        <f t="shared" si="152"/>
        <v>Ohms</v>
      </c>
      <c r="K830" s="2" t="str">
        <f t="shared" si="153"/>
        <v>RTG</v>
      </c>
      <c r="L830" s="2">
        <v>46416921</v>
      </c>
      <c r="M830" s="7">
        <v>46073</v>
      </c>
      <c r="N830" s="7">
        <f t="shared" si="145"/>
        <v>46438</v>
      </c>
      <c r="O830" s="7" t="str">
        <f t="shared" si="151"/>
        <v>Anual</v>
      </c>
      <c r="P830" s="2" t="str">
        <f t="shared" ref="P830:P859" ca="1" si="154">IF(N830&lt;TODAY(),"VENCIDO",IF(N830=TODAY(),"VIGENTE",IF(N830&gt;TODAY(),"VIGENTE")))</f>
        <v>VIGENTE</v>
      </c>
      <c r="Q830" s="6" t="s">
        <v>25</v>
      </c>
      <c r="R830" s="2"/>
    </row>
    <row r="831" spans="1:18" x14ac:dyDescent="0.25">
      <c r="A831" s="23" t="s">
        <v>138</v>
      </c>
      <c r="B831" s="2" t="s">
        <v>1966</v>
      </c>
      <c r="C831" s="3" t="s">
        <v>747</v>
      </c>
      <c r="D831" s="3" t="s">
        <v>23</v>
      </c>
      <c r="E831" s="2" t="s">
        <v>24</v>
      </c>
      <c r="F831" s="4">
        <v>0</v>
      </c>
      <c r="G831" s="8">
        <f t="shared" si="148"/>
        <v>1</v>
      </c>
      <c r="H831" s="4" t="str">
        <f t="shared" si="149"/>
        <v>Ohms</v>
      </c>
      <c r="I831" s="6">
        <v>0.107</v>
      </c>
      <c r="J831" s="6" t="str">
        <f t="shared" si="152"/>
        <v>Ohms</v>
      </c>
      <c r="K831" s="2" t="str">
        <f t="shared" si="153"/>
        <v>RTG</v>
      </c>
      <c r="L831" s="2">
        <v>46416921</v>
      </c>
      <c r="M831" s="7">
        <v>46073</v>
      </c>
      <c r="N831" s="7">
        <f t="shared" si="145"/>
        <v>46438</v>
      </c>
      <c r="O831" s="7" t="str">
        <f t="shared" si="151"/>
        <v>Anual</v>
      </c>
      <c r="P831" s="2" t="str">
        <f t="shared" ca="1" si="154"/>
        <v>VIGENTE</v>
      </c>
      <c r="Q831" s="6" t="s">
        <v>25</v>
      </c>
      <c r="R831" s="2"/>
    </row>
    <row r="832" spans="1:18" x14ac:dyDescent="0.25">
      <c r="A832" s="23" t="s">
        <v>138</v>
      </c>
      <c r="B832" s="2" t="s">
        <v>1967</v>
      </c>
      <c r="C832" s="3" t="s">
        <v>747</v>
      </c>
      <c r="D832" s="3" t="s">
        <v>23</v>
      </c>
      <c r="E832" s="2" t="s">
        <v>24</v>
      </c>
      <c r="F832" s="4">
        <v>0</v>
      </c>
      <c r="G832" s="8">
        <f t="shared" si="148"/>
        <v>1</v>
      </c>
      <c r="H832" s="4" t="str">
        <f t="shared" si="149"/>
        <v>Ohms</v>
      </c>
      <c r="I832" s="6">
        <v>0.35699999999999998</v>
      </c>
      <c r="J832" s="6" t="str">
        <f t="shared" si="152"/>
        <v>Ohms</v>
      </c>
      <c r="K832" s="2" t="str">
        <f t="shared" si="153"/>
        <v>RTG</v>
      </c>
      <c r="L832" s="2">
        <v>46416921</v>
      </c>
      <c r="M832" s="7">
        <v>46073</v>
      </c>
      <c r="N832" s="7">
        <f t="shared" si="145"/>
        <v>46438</v>
      </c>
      <c r="O832" s="7" t="str">
        <f t="shared" si="151"/>
        <v>Anual</v>
      </c>
      <c r="P832" s="2" t="str">
        <f t="shared" ca="1" si="154"/>
        <v>VIGENTE</v>
      </c>
      <c r="Q832" s="6" t="s">
        <v>25</v>
      </c>
      <c r="R832" s="2"/>
    </row>
    <row r="833" spans="1:18" x14ac:dyDescent="0.25">
      <c r="A833" s="23" t="s">
        <v>138</v>
      </c>
      <c r="B833" s="2" t="s">
        <v>1968</v>
      </c>
      <c r="C833" s="3" t="s">
        <v>747</v>
      </c>
      <c r="D833" s="3" t="s">
        <v>23</v>
      </c>
      <c r="E833" s="2" t="s">
        <v>24</v>
      </c>
      <c r="F833" s="4">
        <v>0</v>
      </c>
      <c r="G833" s="8">
        <f t="shared" si="148"/>
        <v>1</v>
      </c>
      <c r="H833" s="4" t="str">
        <f t="shared" si="149"/>
        <v>Ohms</v>
      </c>
      <c r="I833" s="6">
        <v>5.0999999999999997E-2</v>
      </c>
      <c r="J833" s="6" t="str">
        <f t="shared" si="152"/>
        <v>Ohms</v>
      </c>
      <c r="K833" s="2" t="str">
        <f t="shared" si="153"/>
        <v>RTG</v>
      </c>
      <c r="L833" s="2">
        <v>46416921</v>
      </c>
      <c r="M833" s="7">
        <v>46073</v>
      </c>
      <c r="N833" s="7">
        <f t="shared" si="145"/>
        <v>46438</v>
      </c>
      <c r="O833" s="7" t="str">
        <f t="shared" si="151"/>
        <v>Anual</v>
      </c>
      <c r="P833" s="2" t="str">
        <f t="shared" ca="1" si="154"/>
        <v>VIGENTE</v>
      </c>
      <c r="Q833" s="6" t="s">
        <v>25</v>
      </c>
      <c r="R833" s="2"/>
    </row>
    <row r="834" spans="1:18" x14ac:dyDescent="0.25">
      <c r="A834" s="23" t="s">
        <v>138</v>
      </c>
      <c r="B834" s="2" t="s">
        <v>1969</v>
      </c>
      <c r="C834" s="3" t="s">
        <v>747</v>
      </c>
      <c r="D834" s="3" t="s">
        <v>23</v>
      </c>
      <c r="E834" s="2" t="s">
        <v>24</v>
      </c>
      <c r="F834" s="4">
        <v>0</v>
      </c>
      <c r="G834" s="8">
        <f t="shared" si="148"/>
        <v>1</v>
      </c>
      <c r="H834" s="4" t="str">
        <f t="shared" si="149"/>
        <v>Ohms</v>
      </c>
      <c r="I834" s="6">
        <v>8.7999999999999995E-2</v>
      </c>
      <c r="J834" s="6" t="str">
        <f t="shared" si="152"/>
        <v>Ohms</v>
      </c>
      <c r="K834" s="2" t="str">
        <f t="shared" si="153"/>
        <v>RTG</v>
      </c>
      <c r="L834" s="2">
        <v>46416921</v>
      </c>
      <c r="M834" s="7">
        <v>46073</v>
      </c>
      <c r="N834" s="7">
        <f t="shared" si="145"/>
        <v>46438</v>
      </c>
      <c r="O834" s="7" t="str">
        <f t="shared" si="151"/>
        <v>Anual</v>
      </c>
      <c r="P834" s="2" t="str">
        <f t="shared" ca="1" si="154"/>
        <v>VIGENTE</v>
      </c>
      <c r="Q834" s="6" t="s">
        <v>25</v>
      </c>
      <c r="R834" s="2"/>
    </row>
    <row r="835" spans="1:18" x14ac:dyDescent="0.25">
      <c r="A835" s="23" t="s">
        <v>138</v>
      </c>
      <c r="B835" s="2" t="s">
        <v>1970</v>
      </c>
      <c r="C835" s="3" t="s">
        <v>747</v>
      </c>
      <c r="D835" s="3" t="s">
        <v>23</v>
      </c>
      <c r="E835" s="2" t="s">
        <v>24</v>
      </c>
      <c r="F835" s="4">
        <v>0</v>
      </c>
      <c r="G835" s="8">
        <f t="shared" si="148"/>
        <v>1</v>
      </c>
      <c r="H835" s="4" t="str">
        <f t="shared" si="149"/>
        <v>Ohms</v>
      </c>
      <c r="I835" s="14">
        <v>329000000</v>
      </c>
      <c r="J835" s="6" t="str">
        <f t="shared" si="152"/>
        <v>Ohms</v>
      </c>
      <c r="K835" s="2" t="str">
        <f t="shared" si="153"/>
        <v>RTG</v>
      </c>
      <c r="L835" s="2">
        <v>46416921</v>
      </c>
      <c r="M835" s="7">
        <v>46073</v>
      </c>
      <c r="N835" s="7">
        <f t="shared" si="145"/>
        <v>46438</v>
      </c>
      <c r="O835" s="7" t="str">
        <f t="shared" si="151"/>
        <v>Anual</v>
      </c>
      <c r="P835" s="2" t="str">
        <f t="shared" ca="1" si="154"/>
        <v>VIGENTE</v>
      </c>
      <c r="Q835" s="6" t="s">
        <v>25</v>
      </c>
      <c r="R835" s="2"/>
    </row>
    <row r="836" spans="1:18" x14ac:dyDescent="0.25">
      <c r="A836" s="23" t="s">
        <v>138</v>
      </c>
      <c r="B836" s="2" t="s">
        <v>1971</v>
      </c>
      <c r="C836" s="3" t="s">
        <v>747</v>
      </c>
      <c r="D836" s="3" t="s">
        <v>23</v>
      </c>
      <c r="E836" s="2" t="s">
        <v>24</v>
      </c>
      <c r="F836" s="4">
        <v>0</v>
      </c>
      <c r="G836" s="8">
        <f t="shared" si="148"/>
        <v>1</v>
      </c>
      <c r="H836" s="4" t="str">
        <f t="shared" si="149"/>
        <v>Ohms</v>
      </c>
      <c r="I836" s="6">
        <v>0.20599999999999999</v>
      </c>
      <c r="J836" s="6" t="str">
        <f t="shared" si="152"/>
        <v>Ohms</v>
      </c>
      <c r="K836" s="2" t="str">
        <f t="shared" si="153"/>
        <v>RTG</v>
      </c>
      <c r="L836" s="2">
        <v>46416921</v>
      </c>
      <c r="M836" s="7">
        <v>46073</v>
      </c>
      <c r="N836" s="7">
        <f t="shared" si="145"/>
        <v>46438</v>
      </c>
      <c r="O836" s="7" t="str">
        <f t="shared" si="151"/>
        <v>Anual</v>
      </c>
      <c r="P836" s="2" t="str">
        <f t="shared" ca="1" si="154"/>
        <v>VIGENTE</v>
      </c>
      <c r="Q836" s="6" t="s">
        <v>25</v>
      </c>
      <c r="R836" s="2"/>
    </row>
    <row r="837" spans="1:18" x14ac:dyDescent="0.25">
      <c r="A837" s="23" t="s">
        <v>138</v>
      </c>
      <c r="B837" s="2" t="s">
        <v>1972</v>
      </c>
      <c r="C837" s="3" t="s">
        <v>747</v>
      </c>
      <c r="D837" s="3" t="s">
        <v>23</v>
      </c>
      <c r="E837" s="2" t="s">
        <v>24</v>
      </c>
      <c r="F837" s="4">
        <v>0</v>
      </c>
      <c r="G837" s="8">
        <f t="shared" si="148"/>
        <v>1</v>
      </c>
      <c r="H837" s="4" t="str">
        <f t="shared" si="149"/>
        <v>Ohms</v>
      </c>
      <c r="I837" s="6">
        <v>0.21099999999999999</v>
      </c>
      <c r="J837" s="6" t="str">
        <f t="shared" si="152"/>
        <v>Ohms</v>
      </c>
      <c r="K837" s="2" t="str">
        <f t="shared" si="153"/>
        <v>RTG</v>
      </c>
      <c r="L837" s="2">
        <v>46416921</v>
      </c>
      <c r="M837" s="7">
        <v>46073</v>
      </c>
      <c r="N837" s="7">
        <f t="shared" si="145"/>
        <v>46438</v>
      </c>
      <c r="O837" s="7" t="str">
        <f t="shared" si="151"/>
        <v>Anual</v>
      </c>
      <c r="P837" s="2" t="str">
        <f t="shared" ca="1" si="154"/>
        <v>VIGENTE</v>
      </c>
      <c r="Q837" s="6" t="s">
        <v>25</v>
      </c>
      <c r="R837" s="2"/>
    </row>
    <row r="838" spans="1:18" x14ac:dyDescent="0.25">
      <c r="A838" s="23" t="s">
        <v>138</v>
      </c>
      <c r="B838" s="2" t="s">
        <v>1973</v>
      </c>
      <c r="C838" s="3" t="s">
        <v>747</v>
      </c>
      <c r="D838" s="3" t="s">
        <v>23</v>
      </c>
      <c r="E838" s="2" t="s">
        <v>24</v>
      </c>
      <c r="F838" s="4">
        <v>0</v>
      </c>
      <c r="G838" s="8">
        <f t="shared" si="148"/>
        <v>1</v>
      </c>
      <c r="H838" s="4" t="str">
        <f t="shared" si="149"/>
        <v>Ohms</v>
      </c>
      <c r="I838" s="6">
        <v>6.0999999999999999E-2</v>
      </c>
      <c r="J838" s="6" t="str">
        <f t="shared" si="152"/>
        <v>Ohms</v>
      </c>
      <c r="K838" s="2" t="str">
        <f t="shared" si="153"/>
        <v>RTG</v>
      </c>
      <c r="L838" s="2">
        <v>46416921</v>
      </c>
      <c r="M838" s="7">
        <v>46073</v>
      </c>
      <c r="N838" s="7">
        <f t="shared" si="145"/>
        <v>46438</v>
      </c>
      <c r="O838" s="7" t="str">
        <f t="shared" si="151"/>
        <v>Anual</v>
      </c>
      <c r="P838" s="2" t="str">
        <f t="shared" ca="1" si="154"/>
        <v>VIGENTE</v>
      </c>
      <c r="Q838" s="6" t="s">
        <v>25</v>
      </c>
      <c r="R838" s="2"/>
    </row>
    <row r="839" spans="1:18" x14ac:dyDescent="0.25">
      <c r="A839" s="23" t="s">
        <v>138</v>
      </c>
      <c r="B839" s="2" t="s">
        <v>1974</v>
      </c>
      <c r="C839" s="3" t="s">
        <v>1169</v>
      </c>
      <c r="D839" s="3" t="s">
        <v>23</v>
      </c>
      <c r="E839" s="2" t="s">
        <v>24</v>
      </c>
      <c r="F839" s="4">
        <v>0</v>
      </c>
      <c r="G839" s="8">
        <f t="shared" si="148"/>
        <v>1</v>
      </c>
      <c r="H839" s="4" t="str">
        <f t="shared" si="149"/>
        <v>Ohms</v>
      </c>
      <c r="I839" s="6">
        <v>936000000</v>
      </c>
      <c r="J839" s="6" t="str">
        <f t="shared" si="152"/>
        <v>Ohms</v>
      </c>
      <c r="K839" s="2" t="str">
        <f t="shared" si="153"/>
        <v>RTG</v>
      </c>
      <c r="L839" s="2">
        <v>46416921</v>
      </c>
      <c r="M839" s="7">
        <v>46073</v>
      </c>
      <c r="N839" s="7">
        <f t="shared" si="145"/>
        <v>46438</v>
      </c>
      <c r="O839" s="7" t="str">
        <f t="shared" si="151"/>
        <v>Anual</v>
      </c>
      <c r="P839" s="2" t="str">
        <f t="shared" ca="1" si="154"/>
        <v>VIGENTE</v>
      </c>
      <c r="Q839" s="6" t="s">
        <v>25</v>
      </c>
      <c r="R839" s="2"/>
    </row>
    <row r="840" spans="1:18" x14ac:dyDescent="0.25">
      <c r="A840" s="23" t="s">
        <v>1163</v>
      </c>
      <c r="B840" s="2" t="s">
        <v>1975</v>
      </c>
      <c r="C840" s="3" t="s">
        <v>259</v>
      </c>
      <c r="D840" s="3" t="s">
        <v>23</v>
      </c>
      <c r="E840" s="2" t="s">
        <v>806</v>
      </c>
      <c r="F840" s="4">
        <v>0</v>
      </c>
      <c r="G840" s="8">
        <f t="shared" si="148"/>
        <v>1</v>
      </c>
      <c r="H840" s="4" t="str">
        <f t="shared" si="149"/>
        <v>Ohms</v>
      </c>
      <c r="I840" s="6">
        <v>0.23</v>
      </c>
      <c r="J840" s="6" t="str">
        <f t="shared" si="152"/>
        <v>Ohms</v>
      </c>
      <c r="K840" s="2" t="str">
        <f t="shared" si="153"/>
        <v>RTG</v>
      </c>
      <c r="L840" s="2">
        <v>49643377</v>
      </c>
      <c r="M840" s="7">
        <v>46044</v>
      </c>
      <c r="N840" s="7">
        <f t="shared" si="145"/>
        <v>46409</v>
      </c>
      <c r="O840" s="7" t="str">
        <f t="shared" si="151"/>
        <v>Anual</v>
      </c>
      <c r="P840" s="2" t="str">
        <f t="shared" ca="1" si="154"/>
        <v>VIGENTE</v>
      </c>
      <c r="Q840" s="6" t="s">
        <v>25</v>
      </c>
      <c r="R840" s="2"/>
    </row>
    <row r="841" spans="1:18" x14ac:dyDescent="0.25">
      <c r="A841" s="23" t="s">
        <v>1163</v>
      </c>
      <c r="B841" s="2" t="s">
        <v>1976</v>
      </c>
      <c r="C841" s="3" t="s">
        <v>261</v>
      </c>
      <c r="D841" s="3" t="s">
        <v>23</v>
      </c>
      <c r="E841" s="2" t="s">
        <v>806</v>
      </c>
      <c r="F841" s="4">
        <v>0</v>
      </c>
      <c r="G841" s="8">
        <f t="shared" si="148"/>
        <v>1</v>
      </c>
      <c r="H841" s="4" t="str">
        <f t="shared" si="149"/>
        <v>Ohms</v>
      </c>
      <c r="I841" s="6">
        <v>0.872</v>
      </c>
      <c r="J841" s="6" t="str">
        <f t="shared" si="152"/>
        <v>Ohms</v>
      </c>
      <c r="K841" s="2" t="str">
        <f t="shared" si="153"/>
        <v>RTG</v>
      </c>
      <c r="L841" s="2">
        <v>49643377</v>
      </c>
      <c r="M841" s="7">
        <v>46044</v>
      </c>
      <c r="N841" s="7">
        <f t="shared" si="145"/>
        <v>46409</v>
      </c>
      <c r="O841" s="7" t="str">
        <f t="shared" si="151"/>
        <v>Anual</v>
      </c>
      <c r="P841" s="2" t="str">
        <f t="shared" ca="1" si="154"/>
        <v>VIGENTE</v>
      </c>
      <c r="Q841" s="6" t="s">
        <v>25</v>
      </c>
      <c r="R841" s="2"/>
    </row>
    <row r="842" spans="1:18" x14ac:dyDescent="0.25">
      <c r="A842" s="23" t="s">
        <v>1163</v>
      </c>
      <c r="B842" s="2" t="s">
        <v>1977</v>
      </c>
      <c r="C842" s="3" t="s">
        <v>1279</v>
      </c>
      <c r="D842" s="3" t="s">
        <v>23</v>
      </c>
      <c r="E842" s="2" t="s">
        <v>1978</v>
      </c>
      <c r="F842" s="4">
        <v>0</v>
      </c>
      <c r="G842" s="8">
        <f t="shared" ref="G842:G859" si="155">IF(C842="Ionizador", 10, IF(C842="Mesa", 1000000000, IF(C842="Rack", 1000000000, IF(C842="Piso", 1000000000, IF(C842="Tapete", 1000000000, IF(C842="Carrito", 1000000000, IF(C842="Cautín", 10, 1)))))))</f>
        <v>1</v>
      </c>
      <c r="H842" s="4" t="str">
        <f t="shared" ref="H842:H859" si="156">IF(C842="Ionizador", "Segundos", "Ohms")</f>
        <v>Ohms</v>
      </c>
      <c r="I842" s="6">
        <v>0.12</v>
      </c>
      <c r="J842" s="6" t="str">
        <f t="shared" si="152"/>
        <v>Ohms</v>
      </c>
      <c r="K842" s="2" t="str">
        <f t="shared" si="153"/>
        <v>RTG</v>
      </c>
      <c r="L842" s="2">
        <v>49643377</v>
      </c>
      <c r="M842" s="7">
        <v>46044</v>
      </c>
      <c r="N842" s="7">
        <f t="shared" si="145"/>
        <v>46409</v>
      </c>
      <c r="O842" s="7" t="str">
        <f t="shared" si="151"/>
        <v>Anual</v>
      </c>
      <c r="P842" s="2" t="str">
        <f t="shared" ca="1" si="154"/>
        <v>VIGENTE</v>
      </c>
      <c r="Q842" s="6" t="s">
        <v>25</v>
      </c>
      <c r="R842" s="2"/>
    </row>
    <row r="843" spans="1:18" x14ac:dyDescent="0.25">
      <c r="A843" s="23" t="s">
        <v>1163</v>
      </c>
      <c r="B843" s="2" t="s">
        <v>1979</v>
      </c>
      <c r="C843" s="3" t="s">
        <v>267</v>
      </c>
      <c r="D843" s="3" t="s">
        <v>23</v>
      </c>
      <c r="E843" s="2" t="s">
        <v>814</v>
      </c>
      <c r="F843" s="4">
        <v>0</v>
      </c>
      <c r="G843" s="8">
        <f t="shared" si="155"/>
        <v>1</v>
      </c>
      <c r="H843" s="4" t="str">
        <f t="shared" si="156"/>
        <v>Ohms</v>
      </c>
      <c r="I843" s="6">
        <v>0.49</v>
      </c>
      <c r="J843" s="6" t="str">
        <f t="shared" si="152"/>
        <v>Ohms</v>
      </c>
      <c r="K843" s="2" t="str">
        <f t="shared" si="153"/>
        <v>RTG</v>
      </c>
      <c r="L843" s="2">
        <v>49643377</v>
      </c>
      <c r="M843" s="7">
        <v>46044</v>
      </c>
      <c r="N843" s="7">
        <f t="shared" si="145"/>
        <v>46409</v>
      </c>
      <c r="O843" s="7" t="str">
        <f t="shared" si="151"/>
        <v>Anual</v>
      </c>
      <c r="P843" s="2" t="str">
        <f t="shared" ca="1" si="154"/>
        <v>VIGENTE</v>
      </c>
      <c r="Q843" s="6" t="s">
        <v>25</v>
      </c>
      <c r="R843" s="2"/>
    </row>
    <row r="844" spans="1:18" x14ac:dyDescent="0.25">
      <c r="A844" s="23" t="s">
        <v>1980</v>
      </c>
      <c r="B844" s="2" t="s">
        <v>1981</v>
      </c>
      <c r="C844" s="3" t="s">
        <v>259</v>
      </c>
      <c r="D844" s="3" t="s">
        <v>23</v>
      </c>
      <c r="E844" s="2" t="s">
        <v>814</v>
      </c>
      <c r="F844" s="4">
        <v>0</v>
      </c>
      <c r="G844" s="8">
        <f t="shared" si="155"/>
        <v>1</v>
      </c>
      <c r="H844" s="4" t="str">
        <f t="shared" si="156"/>
        <v>Ohms</v>
      </c>
      <c r="I844" s="6">
        <v>0.1</v>
      </c>
      <c r="J844" s="6" t="str">
        <f t="shared" si="152"/>
        <v>Ohms</v>
      </c>
      <c r="K844" s="2" t="str">
        <f t="shared" si="153"/>
        <v>RTG</v>
      </c>
      <c r="L844" s="2">
        <v>42785579</v>
      </c>
      <c r="M844" s="7">
        <v>45693</v>
      </c>
      <c r="N844" s="7">
        <f t="shared" si="145"/>
        <v>46058</v>
      </c>
      <c r="O844" s="7" t="str">
        <f t="shared" ref="O844:O849" si="157">IF(C844="Ionizador", "Trimestral", IF(C844="Rack", "Semestral", IF(C844="Mesa", "Semestral", IF(C844="Tapete", "Semestral", IF(C844="Cautín", "Semestral", IF(C844="Silla", "Semestral", "Anual"))))))</f>
        <v>Anual</v>
      </c>
      <c r="P844" s="2" t="str">
        <f t="shared" ca="1" si="154"/>
        <v>VENCIDO</v>
      </c>
      <c r="Q844" s="6" t="s">
        <v>25</v>
      </c>
      <c r="R844" s="2"/>
    </row>
    <row r="845" spans="1:18" x14ac:dyDescent="0.25">
      <c r="A845" s="23" t="s">
        <v>1980</v>
      </c>
      <c r="B845" s="2" t="s">
        <v>1982</v>
      </c>
      <c r="C845" s="3" t="s">
        <v>813</v>
      </c>
      <c r="D845" s="3" t="s">
        <v>23</v>
      </c>
      <c r="E845" s="2" t="s">
        <v>814</v>
      </c>
      <c r="F845" s="4">
        <v>0</v>
      </c>
      <c r="G845" s="8">
        <f t="shared" si="155"/>
        <v>1</v>
      </c>
      <c r="H845" s="4" t="str">
        <f t="shared" si="156"/>
        <v>Ohms</v>
      </c>
      <c r="I845" s="6">
        <v>0.33500000000000002</v>
      </c>
      <c r="J845" s="6" t="str">
        <f t="shared" si="152"/>
        <v>Ohms</v>
      </c>
      <c r="K845" s="2" t="str">
        <f t="shared" si="153"/>
        <v>RTG</v>
      </c>
      <c r="L845" s="2">
        <v>42785579</v>
      </c>
      <c r="M845" s="7">
        <v>45693</v>
      </c>
      <c r="N845" s="7">
        <f t="shared" si="145"/>
        <v>46058</v>
      </c>
      <c r="O845" s="7" t="str">
        <f t="shared" si="157"/>
        <v>Anual</v>
      </c>
      <c r="P845" s="2" t="str">
        <f t="shared" ca="1" si="154"/>
        <v>VENCIDO</v>
      </c>
      <c r="Q845" s="6" t="s">
        <v>25</v>
      </c>
      <c r="R845" s="2"/>
    </row>
    <row r="846" spans="1:18" x14ac:dyDescent="0.25">
      <c r="A846" s="23" t="s">
        <v>1980</v>
      </c>
      <c r="B846" s="2" t="s">
        <v>1983</v>
      </c>
      <c r="C846" s="3" t="s">
        <v>261</v>
      </c>
      <c r="D846" s="3" t="s">
        <v>23</v>
      </c>
      <c r="E846" s="2" t="s">
        <v>814</v>
      </c>
      <c r="F846" s="4">
        <v>0</v>
      </c>
      <c r="G846" s="8">
        <f t="shared" si="155"/>
        <v>1</v>
      </c>
      <c r="H846" s="4" t="str">
        <f t="shared" si="156"/>
        <v>Ohms</v>
      </c>
      <c r="I846" s="6">
        <v>0.2</v>
      </c>
      <c r="J846" s="6" t="str">
        <f t="shared" si="152"/>
        <v>Ohms</v>
      </c>
      <c r="K846" s="2" t="str">
        <f t="shared" si="153"/>
        <v>RTG</v>
      </c>
      <c r="L846" s="2">
        <v>42785579</v>
      </c>
      <c r="M846" s="7">
        <v>45693</v>
      </c>
      <c r="N846" s="7">
        <f t="shared" si="145"/>
        <v>46058</v>
      </c>
      <c r="O846" s="7" t="str">
        <f t="shared" si="157"/>
        <v>Anual</v>
      </c>
      <c r="P846" s="2" t="str">
        <f t="shared" ca="1" si="154"/>
        <v>VENCIDO</v>
      </c>
      <c r="Q846" s="6" t="s">
        <v>25</v>
      </c>
      <c r="R846" s="2"/>
    </row>
    <row r="847" spans="1:18" x14ac:dyDescent="0.25">
      <c r="A847" s="23" t="s">
        <v>1980</v>
      </c>
      <c r="B847" s="2" t="s">
        <v>1984</v>
      </c>
      <c r="C847" s="3" t="s">
        <v>1279</v>
      </c>
      <c r="D847" s="3" t="s">
        <v>23</v>
      </c>
      <c r="E847" s="2" t="s">
        <v>1985</v>
      </c>
      <c r="F847" s="4">
        <v>0</v>
      </c>
      <c r="G847" s="8">
        <f t="shared" si="155"/>
        <v>1</v>
      </c>
      <c r="H847" s="4" t="str">
        <f t="shared" si="156"/>
        <v>Ohms</v>
      </c>
      <c r="I847" s="6">
        <v>0.129</v>
      </c>
      <c r="J847" s="6" t="str">
        <f t="shared" si="152"/>
        <v>Ohms</v>
      </c>
      <c r="K847" s="2" t="str">
        <f t="shared" si="153"/>
        <v>RTG</v>
      </c>
      <c r="L847" s="2">
        <v>42785579</v>
      </c>
      <c r="M847" s="7">
        <v>45693</v>
      </c>
      <c r="N847" s="7">
        <f t="shared" si="145"/>
        <v>46058</v>
      </c>
      <c r="O847" s="7" t="str">
        <f t="shared" si="157"/>
        <v>Anual</v>
      </c>
      <c r="P847" s="2" t="str">
        <f t="shared" ca="1" si="154"/>
        <v>VENCIDO</v>
      </c>
      <c r="Q847" s="6" t="s">
        <v>25</v>
      </c>
      <c r="R847" s="2"/>
    </row>
    <row r="848" spans="1:18" x14ac:dyDescent="0.25">
      <c r="A848" s="23" t="s">
        <v>1980</v>
      </c>
      <c r="B848" s="2" t="s">
        <v>1986</v>
      </c>
      <c r="C848" s="3" t="s">
        <v>265</v>
      </c>
      <c r="D848" s="3" t="s">
        <v>23</v>
      </c>
      <c r="E848" s="2" t="s">
        <v>814</v>
      </c>
      <c r="F848" s="4">
        <v>0</v>
      </c>
      <c r="G848" s="8">
        <f t="shared" si="155"/>
        <v>1</v>
      </c>
      <c r="H848" s="4" t="str">
        <f t="shared" si="156"/>
        <v>Ohms</v>
      </c>
      <c r="I848" s="6">
        <v>0.313</v>
      </c>
      <c r="J848" s="6" t="str">
        <f t="shared" si="152"/>
        <v>Ohms</v>
      </c>
      <c r="K848" s="2" t="str">
        <f t="shared" si="153"/>
        <v>RTG</v>
      </c>
      <c r="L848" s="2">
        <v>42785579</v>
      </c>
      <c r="M848" s="7">
        <v>45693</v>
      </c>
      <c r="N848" s="7">
        <f t="shared" si="145"/>
        <v>46058</v>
      </c>
      <c r="O848" s="7" t="str">
        <f t="shared" si="157"/>
        <v>Anual</v>
      </c>
      <c r="P848" s="2" t="str">
        <f t="shared" ca="1" si="154"/>
        <v>VENCIDO</v>
      </c>
      <c r="Q848" s="6" t="s">
        <v>25</v>
      </c>
      <c r="R848" s="2"/>
    </row>
    <row r="849" spans="1:18" x14ac:dyDescent="0.25">
      <c r="A849" s="23" t="s">
        <v>1980</v>
      </c>
      <c r="B849" s="2" t="s">
        <v>1987</v>
      </c>
      <c r="C849" s="3" t="s">
        <v>267</v>
      </c>
      <c r="D849" s="3" t="s">
        <v>23</v>
      </c>
      <c r="E849" s="2" t="s">
        <v>24</v>
      </c>
      <c r="F849" s="4">
        <v>0</v>
      </c>
      <c r="G849" s="8">
        <f t="shared" si="155"/>
        <v>1</v>
      </c>
      <c r="H849" s="4" t="str">
        <f t="shared" si="156"/>
        <v>Ohms</v>
      </c>
      <c r="I849" s="6">
        <v>0.23300000000000001</v>
      </c>
      <c r="J849" s="6" t="str">
        <f t="shared" si="152"/>
        <v>Ohms</v>
      </c>
      <c r="K849" s="2" t="str">
        <f t="shared" si="153"/>
        <v>RTG</v>
      </c>
      <c r="L849" s="2">
        <v>42785579</v>
      </c>
      <c r="M849" s="7">
        <v>45693</v>
      </c>
      <c r="N849" s="7">
        <f t="shared" si="145"/>
        <v>46058</v>
      </c>
      <c r="O849" s="7" t="str">
        <f t="shared" si="157"/>
        <v>Anual</v>
      </c>
      <c r="P849" s="2" t="str">
        <f t="shared" ca="1" si="154"/>
        <v>VENCIDO</v>
      </c>
      <c r="Q849" s="6" t="s">
        <v>25</v>
      </c>
      <c r="R849" s="2"/>
    </row>
    <row r="850" spans="1:18" x14ac:dyDescent="0.25">
      <c r="A850" s="23" t="s">
        <v>1988</v>
      </c>
      <c r="B850" s="2" t="s">
        <v>1989</v>
      </c>
      <c r="C850" s="3" t="s">
        <v>259</v>
      </c>
      <c r="D850" s="3" t="s">
        <v>23</v>
      </c>
      <c r="E850" s="2" t="s">
        <v>814</v>
      </c>
      <c r="F850" s="4">
        <v>0</v>
      </c>
      <c r="G850" s="8">
        <f t="shared" si="155"/>
        <v>1</v>
      </c>
      <c r="H850" s="4" t="str">
        <f t="shared" si="156"/>
        <v>Ohms</v>
      </c>
      <c r="I850" s="6">
        <v>0.92500000000000004</v>
      </c>
      <c r="J850" s="6" t="str">
        <f t="shared" si="152"/>
        <v>Ohms</v>
      </c>
      <c r="K850" s="2" t="str">
        <f t="shared" si="153"/>
        <v>RTG</v>
      </c>
      <c r="L850" s="2">
        <v>49643413</v>
      </c>
      <c r="M850" s="7">
        <v>46049</v>
      </c>
      <c r="N850" s="7">
        <f t="shared" si="145"/>
        <v>46414</v>
      </c>
      <c r="O850" s="7" t="str">
        <f t="shared" ref="O850:O859" si="158">IF(C850="Ionizador", "Trimestral", IF(C850="Rack", "Anual", IF(C850="Mesa", "Anual", IF(C850="Tapete", "Semestral", IF(C850="Cautín", "Semestral", IF(C850="Silla", "Semestral", "Anual"))))))</f>
        <v>Anual</v>
      </c>
      <c r="P850" s="2" t="str">
        <f t="shared" ca="1" si="154"/>
        <v>VIGENTE</v>
      </c>
      <c r="Q850" s="6" t="s">
        <v>25</v>
      </c>
      <c r="R850" s="2"/>
    </row>
    <row r="851" spans="1:18" x14ac:dyDescent="0.25">
      <c r="A851" s="23" t="s">
        <v>1988</v>
      </c>
      <c r="B851" s="2" t="s">
        <v>1990</v>
      </c>
      <c r="C851" s="3" t="s">
        <v>261</v>
      </c>
      <c r="D851" s="3" t="s">
        <v>23</v>
      </c>
      <c r="E851" s="2" t="s">
        <v>814</v>
      </c>
      <c r="F851" s="4">
        <v>0</v>
      </c>
      <c r="G851" s="8">
        <f t="shared" si="155"/>
        <v>1</v>
      </c>
      <c r="H851" s="4" t="str">
        <f t="shared" si="156"/>
        <v>Ohms</v>
      </c>
      <c r="I851" s="6">
        <v>0.68200000000000005</v>
      </c>
      <c r="J851" s="6" t="str">
        <f t="shared" si="152"/>
        <v>Ohms</v>
      </c>
      <c r="K851" s="2" t="str">
        <f t="shared" si="153"/>
        <v>RTG</v>
      </c>
      <c r="L851" s="2">
        <v>49643413</v>
      </c>
      <c r="M851" s="7">
        <v>46049</v>
      </c>
      <c r="N851" s="7">
        <f t="shared" si="145"/>
        <v>46414</v>
      </c>
      <c r="O851" s="7" t="str">
        <f t="shared" si="158"/>
        <v>Anual</v>
      </c>
      <c r="P851" s="2" t="str">
        <f t="shared" ca="1" si="154"/>
        <v>VIGENTE</v>
      </c>
      <c r="Q851" s="6" t="s">
        <v>25</v>
      </c>
      <c r="R851" s="2"/>
    </row>
    <row r="852" spans="1:18" x14ac:dyDescent="0.25">
      <c r="A852" s="23" t="s">
        <v>1988</v>
      </c>
      <c r="B852" s="2" t="s">
        <v>1991</v>
      </c>
      <c r="C852" s="3" t="s">
        <v>1279</v>
      </c>
      <c r="D852" s="3" t="s">
        <v>23</v>
      </c>
      <c r="E852" s="2" t="s">
        <v>1985</v>
      </c>
      <c r="F852" s="4">
        <v>0</v>
      </c>
      <c r="G852" s="8">
        <f t="shared" si="155"/>
        <v>1</v>
      </c>
      <c r="H852" s="4" t="str">
        <f t="shared" si="156"/>
        <v>Ohms</v>
      </c>
      <c r="I852" s="6">
        <v>0.99099999999999999</v>
      </c>
      <c r="J852" s="6" t="str">
        <f t="shared" si="152"/>
        <v>Ohms</v>
      </c>
      <c r="K852" s="2" t="str">
        <f t="shared" si="153"/>
        <v>RTG</v>
      </c>
      <c r="L852" s="2">
        <v>49643413</v>
      </c>
      <c r="M852" s="7">
        <v>46049</v>
      </c>
      <c r="N852" s="7">
        <f t="shared" si="145"/>
        <v>46414</v>
      </c>
      <c r="O852" s="7" t="str">
        <f t="shared" si="158"/>
        <v>Anual</v>
      </c>
      <c r="P852" s="2" t="str">
        <f t="shared" ca="1" si="154"/>
        <v>VIGENTE</v>
      </c>
      <c r="Q852" s="6" t="s">
        <v>25</v>
      </c>
      <c r="R852" s="2"/>
    </row>
    <row r="853" spans="1:18" x14ac:dyDescent="0.25">
      <c r="A853" s="23" t="s">
        <v>1988</v>
      </c>
      <c r="B853" s="2" t="s">
        <v>1992</v>
      </c>
      <c r="C853" s="3" t="s">
        <v>265</v>
      </c>
      <c r="D853" s="3" t="s">
        <v>23</v>
      </c>
      <c r="E853" s="2" t="s">
        <v>814</v>
      </c>
      <c r="F853" s="4">
        <v>0</v>
      </c>
      <c r="G853" s="8">
        <f t="shared" si="155"/>
        <v>1</v>
      </c>
      <c r="H853" s="4" t="str">
        <f t="shared" si="156"/>
        <v>Ohms</v>
      </c>
      <c r="I853" s="6">
        <v>0.98599999999999999</v>
      </c>
      <c r="J853" s="6" t="str">
        <f t="shared" si="152"/>
        <v>Ohms</v>
      </c>
      <c r="K853" s="2" t="str">
        <f t="shared" si="153"/>
        <v>RTG</v>
      </c>
      <c r="L853" s="2">
        <v>49643413</v>
      </c>
      <c r="M853" s="7">
        <v>46049</v>
      </c>
      <c r="N853" s="7">
        <f t="shared" si="145"/>
        <v>46414</v>
      </c>
      <c r="O853" s="7" t="str">
        <f t="shared" si="158"/>
        <v>Anual</v>
      </c>
      <c r="P853" s="2" t="str">
        <f t="shared" ca="1" si="154"/>
        <v>VIGENTE</v>
      </c>
      <c r="Q853" s="6" t="s">
        <v>25</v>
      </c>
      <c r="R853" s="2"/>
    </row>
    <row r="854" spans="1:18" x14ac:dyDescent="0.25">
      <c r="A854" s="23" t="s">
        <v>1988</v>
      </c>
      <c r="B854" s="2" t="s">
        <v>1993</v>
      </c>
      <c r="C854" s="3" t="s">
        <v>267</v>
      </c>
      <c r="D854" s="3" t="s">
        <v>23</v>
      </c>
      <c r="E854" s="2" t="s">
        <v>814</v>
      </c>
      <c r="F854" s="4">
        <v>0</v>
      </c>
      <c r="G854" s="8">
        <f t="shared" si="155"/>
        <v>1</v>
      </c>
      <c r="H854" s="4" t="str">
        <f t="shared" si="156"/>
        <v>Ohms</v>
      </c>
      <c r="I854" s="6">
        <v>0.1</v>
      </c>
      <c r="J854" s="6" t="str">
        <f t="shared" si="152"/>
        <v>Ohms</v>
      </c>
      <c r="K854" s="2" t="str">
        <f t="shared" si="153"/>
        <v>RTG</v>
      </c>
      <c r="L854" s="2">
        <v>49643413</v>
      </c>
      <c r="M854" s="7">
        <v>46049</v>
      </c>
      <c r="N854" s="7">
        <f t="shared" si="145"/>
        <v>46414</v>
      </c>
      <c r="O854" s="7" t="str">
        <f t="shared" si="158"/>
        <v>Anual</v>
      </c>
      <c r="P854" s="2" t="str">
        <f t="shared" ca="1" si="154"/>
        <v>VIGENTE</v>
      </c>
      <c r="Q854" s="6" t="s">
        <v>25</v>
      </c>
      <c r="R854" s="2"/>
    </row>
    <row r="855" spans="1:18" x14ac:dyDescent="0.25">
      <c r="A855" s="23" t="s">
        <v>1994</v>
      </c>
      <c r="B855" s="2" t="s">
        <v>1995</v>
      </c>
      <c r="C855" s="3" t="s">
        <v>259</v>
      </c>
      <c r="D855" s="3" t="s">
        <v>23</v>
      </c>
      <c r="E855" s="2" t="s">
        <v>24</v>
      </c>
      <c r="F855" s="4">
        <v>0</v>
      </c>
      <c r="G855" s="8">
        <f t="shared" si="155"/>
        <v>1</v>
      </c>
      <c r="H855" s="4" t="str">
        <f t="shared" si="156"/>
        <v>Ohms</v>
      </c>
      <c r="I855" s="6">
        <v>0.16500000000000001</v>
      </c>
      <c r="J855" s="6" t="str">
        <f t="shared" si="152"/>
        <v>Ohms</v>
      </c>
      <c r="K855" s="2" t="str">
        <f t="shared" si="153"/>
        <v>RTG</v>
      </c>
      <c r="L855" s="2">
        <v>49643441</v>
      </c>
      <c r="M855" s="7">
        <v>46049</v>
      </c>
      <c r="N855" s="7">
        <f t="shared" si="145"/>
        <v>46414</v>
      </c>
      <c r="O855" s="7" t="str">
        <f t="shared" si="158"/>
        <v>Anual</v>
      </c>
      <c r="P855" s="2" t="str">
        <f t="shared" ca="1" si="154"/>
        <v>VIGENTE</v>
      </c>
      <c r="Q855" s="6" t="s">
        <v>25</v>
      </c>
      <c r="R855" s="2"/>
    </row>
    <row r="856" spans="1:18" x14ac:dyDescent="0.25">
      <c r="A856" s="23" t="s">
        <v>1994</v>
      </c>
      <c r="B856" s="2" t="s">
        <v>1996</v>
      </c>
      <c r="C856" s="3" t="s">
        <v>261</v>
      </c>
      <c r="D856" s="3" t="s">
        <v>23</v>
      </c>
      <c r="E856" s="2" t="s">
        <v>24</v>
      </c>
      <c r="F856" s="4">
        <v>0</v>
      </c>
      <c r="G856" s="8">
        <f t="shared" si="155"/>
        <v>1</v>
      </c>
      <c r="H856" s="4" t="str">
        <f t="shared" si="156"/>
        <v>Ohms</v>
      </c>
      <c r="I856" s="6">
        <v>0.67300000000000004</v>
      </c>
      <c r="J856" s="6" t="str">
        <f t="shared" si="152"/>
        <v>Ohms</v>
      </c>
      <c r="K856" s="2" t="str">
        <f t="shared" si="153"/>
        <v>RTG</v>
      </c>
      <c r="L856" s="2">
        <v>49643441</v>
      </c>
      <c r="M856" s="7">
        <v>46049</v>
      </c>
      <c r="N856" s="7">
        <f t="shared" si="145"/>
        <v>46414</v>
      </c>
      <c r="O856" s="7" t="str">
        <f t="shared" si="158"/>
        <v>Anual</v>
      </c>
      <c r="P856" s="2" t="str">
        <f t="shared" ca="1" si="154"/>
        <v>VIGENTE</v>
      </c>
      <c r="Q856" s="6" t="s">
        <v>25</v>
      </c>
      <c r="R856" s="2"/>
    </row>
    <row r="857" spans="1:18" x14ac:dyDescent="0.25">
      <c r="A857" s="23" t="s">
        <v>1994</v>
      </c>
      <c r="B857" s="2" t="s">
        <v>1997</v>
      </c>
      <c r="C857" s="3" t="s">
        <v>1279</v>
      </c>
      <c r="D857" s="3" t="s">
        <v>23</v>
      </c>
      <c r="E857" s="2" t="s">
        <v>24</v>
      </c>
      <c r="F857" s="4">
        <v>0</v>
      </c>
      <c r="G857" s="8">
        <f t="shared" si="155"/>
        <v>1</v>
      </c>
      <c r="H857" s="4" t="str">
        <f t="shared" si="156"/>
        <v>Ohms</v>
      </c>
      <c r="I857" s="6">
        <v>0.28499999999999998</v>
      </c>
      <c r="J857" s="6" t="str">
        <f t="shared" si="152"/>
        <v>Ohms</v>
      </c>
      <c r="K857" s="2" t="str">
        <f t="shared" si="153"/>
        <v>RTG</v>
      </c>
      <c r="L857" s="2">
        <v>49643441</v>
      </c>
      <c r="M857" s="7">
        <v>46049</v>
      </c>
      <c r="N857" s="7">
        <f t="shared" si="145"/>
        <v>46414</v>
      </c>
      <c r="O857" s="7" t="str">
        <f t="shared" si="158"/>
        <v>Anual</v>
      </c>
      <c r="P857" s="2" t="str">
        <f t="shared" ca="1" si="154"/>
        <v>VIGENTE</v>
      </c>
      <c r="Q857" s="6" t="s">
        <v>25</v>
      </c>
      <c r="R857" s="2"/>
    </row>
    <row r="858" spans="1:18" x14ac:dyDescent="0.25">
      <c r="A858" s="23" t="s">
        <v>1994</v>
      </c>
      <c r="B858" s="2" t="s">
        <v>1998</v>
      </c>
      <c r="C858" s="3" t="s">
        <v>1999</v>
      </c>
      <c r="D858" s="3" t="s">
        <v>23</v>
      </c>
      <c r="E858" s="2" t="s">
        <v>24</v>
      </c>
      <c r="F858" s="4">
        <v>0</v>
      </c>
      <c r="G858" s="8">
        <f t="shared" si="155"/>
        <v>1</v>
      </c>
      <c r="H858" s="4" t="str">
        <f t="shared" si="156"/>
        <v>Ohms</v>
      </c>
      <c r="I858" s="6">
        <v>0.1</v>
      </c>
      <c r="J858" s="6" t="str">
        <f t="shared" si="152"/>
        <v>Ohms</v>
      </c>
      <c r="K858" s="2" t="str">
        <f t="shared" si="153"/>
        <v>RTG</v>
      </c>
      <c r="L858" s="2">
        <v>49643441</v>
      </c>
      <c r="M858" s="7">
        <v>46049</v>
      </c>
      <c r="N858" s="7">
        <f t="shared" si="145"/>
        <v>46414</v>
      </c>
      <c r="O858" s="7" t="str">
        <f t="shared" si="158"/>
        <v>Anual</v>
      </c>
      <c r="P858" s="2" t="str">
        <f t="shared" ca="1" si="154"/>
        <v>VIGENTE</v>
      </c>
      <c r="Q858" s="6" t="s">
        <v>25</v>
      </c>
      <c r="R858" s="2"/>
    </row>
    <row r="859" spans="1:18" x14ac:dyDescent="0.25">
      <c r="A859" s="23" t="s">
        <v>1994</v>
      </c>
      <c r="B859" s="2" t="s">
        <v>2000</v>
      </c>
      <c r="C859" s="3" t="s">
        <v>267</v>
      </c>
      <c r="D859" s="3" t="s">
        <v>23</v>
      </c>
      <c r="E859" s="2" t="s">
        <v>24</v>
      </c>
      <c r="F859" s="4">
        <v>0</v>
      </c>
      <c r="G859" s="8">
        <f t="shared" si="155"/>
        <v>1</v>
      </c>
      <c r="H859" s="4" t="str">
        <f t="shared" si="156"/>
        <v>Ohms</v>
      </c>
      <c r="I859" s="6">
        <v>0.20599999999999999</v>
      </c>
      <c r="J859" s="6" t="str">
        <f t="shared" si="152"/>
        <v>Ohms</v>
      </c>
      <c r="K859" s="2" t="str">
        <f t="shared" si="153"/>
        <v>RTG</v>
      </c>
      <c r="L859" s="2">
        <v>49643441</v>
      </c>
      <c r="M859" s="7">
        <v>46049</v>
      </c>
      <c r="N859" s="7">
        <f t="shared" si="145"/>
        <v>46414</v>
      </c>
      <c r="O859" s="7" t="str">
        <f t="shared" si="158"/>
        <v>Anual</v>
      </c>
      <c r="P859" s="2" t="str">
        <f t="shared" ca="1" si="154"/>
        <v>VIGENTE</v>
      </c>
      <c r="Q859" s="6" t="s">
        <v>25</v>
      </c>
      <c r="R859" s="2"/>
    </row>
  </sheetData>
  <autoFilter ref="A5:R859" xr:uid="{8632B1DE-3B13-4D99-8B0C-0736FADC1072}">
    <filterColumn colId="5" showButton="0"/>
    <sortState xmlns:xlrd2="http://schemas.microsoft.com/office/spreadsheetml/2017/richdata2" ref="A8:R859">
      <sortCondition ref="A5:A859"/>
    </sortState>
  </autoFilter>
  <mergeCells count="18">
    <mergeCell ref="M4:P4"/>
    <mergeCell ref="R5:R6"/>
    <mergeCell ref="O5:O6"/>
    <mergeCell ref="I5:I6"/>
    <mergeCell ref="H5:H6"/>
    <mergeCell ref="Q5:Q6"/>
    <mergeCell ref="A1:R3"/>
    <mergeCell ref="A5:A6"/>
    <mergeCell ref="B5:B6"/>
    <mergeCell ref="C5:C6"/>
    <mergeCell ref="D5:D6"/>
    <mergeCell ref="E5:E6"/>
    <mergeCell ref="F5:G5"/>
    <mergeCell ref="J5:J6"/>
    <mergeCell ref="K5:K6"/>
    <mergeCell ref="M5:M6"/>
    <mergeCell ref="N5:N6"/>
    <mergeCell ref="P5:P6"/>
  </mergeCells>
  <phoneticPr fontId="1" type="noConversion"/>
  <conditionalFormatting sqref="A7:J286 A287:H292 A293:J855 O7:R859 J287:J292 D856:D859 M20:M855">
    <cfRule type="expression" dxfId="13" priority="19">
      <formula>$Q7="NO OPERATIVO"</formula>
    </cfRule>
  </conditionalFormatting>
  <conditionalFormatting sqref="B7:B23 B171:B1048576">
    <cfRule type="duplicateValues" dxfId="12" priority="18"/>
  </conditionalFormatting>
  <conditionalFormatting sqref="B24:B153">
    <cfRule type="duplicateValues" dxfId="11" priority="767"/>
  </conditionalFormatting>
  <conditionalFormatting sqref="B154:B170">
    <cfRule type="duplicateValues" dxfId="10" priority="1437"/>
  </conditionalFormatting>
  <conditionalFormatting sqref="I288:I292">
    <cfRule type="expression" dxfId="9" priority="1439">
      <formula>$Q287="NO OPERATIVO"</formula>
    </cfRule>
  </conditionalFormatting>
  <conditionalFormatting sqref="P7:P1048576">
    <cfRule type="containsText" dxfId="8" priority="23" operator="containsText" text="VENCE HOY">
      <formula>NOT(ISERROR(SEARCH("VENCE HOY",P7)))</formula>
    </cfRule>
    <cfRule type="containsText" dxfId="7" priority="24" operator="containsText" text="VIGENTE">
      <formula>NOT(ISERROR(SEARCH("VIGENTE",P7)))</formula>
    </cfRule>
    <cfRule type="containsText" dxfId="6" priority="25" operator="containsText" text="VENCIDO">
      <formula>NOT(ISERROR(SEARCH("VENCIDO",P7)))</formula>
    </cfRule>
  </conditionalFormatting>
  <conditionalFormatting sqref="Q7:Q1048576">
    <cfRule type="cellIs" dxfId="5" priority="20" operator="equal">
      <formula>"OPERATIVO"</formula>
    </cfRule>
    <cfRule type="containsText" dxfId="4" priority="21" operator="containsText" text="&quot;OPERATIVO&quot;">
      <formula>NOT(ISERROR(SEARCH("""OPERATIVO""",Q7)))</formula>
    </cfRule>
    <cfRule type="containsText" dxfId="3" priority="22" operator="containsText" text="NO OPERATIVO">
      <formula>NOT(ISERROR(SEARCH("NO OPERATIVO",Q7)))</formula>
    </cfRule>
  </conditionalFormatting>
  <conditionalFormatting sqref="B1:B1048576">
    <cfRule type="duplicateValues" dxfId="2" priority="1"/>
  </conditionalFormatting>
  <pageMargins left="0.70866141732283472" right="0.70866141732283472" top="0.74803149606299213" bottom="0.74803149606299213" header="0.31496062992125984" footer="0.31496062992125984"/>
  <pageSetup orientation="portrait" verticalDpi="300" r:id="rId1"/>
  <headerFooter>
    <oddFooter>&amp;LE_310_4_110_QRO_SP_Rev.A
BCS ESD IDS&amp;CFecha: 2025/01/14&amp;RRef.E_310_3_001_QRO_SP</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10E4DB24-B8E4-4E64-A8E6-2975E7EEBC73}">
          <x14:formula1>
            <xm:f>Sheet1!$A$1:$A$2</xm:f>
          </x14:formula1>
          <xm:sqref>Q7:Q859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90BF-AE73-4637-8D6B-4326833892DA}">
  <dimension ref="A1:D493"/>
  <sheetViews>
    <sheetView workbookViewId="0">
      <selection activeCell="B18" sqref="B18"/>
    </sheetView>
  </sheetViews>
  <sheetFormatPr defaultRowHeight="15" x14ac:dyDescent="0.25"/>
  <cols>
    <col min="1" max="1" width="11.7109375" bestFit="1" customWidth="1"/>
    <col min="2" max="2" width="9.28515625" bestFit="1" customWidth="1"/>
    <col min="3" max="3" width="7.28515625" bestFit="1" customWidth="1"/>
    <col min="4" max="4" width="8.5703125" bestFit="1" customWidth="1"/>
  </cols>
  <sheetData>
    <row r="1" spans="1:4" x14ac:dyDescent="0.25">
      <c r="A1" s="17" t="s">
        <v>2001</v>
      </c>
      <c r="B1" s="17" t="s">
        <v>2002</v>
      </c>
      <c r="C1" s="17" t="s">
        <v>2003</v>
      </c>
      <c r="D1" s="17" t="s">
        <v>2004</v>
      </c>
    </row>
    <row r="2" spans="1:4" x14ac:dyDescent="0.25">
      <c r="A2" s="15" t="s">
        <v>2005</v>
      </c>
      <c r="B2" s="18">
        <v>85542137</v>
      </c>
      <c r="C2" s="15" t="s">
        <v>2006</v>
      </c>
      <c r="D2" s="18">
        <v>1000000000</v>
      </c>
    </row>
    <row r="3" spans="1:4" x14ac:dyDescent="0.25">
      <c r="A3" s="15" t="s">
        <v>2007</v>
      </c>
      <c r="B3" s="18">
        <v>197772539</v>
      </c>
      <c r="C3" s="15" t="s">
        <v>2006</v>
      </c>
      <c r="D3" s="18">
        <v>1000000000</v>
      </c>
    </row>
    <row r="4" spans="1:4" x14ac:dyDescent="0.25">
      <c r="A4" s="15" t="s">
        <v>2008</v>
      </c>
      <c r="B4" s="18">
        <v>268404635</v>
      </c>
      <c r="C4" s="15" t="s">
        <v>2006</v>
      </c>
      <c r="D4" s="18">
        <v>1000000000</v>
      </c>
    </row>
    <row r="5" spans="1:4" x14ac:dyDescent="0.25">
      <c r="A5" s="15" t="s">
        <v>2009</v>
      </c>
      <c r="B5" s="18">
        <v>738420301</v>
      </c>
      <c r="C5" s="15" t="s">
        <v>2006</v>
      </c>
      <c r="D5" s="18">
        <v>1000000000</v>
      </c>
    </row>
    <row r="6" spans="1:4" x14ac:dyDescent="0.25">
      <c r="A6" s="15" t="s">
        <v>2010</v>
      </c>
      <c r="B6" s="18">
        <v>43493711</v>
      </c>
      <c r="C6" s="15" t="s">
        <v>2006</v>
      </c>
      <c r="D6" s="18">
        <v>1000000000</v>
      </c>
    </row>
    <row r="7" spans="1:4" x14ac:dyDescent="0.25">
      <c r="A7" s="15" t="s">
        <v>2011</v>
      </c>
      <c r="B7" s="18">
        <v>616057238</v>
      </c>
      <c r="C7" s="15" t="s">
        <v>2006</v>
      </c>
      <c r="D7" s="18">
        <v>1000000000</v>
      </c>
    </row>
    <row r="8" spans="1:4" x14ac:dyDescent="0.25">
      <c r="A8" s="15" t="s">
        <v>2012</v>
      </c>
      <c r="B8" s="18">
        <v>601215227</v>
      </c>
      <c r="C8" s="15" t="s">
        <v>2006</v>
      </c>
      <c r="D8" s="18">
        <v>1000000000</v>
      </c>
    </row>
    <row r="9" spans="1:4" x14ac:dyDescent="0.25">
      <c r="A9" s="15" t="s">
        <v>2013</v>
      </c>
      <c r="B9" s="18">
        <v>225034907</v>
      </c>
      <c r="C9" s="15" t="s">
        <v>2006</v>
      </c>
      <c r="D9" s="18">
        <v>1000000000</v>
      </c>
    </row>
    <row r="10" spans="1:4" x14ac:dyDescent="0.25">
      <c r="A10" s="15" t="s">
        <v>2014</v>
      </c>
      <c r="B10" s="18">
        <v>703217372</v>
      </c>
      <c r="C10" s="15" t="s">
        <v>2006</v>
      </c>
      <c r="D10" s="18">
        <v>1000000000</v>
      </c>
    </row>
    <row r="11" spans="1:4" x14ac:dyDescent="0.25">
      <c r="A11" s="15" t="s">
        <v>2015</v>
      </c>
      <c r="B11" s="18">
        <v>52660251</v>
      </c>
      <c r="C11" s="15" t="s">
        <v>2006</v>
      </c>
      <c r="D11" s="18">
        <v>1000000000</v>
      </c>
    </row>
    <row r="12" spans="1:4" x14ac:dyDescent="0.25">
      <c r="A12" s="15" t="s">
        <v>2016</v>
      </c>
      <c r="B12" s="18">
        <v>120426338</v>
      </c>
      <c r="C12" s="15" t="s">
        <v>2006</v>
      </c>
      <c r="D12" s="18">
        <v>1000000000</v>
      </c>
    </row>
    <row r="13" spans="1:4" x14ac:dyDescent="0.25">
      <c r="A13" s="15" t="s">
        <v>2017</v>
      </c>
      <c r="B13" s="18">
        <v>833976226</v>
      </c>
      <c r="C13" s="15" t="s">
        <v>2006</v>
      </c>
      <c r="D13" s="18">
        <v>1000000000</v>
      </c>
    </row>
    <row r="14" spans="1:4" x14ac:dyDescent="0.25">
      <c r="A14" s="15" t="s">
        <v>2018</v>
      </c>
      <c r="B14" s="18">
        <v>161060718</v>
      </c>
      <c r="C14" s="15" t="s">
        <v>2006</v>
      </c>
      <c r="D14" s="18">
        <v>1000000000</v>
      </c>
    </row>
    <row r="15" spans="1:4" x14ac:dyDescent="0.25">
      <c r="A15" s="15" t="s">
        <v>2019</v>
      </c>
      <c r="B15" s="18">
        <v>605094494</v>
      </c>
      <c r="C15" s="15" t="s">
        <v>2006</v>
      </c>
      <c r="D15" s="18">
        <v>1000000000</v>
      </c>
    </row>
    <row r="16" spans="1:4" x14ac:dyDescent="0.25">
      <c r="A16" s="15" t="s">
        <v>2020</v>
      </c>
      <c r="B16" s="18">
        <v>421583766</v>
      </c>
      <c r="C16" s="15" t="s">
        <v>2006</v>
      </c>
      <c r="D16" s="18">
        <v>1000000000</v>
      </c>
    </row>
    <row r="17" spans="1:4" x14ac:dyDescent="0.25">
      <c r="A17" s="15" t="s">
        <v>2021</v>
      </c>
      <c r="B17" s="18">
        <v>215174986</v>
      </c>
      <c r="C17" s="15" t="s">
        <v>2006</v>
      </c>
      <c r="D17" s="18">
        <v>1000000000</v>
      </c>
    </row>
    <row r="18" spans="1:4" x14ac:dyDescent="0.25">
      <c r="A18" s="15" t="s">
        <v>2022</v>
      </c>
      <c r="B18" s="18">
        <v>962273886</v>
      </c>
      <c r="C18" s="15" t="s">
        <v>2006</v>
      </c>
      <c r="D18" s="18">
        <v>1000000000</v>
      </c>
    </row>
    <row r="19" spans="1:4" x14ac:dyDescent="0.25">
      <c r="A19" s="15" t="s">
        <v>2023</v>
      </c>
      <c r="B19" s="18">
        <v>201390850</v>
      </c>
      <c r="C19" s="15" t="s">
        <v>2006</v>
      </c>
      <c r="D19" s="18">
        <v>1000000000</v>
      </c>
    </row>
    <row r="20" spans="1:4" x14ac:dyDescent="0.25">
      <c r="A20" s="15" t="s">
        <v>2024</v>
      </c>
      <c r="B20" s="18">
        <v>463535232</v>
      </c>
      <c r="C20" s="15" t="s">
        <v>2006</v>
      </c>
      <c r="D20" s="18">
        <v>1000000000</v>
      </c>
    </row>
    <row r="21" spans="1:4" x14ac:dyDescent="0.25">
      <c r="A21" s="15" t="s">
        <v>2025</v>
      </c>
      <c r="B21" s="18">
        <v>660930002</v>
      </c>
      <c r="C21" s="15" t="s">
        <v>2006</v>
      </c>
      <c r="D21" s="18">
        <v>1000000000</v>
      </c>
    </row>
    <row r="22" spans="1:4" x14ac:dyDescent="0.25">
      <c r="A22" s="15" t="s">
        <v>2026</v>
      </c>
      <c r="B22" s="18">
        <v>245668463</v>
      </c>
      <c r="C22" s="15" t="s">
        <v>2006</v>
      </c>
      <c r="D22" s="18">
        <v>1000000000</v>
      </c>
    </row>
    <row r="23" spans="1:4" x14ac:dyDescent="0.25">
      <c r="A23" s="15" t="s">
        <v>2027</v>
      </c>
      <c r="B23" s="18">
        <v>311974270</v>
      </c>
      <c r="C23" s="15" t="s">
        <v>2006</v>
      </c>
      <c r="D23" s="18">
        <v>1000000000</v>
      </c>
    </row>
    <row r="24" spans="1:4" x14ac:dyDescent="0.25">
      <c r="A24" s="15" t="s">
        <v>2028</v>
      </c>
      <c r="B24" s="18">
        <v>289009673</v>
      </c>
      <c r="C24" s="15" t="s">
        <v>2006</v>
      </c>
      <c r="D24" s="18">
        <v>1000000000</v>
      </c>
    </row>
    <row r="25" spans="1:4" x14ac:dyDescent="0.25">
      <c r="A25" s="15" t="s">
        <v>2029</v>
      </c>
      <c r="B25" s="18">
        <v>353894709</v>
      </c>
      <c r="C25" s="15" t="s">
        <v>2006</v>
      </c>
      <c r="D25" s="18">
        <v>1000000000</v>
      </c>
    </row>
    <row r="26" spans="1:4" x14ac:dyDescent="0.25">
      <c r="A26" s="15" t="s">
        <v>2030</v>
      </c>
      <c r="B26" s="18">
        <v>728785661</v>
      </c>
      <c r="C26" s="15" t="s">
        <v>2006</v>
      </c>
      <c r="D26" s="18">
        <v>1000000000</v>
      </c>
    </row>
    <row r="27" spans="1:4" x14ac:dyDescent="0.25">
      <c r="A27" s="15" t="s">
        <v>2031</v>
      </c>
      <c r="B27" s="18">
        <v>824503408</v>
      </c>
      <c r="C27" s="15" t="s">
        <v>2006</v>
      </c>
      <c r="D27" s="18">
        <v>1000000000</v>
      </c>
    </row>
    <row r="28" spans="1:4" x14ac:dyDescent="0.25">
      <c r="A28" s="15" t="s">
        <v>2032</v>
      </c>
      <c r="B28" s="18">
        <v>699375621</v>
      </c>
      <c r="C28" s="15" t="s">
        <v>2006</v>
      </c>
      <c r="D28" s="18">
        <v>1000000000</v>
      </c>
    </row>
    <row r="29" spans="1:4" x14ac:dyDescent="0.25">
      <c r="A29" s="15" t="s">
        <v>2033</v>
      </c>
      <c r="B29" s="18">
        <v>173538068</v>
      </c>
      <c r="C29" s="15" t="s">
        <v>2006</v>
      </c>
      <c r="D29" s="18">
        <v>1000000000</v>
      </c>
    </row>
    <row r="30" spans="1:4" x14ac:dyDescent="0.25">
      <c r="A30" s="15" t="s">
        <v>2034</v>
      </c>
      <c r="B30" s="18">
        <v>526519919</v>
      </c>
      <c r="C30" s="15" t="s">
        <v>2006</v>
      </c>
      <c r="D30" s="18">
        <v>1000000000</v>
      </c>
    </row>
    <row r="31" spans="1:4" x14ac:dyDescent="0.25">
      <c r="A31" s="15" t="s">
        <v>2035</v>
      </c>
      <c r="B31" s="18">
        <v>374728616</v>
      </c>
      <c r="C31" s="15" t="s">
        <v>2006</v>
      </c>
      <c r="D31" s="18">
        <v>1000000000</v>
      </c>
    </row>
    <row r="32" spans="1:4" x14ac:dyDescent="0.25">
      <c r="A32" s="15" t="s">
        <v>2036</v>
      </c>
      <c r="B32" s="18">
        <v>83101111</v>
      </c>
      <c r="C32" s="15" t="s">
        <v>2006</v>
      </c>
      <c r="D32" s="18">
        <v>1000000000</v>
      </c>
    </row>
    <row r="33" spans="1:4" x14ac:dyDescent="0.25">
      <c r="A33" s="15" t="s">
        <v>2037</v>
      </c>
      <c r="B33" s="18">
        <v>131431174</v>
      </c>
      <c r="C33" s="15" t="s">
        <v>2006</v>
      </c>
      <c r="D33" s="18">
        <v>1000000000</v>
      </c>
    </row>
    <row r="34" spans="1:4" x14ac:dyDescent="0.25">
      <c r="A34" s="15" t="s">
        <v>2038</v>
      </c>
      <c r="B34" s="18">
        <v>733565552</v>
      </c>
      <c r="C34" s="15" t="s">
        <v>2006</v>
      </c>
      <c r="D34" s="18">
        <v>1000000000</v>
      </c>
    </row>
    <row r="35" spans="1:4" x14ac:dyDescent="0.25">
      <c r="A35" s="15" t="s">
        <v>2039</v>
      </c>
      <c r="B35" s="18">
        <v>604418191</v>
      </c>
      <c r="C35" s="15" t="s">
        <v>2006</v>
      </c>
      <c r="D35" s="18">
        <v>1000000000</v>
      </c>
    </row>
    <row r="36" spans="1:4" x14ac:dyDescent="0.25">
      <c r="A36" s="15" t="s">
        <v>2040</v>
      </c>
      <c r="B36" s="18">
        <v>628480577</v>
      </c>
      <c r="C36" s="15" t="s">
        <v>2006</v>
      </c>
      <c r="D36" s="18">
        <v>1000000000</v>
      </c>
    </row>
    <row r="37" spans="1:4" x14ac:dyDescent="0.25">
      <c r="A37" s="15" t="s">
        <v>2041</v>
      </c>
      <c r="B37" s="18">
        <v>695569918</v>
      </c>
      <c r="C37" s="15" t="s">
        <v>2006</v>
      </c>
      <c r="D37" s="18">
        <v>1000000000</v>
      </c>
    </row>
    <row r="38" spans="1:4" x14ac:dyDescent="0.25">
      <c r="A38" s="15" t="s">
        <v>2042</v>
      </c>
      <c r="B38" s="18">
        <v>76317254</v>
      </c>
      <c r="C38" s="15" t="s">
        <v>2006</v>
      </c>
      <c r="D38" s="18">
        <v>1000000000</v>
      </c>
    </row>
    <row r="39" spans="1:4" x14ac:dyDescent="0.25">
      <c r="A39" s="15" t="s">
        <v>2043</v>
      </c>
      <c r="B39" s="18">
        <v>159529384</v>
      </c>
      <c r="C39" s="15" t="s">
        <v>2006</v>
      </c>
      <c r="D39" s="18">
        <v>1000000000</v>
      </c>
    </row>
    <row r="40" spans="1:4" x14ac:dyDescent="0.25">
      <c r="A40" s="15" t="s">
        <v>2044</v>
      </c>
      <c r="B40" s="18">
        <v>987813648</v>
      </c>
      <c r="C40" s="15" t="s">
        <v>2006</v>
      </c>
      <c r="D40" s="18">
        <v>1000000000</v>
      </c>
    </row>
    <row r="41" spans="1:4" x14ac:dyDescent="0.25">
      <c r="A41" s="15" t="s">
        <v>2045</v>
      </c>
      <c r="B41" s="18">
        <v>495487162</v>
      </c>
      <c r="C41" s="15" t="s">
        <v>2006</v>
      </c>
      <c r="D41" s="18">
        <v>1000000000</v>
      </c>
    </row>
    <row r="42" spans="1:4" x14ac:dyDescent="0.25">
      <c r="A42" s="15" t="s">
        <v>2046</v>
      </c>
      <c r="B42" s="18">
        <v>117966410</v>
      </c>
      <c r="C42" s="15" t="s">
        <v>2006</v>
      </c>
      <c r="D42" s="18">
        <v>1000000000</v>
      </c>
    </row>
    <row r="43" spans="1:4" x14ac:dyDescent="0.25">
      <c r="A43" s="15" t="s">
        <v>2047</v>
      </c>
      <c r="B43" s="18">
        <v>767362419</v>
      </c>
      <c r="C43" s="15" t="s">
        <v>2006</v>
      </c>
      <c r="D43" s="18">
        <v>1000000000</v>
      </c>
    </row>
    <row r="44" spans="1:4" x14ac:dyDescent="0.25">
      <c r="A44" s="15" t="s">
        <v>2048</v>
      </c>
      <c r="B44" s="18">
        <v>414633599</v>
      </c>
      <c r="C44" s="15" t="s">
        <v>2006</v>
      </c>
      <c r="D44" s="18">
        <v>1000000000</v>
      </c>
    </row>
    <row r="45" spans="1:4" x14ac:dyDescent="0.25">
      <c r="A45" s="15" t="s">
        <v>2049</v>
      </c>
      <c r="B45" s="18">
        <v>588164867</v>
      </c>
      <c r="C45" s="15" t="s">
        <v>2006</v>
      </c>
      <c r="D45" s="18">
        <v>1000000000</v>
      </c>
    </row>
    <row r="46" spans="1:4" x14ac:dyDescent="0.25">
      <c r="A46" s="15" t="s">
        <v>2050</v>
      </c>
      <c r="B46" s="18">
        <v>997886580</v>
      </c>
      <c r="C46" s="15" t="s">
        <v>2006</v>
      </c>
      <c r="D46" s="18">
        <v>1000000000</v>
      </c>
    </row>
    <row r="47" spans="1:4" x14ac:dyDescent="0.25">
      <c r="A47" s="15" t="s">
        <v>2051</v>
      </c>
      <c r="B47" s="18">
        <v>54328787</v>
      </c>
      <c r="C47" s="15" t="s">
        <v>2006</v>
      </c>
      <c r="D47" s="18">
        <v>1000000000</v>
      </c>
    </row>
    <row r="48" spans="1:4" x14ac:dyDescent="0.25">
      <c r="A48" s="15" t="s">
        <v>2052</v>
      </c>
      <c r="B48" s="18">
        <v>777008049</v>
      </c>
      <c r="C48" s="15" t="s">
        <v>2006</v>
      </c>
      <c r="D48" s="18">
        <v>1000000000</v>
      </c>
    </row>
    <row r="49" spans="1:4" x14ac:dyDescent="0.25">
      <c r="A49" s="15" t="s">
        <v>2053</v>
      </c>
      <c r="B49" s="18">
        <v>427800151</v>
      </c>
      <c r="C49" s="15" t="s">
        <v>2006</v>
      </c>
      <c r="D49" s="18">
        <v>1000000000</v>
      </c>
    </row>
    <row r="50" spans="1:4" x14ac:dyDescent="0.25">
      <c r="A50" s="15" t="s">
        <v>2054</v>
      </c>
      <c r="B50" s="18">
        <v>367784412</v>
      </c>
      <c r="C50" s="15" t="s">
        <v>2006</v>
      </c>
      <c r="D50" s="18">
        <v>1000000000</v>
      </c>
    </row>
    <row r="51" spans="1:4" x14ac:dyDescent="0.25">
      <c r="A51" s="15" t="s">
        <v>2055</v>
      </c>
      <c r="B51" s="18">
        <v>460732470</v>
      </c>
      <c r="C51" s="15" t="s">
        <v>2006</v>
      </c>
      <c r="D51" s="18">
        <v>1000000000</v>
      </c>
    </row>
    <row r="52" spans="1:4" x14ac:dyDescent="0.25">
      <c r="A52" s="15" t="s">
        <v>2056</v>
      </c>
      <c r="B52" s="18">
        <v>89106424</v>
      </c>
      <c r="C52" s="15" t="s">
        <v>2006</v>
      </c>
      <c r="D52" s="18">
        <v>1000000000</v>
      </c>
    </row>
    <row r="53" spans="1:4" x14ac:dyDescent="0.25">
      <c r="A53" s="15" t="s">
        <v>2057</v>
      </c>
      <c r="B53" s="18">
        <v>178930014</v>
      </c>
      <c r="C53" s="15" t="s">
        <v>2006</v>
      </c>
      <c r="D53" s="18">
        <v>1000000000</v>
      </c>
    </row>
    <row r="54" spans="1:4" x14ac:dyDescent="0.25">
      <c r="A54" s="15" t="s">
        <v>2058</v>
      </c>
      <c r="B54" s="18">
        <v>825032473</v>
      </c>
      <c r="C54" s="15" t="s">
        <v>2006</v>
      </c>
      <c r="D54" s="18">
        <v>1000000000</v>
      </c>
    </row>
    <row r="55" spans="1:4" x14ac:dyDescent="0.25">
      <c r="A55" s="15" t="s">
        <v>2059</v>
      </c>
      <c r="B55" s="18">
        <v>252563987</v>
      </c>
      <c r="C55" s="15" t="s">
        <v>2006</v>
      </c>
      <c r="D55" s="18">
        <v>1000000000</v>
      </c>
    </row>
    <row r="56" spans="1:4" x14ac:dyDescent="0.25">
      <c r="A56" s="15" t="s">
        <v>2060</v>
      </c>
      <c r="B56" s="18">
        <v>513329370</v>
      </c>
      <c r="C56" s="15" t="s">
        <v>2006</v>
      </c>
      <c r="D56" s="18">
        <v>1000000000</v>
      </c>
    </row>
    <row r="57" spans="1:4" x14ac:dyDescent="0.25">
      <c r="A57" s="15" t="s">
        <v>2061</v>
      </c>
      <c r="B57" s="18">
        <v>730285030</v>
      </c>
      <c r="C57" s="15" t="s">
        <v>2006</v>
      </c>
      <c r="D57" s="18">
        <v>1000000000</v>
      </c>
    </row>
    <row r="58" spans="1:4" x14ac:dyDescent="0.25">
      <c r="A58" s="15" t="s">
        <v>2062</v>
      </c>
      <c r="B58" s="18">
        <v>28377149</v>
      </c>
      <c r="C58" s="15" t="s">
        <v>2006</v>
      </c>
      <c r="D58" s="18">
        <v>1000000000</v>
      </c>
    </row>
    <row r="59" spans="1:4" x14ac:dyDescent="0.25">
      <c r="A59" s="15" t="s">
        <v>2063</v>
      </c>
      <c r="B59" s="18">
        <v>360600591</v>
      </c>
      <c r="C59" s="15" t="s">
        <v>2006</v>
      </c>
      <c r="D59" s="18">
        <v>1000000000</v>
      </c>
    </row>
    <row r="60" spans="1:4" x14ac:dyDescent="0.25">
      <c r="A60" s="15" t="s">
        <v>2064</v>
      </c>
      <c r="B60" s="18">
        <v>644085317</v>
      </c>
      <c r="C60" s="15" t="s">
        <v>2006</v>
      </c>
      <c r="D60" s="18">
        <v>1000000000</v>
      </c>
    </row>
    <row r="61" spans="1:4" x14ac:dyDescent="0.25">
      <c r="A61" s="15" t="s">
        <v>2065</v>
      </c>
      <c r="B61" s="18">
        <v>251215646</v>
      </c>
      <c r="C61" s="15" t="s">
        <v>2006</v>
      </c>
      <c r="D61" s="18">
        <v>1000000000</v>
      </c>
    </row>
    <row r="62" spans="1:4" x14ac:dyDescent="0.25">
      <c r="A62" s="15" t="s">
        <v>2066</v>
      </c>
      <c r="B62" s="18">
        <v>201089425</v>
      </c>
      <c r="C62" s="15" t="s">
        <v>2006</v>
      </c>
      <c r="D62" s="18">
        <v>1000000000</v>
      </c>
    </row>
    <row r="63" spans="1:4" x14ac:dyDescent="0.25">
      <c r="A63" s="15" t="s">
        <v>2067</v>
      </c>
      <c r="B63" s="18">
        <v>392882888</v>
      </c>
      <c r="C63" s="15" t="s">
        <v>2006</v>
      </c>
      <c r="D63" s="18">
        <v>1000000000</v>
      </c>
    </row>
    <row r="64" spans="1:4" x14ac:dyDescent="0.25">
      <c r="A64" s="15" t="s">
        <v>2068</v>
      </c>
      <c r="B64" s="18">
        <v>439101139</v>
      </c>
      <c r="C64" s="15" t="s">
        <v>2006</v>
      </c>
      <c r="D64" s="18">
        <v>1000000000</v>
      </c>
    </row>
    <row r="65" spans="1:4" x14ac:dyDescent="0.25">
      <c r="A65" s="15" t="s">
        <v>2069</v>
      </c>
      <c r="B65" s="18">
        <v>60587473</v>
      </c>
      <c r="C65" s="15" t="s">
        <v>2006</v>
      </c>
      <c r="D65" s="18">
        <v>1000000000</v>
      </c>
    </row>
    <row r="66" spans="1:4" x14ac:dyDescent="0.25">
      <c r="A66" s="15" t="s">
        <v>2070</v>
      </c>
      <c r="B66" s="18">
        <v>485719711</v>
      </c>
      <c r="C66" s="15" t="s">
        <v>2006</v>
      </c>
      <c r="D66" s="18">
        <v>1000000000</v>
      </c>
    </row>
    <row r="67" spans="1:4" x14ac:dyDescent="0.25">
      <c r="A67" s="15" t="s">
        <v>2071</v>
      </c>
      <c r="B67" s="18">
        <v>807381258</v>
      </c>
      <c r="C67" s="15" t="s">
        <v>2006</v>
      </c>
      <c r="D67" s="18">
        <v>1000000000</v>
      </c>
    </row>
    <row r="68" spans="1:4" x14ac:dyDescent="0.25">
      <c r="A68" s="15" t="s">
        <v>2072</v>
      </c>
      <c r="B68" s="18">
        <v>100860495</v>
      </c>
      <c r="C68" s="15" t="s">
        <v>2006</v>
      </c>
      <c r="D68" s="18">
        <v>1000000000</v>
      </c>
    </row>
    <row r="69" spans="1:4" x14ac:dyDescent="0.25">
      <c r="A69" s="15" t="s">
        <v>2073</v>
      </c>
      <c r="B69" s="18">
        <v>984286495</v>
      </c>
      <c r="C69" s="15" t="s">
        <v>2006</v>
      </c>
      <c r="D69" s="18">
        <v>1000000000</v>
      </c>
    </row>
    <row r="70" spans="1:4" x14ac:dyDescent="0.25">
      <c r="A70" s="15" t="s">
        <v>2074</v>
      </c>
      <c r="B70" s="18">
        <v>363161091</v>
      </c>
      <c r="C70" s="15" t="s">
        <v>2006</v>
      </c>
      <c r="D70" s="18">
        <v>1000000000</v>
      </c>
    </row>
    <row r="71" spans="1:4" x14ac:dyDescent="0.25">
      <c r="A71" s="15" t="s">
        <v>2075</v>
      </c>
      <c r="B71" s="18">
        <v>877902944</v>
      </c>
      <c r="C71" s="15" t="s">
        <v>2006</v>
      </c>
      <c r="D71" s="18">
        <v>1000000000</v>
      </c>
    </row>
    <row r="72" spans="1:4" x14ac:dyDescent="0.25">
      <c r="A72" s="15" t="s">
        <v>2076</v>
      </c>
      <c r="B72" s="18">
        <v>663902850</v>
      </c>
      <c r="C72" s="15" t="s">
        <v>2006</v>
      </c>
      <c r="D72" s="18">
        <v>1000000000</v>
      </c>
    </row>
    <row r="73" spans="1:4" x14ac:dyDescent="0.25">
      <c r="A73" s="15" t="s">
        <v>2077</v>
      </c>
      <c r="B73" s="18">
        <v>907998137</v>
      </c>
      <c r="C73" s="15" t="s">
        <v>2006</v>
      </c>
      <c r="D73" s="18">
        <v>1000000000</v>
      </c>
    </row>
    <row r="74" spans="1:4" x14ac:dyDescent="0.25">
      <c r="A74" s="15" t="s">
        <v>2078</v>
      </c>
      <c r="B74" s="18">
        <v>777752516</v>
      </c>
      <c r="C74" s="15" t="s">
        <v>2006</v>
      </c>
      <c r="D74" s="18">
        <v>1000000000</v>
      </c>
    </row>
    <row r="75" spans="1:4" x14ac:dyDescent="0.25">
      <c r="A75" s="15" t="s">
        <v>2079</v>
      </c>
      <c r="B75" s="18">
        <v>827310915</v>
      </c>
      <c r="C75" s="15" t="s">
        <v>2006</v>
      </c>
      <c r="D75" s="18">
        <v>1000000000</v>
      </c>
    </row>
    <row r="76" spans="1:4" x14ac:dyDescent="0.25">
      <c r="A76" s="15" t="s">
        <v>2080</v>
      </c>
      <c r="B76" s="18">
        <v>179503339</v>
      </c>
      <c r="C76" s="15" t="s">
        <v>2006</v>
      </c>
      <c r="D76" s="18">
        <v>1000000000</v>
      </c>
    </row>
    <row r="77" spans="1:4" x14ac:dyDescent="0.25">
      <c r="A77" s="15" t="s">
        <v>2081</v>
      </c>
      <c r="B77" s="18">
        <v>388260208</v>
      </c>
      <c r="C77" s="15" t="s">
        <v>2006</v>
      </c>
      <c r="D77" s="18">
        <v>1000000000</v>
      </c>
    </row>
    <row r="78" spans="1:4" x14ac:dyDescent="0.25">
      <c r="A78" s="15" t="s">
        <v>2082</v>
      </c>
      <c r="B78" s="18">
        <v>719971056</v>
      </c>
      <c r="C78" s="15" t="s">
        <v>2006</v>
      </c>
      <c r="D78" s="18">
        <v>1000000000</v>
      </c>
    </row>
    <row r="79" spans="1:4" x14ac:dyDescent="0.25">
      <c r="A79" s="15" t="s">
        <v>2083</v>
      </c>
      <c r="B79" s="18">
        <v>336402895</v>
      </c>
      <c r="C79" s="15" t="s">
        <v>2006</v>
      </c>
      <c r="D79" s="18">
        <v>1000000000</v>
      </c>
    </row>
    <row r="80" spans="1:4" x14ac:dyDescent="0.25">
      <c r="A80" s="15" t="s">
        <v>2084</v>
      </c>
      <c r="B80" s="18">
        <v>876199607</v>
      </c>
      <c r="C80" s="15" t="s">
        <v>2006</v>
      </c>
      <c r="D80" s="18">
        <v>1000000000</v>
      </c>
    </row>
    <row r="81" spans="1:4" x14ac:dyDescent="0.25">
      <c r="A81" s="15" t="s">
        <v>2085</v>
      </c>
      <c r="B81" s="18">
        <v>979586408</v>
      </c>
      <c r="C81" s="15" t="s">
        <v>2006</v>
      </c>
      <c r="D81" s="18">
        <v>1000000000</v>
      </c>
    </row>
    <row r="82" spans="1:4" x14ac:dyDescent="0.25">
      <c r="A82" s="15" t="s">
        <v>2086</v>
      </c>
      <c r="B82" s="18">
        <v>511860325</v>
      </c>
      <c r="C82" s="15" t="s">
        <v>2006</v>
      </c>
      <c r="D82" s="18">
        <v>1000000000</v>
      </c>
    </row>
    <row r="83" spans="1:4" x14ac:dyDescent="0.25">
      <c r="A83" s="15" t="s">
        <v>2087</v>
      </c>
      <c r="B83" s="18">
        <v>920053324</v>
      </c>
      <c r="C83" s="15" t="s">
        <v>2006</v>
      </c>
      <c r="D83" s="18">
        <v>1000000000</v>
      </c>
    </row>
    <row r="84" spans="1:4" x14ac:dyDescent="0.25">
      <c r="A84" s="15" t="s">
        <v>2088</v>
      </c>
      <c r="B84" s="18">
        <v>365845231</v>
      </c>
      <c r="C84" s="15" t="s">
        <v>2006</v>
      </c>
      <c r="D84" s="18">
        <v>1000000000</v>
      </c>
    </row>
    <row r="85" spans="1:4" x14ac:dyDescent="0.25">
      <c r="A85" s="15" t="s">
        <v>2089</v>
      </c>
      <c r="B85" s="18">
        <v>219286907</v>
      </c>
      <c r="C85" s="15" t="s">
        <v>2006</v>
      </c>
      <c r="D85" s="18">
        <v>1000000000</v>
      </c>
    </row>
    <row r="86" spans="1:4" x14ac:dyDescent="0.25">
      <c r="A86" s="15" t="s">
        <v>2090</v>
      </c>
      <c r="B86" s="18">
        <v>611260686</v>
      </c>
      <c r="C86" s="15" t="s">
        <v>2006</v>
      </c>
      <c r="D86" s="18">
        <v>1000000000</v>
      </c>
    </row>
    <row r="87" spans="1:4" x14ac:dyDescent="0.25">
      <c r="A87" s="15" t="s">
        <v>2091</v>
      </c>
      <c r="B87" s="18">
        <v>843991251</v>
      </c>
      <c r="C87" s="15" t="s">
        <v>2006</v>
      </c>
      <c r="D87" s="18">
        <v>1000000000</v>
      </c>
    </row>
    <row r="88" spans="1:4" x14ac:dyDescent="0.25">
      <c r="A88" s="15" t="s">
        <v>2092</v>
      </c>
      <c r="B88" s="18">
        <v>481271191</v>
      </c>
      <c r="C88" s="15" t="s">
        <v>2006</v>
      </c>
      <c r="D88" s="18">
        <v>1000000000</v>
      </c>
    </row>
    <row r="89" spans="1:4" x14ac:dyDescent="0.25">
      <c r="A89" s="15" t="s">
        <v>2093</v>
      </c>
      <c r="B89" s="18">
        <v>290896824</v>
      </c>
      <c r="C89" s="15" t="s">
        <v>2006</v>
      </c>
      <c r="D89" s="18">
        <v>1000000000</v>
      </c>
    </row>
    <row r="90" spans="1:4" x14ac:dyDescent="0.25">
      <c r="A90" s="15" t="s">
        <v>2094</v>
      </c>
      <c r="B90" s="18">
        <v>650827486</v>
      </c>
      <c r="C90" s="15" t="s">
        <v>2006</v>
      </c>
      <c r="D90" s="18">
        <v>1000000000</v>
      </c>
    </row>
    <row r="91" spans="1:4" x14ac:dyDescent="0.25">
      <c r="A91" s="15" t="s">
        <v>2095</v>
      </c>
      <c r="B91" s="18">
        <v>49262442</v>
      </c>
      <c r="C91" s="15" t="s">
        <v>2006</v>
      </c>
      <c r="D91" s="18">
        <v>1000000000</v>
      </c>
    </row>
    <row r="92" spans="1:4" x14ac:dyDescent="0.25">
      <c r="A92" s="15" t="s">
        <v>2096</v>
      </c>
      <c r="B92" s="18">
        <v>211529608</v>
      </c>
      <c r="C92" s="15" t="s">
        <v>2006</v>
      </c>
      <c r="D92" s="18">
        <v>1000000000</v>
      </c>
    </row>
    <row r="93" spans="1:4" x14ac:dyDescent="0.25">
      <c r="A93" s="15" t="s">
        <v>2097</v>
      </c>
      <c r="B93" s="18">
        <v>460327745</v>
      </c>
      <c r="C93" s="15" t="s">
        <v>2006</v>
      </c>
      <c r="D93" s="18">
        <v>1000000000</v>
      </c>
    </row>
    <row r="94" spans="1:4" x14ac:dyDescent="0.25">
      <c r="A94" s="15" t="s">
        <v>2098</v>
      </c>
      <c r="B94" s="18">
        <v>656352623</v>
      </c>
      <c r="C94" s="15" t="s">
        <v>2006</v>
      </c>
      <c r="D94" s="18">
        <v>1000000000</v>
      </c>
    </row>
    <row r="95" spans="1:4" x14ac:dyDescent="0.25">
      <c r="A95" s="15" t="s">
        <v>2099</v>
      </c>
      <c r="B95" s="18">
        <v>815518360</v>
      </c>
      <c r="C95" s="15" t="s">
        <v>2006</v>
      </c>
      <c r="D95" s="18">
        <v>1000000000</v>
      </c>
    </row>
    <row r="96" spans="1:4" x14ac:dyDescent="0.25">
      <c r="A96" s="15" t="s">
        <v>2100</v>
      </c>
      <c r="B96" s="18">
        <v>182937963</v>
      </c>
      <c r="C96" s="15" t="s">
        <v>2006</v>
      </c>
      <c r="D96" s="18">
        <v>1000000000</v>
      </c>
    </row>
    <row r="97" spans="1:4" x14ac:dyDescent="0.25">
      <c r="A97" s="15" t="s">
        <v>2101</v>
      </c>
      <c r="B97" s="18">
        <v>459329342</v>
      </c>
      <c r="C97" s="15" t="s">
        <v>2006</v>
      </c>
      <c r="D97" s="18">
        <v>1000000000</v>
      </c>
    </row>
    <row r="98" spans="1:4" x14ac:dyDescent="0.25">
      <c r="A98" s="15" t="s">
        <v>2102</v>
      </c>
      <c r="B98" s="18">
        <v>786299681</v>
      </c>
      <c r="C98" s="15" t="s">
        <v>2006</v>
      </c>
      <c r="D98" s="18">
        <v>1000000000</v>
      </c>
    </row>
    <row r="99" spans="1:4" x14ac:dyDescent="0.25">
      <c r="A99" s="15" t="s">
        <v>2103</v>
      </c>
      <c r="B99" s="18">
        <v>948972737</v>
      </c>
      <c r="C99" s="15" t="s">
        <v>2006</v>
      </c>
      <c r="D99" s="18">
        <v>1000000000</v>
      </c>
    </row>
    <row r="100" spans="1:4" x14ac:dyDescent="0.25">
      <c r="A100" s="15" t="s">
        <v>2104</v>
      </c>
      <c r="B100" s="18">
        <v>720268658</v>
      </c>
      <c r="C100" s="15" t="s">
        <v>2006</v>
      </c>
      <c r="D100" s="18">
        <v>1000000000</v>
      </c>
    </row>
    <row r="101" spans="1:4" x14ac:dyDescent="0.25">
      <c r="A101" s="15" t="s">
        <v>2105</v>
      </c>
      <c r="B101" s="18">
        <v>154365159</v>
      </c>
      <c r="C101" s="15" t="s">
        <v>2006</v>
      </c>
      <c r="D101" s="18">
        <v>1000000000</v>
      </c>
    </row>
    <row r="102" spans="1:4" x14ac:dyDescent="0.25">
      <c r="A102" s="15" t="s">
        <v>2106</v>
      </c>
      <c r="B102" s="18">
        <v>222871403</v>
      </c>
      <c r="C102" s="15" t="s">
        <v>2006</v>
      </c>
      <c r="D102" s="18">
        <v>1000000000</v>
      </c>
    </row>
    <row r="103" spans="1:4" x14ac:dyDescent="0.25">
      <c r="A103" s="15" t="s">
        <v>2107</v>
      </c>
      <c r="B103" s="18">
        <v>823223552</v>
      </c>
      <c r="C103" s="15" t="s">
        <v>2006</v>
      </c>
      <c r="D103" s="18">
        <v>1000000000</v>
      </c>
    </row>
    <row r="104" spans="1:4" x14ac:dyDescent="0.25">
      <c r="A104" s="15" t="s">
        <v>2108</v>
      </c>
      <c r="B104" s="18">
        <v>444147982</v>
      </c>
      <c r="C104" s="15" t="s">
        <v>2006</v>
      </c>
      <c r="D104" s="18">
        <v>1000000000</v>
      </c>
    </row>
    <row r="105" spans="1:4" x14ac:dyDescent="0.25">
      <c r="A105" s="15" t="s">
        <v>2109</v>
      </c>
      <c r="B105" s="18">
        <v>579541311</v>
      </c>
      <c r="C105" s="15" t="s">
        <v>2006</v>
      </c>
      <c r="D105" s="18">
        <v>1000000000</v>
      </c>
    </row>
    <row r="106" spans="1:4" x14ac:dyDescent="0.25">
      <c r="A106" s="15" t="s">
        <v>2110</v>
      </c>
      <c r="B106" s="18">
        <v>954270320</v>
      </c>
      <c r="C106" s="15" t="s">
        <v>2006</v>
      </c>
      <c r="D106" s="18">
        <v>1000000000</v>
      </c>
    </row>
    <row r="107" spans="1:4" x14ac:dyDescent="0.25">
      <c r="A107" s="15" t="s">
        <v>2111</v>
      </c>
      <c r="B107" s="18">
        <v>146024693</v>
      </c>
      <c r="C107" s="15" t="s">
        <v>2006</v>
      </c>
      <c r="D107" s="18">
        <v>1000000000</v>
      </c>
    </row>
    <row r="108" spans="1:4" x14ac:dyDescent="0.25">
      <c r="A108" s="15" t="s">
        <v>2112</v>
      </c>
      <c r="B108" s="18">
        <v>114843049</v>
      </c>
      <c r="C108" s="15" t="s">
        <v>2006</v>
      </c>
      <c r="D108" s="18">
        <v>1000000000</v>
      </c>
    </row>
    <row r="109" spans="1:4" x14ac:dyDescent="0.25">
      <c r="A109" s="15" t="s">
        <v>2113</v>
      </c>
      <c r="B109" s="18">
        <v>818536551</v>
      </c>
      <c r="C109" s="15" t="s">
        <v>2006</v>
      </c>
      <c r="D109" s="18">
        <v>1000000000</v>
      </c>
    </row>
    <row r="110" spans="1:4" x14ac:dyDescent="0.25">
      <c r="A110" s="15" t="s">
        <v>2114</v>
      </c>
      <c r="B110" s="18">
        <v>168981174</v>
      </c>
      <c r="C110" s="15" t="s">
        <v>2006</v>
      </c>
      <c r="D110" s="18">
        <v>1000000000</v>
      </c>
    </row>
    <row r="111" spans="1:4" x14ac:dyDescent="0.25">
      <c r="A111" s="15" t="s">
        <v>2115</v>
      </c>
      <c r="B111" s="18">
        <v>415315575</v>
      </c>
      <c r="C111" s="15" t="s">
        <v>2006</v>
      </c>
      <c r="D111" s="18">
        <v>1000000000</v>
      </c>
    </row>
    <row r="112" spans="1:4" x14ac:dyDescent="0.25">
      <c r="A112" s="15" t="s">
        <v>2116</v>
      </c>
      <c r="B112" s="18">
        <v>790600960</v>
      </c>
      <c r="C112" s="15" t="s">
        <v>2006</v>
      </c>
      <c r="D112" s="18">
        <v>1000000000</v>
      </c>
    </row>
    <row r="113" spans="1:4" x14ac:dyDescent="0.25">
      <c r="A113" s="15" t="s">
        <v>2117</v>
      </c>
      <c r="B113" s="18">
        <v>288636049</v>
      </c>
      <c r="C113" s="15" t="s">
        <v>2006</v>
      </c>
      <c r="D113" s="18">
        <v>1000000000</v>
      </c>
    </row>
    <row r="114" spans="1:4" x14ac:dyDescent="0.25">
      <c r="A114" s="15" t="s">
        <v>2118</v>
      </c>
      <c r="B114" s="18">
        <v>948326322</v>
      </c>
      <c r="C114" s="15" t="s">
        <v>2006</v>
      </c>
      <c r="D114" s="18">
        <v>1000000000</v>
      </c>
    </row>
    <row r="115" spans="1:4" x14ac:dyDescent="0.25">
      <c r="A115" s="15" t="s">
        <v>2119</v>
      </c>
      <c r="B115" s="18">
        <v>194474768</v>
      </c>
      <c r="C115" s="15" t="s">
        <v>2006</v>
      </c>
      <c r="D115" s="18">
        <v>1000000000</v>
      </c>
    </row>
    <row r="116" spans="1:4" x14ac:dyDescent="0.25">
      <c r="A116" s="15" t="s">
        <v>2120</v>
      </c>
      <c r="B116" s="18">
        <v>818214996</v>
      </c>
      <c r="C116" s="15" t="s">
        <v>2006</v>
      </c>
      <c r="D116" s="18">
        <v>1000000000</v>
      </c>
    </row>
    <row r="117" spans="1:4" x14ac:dyDescent="0.25">
      <c r="A117" s="15" t="s">
        <v>2121</v>
      </c>
      <c r="B117" s="18">
        <v>94713488</v>
      </c>
      <c r="C117" s="15" t="s">
        <v>2006</v>
      </c>
      <c r="D117" s="18">
        <v>1000000000</v>
      </c>
    </row>
    <row r="118" spans="1:4" x14ac:dyDescent="0.25">
      <c r="A118" s="15" t="s">
        <v>2122</v>
      </c>
      <c r="B118" s="18">
        <v>859547326</v>
      </c>
      <c r="C118" s="15" t="s">
        <v>2006</v>
      </c>
      <c r="D118" s="18">
        <v>1000000000</v>
      </c>
    </row>
    <row r="119" spans="1:4" x14ac:dyDescent="0.25">
      <c r="A119" s="15" t="s">
        <v>2123</v>
      </c>
      <c r="B119" s="18">
        <v>937217636</v>
      </c>
      <c r="C119" s="15" t="s">
        <v>2006</v>
      </c>
      <c r="D119" s="18">
        <v>1000000000</v>
      </c>
    </row>
    <row r="120" spans="1:4" x14ac:dyDescent="0.25">
      <c r="A120" s="15" t="s">
        <v>2124</v>
      </c>
      <c r="B120" s="18">
        <v>857447891</v>
      </c>
      <c r="C120" s="15" t="s">
        <v>2006</v>
      </c>
      <c r="D120" s="18">
        <v>1000000000</v>
      </c>
    </row>
    <row r="121" spans="1:4" x14ac:dyDescent="0.25">
      <c r="A121" s="15" t="s">
        <v>2125</v>
      </c>
      <c r="B121" s="18">
        <v>988304902</v>
      </c>
      <c r="C121" s="15" t="s">
        <v>2006</v>
      </c>
      <c r="D121" s="18">
        <v>1000000000</v>
      </c>
    </row>
    <row r="122" spans="1:4" x14ac:dyDescent="0.25">
      <c r="A122" s="15" t="s">
        <v>2126</v>
      </c>
      <c r="B122" s="18">
        <v>90271493</v>
      </c>
      <c r="C122" s="15" t="s">
        <v>2006</v>
      </c>
      <c r="D122" s="18">
        <v>1000000000</v>
      </c>
    </row>
    <row r="123" spans="1:4" x14ac:dyDescent="0.25">
      <c r="A123" s="15" t="s">
        <v>2127</v>
      </c>
      <c r="B123" s="18">
        <v>160622277</v>
      </c>
      <c r="C123" s="15" t="s">
        <v>2006</v>
      </c>
      <c r="D123" s="18">
        <v>1000000000</v>
      </c>
    </row>
    <row r="124" spans="1:4" x14ac:dyDescent="0.25">
      <c r="A124" s="15" t="s">
        <v>2128</v>
      </c>
      <c r="B124" s="18">
        <v>534900130</v>
      </c>
      <c r="C124" s="15" t="s">
        <v>2006</v>
      </c>
      <c r="D124" s="18">
        <v>1000000000</v>
      </c>
    </row>
    <row r="125" spans="1:4" x14ac:dyDescent="0.25">
      <c r="A125" s="15" t="s">
        <v>2129</v>
      </c>
      <c r="B125" s="18">
        <v>677183272</v>
      </c>
      <c r="C125" s="15" t="s">
        <v>2006</v>
      </c>
      <c r="D125" s="18">
        <v>1000000000</v>
      </c>
    </row>
    <row r="126" spans="1:4" x14ac:dyDescent="0.25">
      <c r="A126" s="15" t="s">
        <v>2130</v>
      </c>
      <c r="B126" s="18">
        <v>615706044</v>
      </c>
      <c r="C126" s="15" t="s">
        <v>2006</v>
      </c>
      <c r="D126" s="18">
        <v>1000000000</v>
      </c>
    </row>
    <row r="127" spans="1:4" x14ac:dyDescent="0.25">
      <c r="A127" s="15" t="s">
        <v>2131</v>
      </c>
      <c r="B127" s="18">
        <v>637473099</v>
      </c>
      <c r="C127" s="15" t="s">
        <v>2006</v>
      </c>
      <c r="D127" s="18">
        <v>1000000000</v>
      </c>
    </row>
    <row r="128" spans="1:4" x14ac:dyDescent="0.25">
      <c r="A128" s="15" t="s">
        <v>2132</v>
      </c>
      <c r="B128" s="18">
        <v>856938556</v>
      </c>
      <c r="C128" s="15" t="s">
        <v>2006</v>
      </c>
      <c r="D128" s="18">
        <v>1000000000</v>
      </c>
    </row>
    <row r="129" spans="1:4" x14ac:dyDescent="0.25">
      <c r="A129" s="15" t="s">
        <v>2133</v>
      </c>
      <c r="B129" s="18">
        <v>441890255</v>
      </c>
      <c r="C129" s="15" t="s">
        <v>2006</v>
      </c>
      <c r="D129" s="18">
        <v>1000000000</v>
      </c>
    </row>
    <row r="130" spans="1:4" x14ac:dyDescent="0.25">
      <c r="A130" s="15" t="s">
        <v>2134</v>
      </c>
      <c r="B130" s="18">
        <v>421266131</v>
      </c>
      <c r="C130" s="15" t="s">
        <v>2006</v>
      </c>
      <c r="D130" s="18">
        <v>1000000000</v>
      </c>
    </row>
    <row r="131" spans="1:4" x14ac:dyDescent="0.25">
      <c r="A131" s="15" t="s">
        <v>2135</v>
      </c>
      <c r="B131" s="18">
        <v>423777303</v>
      </c>
      <c r="C131" s="15" t="s">
        <v>2006</v>
      </c>
      <c r="D131" s="18">
        <v>1000000000</v>
      </c>
    </row>
    <row r="132" spans="1:4" x14ac:dyDescent="0.25">
      <c r="A132" s="15" t="s">
        <v>2136</v>
      </c>
      <c r="B132" s="18">
        <v>887014758</v>
      </c>
      <c r="C132" s="15" t="s">
        <v>2006</v>
      </c>
      <c r="D132" s="18">
        <v>1000000000</v>
      </c>
    </row>
    <row r="133" spans="1:4" x14ac:dyDescent="0.25">
      <c r="A133" s="15" t="s">
        <v>2137</v>
      </c>
      <c r="B133" s="18">
        <v>479215875</v>
      </c>
      <c r="C133" s="15" t="s">
        <v>2006</v>
      </c>
      <c r="D133" s="18">
        <v>1000000000</v>
      </c>
    </row>
    <row r="134" spans="1:4" x14ac:dyDescent="0.25">
      <c r="A134" s="15" t="s">
        <v>2138</v>
      </c>
      <c r="B134" s="18">
        <v>259459106</v>
      </c>
      <c r="C134" s="15" t="s">
        <v>2006</v>
      </c>
      <c r="D134" s="18">
        <v>1000000000</v>
      </c>
    </row>
    <row r="135" spans="1:4" x14ac:dyDescent="0.25">
      <c r="A135" s="15" t="s">
        <v>2139</v>
      </c>
      <c r="B135" s="18">
        <v>132554626</v>
      </c>
      <c r="C135" s="15" t="s">
        <v>2006</v>
      </c>
      <c r="D135" s="18">
        <v>1000000000</v>
      </c>
    </row>
    <row r="136" spans="1:4" x14ac:dyDescent="0.25">
      <c r="A136" s="15" t="s">
        <v>2140</v>
      </c>
      <c r="B136" s="18">
        <v>769336080</v>
      </c>
      <c r="C136" s="15" t="s">
        <v>2006</v>
      </c>
      <c r="D136" s="18">
        <v>1000000000</v>
      </c>
    </row>
    <row r="137" spans="1:4" x14ac:dyDescent="0.25">
      <c r="A137" s="15" t="s">
        <v>2141</v>
      </c>
      <c r="B137" s="18">
        <v>743358212</v>
      </c>
      <c r="C137" s="15" t="s">
        <v>2006</v>
      </c>
      <c r="D137" s="18">
        <v>1000000000</v>
      </c>
    </row>
    <row r="138" spans="1:4" x14ac:dyDescent="0.25">
      <c r="A138" s="15" t="s">
        <v>2142</v>
      </c>
      <c r="B138" s="18">
        <v>448134389</v>
      </c>
      <c r="C138" s="15" t="s">
        <v>2006</v>
      </c>
      <c r="D138" s="18">
        <v>1000000000</v>
      </c>
    </row>
    <row r="139" spans="1:4" x14ac:dyDescent="0.25">
      <c r="A139" s="15" t="s">
        <v>2143</v>
      </c>
      <c r="B139" s="18">
        <v>909918620</v>
      </c>
      <c r="C139" s="15" t="s">
        <v>2006</v>
      </c>
      <c r="D139" s="18">
        <v>1000000000</v>
      </c>
    </row>
    <row r="140" spans="1:4" x14ac:dyDescent="0.25">
      <c r="A140" s="15" t="s">
        <v>2144</v>
      </c>
      <c r="B140" s="18">
        <v>119337295</v>
      </c>
      <c r="C140" s="15" t="s">
        <v>2006</v>
      </c>
      <c r="D140" s="18">
        <v>1000000000</v>
      </c>
    </row>
    <row r="141" spans="1:4" x14ac:dyDescent="0.25">
      <c r="A141" s="15" t="s">
        <v>2145</v>
      </c>
      <c r="B141" s="18">
        <v>633393571</v>
      </c>
      <c r="C141" s="15" t="s">
        <v>2006</v>
      </c>
      <c r="D141" s="18">
        <v>1000000000</v>
      </c>
    </row>
    <row r="142" spans="1:4" x14ac:dyDescent="0.25">
      <c r="A142" s="15" t="s">
        <v>2146</v>
      </c>
      <c r="B142" s="18">
        <v>147556224</v>
      </c>
      <c r="C142" s="15" t="s">
        <v>2006</v>
      </c>
      <c r="D142" s="18">
        <v>1000000000</v>
      </c>
    </row>
    <row r="143" spans="1:4" x14ac:dyDescent="0.25">
      <c r="A143" s="15" t="s">
        <v>2147</v>
      </c>
      <c r="B143" s="18">
        <v>848867167</v>
      </c>
      <c r="C143" s="15" t="s">
        <v>2006</v>
      </c>
      <c r="D143" s="18">
        <v>1000000000</v>
      </c>
    </row>
    <row r="144" spans="1:4" x14ac:dyDescent="0.25">
      <c r="A144" s="15" t="s">
        <v>2148</v>
      </c>
      <c r="B144" s="18">
        <v>733745187</v>
      </c>
      <c r="C144" s="15" t="s">
        <v>2006</v>
      </c>
      <c r="D144" s="18">
        <v>1000000000</v>
      </c>
    </row>
    <row r="145" spans="1:4" x14ac:dyDescent="0.25">
      <c r="A145" s="15" t="s">
        <v>2149</v>
      </c>
      <c r="B145" s="18">
        <v>837830413</v>
      </c>
      <c r="C145" s="15" t="s">
        <v>2006</v>
      </c>
      <c r="D145" s="18">
        <v>1000000000</v>
      </c>
    </row>
    <row r="146" spans="1:4" x14ac:dyDescent="0.25">
      <c r="A146" s="15" t="s">
        <v>2150</v>
      </c>
      <c r="B146" s="18">
        <v>535553635</v>
      </c>
      <c r="C146" s="15" t="s">
        <v>2006</v>
      </c>
      <c r="D146" s="18">
        <v>1000000000</v>
      </c>
    </row>
    <row r="147" spans="1:4" x14ac:dyDescent="0.25">
      <c r="A147" s="15" t="s">
        <v>2151</v>
      </c>
      <c r="B147" s="18">
        <v>194257691</v>
      </c>
      <c r="C147" s="15" t="s">
        <v>2006</v>
      </c>
      <c r="D147" s="18">
        <v>1000000000</v>
      </c>
    </row>
    <row r="148" spans="1:4" x14ac:dyDescent="0.25">
      <c r="A148" s="15" t="s">
        <v>2152</v>
      </c>
      <c r="B148" s="18">
        <v>812855833</v>
      </c>
      <c r="C148" s="15" t="s">
        <v>2006</v>
      </c>
      <c r="D148" s="18">
        <v>1000000000</v>
      </c>
    </row>
    <row r="149" spans="1:4" x14ac:dyDescent="0.25">
      <c r="A149" s="15" t="s">
        <v>2153</v>
      </c>
      <c r="B149" s="18">
        <v>319497009</v>
      </c>
      <c r="C149" s="15" t="s">
        <v>2006</v>
      </c>
      <c r="D149" s="18">
        <v>1000000000</v>
      </c>
    </row>
    <row r="150" spans="1:4" x14ac:dyDescent="0.25">
      <c r="A150" s="15" t="s">
        <v>2154</v>
      </c>
      <c r="B150" s="18">
        <v>807249534</v>
      </c>
      <c r="C150" s="15" t="s">
        <v>2006</v>
      </c>
      <c r="D150" s="18">
        <v>1000000000</v>
      </c>
    </row>
    <row r="151" spans="1:4" x14ac:dyDescent="0.25">
      <c r="A151" s="15" t="s">
        <v>2155</v>
      </c>
      <c r="B151" s="18">
        <v>499021532</v>
      </c>
      <c r="C151" s="15" t="s">
        <v>2006</v>
      </c>
      <c r="D151" s="18">
        <v>1000000000</v>
      </c>
    </row>
    <row r="152" spans="1:4" x14ac:dyDescent="0.25">
      <c r="A152" s="15" t="s">
        <v>2156</v>
      </c>
      <c r="B152" s="18">
        <v>65063951</v>
      </c>
      <c r="C152" s="15" t="s">
        <v>2006</v>
      </c>
      <c r="D152" s="18">
        <v>1000000000</v>
      </c>
    </row>
    <row r="153" spans="1:4" x14ac:dyDescent="0.25">
      <c r="A153" s="15" t="s">
        <v>2157</v>
      </c>
      <c r="B153" s="18">
        <v>837134170</v>
      </c>
      <c r="C153" s="15" t="s">
        <v>2006</v>
      </c>
      <c r="D153" s="18">
        <v>1000000000</v>
      </c>
    </row>
    <row r="154" spans="1:4" x14ac:dyDescent="0.25">
      <c r="A154" s="15" t="s">
        <v>2158</v>
      </c>
      <c r="B154" s="18">
        <v>387581463</v>
      </c>
      <c r="C154" s="15" t="s">
        <v>2006</v>
      </c>
      <c r="D154" s="18">
        <v>1000000000</v>
      </c>
    </row>
    <row r="155" spans="1:4" x14ac:dyDescent="0.25">
      <c r="A155" s="15" t="s">
        <v>2159</v>
      </c>
      <c r="B155" s="18">
        <v>862075468</v>
      </c>
      <c r="C155" s="15" t="s">
        <v>2006</v>
      </c>
      <c r="D155" s="18">
        <v>1000000000</v>
      </c>
    </row>
    <row r="156" spans="1:4" x14ac:dyDescent="0.25">
      <c r="A156" s="15" t="s">
        <v>2160</v>
      </c>
      <c r="B156" s="18">
        <v>895910913</v>
      </c>
      <c r="C156" s="15" t="s">
        <v>2006</v>
      </c>
      <c r="D156" s="18">
        <v>1000000000</v>
      </c>
    </row>
    <row r="157" spans="1:4" x14ac:dyDescent="0.25">
      <c r="A157" s="15" t="s">
        <v>2161</v>
      </c>
      <c r="B157" s="18">
        <v>114717967</v>
      </c>
      <c r="C157" s="15" t="s">
        <v>2006</v>
      </c>
      <c r="D157" s="18">
        <v>1000000000</v>
      </c>
    </row>
    <row r="158" spans="1:4" x14ac:dyDescent="0.25">
      <c r="A158" s="15" t="s">
        <v>2162</v>
      </c>
      <c r="B158" s="18">
        <v>221760497</v>
      </c>
      <c r="C158" s="15" t="s">
        <v>2006</v>
      </c>
      <c r="D158" s="18">
        <v>1000000000</v>
      </c>
    </row>
    <row r="159" spans="1:4" x14ac:dyDescent="0.25">
      <c r="A159" s="15" t="s">
        <v>2163</v>
      </c>
      <c r="B159" s="18">
        <v>251190044</v>
      </c>
      <c r="C159" s="15" t="s">
        <v>2006</v>
      </c>
      <c r="D159" s="18">
        <v>1000000000</v>
      </c>
    </row>
    <row r="160" spans="1:4" x14ac:dyDescent="0.25">
      <c r="A160" s="15" t="s">
        <v>2164</v>
      </c>
      <c r="B160" s="18">
        <v>535880476</v>
      </c>
      <c r="C160" s="15" t="s">
        <v>2006</v>
      </c>
      <c r="D160" s="18">
        <v>1000000000</v>
      </c>
    </row>
    <row r="161" spans="1:4" x14ac:dyDescent="0.25">
      <c r="A161" s="15" t="s">
        <v>2165</v>
      </c>
      <c r="B161" s="18">
        <v>82893615</v>
      </c>
      <c r="C161" s="15" t="s">
        <v>2006</v>
      </c>
      <c r="D161" s="18">
        <v>1000000000</v>
      </c>
    </row>
    <row r="162" spans="1:4" x14ac:dyDescent="0.25">
      <c r="A162" s="15" t="s">
        <v>2166</v>
      </c>
      <c r="B162" s="18">
        <v>71946475</v>
      </c>
      <c r="C162" s="15" t="s">
        <v>2006</v>
      </c>
      <c r="D162" s="18">
        <v>1000000000</v>
      </c>
    </row>
    <row r="163" spans="1:4" x14ac:dyDescent="0.25">
      <c r="A163" s="15" t="s">
        <v>2167</v>
      </c>
      <c r="B163" s="18">
        <v>746009441</v>
      </c>
      <c r="C163" s="15" t="s">
        <v>2006</v>
      </c>
      <c r="D163" s="18">
        <v>1000000000</v>
      </c>
    </row>
    <row r="164" spans="1:4" x14ac:dyDescent="0.25">
      <c r="A164" s="15" t="s">
        <v>2168</v>
      </c>
      <c r="B164" s="18">
        <v>790870446</v>
      </c>
      <c r="C164" s="15" t="s">
        <v>2006</v>
      </c>
      <c r="D164" s="18">
        <v>1000000000</v>
      </c>
    </row>
    <row r="165" spans="1:4" x14ac:dyDescent="0.25">
      <c r="A165" s="15" t="s">
        <v>2169</v>
      </c>
      <c r="B165" s="18">
        <v>815793972</v>
      </c>
      <c r="C165" s="15" t="s">
        <v>2006</v>
      </c>
      <c r="D165" s="18">
        <v>1000000000</v>
      </c>
    </row>
    <row r="166" spans="1:4" x14ac:dyDescent="0.25">
      <c r="A166" s="15" t="s">
        <v>2170</v>
      </c>
      <c r="B166" s="18">
        <v>535498570</v>
      </c>
      <c r="C166" s="15" t="s">
        <v>2006</v>
      </c>
      <c r="D166" s="18">
        <v>1000000000</v>
      </c>
    </row>
    <row r="167" spans="1:4" x14ac:dyDescent="0.25">
      <c r="A167" s="15" t="s">
        <v>2171</v>
      </c>
      <c r="B167" s="18">
        <v>147772769</v>
      </c>
      <c r="C167" s="15" t="s">
        <v>2006</v>
      </c>
      <c r="D167" s="18">
        <v>1000000000</v>
      </c>
    </row>
    <row r="168" spans="1:4" x14ac:dyDescent="0.25">
      <c r="A168" s="15" t="s">
        <v>2172</v>
      </c>
      <c r="B168" s="18">
        <v>458307325</v>
      </c>
      <c r="C168" s="15" t="s">
        <v>2006</v>
      </c>
      <c r="D168" s="18">
        <v>1000000000</v>
      </c>
    </row>
    <row r="169" spans="1:4" x14ac:dyDescent="0.25">
      <c r="A169" s="15" t="s">
        <v>2173</v>
      </c>
      <c r="B169" s="18">
        <v>306438168</v>
      </c>
      <c r="C169" s="15" t="s">
        <v>2006</v>
      </c>
      <c r="D169" s="18">
        <v>1000000000</v>
      </c>
    </row>
    <row r="170" spans="1:4" x14ac:dyDescent="0.25">
      <c r="A170" s="15" t="s">
        <v>2174</v>
      </c>
      <c r="B170" s="18">
        <v>319785496</v>
      </c>
      <c r="C170" s="15" t="s">
        <v>2006</v>
      </c>
      <c r="D170" s="18">
        <v>1000000000</v>
      </c>
    </row>
    <row r="171" spans="1:4" x14ac:dyDescent="0.25">
      <c r="A171" s="15" t="s">
        <v>2175</v>
      </c>
      <c r="B171" s="18">
        <v>325571561</v>
      </c>
      <c r="C171" s="15" t="s">
        <v>2006</v>
      </c>
      <c r="D171" s="18">
        <v>1000000000</v>
      </c>
    </row>
    <row r="172" spans="1:4" x14ac:dyDescent="0.25">
      <c r="A172" s="15" t="s">
        <v>2176</v>
      </c>
      <c r="B172" s="18">
        <v>505626552</v>
      </c>
      <c r="C172" s="15" t="s">
        <v>2006</v>
      </c>
      <c r="D172" s="18">
        <v>1000000000</v>
      </c>
    </row>
    <row r="173" spans="1:4" x14ac:dyDescent="0.25">
      <c r="A173" s="15" t="s">
        <v>2177</v>
      </c>
      <c r="B173" s="18">
        <v>943354730</v>
      </c>
      <c r="C173" s="15" t="s">
        <v>2006</v>
      </c>
      <c r="D173" s="18">
        <v>1000000000</v>
      </c>
    </row>
    <row r="174" spans="1:4" x14ac:dyDescent="0.25">
      <c r="A174" s="15" t="s">
        <v>2178</v>
      </c>
      <c r="B174" s="18">
        <v>139915262</v>
      </c>
      <c r="C174" s="15" t="s">
        <v>2006</v>
      </c>
      <c r="D174" s="18">
        <v>1000000000</v>
      </c>
    </row>
    <row r="175" spans="1:4" x14ac:dyDescent="0.25">
      <c r="A175" s="15" t="s">
        <v>2179</v>
      </c>
      <c r="B175" s="18">
        <v>814484526</v>
      </c>
      <c r="C175" s="15" t="s">
        <v>2006</v>
      </c>
      <c r="D175" s="18">
        <v>1000000000</v>
      </c>
    </row>
    <row r="176" spans="1:4" x14ac:dyDescent="0.25">
      <c r="A176" s="15" t="s">
        <v>2180</v>
      </c>
      <c r="B176" s="18">
        <v>613129326</v>
      </c>
      <c r="C176" s="15" t="s">
        <v>2006</v>
      </c>
      <c r="D176" s="18">
        <v>1000000000</v>
      </c>
    </row>
    <row r="177" spans="1:4" x14ac:dyDescent="0.25">
      <c r="A177" s="15" t="s">
        <v>2181</v>
      </c>
      <c r="B177" s="18">
        <v>898588512</v>
      </c>
      <c r="C177" s="15" t="s">
        <v>2006</v>
      </c>
      <c r="D177" s="18">
        <v>1000000000</v>
      </c>
    </row>
    <row r="178" spans="1:4" x14ac:dyDescent="0.25">
      <c r="A178" s="15" t="s">
        <v>2182</v>
      </c>
      <c r="B178" s="18">
        <v>538697150</v>
      </c>
      <c r="C178" s="15" t="s">
        <v>2006</v>
      </c>
      <c r="D178" s="18">
        <v>1000000000</v>
      </c>
    </row>
    <row r="179" spans="1:4" x14ac:dyDescent="0.25">
      <c r="A179" s="15" t="s">
        <v>2183</v>
      </c>
      <c r="B179" s="18">
        <v>336969478</v>
      </c>
      <c r="C179" s="15" t="s">
        <v>2006</v>
      </c>
      <c r="D179" s="18">
        <v>1000000000</v>
      </c>
    </row>
    <row r="180" spans="1:4" x14ac:dyDescent="0.25">
      <c r="A180" s="15" t="s">
        <v>2184</v>
      </c>
      <c r="B180" s="18">
        <v>207621527</v>
      </c>
      <c r="C180" s="15" t="s">
        <v>2006</v>
      </c>
      <c r="D180" s="18">
        <v>1000000000</v>
      </c>
    </row>
    <row r="181" spans="1:4" x14ac:dyDescent="0.25">
      <c r="A181" s="15" t="s">
        <v>2185</v>
      </c>
      <c r="B181" s="18">
        <v>24515282</v>
      </c>
      <c r="C181" s="15" t="s">
        <v>2006</v>
      </c>
      <c r="D181" s="18">
        <v>1000000000</v>
      </c>
    </row>
    <row r="182" spans="1:4" x14ac:dyDescent="0.25">
      <c r="A182" s="15" t="s">
        <v>2186</v>
      </c>
      <c r="B182" s="18">
        <v>851835983</v>
      </c>
      <c r="C182" s="15" t="s">
        <v>2006</v>
      </c>
      <c r="D182" s="18">
        <v>1000000000</v>
      </c>
    </row>
    <row r="183" spans="1:4" x14ac:dyDescent="0.25">
      <c r="A183" s="15" t="s">
        <v>2187</v>
      </c>
      <c r="B183" s="18">
        <v>502249074</v>
      </c>
      <c r="C183" s="15" t="s">
        <v>2006</v>
      </c>
      <c r="D183" s="18">
        <v>1000000000</v>
      </c>
    </row>
    <row r="184" spans="1:4" x14ac:dyDescent="0.25">
      <c r="A184" s="15" t="s">
        <v>2188</v>
      </c>
      <c r="B184" s="18">
        <v>906915073</v>
      </c>
      <c r="C184" s="15" t="s">
        <v>2006</v>
      </c>
      <c r="D184" s="18">
        <v>1000000000</v>
      </c>
    </row>
    <row r="185" spans="1:4" x14ac:dyDescent="0.25">
      <c r="A185" s="15" t="s">
        <v>2189</v>
      </c>
      <c r="B185" s="18">
        <v>806965752</v>
      </c>
      <c r="C185" s="15" t="s">
        <v>2006</v>
      </c>
      <c r="D185" s="18">
        <v>1000000000</v>
      </c>
    </row>
    <row r="186" spans="1:4" x14ac:dyDescent="0.25">
      <c r="A186" s="15" t="s">
        <v>2190</v>
      </c>
      <c r="B186" s="18">
        <v>798089716</v>
      </c>
      <c r="C186" s="15" t="s">
        <v>2006</v>
      </c>
      <c r="D186" s="18">
        <v>1000000000</v>
      </c>
    </row>
    <row r="187" spans="1:4" x14ac:dyDescent="0.25">
      <c r="A187" s="15" t="s">
        <v>2191</v>
      </c>
      <c r="B187" s="18">
        <v>677480453</v>
      </c>
      <c r="C187" s="15" t="s">
        <v>2006</v>
      </c>
      <c r="D187" s="18">
        <v>1000000000</v>
      </c>
    </row>
    <row r="188" spans="1:4" x14ac:dyDescent="0.25">
      <c r="A188" s="15" t="s">
        <v>2192</v>
      </c>
      <c r="B188" s="18">
        <v>882120840</v>
      </c>
      <c r="C188" s="15" t="s">
        <v>2006</v>
      </c>
      <c r="D188" s="18">
        <v>1000000000</v>
      </c>
    </row>
    <row r="189" spans="1:4" x14ac:dyDescent="0.25">
      <c r="A189" s="15" t="s">
        <v>2193</v>
      </c>
      <c r="B189" s="18">
        <v>965014842</v>
      </c>
      <c r="C189" s="15" t="s">
        <v>2006</v>
      </c>
      <c r="D189" s="18">
        <v>1000000000</v>
      </c>
    </row>
    <row r="190" spans="1:4" x14ac:dyDescent="0.25">
      <c r="A190" s="15" t="s">
        <v>2194</v>
      </c>
      <c r="B190" s="18">
        <v>850435017</v>
      </c>
      <c r="C190" s="15" t="s">
        <v>2006</v>
      </c>
      <c r="D190" s="18">
        <v>1000000000</v>
      </c>
    </row>
    <row r="191" spans="1:4" x14ac:dyDescent="0.25">
      <c r="A191" s="15" t="s">
        <v>2195</v>
      </c>
      <c r="B191" s="18">
        <v>420957754</v>
      </c>
      <c r="C191" s="15" t="s">
        <v>2006</v>
      </c>
      <c r="D191" s="18">
        <v>1000000000</v>
      </c>
    </row>
    <row r="192" spans="1:4" x14ac:dyDescent="0.25">
      <c r="A192" s="15" t="s">
        <v>2196</v>
      </c>
      <c r="B192" s="18">
        <v>739360059</v>
      </c>
      <c r="C192" s="15" t="s">
        <v>2006</v>
      </c>
      <c r="D192" s="18">
        <v>1000000000</v>
      </c>
    </row>
    <row r="193" spans="1:4" x14ac:dyDescent="0.25">
      <c r="A193" s="15" t="s">
        <v>2197</v>
      </c>
      <c r="B193" s="18">
        <v>918240166</v>
      </c>
      <c r="C193" s="15" t="s">
        <v>2006</v>
      </c>
      <c r="D193" s="18">
        <v>1000000000</v>
      </c>
    </row>
    <row r="194" spans="1:4" x14ac:dyDescent="0.25">
      <c r="A194" s="15" t="s">
        <v>2198</v>
      </c>
      <c r="B194" s="18">
        <v>410227235</v>
      </c>
      <c r="C194" s="15" t="s">
        <v>2006</v>
      </c>
      <c r="D194" s="18">
        <v>1000000000</v>
      </c>
    </row>
    <row r="195" spans="1:4" x14ac:dyDescent="0.25">
      <c r="A195" s="15" t="s">
        <v>2199</v>
      </c>
      <c r="B195" s="18">
        <v>400564113</v>
      </c>
      <c r="C195" s="15" t="s">
        <v>2006</v>
      </c>
      <c r="D195" s="18">
        <v>1000000000</v>
      </c>
    </row>
    <row r="196" spans="1:4" x14ac:dyDescent="0.25">
      <c r="A196" s="15" t="s">
        <v>2200</v>
      </c>
      <c r="B196" s="18">
        <v>26704735</v>
      </c>
      <c r="C196" s="15" t="s">
        <v>2006</v>
      </c>
      <c r="D196" s="18">
        <v>1000000000</v>
      </c>
    </row>
    <row r="197" spans="1:4" x14ac:dyDescent="0.25">
      <c r="A197" s="15" t="s">
        <v>2201</v>
      </c>
      <c r="B197" s="18">
        <v>903241067</v>
      </c>
      <c r="C197" s="15" t="s">
        <v>2006</v>
      </c>
      <c r="D197" s="18">
        <v>1000000000</v>
      </c>
    </row>
    <row r="198" spans="1:4" x14ac:dyDescent="0.25">
      <c r="A198" s="15" t="s">
        <v>2202</v>
      </c>
      <c r="B198" s="18">
        <v>178869008</v>
      </c>
      <c r="C198" s="15" t="s">
        <v>2006</v>
      </c>
      <c r="D198" s="18">
        <v>1000000000</v>
      </c>
    </row>
    <row r="199" spans="1:4" x14ac:dyDescent="0.25">
      <c r="A199" s="15" t="s">
        <v>2203</v>
      </c>
      <c r="B199" s="18">
        <v>541593309</v>
      </c>
      <c r="C199" s="15" t="s">
        <v>2006</v>
      </c>
      <c r="D199" s="18">
        <v>1000000000</v>
      </c>
    </row>
    <row r="200" spans="1:4" x14ac:dyDescent="0.25">
      <c r="A200" s="15" t="s">
        <v>2204</v>
      </c>
      <c r="B200" s="18">
        <v>562394345</v>
      </c>
      <c r="C200" s="15" t="s">
        <v>2006</v>
      </c>
      <c r="D200" s="18">
        <v>1000000000</v>
      </c>
    </row>
    <row r="201" spans="1:4" x14ac:dyDescent="0.25">
      <c r="A201" s="15" t="s">
        <v>2205</v>
      </c>
      <c r="B201" s="18">
        <v>732755922</v>
      </c>
      <c r="C201" s="15" t="s">
        <v>2006</v>
      </c>
      <c r="D201" s="18">
        <v>1000000000</v>
      </c>
    </row>
    <row r="202" spans="1:4" x14ac:dyDescent="0.25">
      <c r="A202" s="15" t="s">
        <v>2206</v>
      </c>
      <c r="B202" s="18">
        <v>352742070</v>
      </c>
      <c r="C202" s="15" t="s">
        <v>2006</v>
      </c>
      <c r="D202" s="18">
        <v>1000000000</v>
      </c>
    </row>
    <row r="203" spans="1:4" x14ac:dyDescent="0.25">
      <c r="A203" s="15" t="s">
        <v>2207</v>
      </c>
      <c r="B203" s="18">
        <v>34940625</v>
      </c>
      <c r="C203" s="15" t="s">
        <v>2006</v>
      </c>
      <c r="D203" s="18">
        <v>1000000000</v>
      </c>
    </row>
    <row r="204" spans="1:4" x14ac:dyDescent="0.25">
      <c r="A204" s="15" t="s">
        <v>2208</v>
      </c>
      <c r="B204" s="18">
        <v>629690295</v>
      </c>
      <c r="C204" s="15" t="s">
        <v>2006</v>
      </c>
      <c r="D204" s="18">
        <v>1000000000</v>
      </c>
    </row>
    <row r="205" spans="1:4" x14ac:dyDescent="0.25">
      <c r="A205" s="15" t="s">
        <v>2209</v>
      </c>
      <c r="B205" s="18">
        <v>487608979</v>
      </c>
      <c r="C205" s="15" t="s">
        <v>2006</v>
      </c>
      <c r="D205" s="18">
        <v>1000000000</v>
      </c>
    </row>
    <row r="206" spans="1:4" x14ac:dyDescent="0.25">
      <c r="A206" s="15" t="s">
        <v>2210</v>
      </c>
      <c r="B206" s="18">
        <v>309187062</v>
      </c>
      <c r="C206" s="15" t="s">
        <v>2006</v>
      </c>
      <c r="D206" s="18">
        <v>1000000000</v>
      </c>
    </row>
    <row r="207" spans="1:4" x14ac:dyDescent="0.25">
      <c r="A207" s="15" t="s">
        <v>2211</v>
      </c>
      <c r="B207" s="18">
        <v>75046170</v>
      </c>
      <c r="C207" s="15" t="s">
        <v>2006</v>
      </c>
      <c r="D207" s="18">
        <v>1000000000</v>
      </c>
    </row>
    <row r="208" spans="1:4" x14ac:dyDescent="0.25">
      <c r="A208" s="15" t="s">
        <v>2212</v>
      </c>
      <c r="B208" s="18">
        <v>758272951</v>
      </c>
      <c r="C208" s="15" t="s">
        <v>2006</v>
      </c>
      <c r="D208" s="18">
        <v>1000000000</v>
      </c>
    </row>
    <row r="209" spans="1:4" x14ac:dyDescent="0.25">
      <c r="A209" s="15" t="s">
        <v>2213</v>
      </c>
      <c r="B209" s="18">
        <v>963835636</v>
      </c>
      <c r="C209" s="15" t="s">
        <v>2006</v>
      </c>
      <c r="D209" s="18">
        <v>1000000000</v>
      </c>
    </row>
    <row r="210" spans="1:4" x14ac:dyDescent="0.25">
      <c r="A210" s="15" t="s">
        <v>2214</v>
      </c>
      <c r="B210" s="18">
        <v>386972511</v>
      </c>
      <c r="C210" s="15" t="s">
        <v>2006</v>
      </c>
      <c r="D210" s="18">
        <v>1000000000</v>
      </c>
    </row>
    <row r="211" spans="1:4" x14ac:dyDescent="0.25">
      <c r="A211" s="15" t="s">
        <v>2215</v>
      </c>
      <c r="B211" s="18">
        <v>837907550</v>
      </c>
      <c r="C211" s="15" t="s">
        <v>2006</v>
      </c>
      <c r="D211" s="18">
        <v>1000000000</v>
      </c>
    </row>
    <row r="212" spans="1:4" x14ac:dyDescent="0.25">
      <c r="A212" s="15" t="s">
        <v>2216</v>
      </c>
      <c r="B212" s="18">
        <v>994440528</v>
      </c>
      <c r="C212" s="15" t="s">
        <v>2006</v>
      </c>
      <c r="D212" s="18">
        <v>1000000000</v>
      </c>
    </row>
    <row r="213" spans="1:4" x14ac:dyDescent="0.25">
      <c r="A213" s="15" t="s">
        <v>2217</v>
      </c>
      <c r="B213" s="18">
        <v>579790782</v>
      </c>
      <c r="C213" s="15" t="s">
        <v>2006</v>
      </c>
      <c r="D213" s="18">
        <v>1000000000</v>
      </c>
    </row>
    <row r="214" spans="1:4" x14ac:dyDescent="0.25">
      <c r="A214" s="15" t="s">
        <v>2218</v>
      </c>
      <c r="B214" s="18">
        <v>431944266</v>
      </c>
      <c r="C214" s="15" t="s">
        <v>2006</v>
      </c>
      <c r="D214" s="18">
        <v>1000000000</v>
      </c>
    </row>
    <row r="215" spans="1:4" x14ac:dyDescent="0.25">
      <c r="A215" s="15" t="s">
        <v>2219</v>
      </c>
      <c r="B215" s="18">
        <v>952177809</v>
      </c>
      <c r="C215" s="15" t="s">
        <v>2006</v>
      </c>
      <c r="D215" s="18">
        <v>1000000000</v>
      </c>
    </row>
    <row r="216" spans="1:4" x14ac:dyDescent="0.25">
      <c r="A216" s="15" t="s">
        <v>2220</v>
      </c>
      <c r="B216" s="18">
        <v>90627630</v>
      </c>
      <c r="C216" s="15" t="s">
        <v>2006</v>
      </c>
      <c r="D216" s="18">
        <v>1000000000</v>
      </c>
    </row>
    <row r="217" spans="1:4" x14ac:dyDescent="0.25">
      <c r="A217" s="15" t="s">
        <v>2221</v>
      </c>
      <c r="B217" s="18">
        <v>625310239</v>
      </c>
      <c r="C217" s="15" t="s">
        <v>2006</v>
      </c>
      <c r="D217" s="18">
        <v>1000000000</v>
      </c>
    </row>
    <row r="218" spans="1:4" x14ac:dyDescent="0.25">
      <c r="A218" s="15" t="s">
        <v>2222</v>
      </c>
      <c r="B218" s="18">
        <v>543666964</v>
      </c>
      <c r="C218" s="15" t="s">
        <v>2006</v>
      </c>
      <c r="D218" s="18">
        <v>1000000000</v>
      </c>
    </row>
    <row r="219" spans="1:4" x14ac:dyDescent="0.25">
      <c r="A219" s="15" t="s">
        <v>2223</v>
      </c>
      <c r="B219" s="18">
        <v>763830079</v>
      </c>
      <c r="C219" s="15" t="s">
        <v>2006</v>
      </c>
      <c r="D219" s="18">
        <v>1000000000</v>
      </c>
    </row>
    <row r="220" spans="1:4" x14ac:dyDescent="0.25">
      <c r="A220" s="15" t="s">
        <v>2224</v>
      </c>
      <c r="B220" s="18">
        <v>675294808</v>
      </c>
      <c r="C220" s="15" t="s">
        <v>2006</v>
      </c>
      <c r="D220" s="18">
        <v>1000000000</v>
      </c>
    </row>
    <row r="221" spans="1:4" x14ac:dyDescent="0.25">
      <c r="A221" s="15" t="s">
        <v>2225</v>
      </c>
      <c r="B221" s="18">
        <v>797957341</v>
      </c>
      <c r="C221" s="15" t="s">
        <v>2006</v>
      </c>
      <c r="D221" s="18">
        <v>1000000000</v>
      </c>
    </row>
    <row r="222" spans="1:4" x14ac:dyDescent="0.25">
      <c r="A222" s="15" t="s">
        <v>2226</v>
      </c>
      <c r="B222" s="18">
        <v>870227106</v>
      </c>
      <c r="C222" s="15" t="s">
        <v>2006</v>
      </c>
      <c r="D222" s="18">
        <v>1000000000</v>
      </c>
    </row>
    <row r="223" spans="1:4" x14ac:dyDescent="0.25">
      <c r="A223" s="15" t="s">
        <v>2227</v>
      </c>
      <c r="B223" s="18">
        <v>548105085</v>
      </c>
      <c r="C223" s="15" t="s">
        <v>2006</v>
      </c>
      <c r="D223" s="18">
        <v>1000000000</v>
      </c>
    </row>
    <row r="224" spans="1:4" x14ac:dyDescent="0.25">
      <c r="A224" s="15" t="s">
        <v>2228</v>
      </c>
      <c r="B224" s="18">
        <v>653851092</v>
      </c>
      <c r="C224" s="15" t="s">
        <v>2006</v>
      </c>
      <c r="D224" s="18">
        <v>1000000000</v>
      </c>
    </row>
    <row r="225" spans="1:4" x14ac:dyDescent="0.25">
      <c r="A225" s="15" t="s">
        <v>2229</v>
      </c>
      <c r="B225" s="18">
        <v>661740944</v>
      </c>
      <c r="C225" s="15" t="s">
        <v>2006</v>
      </c>
      <c r="D225" s="18">
        <v>1000000000</v>
      </c>
    </row>
    <row r="226" spans="1:4" x14ac:dyDescent="0.25">
      <c r="A226" s="15" t="s">
        <v>2230</v>
      </c>
      <c r="B226" s="18">
        <v>382584416</v>
      </c>
      <c r="C226" s="15" t="s">
        <v>2006</v>
      </c>
      <c r="D226" s="18">
        <v>1000000000</v>
      </c>
    </row>
    <row r="227" spans="1:4" x14ac:dyDescent="0.25">
      <c r="A227" s="15" t="s">
        <v>2231</v>
      </c>
      <c r="B227" s="18">
        <v>145698252</v>
      </c>
      <c r="C227" s="15" t="s">
        <v>2006</v>
      </c>
      <c r="D227" s="18">
        <v>1000000000</v>
      </c>
    </row>
    <row r="228" spans="1:4" x14ac:dyDescent="0.25">
      <c r="A228" s="15" t="s">
        <v>2232</v>
      </c>
      <c r="B228" s="18">
        <v>92209715</v>
      </c>
      <c r="C228" s="15" t="s">
        <v>2006</v>
      </c>
      <c r="D228" s="18">
        <v>1000000000</v>
      </c>
    </row>
    <row r="229" spans="1:4" x14ac:dyDescent="0.25">
      <c r="A229" s="15" t="s">
        <v>2233</v>
      </c>
      <c r="B229" s="18">
        <v>461323474</v>
      </c>
      <c r="C229" s="15" t="s">
        <v>2006</v>
      </c>
      <c r="D229" s="18">
        <v>1000000000</v>
      </c>
    </row>
    <row r="230" spans="1:4" x14ac:dyDescent="0.25">
      <c r="A230" s="15" t="s">
        <v>2234</v>
      </c>
      <c r="B230" s="18">
        <v>244590422</v>
      </c>
      <c r="C230" s="15" t="s">
        <v>2006</v>
      </c>
      <c r="D230" s="18">
        <v>1000000000</v>
      </c>
    </row>
    <row r="231" spans="1:4" x14ac:dyDescent="0.25">
      <c r="A231" s="15" t="s">
        <v>2235</v>
      </c>
      <c r="B231" s="18">
        <v>995181798</v>
      </c>
      <c r="C231" s="15" t="s">
        <v>2006</v>
      </c>
      <c r="D231" s="18">
        <v>1000000000</v>
      </c>
    </row>
    <row r="232" spans="1:4" x14ac:dyDescent="0.25">
      <c r="A232" s="15" t="s">
        <v>2236</v>
      </c>
      <c r="B232" s="18">
        <v>718666509</v>
      </c>
      <c r="C232" s="15" t="s">
        <v>2006</v>
      </c>
      <c r="D232" s="18">
        <v>1000000000</v>
      </c>
    </row>
    <row r="233" spans="1:4" x14ac:dyDescent="0.25">
      <c r="A233" s="15" t="s">
        <v>2237</v>
      </c>
      <c r="B233" s="18">
        <v>293789260</v>
      </c>
      <c r="C233" s="15" t="s">
        <v>2006</v>
      </c>
      <c r="D233" s="18">
        <v>1000000000</v>
      </c>
    </row>
    <row r="234" spans="1:4" x14ac:dyDescent="0.25">
      <c r="A234" s="15" t="s">
        <v>2238</v>
      </c>
      <c r="B234" s="18">
        <v>275942588</v>
      </c>
      <c r="C234" s="15" t="s">
        <v>2006</v>
      </c>
      <c r="D234" s="18">
        <v>1000000000</v>
      </c>
    </row>
    <row r="235" spans="1:4" x14ac:dyDescent="0.25">
      <c r="A235" s="15" t="s">
        <v>2239</v>
      </c>
      <c r="B235" s="18">
        <v>569952089</v>
      </c>
      <c r="C235" s="15" t="s">
        <v>2006</v>
      </c>
      <c r="D235" s="18">
        <v>1000000000</v>
      </c>
    </row>
    <row r="236" spans="1:4" x14ac:dyDescent="0.25">
      <c r="A236" s="15" t="s">
        <v>2240</v>
      </c>
      <c r="B236" s="18">
        <v>272420869</v>
      </c>
      <c r="C236" s="15" t="s">
        <v>2006</v>
      </c>
      <c r="D236" s="18">
        <v>1000000000</v>
      </c>
    </row>
    <row r="237" spans="1:4" x14ac:dyDescent="0.25">
      <c r="A237" s="15" t="s">
        <v>2241</v>
      </c>
      <c r="B237" s="18">
        <v>149528347</v>
      </c>
      <c r="C237" s="15" t="s">
        <v>2006</v>
      </c>
      <c r="D237" s="18">
        <v>1000000000</v>
      </c>
    </row>
    <row r="238" spans="1:4" x14ac:dyDescent="0.25">
      <c r="A238" s="15" t="s">
        <v>2242</v>
      </c>
      <c r="B238" s="18">
        <v>894625629</v>
      </c>
      <c r="C238" s="15" t="s">
        <v>2006</v>
      </c>
      <c r="D238" s="18">
        <v>1000000000</v>
      </c>
    </row>
    <row r="239" spans="1:4" x14ac:dyDescent="0.25">
      <c r="A239" s="15" t="s">
        <v>2243</v>
      </c>
      <c r="B239" s="18">
        <v>296974882</v>
      </c>
      <c r="C239" s="15" t="s">
        <v>2006</v>
      </c>
      <c r="D239" s="18">
        <v>1000000000</v>
      </c>
    </row>
    <row r="240" spans="1:4" x14ac:dyDescent="0.25">
      <c r="A240" s="15" t="s">
        <v>2244</v>
      </c>
      <c r="B240" s="18">
        <v>525986695</v>
      </c>
      <c r="C240" s="15" t="s">
        <v>2006</v>
      </c>
      <c r="D240" s="18">
        <v>1000000000</v>
      </c>
    </row>
    <row r="241" spans="1:4" x14ac:dyDescent="0.25">
      <c r="A241" s="15" t="s">
        <v>2245</v>
      </c>
      <c r="B241" s="18">
        <v>73370435</v>
      </c>
      <c r="C241" s="15" t="s">
        <v>2006</v>
      </c>
      <c r="D241" s="18">
        <v>1000000000</v>
      </c>
    </row>
    <row r="242" spans="1:4" x14ac:dyDescent="0.25">
      <c r="A242" s="15" t="s">
        <v>2246</v>
      </c>
      <c r="B242" s="18">
        <v>191667687</v>
      </c>
      <c r="C242" s="15" t="s">
        <v>2006</v>
      </c>
      <c r="D242" s="18">
        <v>1000000000</v>
      </c>
    </row>
    <row r="243" spans="1:4" x14ac:dyDescent="0.25">
      <c r="A243" s="15" t="s">
        <v>2247</v>
      </c>
      <c r="B243" s="18">
        <v>348883343</v>
      </c>
      <c r="C243" s="15" t="s">
        <v>2006</v>
      </c>
      <c r="D243" s="18">
        <v>1000000000</v>
      </c>
    </row>
    <row r="244" spans="1:4" x14ac:dyDescent="0.25">
      <c r="A244" s="15" t="s">
        <v>2248</v>
      </c>
      <c r="B244" s="18">
        <v>964041869</v>
      </c>
      <c r="C244" s="15" t="s">
        <v>2006</v>
      </c>
      <c r="D244" s="18">
        <v>1000000000</v>
      </c>
    </row>
    <row r="245" spans="1:4" x14ac:dyDescent="0.25">
      <c r="A245" s="15" t="s">
        <v>2249</v>
      </c>
      <c r="B245" s="18">
        <v>622269093</v>
      </c>
      <c r="C245" s="15" t="s">
        <v>2006</v>
      </c>
      <c r="D245" s="18">
        <v>1000000000</v>
      </c>
    </row>
    <row r="246" spans="1:4" x14ac:dyDescent="0.25">
      <c r="A246" s="15" t="s">
        <v>2250</v>
      </c>
      <c r="B246" s="18">
        <v>165646137</v>
      </c>
      <c r="C246" s="15" t="s">
        <v>2006</v>
      </c>
      <c r="D246" s="18">
        <v>1000000000</v>
      </c>
    </row>
    <row r="247" spans="1:4" x14ac:dyDescent="0.25">
      <c r="A247" s="15" t="s">
        <v>2251</v>
      </c>
      <c r="B247" s="18">
        <v>325099512</v>
      </c>
      <c r="C247" s="15" t="s">
        <v>2006</v>
      </c>
      <c r="D247" s="18">
        <v>1000000000</v>
      </c>
    </row>
    <row r="248" spans="1:4" x14ac:dyDescent="0.25">
      <c r="A248" s="15" t="s">
        <v>2252</v>
      </c>
      <c r="B248" s="18">
        <v>434593457</v>
      </c>
      <c r="C248" s="15" t="s">
        <v>2006</v>
      </c>
      <c r="D248" s="18">
        <v>1000000000</v>
      </c>
    </row>
    <row r="249" spans="1:4" x14ac:dyDescent="0.25">
      <c r="A249" s="15" t="s">
        <v>2253</v>
      </c>
      <c r="B249" s="18">
        <v>197210016</v>
      </c>
      <c r="C249" s="15" t="s">
        <v>2006</v>
      </c>
      <c r="D249" s="18">
        <v>1000000000</v>
      </c>
    </row>
    <row r="250" spans="1:4" x14ac:dyDescent="0.25">
      <c r="A250" s="15" t="s">
        <v>2254</v>
      </c>
      <c r="B250" s="18">
        <v>262027978</v>
      </c>
      <c r="C250" s="15" t="s">
        <v>2006</v>
      </c>
      <c r="D250" s="18">
        <v>1000000000</v>
      </c>
    </row>
    <row r="251" spans="1:4" x14ac:dyDescent="0.25">
      <c r="A251" s="15" t="s">
        <v>2255</v>
      </c>
      <c r="B251" s="18">
        <v>455975705</v>
      </c>
      <c r="C251" s="15" t="s">
        <v>2006</v>
      </c>
      <c r="D251" s="18">
        <v>1000000000</v>
      </c>
    </row>
    <row r="252" spans="1:4" x14ac:dyDescent="0.25">
      <c r="A252" s="15" t="s">
        <v>2256</v>
      </c>
      <c r="B252" s="18">
        <v>266420973</v>
      </c>
      <c r="C252" s="15" t="s">
        <v>2006</v>
      </c>
      <c r="D252" s="18">
        <v>1000000000</v>
      </c>
    </row>
    <row r="253" spans="1:4" x14ac:dyDescent="0.25">
      <c r="A253" s="15" t="s">
        <v>2257</v>
      </c>
      <c r="B253" s="18">
        <v>754472044</v>
      </c>
      <c r="C253" s="15" t="s">
        <v>2006</v>
      </c>
      <c r="D253" s="18">
        <v>1000000000</v>
      </c>
    </row>
    <row r="254" spans="1:4" x14ac:dyDescent="0.25">
      <c r="A254" s="15" t="s">
        <v>2258</v>
      </c>
      <c r="B254" s="18">
        <v>52626296</v>
      </c>
      <c r="C254" s="15" t="s">
        <v>2006</v>
      </c>
      <c r="D254" s="18">
        <v>1000000000</v>
      </c>
    </row>
    <row r="255" spans="1:4" x14ac:dyDescent="0.25">
      <c r="A255" s="15" t="s">
        <v>2259</v>
      </c>
      <c r="B255" s="18">
        <v>684716687</v>
      </c>
      <c r="C255" s="15" t="s">
        <v>2006</v>
      </c>
      <c r="D255" s="18">
        <v>1000000000</v>
      </c>
    </row>
    <row r="256" spans="1:4" x14ac:dyDescent="0.25">
      <c r="A256" s="15" t="s">
        <v>2260</v>
      </c>
      <c r="B256" s="18">
        <v>347365850</v>
      </c>
      <c r="C256" s="15" t="s">
        <v>2006</v>
      </c>
      <c r="D256" s="18">
        <v>1000000000</v>
      </c>
    </row>
    <row r="257" spans="1:4" x14ac:dyDescent="0.25">
      <c r="A257" s="15" t="s">
        <v>2261</v>
      </c>
      <c r="B257" s="18">
        <v>655374759</v>
      </c>
      <c r="C257" s="15" t="s">
        <v>2006</v>
      </c>
      <c r="D257" s="18">
        <v>1000000000</v>
      </c>
    </row>
    <row r="258" spans="1:4" x14ac:dyDescent="0.25">
      <c r="A258" s="15" t="s">
        <v>2262</v>
      </c>
      <c r="B258" s="18">
        <v>514776082</v>
      </c>
      <c r="C258" s="15" t="s">
        <v>2006</v>
      </c>
      <c r="D258" s="18">
        <v>1000000000</v>
      </c>
    </row>
    <row r="259" spans="1:4" x14ac:dyDescent="0.25">
      <c r="A259" s="15" t="s">
        <v>2263</v>
      </c>
      <c r="B259" s="18">
        <v>270450940</v>
      </c>
      <c r="C259" s="15" t="s">
        <v>2006</v>
      </c>
      <c r="D259" s="18">
        <v>1000000000</v>
      </c>
    </row>
    <row r="260" spans="1:4" x14ac:dyDescent="0.25">
      <c r="A260" s="15" t="s">
        <v>2264</v>
      </c>
      <c r="B260" s="18">
        <v>49075270</v>
      </c>
      <c r="C260" s="15" t="s">
        <v>2006</v>
      </c>
      <c r="D260" s="18">
        <v>1000000000</v>
      </c>
    </row>
    <row r="261" spans="1:4" x14ac:dyDescent="0.25">
      <c r="A261" s="15" t="s">
        <v>2265</v>
      </c>
      <c r="B261" s="18">
        <v>421503972</v>
      </c>
      <c r="C261" s="15" t="s">
        <v>2006</v>
      </c>
      <c r="D261" s="18">
        <v>1000000000</v>
      </c>
    </row>
    <row r="262" spans="1:4" x14ac:dyDescent="0.25">
      <c r="A262" s="15" t="s">
        <v>2266</v>
      </c>
      <c r="B262" s="18">
        <v>978289415</v>
      </c>
      <c r="C262" s="15" t="s">
        <v>2006</v>
      </c>
      <c r="D262" s="18">
        <v>1000000000</v>
      </c>
    </row>
    <row r="263" spans="1:4" x14ac:dyDescent="0.25">
      <c r="A263" s="15" t="s">
        <v>2267</v>
      </c>
      <c r="B263" s="18">
        <v>728500817</v>
      </c>
      <c r="C263" s="15" t="s">
        <v>2006</v>
      </c>
      <c r="D263" s="18">
        <v>1000000000</v>
      </c>
    </row>
    <row r="264" spans="1:4" x14ac:dyDescent="0.25">
      <c r="A264" s="15" t="s">
        <v>2268</v>
      </c>
      <c r="B264" s="18">
        <v>18411530</v>
      </c>
      <c r="C264" s="15" t="s">
        <v>2006</v>
      </c>
      <c r="D264" s="18">
        <v>1000000000</v>
      </c>
    </row>
    <row r="265" spans="1:4" x14ac:dyDescent="0.25">
      <c r="A265" s="15" t="s">
        <v>2269</v>
      </c>
      <c r="B265" s="18">
        <v>352054685</v>
      </c>
      <c r="C265" s="15" t="s">
        <v>2006</v>
      </c>
      <c r="D265" s="18">
        <v>1000000000</v>
      </c>
    </row>
    <row r="266" spans="1:4" x14ac:dyDescent="0.25">
      <c r="A266" s="15" t="s">
        <v>2270</v>
      </c>
      <c r="B266" s="18">
        <v>249583599</v>
      </c>
      <c r="C266" s="15" t="s">
        <v>2006</v>
      </c>
      <c r="D266" s="18">
        <v>1000000000</v>
      </c>
    </row>
    <row r="267" spans="1:4" x14ac:dyDescent="0.25">
      <c r="A267" s="15" t="s">
        <v>2271</v>
      </c>
      <c r="B267" s="18">
        <v>919236106</v>
      </c>
      <c r="C267" s="15" t="s">
        <v>2006</v>
      </c>
      <c r="D267" s="18">
        <v>1000000000</v>
      </c>
    </row>
    <row r="268" spans="1:4" x14ac:dyDescent="0.25">
      <c r="A268" s="15" t="s">
        <v>2272</v>
      </c>
      <c r="B268" s="18">
        <v>783305075</v>
      </c>
      <c r="C268" s="15" t="s">
        <v>2006</v>
      </c>
      <c r="D268" s="18">
        <v>1000000000</v>
      </c>
    </row>
    <row r="269" spans="1:4" x14ac:dyDescent="0.25">
      <c r="A269" s="15" t="s">
        <v>2273</v>
      </c>
      <c r="B269" s="18">
        <v>747111325</v>
      </c>
      <c r="C269" s="15" t="s">
        <v>2006</v>
      </c>
      <c r="D269" s="18">
        <v>1000000000</v>
      </c>
    </row>
    <row r="270" spans="1:4" x14ac:dyDescent="0.25">
      <c r="A270" s="15" t="s">
        <v>2274</v>
      </c>
      <c r="B270" s="18">
        <v>128272800</v>
      </c>
      <c r="C270" s="15" t="s">
        <v>2006</v>
      </c>
      <c r="D270" s="18">
        <v>1000000000</v>
      </c>
    </row>
    <row r="271" spans="1:4" x14ac:dyDescent="0.25">
      <c r="A271" s="15" t="s">
        <v>2275</v>
      </c>
      <c r="B271" s="18">
        <v>40639597</v>
      </c>
      <c r="C271" s="15" t="s">
        <v>2006</v>
      </c>
      <c r="D271" s="18">
        <v>1000000000</v>
      </c>
    </row>
    <row r="272" spans="1:4" x14ac:dyDescent="0.25">
      <c r="A272" s="15" t="s">
        <v>2276</v>
      </c>
      <c r="B272" s="18">
        <v>250559323</v>
      </c>
      <c r="C272" s="15" t="s">
        <v>2006</v>
      </c>
      <c r="D272" s="18">
        <v>1000000000</v>
      </c>
    </row>
    <row r="273" spans="1:4" x14ac:dyDescent="0.25">
      <c r="A273" s="15" t="s">
        <v>2277</v>
      </c>
      <c r="B273" s="18">
        <v>122373935</v>
      </c>
      <c r="C273" s="15" t="s">
        <v>2006</v>
      </c>
      <c r="D273" s="18">
        <v>1000000000</v>
      </c>
    </row>
    <row r="274" spans="1:4" x14ac:dyDescent="0.25">
      <c r="A274" s="15" t="s">
        <v>2278</v>
      </c>
      <c r="B274" s="18">
        <v>749087075</v>
      </c>
      <c r="C274" s="15" t="s">
        <v>2006</v>
      </c>
      <c r="D274" s="18">
        <v>1000000000</v>
      </c>
    </row>
    <row r="275" spans="1:4" x14ac:dyDescent="0.25">
      <c r="A275" s="15" t="s">
        <v>2279</v>
      </c>
      <c r="B275" s="18">
        <v>390335114</v>
      </c>
      <c r="C275" s="15" t="s">
        <v>2006</v>
      </c>
      <c r="D275" s="18">
        <v>1000000000</v>
      </c>
    </row>
    <row r="276" spans="1:4" x14ac:dyDescent="0.25">
      <c r="A276" s="15" t="s">
        <v>2280</v>
      </c>
      <c r="B276" s="18">
        <v>736303634</v>
      </c>
      <c r="C276" s="15" t="s">
        <v>2006</v>
      </c>
      <c r="D276" s="18">
        <v>1000000000</v>
      </c>
    </row>
    <row r="277" spans="1:4" x14ac:dyDescent="0.25">
      <c r="A277" s="15" t="s">
        <v>2281</v>
      </c>
      <c r="B277" s="18">
        <v>826062243</v>
      </c>
      <c r="C277" s="15" t="s">
        <v>2006</v>
      </c>
      <c r="D277" s="18">
        <v>1000000000</v>
      </c>
    </row>
    <row r="278" spans="1:4" x14ac:dyDescent="0.25">
      <c r="A278" s="15" t="s">
        <v>2282</v>
      </c>
      <c r="B278" s="18">
        <v>434793410</v>
      </c>
      <c r="C278" s="15" t="s">
        <v>2006</v>
      </c>
      <c r="D278" s="18">
        <v>1000000000</v>
      </c>
    </row>
    <row r="279" spans="1:4" x14ac:dyDescent="0.25">
      <c r="A279" s="15" t="s">
        <v>2283</v>
      </c>
      <c r="B279" s="18">
        <v>994099727</v>
      </c>
      <c r="C279" s="15" t="s">
        <v>2006</v>
      </c>
      <c r="D279" s="18">
        <v>1000000000</v>
      </c>
    </row>
    <row r="280" spans="1:4" x14ac:dyDescent="0.25">
      <c r="A280" s="15" t="s">
        <v>2284</v>
      </c>
      <c r="B280" s="18">
        <v>502784238</v>
      </c>
      <c r="C280" s="15" t="s">
        <v>2006</v>
      </c>
      <c r="D280" s="18">
        <v>1000000000</v>
      </c>
    </row>
    <row r="281" spans="1:4" x14ac:dyDescent="0.25">
      <c r="A281" s="15" t="s">
        <v>2285</v>
      </c>
      <c r="B281" s="18">
        <v>641624202</v>
      </c>
      <c r="C281" s="15" t="s">
        <v>2006</v>
      </c>
      <c r="D281" s="18">
        <v>1000000000</v>
      </c>
    </row>
    <row r="282" spans="1:4" x14ac:dyDescent="0.25">
      <c r="A282" s="15" t="s">
        <v>2286</v>
      </c>
      <c r="B282" s="18">
        <v>152315855</v>
      </c>
      <c r="C282" s="15" t="s">
        <v>2006</v>
      </c>
      <c r="D282" s="18">
        <v>1000000000</v>
      </c>
    </row>
    <row r="283" spans="1:4" x14ac:dyDescent="0.25">
      <c r="A283" s="15" t="s">
        <v>2287</v>
      </c>
      <c r="B283" s="18">
        <v>862354414</v>
      </c>
      <c r="C283" s="15" t="s">
        <v>2006</v>
      </c>
      <c r="D283" s="18">
        <v>1000000000</v>
      </c>
    </row>
    <row r="284" spans="1:4" x14ac:dyDescent="0.25">
      <c r="A284" s="15" t="s">
        <v>2288</v>
      </c>
      <c r="B284" s="18">
        <v>190749986</v>
      </c>
      <c r="C284" s="15" t="s">
        <v>2006</v>
      </c>
      <c r="D284" s="18">
        <v>1000000000</v>
      </c>
    </row>
    <row r="285" spans="1:4" x14ac:dyDescent="0.25">
      <c r="A285" s="15" t="s">
        <v>2289</v>
      </c>
      <c r="B285" s="18">
        <v>296451494</v>
      </c>
      <c r="C285" s="15" t="s">
        <v>2006</v>
      </c>
      <c r="D285" s="18">
        <v>1000000000</v>
      </c>
    </row>
    <row r="286" spans="1:4" x14ac:dyDescent="0.25">
      <c r="A286" s="15" t="s">
        <v>2290</v>
      </c>
      <c r="B286" s="18">
        <v>807693031</v>
      </c>
      <c r="C286" s="15" t="s">
        <v>2006</v>
      </c>
      <c r="D286" s="18">
        <v>1000000000</v>
      </c>
    </row>
    <row r="287" spans="1:4" x14ac:dyDescent="0.25">
      <c r="A287" s="15" t="s">
        <v>2291</v>
      </c>
      <c r="B287" s="18">
        <v>971230893</v>
      </c>
      <c r="C287" s="15" t="s">
        <v>2006</v>
      </c>
      <c r="D287" s="18">
        <v>1000000000</v>
      </c>
    </row>
    <row r="288" spans="1:4" x14ac:dyDescent="0.25">
      <c r="A288" s="15" t="s">
        <v>2292</v>
      </c>
      <c r="B288" s="18">
        <v>684147318</v>
      </c>
      <c r="C288" s="15" t="s">
        <v>2006</v>
      </c>
      <c r="D288" s="18">
        <v>1000000000</v>
      </c>
    </row>
    <row r="289" spans="1:4" x14ac:dyDescent="0.25">
      <c r="A289" s="15" t="s">
        <v>2293</v>
      </c>
      <c r="B289" s="18">
        <v>579371900</v>
      </c>
      <c r="C289" s="15" t="s">
        <v>2006</v>
      </c>
      <c r="D289" s="18">
        <v>1000000000</v>
      </c>
    </row>
    <row r="290" spans="1:4" x14ac:dyDescent="0.25">
      <c r="A290" s="15" t="s">
        <v>2294</v>
      </c>
      <c r="B290" s="18">
        <v>219373152</v>
      </c>
      <c r="C290" s="15" t="s">
        <v>2006</v>
      </c>
      <c r="D290" s="18">
        <v>1000000000</v>
      </c>
    </row>
    <row r="291" spans="1:4" x14ac:dyDescent="0.25">
      <c r="A291" s="15" t="s">
        <v>2295</v>
      </c>
      <c r="B291" s="18">
        <v>815334420</v>
      </c>
      <c r="C291" s="15" t="s">
        <v>2006</v>
      </c>
      <c r="D291" s="18">
        <v>1000000000</v>
      </c>
    </row>
    <row r="292" spans="1:4" x14ac:dyDescent="0.25">
      <c r="A292" s="15" t="s">
        <v>2296</v>
      </c>
      <c r="B292" s="18">
        <v>80665489</v>
      </c>
      <c r="C292" s="15" t="s">
        <v>2006</v>
      </c>
      <c r="D292" s="18">
        <v>1000000000</v>
      </c>
    </row>
    <row r="293" spans="1:4" x14ac:dyDescent="0.25">
      <c r="A293" s="15" t="s">
        <v>2297</v>
      </c>
      <c r="B293" s="18">
        <v>860264446</v>
      </c>
      <c r="C293" s="15" t="s">
        <v>2006</v>
      </c>
      <c r="D293" s="18">
        <v>1000000000</v>
      </c>
    </row>
    <row r="294" spans="1:4" x14ac:dyDescent="0.25">
      <c r="A294" s="15" t="s">
        <v>2298</v>
      </c>
      <c r="B294" s="18">
        <v>931368038</v>
      </c>
      <c r="C294" s="15" t="s">
        <v>2006</v>
      </c>
      <c r="D294" s="18">
        <v>1000000000</v>
      </c>
    </row>
    <row r="295" spans="1:4" x14ac:dyDescent="0.25">
      <c r="A295" s="15" t="s">
        <v>2299</v>
      </c>
      <c r="B295" s="18">
        <v>500797377</v>
      </c>
      <c r="C295" s="15" t="s">
        <v>2006</v>
      </c>
      <c r="D295" s="18">
        <v>1000000000</v>
      </c>
    </row>
    <row r="296" spans="1:4" x14ac:dyDescent="0.25">
      <c r="A296" s="15" t="s">
        <v>2300</v>
      </c>
      <c r="B296" s="18">
        <v>923345954</v>
      </c>
      <c r="C296" s="15" t="s">
        <v>2006</v>
      </c>
      <c r="D296" s="18">
        <v>1000000000</v>
      </c>
    </row>
    <row r="297" spans="1:4" x14ac:dyDescent="0.25">
      <c r="A297" s="15" t="s">
        <v>2301</v>
      </c>
      <c r="B297" s="18">
        <v>234979166</v>
      </c>
      <c r="C297" s="15" t="s">
        <v>2006</v>
      </c>
      <c r="D297" s="18">
        <v>1000000000</v>
      </c>
    </row>
    <row r="298" spans="1:4" x14ac:dyDescent="0.25">
      <c r="A298" s="15" t="s">
        <v>2302</v>
      </c>
      <c r="B298" s="18">
        <v>530765850</v>
      </c>
      <c r="C298" s="15" t="s">
        <v>2006</v>
      </c>
      <c r="D298" s="18">
        <v>1000000000</v>
      </c>
    </row>
    <row r="299" spans="1:4" x14ac:dyDescent="0.25">
      <c r="A299" s="15" t="s">
        <v>2303</v>
      </c>
      <c r="B299" s="18">
        <v>932313736</v>
      </c>
      <c r="C299" s="15" t="s">
        <v>2006</v>
      </c>
      <c r="D299" s="18">
        <v>1000000000</v>
      </c>
    </row>
    <row r="300" spans="1:4" x14ac:dyDescent="0.25">
      <c r="A300" s="15" t="s">
        <v>2304</v>
      </c>
      <c r="B300" s="18">
        <v>235049625</v>
      </c>
      <c r="C300" s="15" t="s">
        <v>2006</v>
      </c>
      <c r="D300" s="18">
        <v>1000000000</v>
      </c>
    </row>
    <row r="301" spans="1:4" x14ac:dyDescent="0.25">
      <c r="A301" s="15" t="s">
        <v>2305</v>
      </c>
      <c r="B301" s="18">
        <v>950253303</v>
      </c>
      <c r="C301" s="15" t="s">
        <v>2006</v>
      </c>
      <c r="D301" s="18">
        <v>1000000000</v>
      </c>
    </row>
    <row r="302" spans="1:4" x14ac:dyDescent="0.25">
      <c r="A302" s="15" t="s">
        <v>2306</v>
      </c>
      <c r="B302" s="18">
        <v>380264807</v>
      </c>
      <c r="C302" s="15" t="s">
        <v>2006</v>
      </c>
      <c r="D302" s="18">
        <v>1000000000</v>
      </c>
    </row>
    <row r="303" spans="1:4" x14ac:dyDescent="0.25">
      <c r="A303" s="15" t="s">
        <v>2307</v>
      </c>
      <c r="B303" s="18">
        <v>980133788</v>
      </c>
      <c r="C303" s="15" t="s">
        <v>2006</v>
      </c>
      <c r="D303" s="18">
        <v>1000000000</v>
      </c>
    </row>
    <row r="304" spans="1:4" x14ac:dyDescent="0.25">
      <c r="A304" s="15" t="s">
        <v>2308</v>
      </c>
      <c r="B304" s="18">
        <v>808886532</v>
      </c>
      <c r="C304" s="15" t="s">
        <v>2006</v>
      </c>
      <c r="D304" s="18">
        <v>1000000000</v>
      </c>
    </row>
    <row r="305" spans="1:4" x14ac:dyDescent="0.25">
      <c r="A305" s="15" t="s">
        <v>2309</v>
      </c>
      <c r="B305" s="18">
        <v>612442097</v>
      </c>
      <c r="C305" s="15" t="s">
        <v>2006</v>
      </c>
      <c r="D305" s="18">
        <v>1000000000</v>
      </c>
    </row>
    <row r="306" spans="1:4" x14ac:dyDescent="0.25">
      <c r="A306" s="15" t="s">
        <v>2310</v>
      </c>
      <c r="B306" s="18">
        <v>488721263</v>
      </c>
      <c r="C306" s="15" t="s">
        <v>2006</v>
      </c>
      <c r="D306" s="18">
        <v>1000000000</v>
      </c>
    </row>
    <row r="307" spans="1:4" x14ac:dyDescent="0.25">
      <c r="A307" s="15" t="s">
        <v>2311</v>
      </c>
      <c r="B307" s="18">
        <v>513783795</v>
      </c>
      <c r="C307" s="15" t="s">
        <v>2006</v>
      </c>
      <c r="D307" s="18">
        <v>1000000000</v>
      </c>
    </row>
    <row r="308" spans="1:4" x14ac:dyDescent="0.25">
      <c r="A308" s="15" t="s">
        <v>2312</v>
      </c>
      <c r="B308" s="18">
        <v>670788438</v>
      </c>
      <c r="C308" s="15" t="s">
        <v>2006</v>
      </c>
      <c r="D308" s="18">
        <v>1000000000</v>
      </c>
    </row>
    <row r="309" spans="1:4" x14ac:dyDescent="0.25">
      <c r="A309" s="15" t="s">
        <v>2313</v>
      </c>
      <c r="B309" s="18">
        <v>363844601</v>
      </c>
      <c r="C309" s="15" t="s">
        <v>2006</v>
      </c>
      <c r="D309" s="18">
        <v>1000000000</v>
      </c>
    </row>
    <row r="310" spans="1:4" x14ac:dyDescent="0.25">
      <c r="A310" s="15" t="s">
        <v>2314</v>
      </c>
      <c r="B310" s="18">
        <v>219707164</v>
      </c>
      <c r="C310" s="15" t="s">
        <v>2006</v>
      </c>
      <c r="D310" s="18">
        <v>1000000000</v>
      </c>
    </row>
    <row r="311" spans="1:4" x14ac:dyDescent="0.25">
      <c r="A311" s="15" t="s">
        <v>2315</v>
      </c>
      <c r="B311" s="18">
        <v>184516150</v>
      </c>
      <c r="C311" s="15" t="s">
        <v>2006</v>
      </c>
      <c r="D311" s="18">
        <v>1000000000</v>
      </c>
    </row>
    <row r="312" spans="1:4" x14ac:dyDescent="0.25">
      <c r="A312" s="15" t="s">
        <v>2316</v>
      </c>
      <c r="B312" s="18">
        <v>775816657</v>
      </c>
      <c r="C312" s="15" t="s">
        <v>2006</v>
      </c>
      <c r="D312" s="18">
        <v>1000000000</v>
      </c>
    </row>
    <row r="313" spans="1:4" x14ac:dyDescent="0.25">
      <c r="A313" s="15" t="s">
        <v>2317</v>
      </c>
      <c r="B313" s="18">
        <v>740588316</v>
      </c>
      <c r="C313" s="15" t="s">
        <v>2006</v>
      </c>
      <c r="D313" s="18">
        <v>1000000000</v>
      </c>
    </row>
    <row r="314" spans="1:4" x14ac:dyDescent="0.25">
      <c r="A314" s="15" t="s">
        <v>2318</v>
      </c>
      <c r="B314" s="18">
        <v>861286044</v>
      </c>
      <c r="C314" s="15" t="s">
        <v>2006</v>
      </c>
      <c r="D314" s="18">
        <v>1000000000</v>
      </c>
    </row>
    <row r="315" spans="1:4" x14ac:dyDescent="0.25">
      <c r="A315" s="15" t="s">
        <v>2319</v>
      </c>
      <c r="B315" s="18">
        <v>829880059</v>
      </c>
      <c r="C315" s="15" t="s">
        <v>2006</v>
      </c>
      <c r="D315" s="18">
        <v>1000000000</v>
      </c>
    </row>
    <row r="316" spans="1:4" x14ac:dyDescent="0.25">
      <c r="A316" s="15" t="s">
        <v>2320</v>
      </c>
      <c r="B316" s="18">
        <v>78995296</v>
      </c>
      <c r="C316" s="15" t="s">
        <v>2006</v>
      </c>
      <c r="D316" s="18">
        <v>1000000000</v>
      </c>
    </row>
    <row r="317" spans="1:4" x14ac:dyDescent="0.25">
      <c r="A317" s="15" t="s">
        <v>2321</v>
      </c>
      <c r="B317" s="18">
        <v>538390504</v>
      </c>
      <c r="C317" s="15" t="s">
        <v>2006</v>
      </c>
      <c r="D317" s="18">
        <v>1000000000</v>
      </c>
    </row>
    <row r="318" spans="1:4" x14ac:dyDescent="0.25">
      <c r="A318" s="15" t="s">
        <v>2322</v>
      </c>
      <c r="B318" s="18">
        <v>147610645</v>
      </c>
      <c r="C318" s="15" t="s">
        <v>2006</v>
      </c>
      <c r="D318" s="18">
        <v>1000000000</v>
      </c>
    </row>
    <row r="319" spans="1:4" x14ac:dyDescent="0.25">
      <c r="A319" s="15" t="s">
        <v>2323</v>
      </c>
      <c r="B319" s="18">
        <v>531040314</v>
      </c>
      <c r="C319" s="15" t="s">
        <v>2006</v>
      </c>
      <c r="D319" s="18">
        <v>1000000000</v>
      </c>
    </row>
    <row r="320" spans="1:4" x14ac:dyDescent="0.25">
      <c r="A320" s="15" t="s">
        <v>2324</v>
      </c>
      <c r="B320" s="18">
        <v>125515375</v>
      </c>
      <c r="C320" s="15" t="s">
        <v>2006</v>
      </c>
      <c r="D320" s="18">
        <v>1000000000</v>
      </c>
    </row>
    <row r="321" spans="1:4" x14ac:dyDescent="0.25">
      <c r="A321" s="15" t="s">
        <v>2325</v>
      </c>
      <c r="B321" s="18">
        <v>505090089</v>
      </c>
      <c r="C321" s="15" t="s">
        <v>2006</v>
      </c>
      <c r="D321" s="18">
        <v>1000000000</v>
      </c>
    </row>
    <row r="322" spans="1:4" x14ac:dyDescent="0.25">
      <c r="A322" s="15" t="s">
        <v>2326</v>
      </c>
      <c r="B322" s="18">
        <v>346509787</v>
      </c>
      <c r="C322" s="15" t="s">
        <v>2006</v>
      </c>
      <c r="D322" s="18">
        <v>1000000000</v>
      </c>
    </row>
    <row r="323" spans="1:4" x14ac:dyDescent="0.25">
      <c r="A323" s="15" t="s">
        <v>2327</v>
      </c>
      <c r="B323" s="18">
        <v>590428113</v>
      </c>
      <c r="C323" s="15" t="s">
        <v>2006</v>
      </c>
      <c r="D323" s="18">
        <v>1000000000</v>
      </c>
    </row>
    <row r="324" spans="1:4" x14ac:dyDescent="0.25">
      <c r="A324" s="15" t="s">
        <v>2328</v>
      </c>
      <c r="B324" s="18">
        <v>751340253</v>
      </c>
      <c r="C324" s="15" t="s">
        <v>2006</v>
      </c>
      <c r="D324" s="18">
        <v>1000000000</v>
      </c>
    </row>
    <row r="325" spans="1:4" x14ac:dyDescent="0.25">
      <c r="A325" s="15" t="s">
        <v>2329</v>
      </c>
      <c r="B325" s="18">
        <v>722212877</v>
      </c>
      <c r="C325" s="15" t="s">
        <v>2006</v>
      </c>
      <c r="D325" s="18">
        <v>1000000000</v>
      </c>
    </row>
    <row r="326" spans="1:4" x14ac:dyDescent="0.25">
      <c r="A326" s="15" t="s">
        <v>2330</v>
      </c>
      <c r="B326" s="18">
        <v>641930937</v>
      </c>
      <c r="C326" s="15" t="s">
        <v>2006</v>
      </c>
      <c r="D326" s="18">
        <v>1000000000</v>
      </c>
    </row>
    <row r="327" spans="1:4" x14ac:dyDescent="0.25">
      <c r="A327" s="15" t="s">
        <v>2331</v>
      </c>
      <c r="B327" s="18">
        <v>373678407</v>
      </c>
      <c r="C327" s="15" t="s">
        <v>2006</v>
      </c>
      <c r="D327" s="18">
        <v>1000000000</v>
      </c>
    </row>
    <row r="328" spans="1:4" x14ac:dyDescent="0.25">
      <c r="A328" s="15" t="s">
        <v>2332</v>
      </c>
      <c r="B328" s="18">
        <v>463605433</v>
      </c>
      <c r="C328" s="15" t="s">
        <v>2006</v>
      </c>
      <c r="D328" s="18">
        <v>1000000000</v>
      </c>
    </row>
    <row r="329" spans="1:4" x14ac:dyDescent="0.25">
      <c r="A329" s="15" t="s">
        <v>2333</v>
      </c>
      <c r="B329" s="18">
        <v>26656366</v>
      </c>
      <c r="C329" s="15" t="s">
        <v>2006</v>
      </c>
      <c r="D329" s="18">
        <v>1000000000</v>
      </c>
    </row>
    <row r="330" spans="1:4" x14ac:dyDescent="0.25">
      <c r="A330" s="15" t="s">
        <v>2334</v>
      </c>
      <c r="B330" s="18">
        <v>250484686</v>
      </c>
      <c r="C330" s="15" t="s">
        <v>2006</v>
      </c>
      <c r="D330" s="18">
        <v>1000000000</v>
      </c>
    </row>
    <row r="331" spans="1:4" x14ac:dyDescent="0.25">
      <c r="A331" s="15" t="s">
        <v>2335</v>
      </c>
      <c r="B331" s="18">
        <v>977215969</v>
      </c>
      <c r="C331" s="15" t="s">
        <v>2006</v>
      </c>
      <c r="D331" s="18">
        <v>1000000000</v>
      </c>
    </row>
    <row r="332" spans="1:4" x14ac:dyDescent="0.25">
      <c r="A332" s="15" t="s">
        <v>2336</v>
      </c>
      <c r="B332" s="18">
        <v>818255928</v>
      </c>
      <c r="C332" s="15" t="s">
        <v>2006</v>
      </c>
      <c r="D332" s="18">
        <v>1000000000</v>
      </c>
    </row>
    <row r="333" spans="1:4" x14ac:dyDescent="0.25">
      <c r="A333" s="15" t="s">
        <v>2337</v>
      </c>
      <c r="B333" s="18">
        <v>600650563</v>
      </c>
      <c r="C333" s="15" t="s">
        <v>2006</v>
      </c>
      <c r="D333" s="18">
        <v>1000000000</v>
      </c>
    </row>
    <row r="334" spans="1:4" x14ac:dyDescent="0.25">
      <c r="A334" s="15" t="s">
        <v>2338</v>
      </c>
      <c r="B334" s="18">
        <v>566335788</v>
      </c>
      <c r="C334" s="15" t="s">
        <v>2006</v>
      </c>
      <c r="D334" s="18">
        <v>1000000000</v>
      </c>
    </row>
    <row r="335" spans="1:4" x14ac:dyDescent="0.25">
      <c r="A335" s="15" t="s">
        <v>2339</v>
      </c>
      <c r="B335" s="18">
        <v>569360154</v>
      </c>
      <c r="C335" s="15" t="s">
        <v>2006</v>
      </c>
      <c r="D335" s="18">
        <v>1000000000</v>
      </c>
    </row>
    <row r="336" spans="1:4" x14ac:dyDescent="0.25">
      <c r="A336" s="15" t="s">
        <v>2340</v>
      </c>
      <c r="B336" s="18">
        <v>96742505</v>
      </c>
      <c r="C336" s="15" t="s">
        <v>2006</v>
      </c>
      <c r="D336" s="18">
        <v>1000000000</v>
      </c>
    </row>
    <row r="337" spans="1:4" x14ac:dyDescent="0.25">
      <c r="A337" s="15" t="s">
        <v>2341</v>
      </c>
      <c r="B337" s="18">
        <v>58801732</v>
      </c>
      <c r="C337" s="15" t="s">
        <v>2006</v>
      </c>
      <c r="D337" s="18">
        <v>1000000000</v>
      </c>
    </row>
    <row r="338" spans="1:4" x14ac:dyDescent="0.25">
      <c r="A338" s="15" t="s">
        <v>2342</v>
      </c>
      <c r="B338" s="18">
        <v>695676274</v>
      </c>
      <c r="C338" s="15" t="s">
        <v>2006</v>
      </c>
      <c r="D338" s="18">
        <v>1000000000</v>
      </c>
    </row>
    <row r="339" spans="1:4" x14ac:dyDescent="0.25">
      <c r="A339" s="15" t="s">
        <v>2343</v>
      </c>
      <c r="B339" s="18">
        <v>654272127</v>
      </c>
      <c r="C339" s="15" t="s">
        <v>2006</v>
      </c>
      <c r="D339" s="18">
        <v>1000000000</v>
      </c>
    </row>
    <row r="340" spans="1:4" x14ac:dyDescent="0.25">
      <c r="A340" s="15" t="s">
        <v>2344</v>
      </c>
      <c r="B340" s="18">
        <v>120828154</v>
      </c>
      <c r="C340" s="15" t="s">
        <v>2006</v>
      </c>
      <c r="D340" s="18">
        <v>1000000000</v>
      </c>
    </row>
    <row r="341" spans="1:4" x14ac:dyDescent="0.25">
      <c r="A341" s="15" t="s">
        <v>2345</v>
      </c>
      <c r="B341" s="18">
        <v>139345944</v>
      </c>
      <c r="C341" s="15" t="s">
        <v>2006</v>
      </c>
      <c r="D341" s="18">
        <v>1000000000</v>
      </c>
    </row>
    <row r="342" spans="1:4" x14ac:dyDescent="0.25">
      <c r="A342" s="15" t="s">
        <v>2346</v>
      </c>
      <c r="B342" s="18">
        <v>410974264</v>
      </c>
      <c r="C342" s="15" t="s">
        <v>2006</v>
      </c>
      <c r="D342" s="18">
        <v>1000000000</v>
      </c>
    </row>
    <row r="343" spans="1:4" x14ac:dyDescent="0.25">
      <c r="A343" s="15" t="s">
        <v>2347</v>
      </c>
      <c r="B343" s="18">
        <v>234010761</v>
      </c>
      <c r="C343" s="15" t="s">
        <v>2006</v>
      </c>
      <c r="D343" s="18">
        <v>1000000000</v>
      </c>
    </row>
    <row r="344" spans="1:4" x14ac:dyDescent="0.25">
      <c r="A344" s="15" t="s">
        <v>2348</v>
      </c>
      <c r="B344" s="18">
        <v>24302992</v>
      </c>
      <c r="C344" s="15" t="s">
        <v>2006</v>
      </c>
      <c r="D344" s="18">
        <v>1000000000</v>
      </c>
    </row>
    <row r="345" spans="1:4" x14ac:dyDescent="0.25">
      <c r="A345" s="15" t="s">
        <v>2349</v>
      </c>
      <c r="B345" s="18">
        <v>656145650</v>
      </c>
      <c r="C345" s="15" t="s">
        <v>2006</v>
      </c>
      <c r="D345" s="18">
        <v>1000000000</v>
      </c>
    </row>
    <row r="346" spans="1:4" x14ac:dyDescent="0.25">
      <c r="A346" s="15" t="s">
        <v>2350</v>
      </c>
      <c r="B346" s="18">
        <v>476787369</v>
      </c>
      <c r="C346" s="15" t="s">
        <v>2006</v>
      </c>
      <c r="D346" s="18">
        <v>1000000000</v>
      </c>
    </row>
    <row r="347" spans="1:4" x14ac:dyDescent="0.25">
      <c r="A347" s="15" t="s">
        <v>2351</v>
      </c>
      <c r="B347" s="18">
        <v>105486838</v>
      </c>
      <c r="C347" s="15" t="s">
        <v>2006</v>
      </c>
      <c r="D347" s="18">
        <v>1000000000</v>
      </c>
    </row>
    <row r="348" spans="1:4" x14ac:dyDescent="0.25">
      <c r="A348" s="15" t="s">
        <v>2352</v>
      </c>
      <c r="B348" s="18">
        <v>467029870</v>
      </c>
      <c r="C348" s="15" t="s">
        <v>2006</v>
      </c>
      <c r="D348" s="18">
        <v>1000000000</v>
      </c>
    </row>
    <row r="349" spans="1:4" x14ac:dyDescent="0.25">
      <c r="A349" s="15" t="s">
        <v>2353</v>
      </c>
      <c r="B349" s="18">
        <v>447773947</v>
      </c>
      <c r="C349" s="15" t="s">
        <v>2006</v>
      </c>
      <c r="D349" s="18">
        <v>1000000000</v>
      </c>
    </row>
    <row r="350" spans="1:4" x14ac:dyDescent="0.25">
      <c r="A350" s="15" t="s">
        <v>2354</v>
      </c>
      <c r="B350" s="18">
        <v>757930219</v>
      </c>
      <c r="C350" s="15" t="s">
        <v>2006</v>
      </c>
      <c r="D350" s="18">
        <v>1000000000</v>
      </c>
    </row>
    <row r="351" spans="1:4" x14ac:dyDescent="0.25">
      <c r="A351" s="15" t="s">
        <v>2355</v>
      </c>
      <c r="B351" s="18">
        <v>584739590</v>
      </c>
      <c r="C351" s="15" t="s">
        <v>2006</v>
      </c>
      <c r="D351" s="18">
        <v>1000000000</v>
      </c>
    </row>
    <row r="352" spans="1:4" x14ac:dyDescent="0.25">
      <c r="A352" s="15" t="s">
        <v>2356</v>
      </c>
      <c r="B352" s="18">
        <v>877659081</v>
      </c>
      <c r="C352" s="15" t="s">
        <v>2006</v>
      </c>
      <c r="D352" s="18">
        <v>1000000000</v>
      </c>
    </row>
    <row r="353" spans="1:4" x14ac:dyDescent="0.25">
      <c r="A353" s="15" t="s">
        <v>2357</v>
      </c>
      <c r="B353" s="18">
        <v>315388095</v>
      </c>
      <c r="C353" s="15" t="s">
        <v>2006</v>
      </c>
      <c r="D353" s="18">
        <v>1000000000</v>
      </c>
    </row>
    <row r="354" spans="1:4" x14ac:dyDescent="0.25">
      <c r="A354" s="15" t="s">
        <v>2358</v>
      </c>
      <c r="B354" s="18">
        <v>889279549</v>
      </c>
      <c r="C354" s="15" t="s">
        <v>2006</v>
      </c>
      <c r="D354" s="18">
        <v>1000000000</v>
      </c>
    </row>
    <row r="355" spans="1:4" x14ac:dyDescent="0.25">
      <c r="A355" s="15" t="s">
        <v>2359</v>
      </c>
      <c r="B355" s="18">
        <v>961120759</v>
      </c>
      <c r="C355" s="15" t="s">
        <v>2006</v>
      </c>
      <c r="D355" s="18">
        <v>1000000000</v>
      </c>
    </row>
    <row r="356" spans="1:4" x14ac:dyDescent="0.25">
      <c r="A356" s="15" t="s">
        <v>2360</v>
      </c>
      <c r="B356" s="18">
        <v>589679395</v>
      </c>
      <c r="C356" s="15" t="s">
        <v>2006</v>
      </c>
      <c r="D356" s="18">
        <v>1000000000</v>
      </c>
    </row>
    <row r="357" spans="1:4" x14ac:dyDescent="0.25">
      <c r="A357" s="15" t="s">
        <v>2361</v>
      </c>
      <c r="B357" s="18">
        <v>663059342</v>
      </c>
      <c r="C357" s="15" t="s">
        <v>2006</v>
      </c>
      <c r="D357" s="18">
        <v>1000000000</v>
      </c>
    </row>
    <row r="358" spans="1:4" x14ac:dyDescent="0.25">
      <c r="A358" s="15" t="s">
        <v>2362</v>
      </c>
      <c r="B358" s="18">
        <v>812558198</v>
      </c>
      <c r="C358" s="15" t="s">
        <v>2006</v>
      </c>
      <c r="D358" s="18">
        <v>1000000000</v>
      </c>
    </row>
    <row r="359" spans="1:4" x14ac:dyDescent="0.25">
      <c r="A359" s="15" t="s">
        <v>2363</v>
      </c>
      <c r="B359" s="18">
        <v>679305358</v>
      </c>
      <c r="C359" s="15" t="s">
        <v>2006</v>
      </c>
      <c r="D359" s="18">
        <v>1000000000</v>
      </c>
    </row>
    <row r="360" spans="1:4" x14ac:dyDescent="0.25">
      <c r="A360" s="15" t="s">
        <v>2364</v>
      </c>
      <c r="B360" s="18">
        <v>987739494</v>
      </c>
      <c r="C360" s="15" t="s">
        <v>2006</v>
      </c>
      <c r="D360" s="18">
        <v>1000000000</v>
      </c>
    </row>
    <row r="361" spans="1:4" x14ac:dyDescent="0.25">
      <c r="A361" s="15" t="s">
        <v>2365</v>
      </c>
      <c r="B361" s="18">
        <v>720370930</v>
      </c>
      <c r="C361" s="15" t="s">
        <v>2006</v>
      </c>
      <c r="D361" s="18">
        <v>1000000000</v>
      </c>
    </row>
    <row r="362" spans="1:4" x14ac:dyDescent="0.25">
      <c r="A362" s="15" t="s">
        <v>2366</v>
      </c>
      <c r="B362" s="18">
        <v>144351926</v>
      </c>
      <c r="C362" s="15" t="s">
        <v>2006</v>
      </c>
      <c r="D362" s="18">
        <v>1000000000</v>
      </c>
    </row>
    <row r="363" spans="1:4" x14ac:dyDescent="0.25">
      <c r="A363" s="15" t="s">
        <v>2367</v>
      </c>
      <c r="B363" s="18">
        <v>151515825</v>
      </c>
      <c r="C363" s="15" t="s">
        <v>2006</v>
      </c>
      <c r="D363" s="18">
        <v>1000000000</v>
      </c>
    </row>
    <row r="364" spans="1:4" x14ac:dyDescent="0.25">
      <c r="A364" s="15" t="s">
        <v>2368</v>
      </c>
      <c r="B364" s="18">
        <v>608463006</v>
      </c>
      <c r="C364" s="15" t="s">
        <v>2006</v>
      </c>
      <c r="D364" s="18">
        <v>1000000000</v>
      </c>
    </row>
    <row r="365" spans="1:4" x14ac:dyDescent="0.25">
      <c r="A365" s="15" t="s">
        <v>2369</v>
      </c>
      <c r="B365" s="18">
        <v>959654292</v>
      </c>
      <c r="C365" s="15" t="s">
        <v>2006</v>
      </c>
      <c r="D365" s="18">
        <v>1000000000</v>
      </c>
    </row>
    <row r="366" spans="1:4" x14ac:dyDescent="0.25">
      <c r="A366" s="15" t="s">
        <v>2370</v>
      </c>
      <c r="B366" s="18">
        <v>723253446</v>
      </c>
      <c r="C366" s="15" t="s">
        <v>2006</v>
      </c>
      <c r="D366" s="18">
        <v>1000000000</v>
      </c>
    </row>
    <row r="367" spans="1:4" x14ac:dyDescent="0.25">
      <c r="A367" s="15" t="s">
        <v>2371</v>
      </c>
      <c r="B367" s="18">
        <v>437370252</v>
      </c>
      <c r="C367" s="15" t="s">
        <v>2006</v>
      </c>
      <c r="D367" s="18">
        <v>1000000000</v>
      </c>
    </row>
    <row r="368" spans="1:4" x14ac:dyDescent="0.25">
      <c r="A368" s="15" t="s">
        <v>2372</v>
      </c>
      <c r="B368" s="18">
        <v>52336705</v>
      </c>
      <c r="C368" s="15" t="s">
        <v>2006</v>
      </c>
      <c r="D368" s="18">
        <v>1000000000</v>
      </c>
    </row>
    <row r="369" spans="1:4" x14ac:dyDescent="0.25">
      <c r="A369" s="15" t="s">
        <v>2373</v>
      </c>
      <c r="B369" s="18">
        <v>775665105</v>
      </c>
      <c r="C369" s="15" t="s">
        <v>2006</v>
      </c>
      <c r="D369" s="18">
        <v>1000000000</v>
      </c>
    </row>
    <row r="370" spans="1:4" x14ac:dyDescent="0.25">
      <c r="A370" s="15" t="s">
        <v>2374</v>
      </c>
      <c r="B370" s="18">
        <v>570337112</v>
      </c>
      <c r="C370" s="15" t="s">
        <v>2006</v>
      </c>
      <c r="D370" s="18">
        <v>1000000000</v>
      </c>
    </row>
    <row r="371" spans="1:4" x14ac:dyDescent="0.25">
      <c r="A371" s="15" t="s">
        <v>2375</v>
      </c>
      <c r="B371" s="18">
        <v>495190201</v>
      </c>
      <c r="C371" s="15" t="s">
        <v>2006</v>
      </c>
      <c r="D371" s="18">
        <v>1000000000</v>
      </c>
    </row>
    <row r="372" spans="1:4" x14ac:dyDescent="0.25">
      <c r="A372" s="15" t="s">
        <v>2376</v>
      </c>
      <c r="B372" s="18">
        <v>86256220</v>
      </c>
      <c r="C372" s="15" t="s">
        <v>2006</v>
      </c>
      <c r="D372" s="18">
        <v>1000000000</v>
      </c>
    </row>
    <row r="373" spans="1:4" x14ac:dyDescent="0.25">
      <c r="A373" s="15" t="s">
        <v>2377</v>
      </c>
      <c r="B373" s="18">
        <v>560173044</v>
      </c>
      <c r="C373" s="15" t="s">
        <v>2006</v>
      </c>
      <c r="D373" s="18">
        <v>1000000000</v>
      </c>
    </row>
    <row r="374" spans="1:4" x14ac:dyDescent="0.25">
      <c r="A374" s="15" t="s">
        <v>2378</v>
      </c>
      <c r="B374" s="18">
        <v>752515029</v>
      </c>
      <c r="C374" s="15" t="s">
        <v>2006</v>
      </c>
      <c r="D374" s="18">
        <v>1000000000</v>
      </c>
    </row>
    <row r="375" spans="1:4" x14ac:dyDescent="0.25">
      <c r="A375" s="15" t="s">
        <v>2379</v>
      </c>
      <c r="B375" s="18">
        <v>973829261</v>
      </c>
      <c r="C375" s="15" t="s">
        <v>2006</v>
      </c>
      <c r="D375" s="18">
        <v>1000000000</v>
      </c>
    </row>
    <row r="376" spans="1:4" x14ac:dyDescent="0.25">
      <c r="A376" s="15" t="s">
        <v>2380</v>
      </c>
      <c r="B376" s="18">
        <v>979012950</v>
      </c>
      <c r="C376" s="15" t="s">
        <v>2006</v>
      </c>
      <c r="D376" s="18">
        <v>1000000000</v>
      </c>
    </row>
    <row r="377" spans="1:4" x14ac:dyDescent="0.25">
      <c r="A377" s="15" t="s">
        <v>2381</v>
      </c>
      <c r="B377" s="18">
        <v>788209564</v>
      </c>
      <c r="C377" s="15" t="s">
        <v>2006</v>
      </c>
      <c r="D377" s="18">
        <v>1000000000</v>
      </c>
    </row>
    <row r="378" spans="1:4" x14ac:dyDescent="0.25">
      <c r="A378" s="15" t="s">
        <v>2382</v>
      </c>
      <c r="B378" s="18">
        <v>246421795</v>
      </c>
      <c r="C378" s="15" t="s">
        <v>2006</v>
      </c>
      <c r="D378" s="18">
        <v>1000000000</v>
      </c>
    </row>
    <row r="379" spans="1:4" x14ac:dyDescent="0.25">
      <c r="A379" s="15" t="s">
        <v>2383</v>
      </c>
      <c r="B379" s="18">
        <v>83597406</v>
      </c>
      <c r="C379" s="15" t="s">
        <v>2006</v>
      </c>
      <c r="D379" s="18">
        <v>1000000000</v>
      </c>
    </row>
    <row r="380" spans="1:4" x14ac:dyDescent="0.25">
      <c r="A380" s="15" t="s">
        <v>2384</v>
      </c>
      <c r="B380" s="18">
        <v>635046205</v>
      </c>
      <c r="C380" s="15" t="s">
        <v>2006</v>
      </c>
      <c r="D380" s="18">
        <v>1000000000</v>
      </c>
    </row>
    <row r="381" spans="1:4" x14ac:dyDescent="0.25">
      <c r="A381" s="15" t="s">
        <v>2385</v>
      </c>
      <c r="B381" s="18">
        <v>633754864</v>
      </c>
      <c r="C381" s="15" t="s">
        <v>2006</v>
      </c>
      <c r="D381" s="18">
        <v>1000000000</v>
      </c>
    </row>
    <row r="382" spans="1:4" x14ac:dyDescent="0.25">
      <c r="A382" s="15" t="s">
        <v>2386</v>
      </c>
      <c r="B382" s="18">
        <v>664209029</v>
      </c>
      <c r="C382" s="15" t="s">
        <v>2006</v>
      </c>
      <c r="D382" s="18">
        <v>1000000000</v>
      </c>
    </row>
    <row r="383" spans="1:4" x14ac:dyDescent="0.25">
      <c r="A383" s="15" t="s">
        <v>2387</v>
      </c>
      <c r="B383" s="18">
        <v>174826356</v>
      </c>
      <c r="C383" s="15" t="s">
        <v>2006</v>
      </c>
      <c r="D383" s="18">
        <v>1000000000</v>
      </c>
    </row>
    <row r="384" spans="1:4" x14ac:dyDescent="0.25">
      <c r="A384" s="15" t="s">
        <v>2388</v>
      </c>
      <c r="B384" s="18">
        <v>741660322</v>
      </c>
      <c r="C384" s="15" t="s">
        <v>2006</v>
      </c>
      <c r="D384" s="18">
        <v>1000000000</v>
      </c>
    </row>
    <row r="385" spans="1:4" x14ac:dyDescent="0.25">
      <c r="A385" s="15" t="s">
        <v>2389</v>
      </c>
      <c r="B385" s="18">
        <v>618136293</v>
      </c>
      <c r="C385" s="15" t="s">
        <v>2006</v>
      </c>
      <c r="D385" s="18">
        <v>1000000000</v>
      </c>
    </row>
    <row r="386" spans="1:4" x14ac:dyDescent="0.25">
      <c r="A386" s="15" t="s">
        <v>2390</v>
      </c>
      <c r="B386" s="18">
        <v>443431462</v>
      </c>
      <c r="C386" s="15" t="s">
        <v>2006</v>
      </c>
      <c r="D386" s="18">
        <v>1000000000</v>
      </c>
    </row>
    <row r="387" spans="1:4" x14ac:dyDescent="0.25">
      <c r="A387" s="15" t="s">
        <v>2391</v>
      </c>
      <c r="B387" s="18">
        <v>333455372</v>
      </c>
      <c r="C387" s="15" t="s">
        <v>2006</v>
      </c>
      <c r="D387" s="18">
        <v>1000000000</v>
      </c>
    </row>
    <row r="388" spans="1:4" x14ac:dyDescent="0.25">
      <c r="A388" s="15" t="s">
        <v>2392</v>
      </c>
      <c r="B388" s="18">
        <v>464881281</v>
      </c>
      <c r="C388" s="15" t="s">
        <v>2006</v>
      </c>
      <c r="D388" s="18">
        <v>1000000000</v>
      </c>
    </row>
    <row r="389" spans="1:4" x14ac:dyDescent="0.25">
      <c r="A389" s="15" t="s">
        <v>2393</v>
      </c>
      <c r="B389" s="18">
        <v>994757819</v>
      </c>
      <c r="C389" s="15" t="s">
        <v>2006</v>
      </c>
      <c r="D389" s="18">
        <v>1000000000</v>
      </c>
    </row>
    <row r="390" spans="1:4" x14ac:dyDescent="0.25">
      <c r="A390" s="15" t="s">
        <v>2394</v>
      </c>
      <c r="B390" s="18">
        <v>815301170</v>
      </c>
      <c r="C390" s="15" t="s">
        <v>2006</v>
      </c>
      <c r="D390" s="18">
        <v>1000000000</v>
      </c>
    </row>
    <row r="391" spans="1:4" x14ac:dyDescent="0.25">
      <c r="A391" s="15" t="s">
        <v>2395</v>
      </c>
      <c r="B391" s="18">
        <v>489402656</v>
      </c>
      <c r="C391" s="15" t="s">
        <v>2006</v>
      </c>
      <c r="D391" s="18">
        <v>1000000000</v>
      </c>
    </row>
    <row r="392" spans="1:4" x14ac:dyDescent="0.25">
      <c r="A392" s="15" t="s">
        <v>2396</v>
      </c>
      <c r="B392" s="18">
        <v>960652712</v>
      </c>
      <c r="C392" s="15" t="s">
        <v>2006</v>
      </c>
      <c r="D392" s="18">
        <v>1000000000</v>
      </c>
    </row>
    <row r="393" spans="1:4" x14ac:dyDescent="0.25">
      <c r="A393" s="15" t="s">
        <v>2397</v>
      </c>
      <c r="B393" s="18">
        <v>882210663</v>
      </c>
      <c r="C393" s="15" t="s">
        <v>2006</v>
      </c>
      <c r="D393" s="18">
        <v>1000000000</v>
      </c>
    </row>
    <row r="394" spans="1:4" x14ac:dyDescent="0.25">
      <c r="A394" s="15" t="s">
        <v>2398</v>
      </c>
      <c r="B394" s="18">
        <v>826871693</v>
      </c>
      <c r="C394" s="15" t="s">
        <v>2006</v>
      </c>
      <c r="D394" s="18">
        <v>1000000000</v>
      </c>
    </row>
    <row r="395" spans="1:4" x14ac:dyDescent="0.25">
      <c r="A395" s="15" t="s">
        <v>2399</v>
      </c>
      <c r="B395" s="18">
        <v>633716344</v>
      </c>
      <c r="C395" s="15" t="s">
        <v>2006</v>
      </c>
      <c r="D395" s="18">
        <v>1000000000</v>
      </c>
    </row>
    <row r="396" spans="1:4" x14ac:dyDescent="0.25">
      <c r="A396" s="15" t="s">
        <v>2400</v>
      </c>
      <c r="B396" s="18">
        <v>880385576</v>
      </c>
      <c r="C396" s="15" t="s">
        <v>2006</v>
      </c>
      <c r="D396" s="18">
        <v>1000000000</v>
      </c>
    </row>
    <row r="397" spans="1:4" x14ac:dyDescent="0.25">
      <c r="A397" s="15" t="s">
        <v>2401</v>
      </c>
      <c r="B397" s="18">
        <v>617514163</v>
      </c>
      <c r="C397" s="15" t="s">
        <v>2006</v>
      </c>
      <c r="D397" s="18">
        <v>1000000000</v>
      </c>
    </row>
    <row r="398" spans="1:4" x14ac:dyDescent="0.25">
      <c r="A398" s="15" t="s">
        <v>2402</v>
      </c>
      <c r="B398" s="18">
        <v>126548458</v>
      </c>
      <c r="C398" s="15" t="s">
        <v>2006</v>
      </c>
      <c r="D398" s="18">
        <v>1000000000</v>
      </c>
    </row>
    <row r="399" spans="1:4" x14ac:dyDescent="0.25">
      <c r="A399" s="15" t="s">
        <v>2403</v>
      </c>
      <c r="B399" s="18">
        <v>8159573</v>
      </c>
      <c r="C399" s="15" t="s">
        <v>2006</v>
      </c>
      <c r="D399" s="18">
        <v>1000000000</v>
      </c>
    </row>
    <row r="400" spans="1:4" x14ac:dyDescent="0.25">
      <c r="A400" s="15" t="s">
        <v>2404</v>
      </c>
      <c r="B400" s="18">
        <v>879586089</v>
      </c>
      <c r="C400" s="15" t="s">
        <v>2006</v>
      </c>
      <c r="D400" s="18">
        <v>1000000000</v>
      </c>
    </row>
    <row r="401" spans="1:4" x14ac:dyDescent="0.25">
      <c r="A401" s="15" t="s">
        <v>2405</v>
      </c>
      <c r="B401" s="18">
        <v>456739653</v>
      </c>
      <c r="C401" s="15" t="s">
        <v>2006</v>
      </c>
      <c r="D401" s="18">
        <v>1000000000</v>
      </c>
    </row>
    <row r="402" spans="1:4" x14ac:dyDescent="0.25">
      <c r="A402" s="15" t="s">
        <v>2406</v>
      </c>
      <c r="B402" s="18">
        <v>699420147</v>
      </c>
      <c r="C402" s="15" t="s">
        <v>2006</v>
      </c>
      <c r="D402" s="18">
        <v>1000000000</v>
      </c>
    </row>
    <row r="403" spans="1:4" x14ac:dyDescent="0.25">
      <c r="A403" s="15" t="s">
        <v>2407</v>
      </c>
      <c r="B403" s="18">
        <v>660908095</v>
      </c>
      <c r="C403" s="15" t="s">
        <v>2006</v>
      </c>
      <c r="D403" s="18">
        <v>1000000000</v>
      </c>
    </row>
    <row r="404" spans="1:4" x14ac:dyDescent="0.25">
      <c r="A404" s="15" t="s">
        <v>2408</v>
      </c>
      <c r="B404" s="18">
        <v>277544646</v>
      </c>
      <c r="C404" s="15" t="s">
        <v>2006</v>
      </c>
      <c r="D404" s="18">
        <v>1000000000</v>
      </c>
    </row>
    <row r="405" spans="1:4" x14ac:dyDescent="0.25">
      <c r="A405" s="15" t="s">
        <v>2409</v>
      </c>
      <c r="B405" s="18">
        <v>937589740</v>
      </c>
      <c r="C405" s="15" t="s">
        <v>2006</v>
      </c>
      <c r="D405" s="18">
        <v>1000000000</v>
      </c>
    </row>
    <row r="406" spans="1:4" x14ac:dyDescent="0.25">
      <c r="A406" s="15" t="s">
        <v>2410</v>
      </c>
      <c r="B406" s="18">
        <v>773727920</v>
      </c>
      <c r="C406" s="15" t="s">
        <v>2006</v>
      </c>
      <c r="D406" s="18">
        <v>1000000000</v>
      </c>
    </row>
    <row r="407" spans="1:4" x14ac:dyDescent="0.25">
      <c r="A407" s="15" t="s">
        <v>2411</v>
      </c>
      <c r="B407" s="18">
        <v>239824540</v>
      </c>
      <c r="C407" s="15" t="s">
        <v>2006</v>
      </c>
      <c r="D407" s="18">
        <v>1000000000</v>
      </c>
    </row>
    <row r="408" spans="1:4" x14ac:dyDescent="0.25">
      <c r="A408" s="15" t="s">
        <v>2412</v>
      </c>
      <c r="B408" s="18">
        <v>954306054</v>
      </c>
      <c r="C408" s="15" t="s">
        <v>2006</v>
      </c>
      <c r="D408" s="18">
        <v>1000000000</v>
      </c>
    </row>
    <row r="409" spans="1:4" x14ac:dyDescent="0.25">
      <c r="A409" s="15" t="s">
        <v>2413</v>
      </c>
      <c r="B409" s="18">
        <v>563849696</v>
      </c>
      <c r="C409" s="15" t="s">
        <v>2006</v>
      </c>
      <c r="D409" s="18">
        <v>1000000000</v>
      </c>
    </row>
    <row r="410" spans="1:4" x14ac:dyDescent="0.25">
      <c r="A410" s="15" t="s">
        <v>2414</v>
      </c>
      <c r="B410" s="18">
        <v>55245304</v>
      </c>
      <c r="C410" s="15" t="s">
        <v>2006</v>
      </c>
      <c r="D410" s="18">
        <v>1000000000</v>
      </c>
    </row>
    <row r="411" spans="1:4" x14ac:dyDescent="0.25">
      <c r="A411" s="15" t="s">
        <v>2415</v>
      </c>
      <c r="B411" s="18">
        <v>527310290</v>
      </c>
      <c r="C411" s="15" t="s">
        <v>2006</v>
      </c>
      <c r="D411" s="18">
        <v>1000000000</v>
      </c>
    </row>
    <row r="412" spans="1:4" x14ac:dyDescent="0.25">
      <c r="A412" s="15" t="s">
        <v>2416</v>
      </c>
      <c r="B412" s="18">
        <v>436881401</v>
      </c>
      <c r="C412" s="15" t="s">
        <v>2006</v>
      </c>
      <c r="D412" s="18">
        <v>1000000000</v>
      </c>
    </row>
    <row r="413" spans="1:4" x14ac:dyDescent="0.25">
      <c r="A413" s="15" t="s">
        <v>2417</v>
      </c>
      <c r="B413" s="18">
        <v>426453861</v>
      </c>
      <c r="C413" s="15" t="s">
        <v>2006</v>
      </c>
      <c r="D413" s="18">
        <v>1000000000</v>
      </c>
    </row>
    <row r="414" spans="1:4" x14ac:dyDescent="0.25">
      <c r="A414" s="15" t="s">
        <v>2418</v>
      </c>
      <c r="B414" s="18">
        <v>632598585</v>
      </c>
      <c r="C414" s="15" t="s">
        <v>2006</v>
      </c>
      <c r="D414" s="18">
        <v>1000000000</v>
      </c>
    </row>
    <row r="415" spans="1:4" x14ac:dyDescent="0.25">
      <c r="A415" s="15" t="s">
        <v>2419</v>
      </c>
      <c r="B415" s="18">
        <v>946909297</v>
      </c>
      <c r="C415" s="15" t="s">
        <v>2006</v>
      </c>
      <c r="D415" s="18">
        <v>1000000000</v>
      </c>
    </row>
    <row r="416" spans="1:4" x14ac:dyDescent="0.25">
      <c r="A416" s="15" t="s">
        <v>2420</v>
      </c>
      <c r="B416" s="18">
        <v>500782634</v>
      </c>
      <c r="C416" s="15" t="s">
        <v>2006</v>
      </c>
      <c r="D416" s="18">
        <v>1000000000</v>
      </c>
    </row>
    <row r="417" spans="1:4" x14ac:dyDescent="0.25">
      <c r="A417" s="15" t="s">
        <v>2421</v>
      </c>
      <c r="B417" s="18">
        <v>114096790</v>
      </c>
      <c r="C417" s="15" t="s">
        <v>2006</v>
      </c>
      <c r="D417" s="18">
        <v>1000000000</v>
      </c>
    </row>
    <row r="418" spans="1:4" x14ac:dyDescent="0.25">
      <c r="A418" s="15" t="s">
        <v>2422</v>
      </c>
      <c r="B418" s="18">
        <v>839942298</v>
      </c>
      <c r="C418" s="15" t="s">
        <v>2006</v>
      </c>
      <c r="D418" s="18">
        <v>1000000000</v>
      </c>
    </row>
    <row r="419" spans="1:4" x14ac:dyDescent="0.25">
      <c r="A419" s="15" t="s">
        <v>2423</v>
      </c>
      <c r="B419" s="18">
        <v>79283434</v>
      </c>
      <c r="C419" s="15" t="s">
        <v>2006</v>
      </c>
      <c r="D419" s="18">
        <v>1000000000</v>
      </c>
    </row>
    <row r="420" spans="1:4" x14ac:dyDescent="0.25">
      <c r="A420" s="15" t="s">
        <v>2424</v>
      </c>
      <c r="B420" s="18">
        <v>460899105</v>
      </c>
      <c r="C420" s="15" t="s">
        <v>2006</v>
      </c>
      <c r="D420" s="18">
        <v>1000000000</v>
      </c>
    </row>
    <row r="421" spans="1:4" x14ac:dyDescent="0.25">
      <c r="A421" s="15" t="s">
        <v>2425</v>
      </c>
      <c r="B421" s="18">
        <v>69388975</v>
      </c>
      <c r="C421" s="15" t="s">
        <v>2006</v>
      </c>
      <c r="D421" s="18">
        <v>1000000000</v>
      </c>
    </row>
    <row r="422" spans="1:4" x14ac:dyDescent="0.25">
      <c r="A422" s="15" t="s">
        <v>2426</v>
      </c>
      <c r="B422" s="18">
        <v>7906258</v>
      </c>
      <c r="C422" s="15" t="s">
        <v>2006</v>
      </c>
      <c r="D422" s="18">
        <v>1000000000</v>
      </c>
    </row>
    <row r="423" spans="1:4" x14ac:dyDescent="0.25">
      <c r="A423" s="15" t="s">
        <v>2427</v>
      </c>
      <c r="B423" s="18">
        <v>30556234</v>
      </c>
      <c r="C423" s="15" t="s">
        <v>2006</v>
      </c>
      <c r="D423" s="18">
        <v>1000000000</v>
      </c>
    </row>
    <row r="424" spans="1:4" x14ac:dyDescent="0.25">
      <c r="A424" s="15" t="s">
        <v>2428</v>
      </c>
      <c r="B424" s="18">
        <v>356072283</v>
      </c>
      <c r="C424" s="15" t="s">
        <v>2006</v>
      </c>
      <c r="D424" s="18">
        <v>1000000000</v>
      </c>
    </row>
    <row r="425" spans="1:4" x14ac:dyDescent="0.25">
      <c r="A425" s="15" t="s">
        <v>2429</v>
      </c>
      <c r="B425" s="18">
        <v>714168647</v>
      </c>
      <c r="C425" s="15" t="s">
        <v>2006</v>
      </c>
      <c r="D425" s="18">
        <v>1000000000</v>
      </c>
    </row>
    <row r="426" spans="1:4" x14ac:dyDescent="0.25">
      <c r="A426" s="15" t="s">
        <v>2430</v>
      </c>
      <c r="B426" s="18">
        <v>230613498</v>
      </c>
      <c r="C426" s="15" t="s">
        <v>2006</v>
      </c>
      <c r="D426" s="18">
        <v>1000000000</v>
      </c>
    </row>
    <row r="427" spans="1:4" x14ac:dyDescent="0.25">
      <c r="A427" s="15" t="s">
        <v>2431</v>
      </c>
      <c r="B427" s="18">
        <v>243404860</v>
      </c>
      <c r="C427" s="15" t="s">
        <v>2006</v>
      </c>
      <c r="D427" s="18">
        <v>1000000000</v>
      </c>
    </row>
    <row r="428" spans="1:4" x14ac:dyDescent="0.25">
      <c r="A428" s="15" t="s">
        <v>2432</v>
      </c>
      <c r="B428" s="18">
        <v>81767155</v>
      </c>
      <c r="C428" s="15" t="s">
        <v>2006</v>
      </c>
      <c r="D428" s="18">
        <v>1000000000</v>
      </c>
    </row>
    <row r="429" spans="1:4" x14ac:dyDescent="0.25">
      <c r="A429" s="15" t="s">
        <v>2433</v>
      </c>
      <c r="B429" s="18">
        <v>305522496</v>
      </c>
      <c r="C429" s="15" t="s">
        <v>2006</v>
      </c>
      <c r="D429" s="18">
        <v>1000000000</v>
      </c>
    </row>
    <row r="430" spans="1:4" x14ac:dyDescent="0.25">
      <c r="A430" s="15" t="s">
        <v>2434</v>
      </c>
      <c r="B430" s="18">
        <v>490298429</v>
      </c>
      <c r="C430" s="15" t="s">
        <v>2006</v>
      </c>
      <c r="D430" s="18">
        <v>1000000000</v>
      </c>
    </row>
    <row r="431" spans="1:4" x14ac:dyDescent="0.25">
      <c r="A431" s="15" t="s">
        <v>2435</v>
      </c>
      <c r="B431" s="18">
        <v>397498825</v>
      </c>
      <c r="C431" s="15" t="s">
        <v>2006</v>
      </c>
      <c r="D431" s="18">
        <v>1000000000</v>
      </c>
    </row>
    <row r="432" spans="1:4" x14ac:dyDescent="0.25">
      <c r="A432" s="15" t="s">
        <v>2436</v>
      </c>
      <c r="B432" s="18">
        <v>928494474</v>
      </c>
      <c r="C432" s="15" t="s">
        <v>2006</v>
      </c>
      <c r="D432" s="18">
        <v>1000000000</v>
      </c>
    </row>
    <row r="433" spans="1:4" x14ac:dyDescent="0.25">
      <c r="A433" s="15" t="s">
        <v>2437</v>
      </c>
      <c r="B433" s="18">
        <v>162912984</v>
      </c>
      <c r="C433" s="15" t="s">
        <v>2006</v>
      </c>
      <c r="D433" s="18">
        <v>1000000000</v>
      </c>
    </row>
    <row r="434" spans="1:4" x14ac:dyDescent="0.25">
      <c r="A434" s="15" t="s">
        <v>2438</v>
      </c>
      <c r="B434" s="18">
        <v>339184306</v>
      </c>
      <c r="C434" s="15" t="s">
        <v>2006</v>
      </c>
      <c r="D434" s="18">
        <v>1000000000</v>
      </c>
    </row>
    <row r="435" spans="1:4" x14ac:dyDescent="0.25">
      <c r="A435" s="15" t="s">
        <v>2439</v>
      </c>
      <c r="B435" s="18">
        <v>968722117</v>
      </c>
      <c r="C435" s="15" t="s">
        <v>2006</v>
      </c>
      <c r="D435" s="18">
        <v>1000000000</v>
      </c>
    </row>
    <row r="436" spans="1:4" x14ac:dyDescent="0.25">
      <c r="A436" s="15" t="s">
        <v>2440</v>
      </c>
      <c r="B436" s="18">
        <v>21538985</v>
      </c>
      <c r="C436" s="15" t="s">
        <v>2006</v>
      </c>
      <c r="D436" s="18">
        <v>1000000000</v>
      </c>
    </row>
    <row r="437" spans="1:4" x14ac:dyDescent="0.25">
      <c r="A437" s="15" t="s">
        <v>2441</v>
      </c>
      <c r="B437" s="18">
        <v>236469385</v>
      </c>
      <c r="C437" s="15" t="s">
        <v>2006</v>
      </c>
      <c r="D437" s="18">
        <v>1000000000</v>
      </c>
    </row>
    <row r="438" spans="1:4" x14ac:dyDescent="0.25">
      <c r="A438" s="15" t="s">
        <v>2442</v>
      </c>
      <c r="B438" s="18">
        <v>958595692</v>
      </c>
      <c r="C438" s="15" t="s">
        <v>2006</v>
      </c>
      <c r="D438" s="18">
        <v>1000000000</v>
      </c>
    </row>
    <row r="439" spans="1:4" x14ac:dyDescent="0.25">
      <c r="A439" s="15" t="s">
        <v>2443</v>
      </c>
      <c r="B439" s="18">
        <v>672948746</v>
      </c>
      <c r="C439" s="15" t="s">
        <v>2006</v>
      </c>
      <c r="D439" s="18">
        <v>1000000000</v>
      </c>
    </row>
    <row r="440" spans="1:4" x14ac:dyDescent="0.25">
      <c r="A440" s="15" t="s">
        <v>2444</v>
      </c>
      <c r="B440" s="18">
        <v>987960516</v>
      </c>
      <c r="C440" s="15" t="s">
        <v>2006</v>
      </c>
      <c r="D440" s="18">
        <v>1000000000</v>
      </c>
    </row>
    <row r="441" spans="1:4" x14ac:dyDescent="0.25">
      <c r="A441" s="15" t="s">
        <v>2445</v>
      </c>
      <c r="B441" s="18">
        <v>920709135</v>
      </c>
      <c r="C441" s="15" t="s">
        <v>2006</v>
      </c>
      <c r="D441" s="18">
        <v>1000000000</v>
      </c>
    </row>
    <row r="442" spans="1:4" x14ac:dyDescent="0.25">
      <c r="A442" s="15" t="s">
        <v>2446</v>
      </c>
      <c r="B442" s="18">
        <v>744254243</v>
      </c>
      <c r="C442" s="15" t="s">
        <v>2006</v>
      </c>
      <c r="D442" s="18">
        <v>1000000000</v>
      </c>
    </row>
    <row r="443" spans="1:4" x14ac:dyDescent="0.25">
      <c r="A443" s="15" t="s">
        <v>2447</v>
      </c>
      <c r="B443" s="18">
        <v>713977884</v>
      </c>
      <c r="C443" s="15" t="s">
        <v>2006</v>
      </c>
      <c r="D443" s="18">
        <v>1000000000</v>
      </c>
    </row>
    <row r="444" spans="1:4" x14ac:dyDescent="0.25">
      <c r="A444" s="15" t="s">
        <v>2448</v>
      </c>
      <c r="B444" s="18">
        <v>171678383</v>
      </c>
      <c r="C444" s="15" t="s">
        <v>2006</v>
      </c>
      <c r="D444" s="18">
        <v>1000000000</v>
      </c>
    </row>
    <row r="445" spans="1:4" x14ac:dyDescent="0.25">
      <c r="A445" s="15" t="s">
        <v>2449</v>
      </c>
      <c r="B445" s="18">
        <v>538930074</v>
      </c>
      <c r="C445" s="15" t="s">
        <v>2006</v>
      </c>
      <c r="D445" s="18">
        <v>1000000000</v>
      </c>
    </row>
    <row r="446" spans="1:4" x14ac:dyDescent="0.25">
      <c r="A446" s="15" t="s">
        <v>2450</v>
      </c>
      <c r="B446" s="18">
        <v>30810113</v>
      </c>
      <c r="C446" s="15" t="s">
        <v>2006</v>
      </c>
      <c r="D446" s="18">
        <v>1000000000</v>
      </c>
    </row>
    <row r="447" spans="1:4" x14ac:dyDescent="0.25">
      <c r="A447" s="15" t="s">
        <v>2451</v>
      </c>
      <c r="B447" s="18">
        <v>28701489</v>
      </c>
      <c r="C447" s="15" t="s">
        <v>2006</v>
      </c>
      <c r="D447" s="18">
        <v>1000000000</v>
      </c>
    </row>
    <row r="448" spans="1:4" x14ac:dyDescent="0.25">
      <c r="A448" s="15" t="s">
        <v>2452</v>
      </c>
      <c r="B448" s="18">
        <v>844039490</v>
      </c>
      <c r="C448" s="15" t="s">
        <v>2006</v>
      </c>
      <c r="D448" s="18">
        <v>1000000000</v>
      </c>
    </row>
    <row r="449" spans="1:4" x14ac:dyDescent="0.25">
      <c r="A449" s="15" t="s">
        <v>2453</v>
      </c>
      <c r="B449" s="18">
        <v>297412226</v>
      </c>
      <c r="C449" s="15" t="s">
        <v>2006</v>
      </c>
      <c r="D449" s="18">
        <v>1000000000</v>
      </c>
    </row>
    <row r="450" spans="1:4" x14ac:dyDescent="0.25">
      <c r="A450" s="15" t="s">
        <v>2454</v>
      </c>
      <c r="B450" s="18">
        <v>67805503</v>
      </c>
      <c r="C450" s="15" t="s">
        <v>2006</v>
      </c>
      <c r="D450" s="18">
        <v>1000000000</v>
      </c>
    </row>
    <row r="451" spans="1:4" x14ac:dyDescent="0.25">
      <c r="A451" s="15" t="s">
        <v>2455</v>
      </c>
      <c r="B451" s="18">
        <v>29609027</v>
      </c>
      <c r="C451" s="15" t="s">
        <v>2006</v>
      </c>
      <c r="D451" s="18">
        <v>1000000000</v>
      </c>
    </row>
    <row r="452" spans="1:4" x14ac:dyDescent="0.25">
      <c r="A452" s="15" t="s">
        <v>2456</v>
      </c>
      <c r="B452" s="18">
        <v>100692102</v>
      </c>
      <c r="C452" s="15" t="s">
        <v>2006</v>
      </c>
      <c r="D452" s="18">
        <v>1000000000</v>
      </c>
    </row>
    <row r="453" spans="1:4" x14ac:dyDescent="0.25">
      <c r="A453" s="15" t="s">
        <v>2457</v>
      </c>
      <c r="B453" s="18">
        <v>216719220</v>
      </c>
      <c r="C453" s="15" t="s">
        <v>2006</v>
      </c>
      <c r="D453" s="18">
        <v>1000000000</v>
      </c>
    </row>
    <row r="454" spans="1:4" x14ac:dyDescent="0.25">
      <c r="A454" s="15" t="s">
        <v>2458</v>
      </c>
      <c r="B454" s="18">
        <v>677193980</v>
      </c>
      <c r="C454" s="15" t="s">
        <v>2006</v>
      </c>
      <c r="D454" s="18">
        <v>1000000000</v>
      </c>
    </row>
    <row r="455" spans="1:4" x14ac:dyDescent="0.25">
      <c r="A455" s="15" t="s">
        <v>2459</v>
      </c>
      <c r="B455" s="18">
        <v>211929916</v>
      </c>
      <c r="C455" s="15" t="s">
        <v>2006</v>
      </c>
      <c r="D455" s="18">
        <v>1000000000</v>
      </c>
    </row>
    <row r="456" spans="1:4" x14ac:dyDescent="0.25">
      <c r="A456" s="15" t="s">
        <v>2460</v>
      </c>
      <c r="B456" s="18">
        <v>216010762</v>
      </c>
      <c r="C456" s="15" t="s">
        <v>2006</v>
      </c>
      <c r="D456" s="18">
        <v>1000000000</v>
      </c>
    </row>
    <row r="457" spans="1:4" x14ac:dyDescent="0.25">
      <c r="A457" s="15" t="s">
        <v>2461</v>
      </c>
      <c r="B457" s="18">
        <v>646169542</v>
      </c>
      <c r="C457" s="15" t="s">
        <v>2006</v>
      </c>
      <c r="D457" s="18">
        <v>1000000000</v>
      </c>
    </row>
    <row r="458" spans="1:4" x14ac:dyDescent="0.25">
      <c r="A458" s="15" t="s">
        <v>2462</v>
      </c>
      <c r="B458" s="18">
        <v>877011001</v>
      </c>
      <c r="C458" s="15" t="s">
        <v>2006</v>
      </c>
      <c r="D458" s="18">
        <v>1000000000</v>
      </c>
    </row>
    <row r="459" spans="1:4" x14ac:dyDescent="0.25">
      <c r="A459" s="15" t="s">
        <v>2463</v>
      </c>
      <c r="B459" s="18">
        <v>455485233</v>
      </c>
      <c r="C459" s="15" t="s">
        <v>2006</v>
      </c>
      <c r="D459" s="18">
        <v>1000000000</v>
      </c>
    </row>
    <row r="460" spans="1:4" x14ac:dyDescent="0.25">
      <c r="A460" s="15" t="s">
        <v>2464</v>
      </c>
      <c r="B460" s="18">
        <v>931642557</v>
      </c>
      <c r="C460" s="15" t="s">
        <v>2006</v>
      </c>
      <c r="D460" s="18">
        <v>1000000000</v>
      </c>
    </row>
    <row r="461" spans="1:4" x14ac:dyDescent="0.25">
      <c r="A461" s="15" t="s">
        <v>2465</v>
      </c>
      <c r="B461" s="18">
        <v>618274202</v>
      </c>
      <c r="C461" s="15" t="s">
        <v>2006</v>
      </c>
      <c r="D461" s="18">
        <v>1000000000</v>
      </c>
    </row>
    <row r="462" spans="1:4" x14ac:dyDescent="0.25">
      <c r="A462" s="15" t="s">
        <v>2466</v>
      </c>
      <c r="B462" s="18">
        <v>132823147</v>
      </c>
      <c r="C462" s="15" t="s">
        <v>2006</v>
      </c>
      <c r="D462" s="18">
        <v>1000000000</v>
      </c>
    </row>
    <row r="463" spans="1:4" x14ac:dyDescent="0.25">
      <c r="A463" s="15" t="s">
        <v>2467</v>
      </c>
      <c r="B463" s="18">
        <v>368007664</v>
      </c>
      <c r="C463" s="15" t="s">
        <v>2006</v>
      </c>
      <c r="D463" s="18">
        <v>1000000000</v>
      </c>
    </row>
    <row r="464" spans="1:4" x14ac:dyDescent="0.25">
      <c r="A464" s="15" t="s">
        <v>2468</v>
      </c>
      <c r="B464" s="18">
        <v>527116236</v>
      </c>
      <c r="C464" s="15" t="s">
        <v>2006</v>
      </c>
      <c r="D464" s="18">
        <v>1000000000</v>
      </c>
    </row>
    <row r="465" spans="1:4" x14ac:dyDescent="0.25">
      <c r="A465" s="15" t="s">
        <v>2469</v>
      </c>
      <c r="B465" s="18">
        <v>719029315</v>
      </c>
      <c r="C465" s="15" t="s">
        <v>2006</v>
      </c>
      <c r="D465" s="18">
        <v>1000000000</v>
      </c>
    </row>
    <row r="466" spans="1:4" x14ac:dyDescent="0.25">
      <c r="A466" s="15" t="s">
        <v>2470</v>
      </c>
      <c r="B466" s="18">
        <v>949453566</v>
      </c>
      <c r="C466" s="15" t="s">
        <v>2006</v>
      </c>
      <c r="D466" s="18">
        <v>1000000000</v>
      </c>
    </row>
    <row r="467" spans="1:4" x14ac:dyDescent="0.25">
      <c r="A467" s="15" t="s">
        <v>2471</v>
      </c>
      <c r="B467" s="18">
        <v>390073968</v>
      </c>
      <c r="C467" s="15" t="s">
        <v>2006</v>
      </c>
      <c r="D467" s="18">
        <v>1000000000</v>
      </c>
    </row>
    <row r="468" spans="1:4" x14ac:dyDescent="0.25">
      <c r="A468" s="15" t="s">
        <v>2472</v>
      </c>
      <c r="B468" s="18">
        <v>45892018</v>
      </c>
      <c r="C468" s="15" t="s">
        <v>2006</v>
      </c>
      <c r="D468" s="18">
        <v>1000000000</v>
      </c>
    </row>
    <row r="469" spans="1:4" x14ac:dyDescent="0.25">
      <c r="A469" s="15" t="s">
        <v>2473</v>
      </c>
      <c r="B469" s="18">
        <v>388023922</v>
      </c>
      <c r="C469" s="15" t="s">
        <v>2006</v>
      </c>
      <c r="D469" s="18">
        <v>1000000000</v>
      </c>
    </row>
    <row r="470" spans="1:4" x14ac:dyDescent="0.25">
      <c r="A470" s="15" t="s">
        <v>2474</v>
      </c>
      <c r="B470" s="18">
        <v>307170400</v>
      </c>
      <c r="C470" s="15" t="s">
        <v>2006</v>
      </c>
      <c r="D470" s="18">
        <v>1000000000</v>
      </c>
    </row>
    <row r="471" spans="1:4" x14ac:dyDescent="0.25">
      <c r="A471" s="15" t="s">
        <v>2475</v>
      </c>
      <c r="B471" s="18">
        <v>205353522</v>
      </c>
      <c r="C471" s="15" t="s">
        <v>2006</v>
      </c>
      <c r="D471" s="18">
        <v>1000000000</v>
      </c>
    </row>
    <row r="472" spans="1:4" x14ac:dyDescent="0.25">
      <c r="A472" s="15" t="s">
        <v>2476</v>
      </c>
      <c r="B472" s="18">
        <v>1943293</v>
      </c>
      <c r="C472" s="15" t="s">
        <v>2006</v>
      </c>
      <c r="D472" s="18">
        <v>1000000000</v>
      </c>
    </row>
    <row r="473" spans="1:4" x14ac:dyDescent="0.25">
      <c r="A473" s="15" t="s">
        <v>2477</v>
      </c>
      <c r="B473" s="18">
        <v>595938658</v>
      </c>
      <c r="C473" s="15" t="s">
        <v>2006</v>
      </c>
      <c r="D473" s="18">
        <v>1000000000</v>
      </c>
    </row>
    <row r="474" spans="1:4" x14ac:dyDescent="0.25">
      <c r="A474" s="15" t="s">
        <v>2478</v>
      </c>
      <c r="B474" s="18">
        <v>728831552</v>
      </c>
      <c r="C474" s="15" t="s">
        <v>2006</v>
      </c>
      <c r="D474" s="18">
        <v>1000000000</v>
      </c>
    </row>
    <row r="475" spans="1:4" x14ac:dyDescent="0.25">
      <c r="A475" s="15" t="s">
        <v>2479</v>
      </c>
      <c r="B475" s="18">
        <v>612120733</v>
      </c>
      <c r="C475" s="15" t="s">
        <v>2006</v>
      </c>
      <c r="D475" s="18">
        <v>1000000000</v>
      </c>
    </row>
    <row r="476" spans="1:4" x14ac:dyDescent="0.25">
      <c r="A476" s="15" t="s">
        <v>2480</v>
      </c>
      <c r="B476" s="18">
        <v>657732648</v>
      </c>
      <c r="C476" s="15" t="s">
        <v>2006</v>
      </c>
      <c r="D476" s="18">
        <v>1000000000</v>
      </c>
    </row>
    <row r="477" spans="1:4" x14ac:dyDescent="0.25">
      <c r="A477" s="15" t="s">
        <v>2481</v>
      </c>
      <c r="B477" s="18">
        <v>596647285</v>
      </c>
      <c r="C477" s="15" t="s">
        <v>2006</v>
      </c>
      <c r="D477" s="18">
        <v>1000000000</v>
      </c>
    </row>
    <row r="478" spans="1:4" x14ac:dyDescent="0.25">
      <c r="A478" s="15" t="s">
        <v>2482</v>
      </c>
      <c r="B478" s="18">
        <v>532568983</v>
      </c>
      <c r="C478" s="15" t="s">
        <v>2006</v>
      </c>
      <c r="D478" s="18">
        <v>1000000000</v>
      </c>
    </row>
    <row r="479" spans="1:4" x14ac:dyDescent="0.25">
      <c r="A479" s="15" t="s">
        <v>2483</v>
      </c>
      <c r="B479" s="18">
        <v>314179128</v>
      </c>
      <c r="C479" s="15" t="s">
        <v>2006</v>
      </c>
      <c r="D479" s="18">
        <v>1000000000</v>
      </c>
    </row>
    <row r="480" spans="1:4" x14ac:dyDescent="0.25">
      <c r="A480" s="15" t="s">
        <v>2484</v>
      </c>
      <c r="B480" s="18">
        <v>330412032</v>
      </c>
      <c r="C480" s="15" t="s">
        <v>2006</v>
      </c>
      <c r="D480" s="18">
        <v>1000000000</v>
      </c>
    </row>
    <row r="481" spans="1:4" x14ac:dyDescent="0.25">
      <c r="A481" s="15" t="s">
        <v>2485</v>
      </c>
      <c r="B481" s="18">
        <v>149142522</v>
      </c>
      <c r="C481" s="15" t="s">
        <v>2006</v>
      </c>
      <c r="D481" s="18">
        <v>1000000000</v>
      </c>
    </row>
    <row r="482" spans="1:4" x14ac:dyDescent="0.25">
      <c r="A482" s="15" t="s">
        <v>2486</v>
      </c>
      <c r="B482" s="18">
        <v>430785681</v>
      </c>
      <c r="C482" s="15" t="s">
        <v>2006</v>
      </c>
      <c r="D482" s="18">
        <v>1000000000</v>
      </c>
    </row>
    <row r="483" spans="1:4" x14ac:dyDescent="0.25">
      <c r="A483" s="15" t="s">
        <v>2487</v>
      </c>
      <c r="B483" s="18">
        <v>614361725</v>
      </c>
      <c r="C483" s="15" t="s">
        <v>2006</v>
      </c>
      <c r="D483" s="18">
        <v>1000000000</v>
      </c>
    </row>
    <row r="484" spans="1:4" x14ac:dyDescent="0.25">
      <c r="A484" s="15" t="s">
        <v>2488</v>
      </c>
      <c r="B484" s="18">
        <v>655346871</v>
      </c>
      <c r="C484" s="15" t="s">
        <v>2006</v>
      </c>
      <c r="D484" s="18">
        <v>1000000000</v>
      </c>
    </row>
    <row r="485" spans="1:4" x14ac:dyDescent="0.25">
      <c r="A485" s="15" t="s">
        <v>2489</v>
      </c>
      <c r="B485" s="18">
        <v>21377281</v>
      </c>
      <c r="C485" s="15" t="s">
        <v>2006</v>
      </c>
      <c r="D485" s="18">
        <v>1000000000</v>
      </c>
    </row>
    <row r="486" spans="1:4" x14ac:dyDescent="0.25">
      <c r="A486" s="15" t="s">
        <v>2490</v>
      </c>
      <c r="B486" s="18">
        <v>634518904</v>
      </c>
      <c r="C486" s="15" t="s">
        <v>2006</v>
      </c>
      <c r="D486" s="18">
        <v>1000000000</v>
      </c>
    </row>
    <row r="487" spans="1:4" x14ac:dyDescent="0.25">
      <c r="A487" s="15" t="s">
        <v>2491</v>
      </c>
      <c r="B487" s="18">
        <v>52728603</v>
      </c>
      <c r="C487" s="15" t="s">
        <v>2006</v>
      </c>
      <c r="D487" s="18">
        <v>1000000000</v>
      </c>
    </row>
    <row r="488" spans="1:4" x14ac:dyDescent="0.25">
      <c r="B488" s="16"/>
    </row>
    <row r="489" spans="1:4" x14ac:dyDescent="0.25">
      <c r="B489" s="16"/>
    </row>
    <row r="490" spans="1:4" x14ac:dyDescent="0.25">
      <c r="B490" s="16"/>
    </row>
    <row r="491" spans="1:4" x14ac:dyDescent="0.25">
      <c r="B491" s="16"/>
    </row>
    <row r="492" spans="1:4" x14ac:dyDescent="0.25">
      <c r="B492" s="16"/>
    </row>
    <row r="493" spans="1:4" x14ac:dyDescent="0.25">
      <c r="B493" s="16"/>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50E19-AD95-451D-995C-DDA816E4B7B5}">
  <dimension ref="A1:N94"/>
  <sheetViews>
    <sheetView workbookViewId="0">
      <selection activeCell="B40" sqref="B40"/>
    </sheetView>
  </sheetViews>
  <sheetFormatPr defaultRowHeight="15" x14ac:dyDescent="0.25"/>
  <cols>
    <col min="1" max="1" width="19" style="27" bestFit="1" customWidth="1"/>
    <col min="2" max="2" width="6.140625" bestFit="1" customWidth="1"/>
    <col min="3" max="3" width="8" bestFit="1" customWidth="1"/>
    <col min="4" max="4" width="6.42578125" bestFit="1" customWidth="1"/>
    <col min="5" max="5" width="5.28515625" bestFit="1" customWidth="1"/>
    <col min="6" max="6" width="5.85546875" bestFit="1" customWidth="1"/>
    <col min="7" max="7" width="5.7109375" bestFit="1" customWidth="1"/>
    <col min="8" max="8" width="5.140625" bestFit="1" customWidth="1"/>
    <col min="9" max="9" width="7.140625" bestFit="1" customWidth="1"/>
    <col min="10" max="10" width="11.42578125" bestFit="1" customWidth="1"/>
    <col min="11" max="11" width="8.140625" bestFit="1" customWidth="1"/>
    <col min="12" max="12" width="11" bestFit="1" customWidth="1"/>
    <col min="13" max="13" width="10.140625" bestFit="1" customWidth="1"/>
  </cols>
  <sheetData>
    <row r="1" spans="1:14" x14ac:dyDescent="0.25">
      <c r="A1" s="25"/>
      <c r="B1" s="81" t="s">
        <v>2492</v>
      </c>
      <c r="C1" s="81"/>
      <c r="D1" s="81"/>
      <c r="E1" s="81"/>
      <c r="F1" s="81"/>
      <c r="G1" s="81"/>
      <c r="H1" s="81"/>
      <c r="I1" s="81"/>
      <c r="J1" s="81"/>
      <c r="K1" s="81"/>
      <c r="L1" s="81"/>
      <c r="M1" s="81"/>
      <c r="N1" s="82" t="s">
        <v>2493</v>
      </c>
    </row>
    <row r="2" spans="1:14" x14ac:dyDescent="0.25">
      <c r="A2" s="25" t="s">
        <v>2</v>
      </c>
      <c r="B2" s="25" t="s">
        <v>2494</v>
      </c>
      <c r="C2" s="25" t="s">
        <v>2495</v>
      </c>
      <c r="D2" s="25" t="s">
        <v>2496</v>
      </c>
      <c r="E2" s="25" t="s">
        <v>2497</v>
      </c>
      <c r="F2" s="25" t="s">
        <v>2498</v>
      </c>
      <c r="G2" s="25" t="s">
        <v>2499</v>
      </c>
      <c r="H2" s="25" t="s">
        <v>2500</v>
      </c>
      <c r="I2" s="25" t="s">
        <v>2501</v>
      </c>
      <c r="J2" s="25" t="s">
        <v>2502</v>
      </c>
      <c r="K2" s="25" t="s">
        <v>2503</v>
      </c>
      <c r="L2" s="25" t="s">
        <v>2504</v>
      </c>
      <c r="M2" s="25" t="s">
        <v>2505</v>
      </c>
      <c r="N2" s="83"/>
    </row>
    <row r="3" spans="1:14" x14ac:dyDescent="0.25">
      <c r="A3" s="25" t="s">
        <v>2506</v>
      </c>
      <c r="B3" s="15"/>
      <c r="C3" s="26"/>
      <c r="D3" s="15"/>
      <c r="E3" s="15"/>
      <c r="F3" s="15"/>
      <c r="G3" s="15"/>
      <c r="H3" s="15"/>
      <c r="I3" s="15"/>
      <c r="J3" s="15"/>
      <c r="K3" s="15"/>
      <c r="L3" s="15"/>
      <c r="M3" s="15"/>
      <c r="N3" s="29"/>
    </row>
    <row r="4" spans="1:14" x14ac:dyDescent="0.25">
      <c r="A4" s="25" t="s">
        <v>2507</v>
      </c>
      <c r="B4" s="15"/>
      <c r="C4" s="26"/>
      <c r="D4" s="15"/>
      <c r="E4" s="15"/>
      <c r="F4" s="15"/>
      <c r="G4" s="15"/>
      <c r="H4" s="15"/>
      <c r="I4" s="15"/>
      <c r="J4" s="15"/>
      <c r="K4" s="15"/>
      <c r="L4" s="15"/>
      <c r="M4" s="15"/>
      <c r="N4" s="29"/>
    </row>
    <row r="5" spans="1:14" x14ac:dyDescent="0.25">
      <c r="A5" s="25" t="s">
        <v>193</v>
      </c>
      <c r="B5" s="15"/>
      <c r="C5" s="15"/>
      <c r="D5" s="15"/>
      <c r="E5" s="15"/>
      <c r="F5" s="15"/>
      <c r="G5" s="15"/>
      <c r="H5" s="15"/>
      <c r="I5" s="15"/>
      <c r="J5" s="15"/>
      <c r="K5" s="15"/>
      <c r="L5" s="26"/>
      <c r="M5" s="15"/>
      <c r="N5" s="29"/>
    </row>
    <row r="6" spans="1:14" x14ac:dyDescent="0.25">
      <c r="A6" s="25" t="s">
        <v>2508</v>
      </c>
      <c r="B6" s="15"/>
      <c r="C6" s="15"/>
      <c r="D6" s="26"/>
      <c r="E6" s="15"/>
      <c r="F6" s="15"/>
      <c r="G6" s="15"/>
      <c r="H6" s="15"/>
      <c r="I6" s="15"/>
      <c r="J6" s="15"/>
      <c r="K6" s="15"/>
      <c r="L6" s="15"/>
      <c r="M6" s="15"/>
      <c r="N6" s="29"/>
    </row>
    <row r="7" spans="1:14" x14ac:dyDescent="0.25">
      <c r="A7" s="25" t="s">
        <v>2509</v>
      </c>
      <c r="B7" s="26"/>
      <c r="C7" s="15"/>
      <c r="D7" s="15"/>
      <c r="E7" s="15"/>
      <c r="F7" s="15"/>
      <c r="G7" s="15"/>
      <c r="H7" s="15"/>
      <c r="I7" s="15"/>
      <c r="J7" s="15"/>
      <c r="K7" s="15"/>
      <c r="L7" s="15"/>
      <c r="M7" s="15"/>
      <c r="N7" s="29"/>
    </row>
    <row r="8" spans="1:14" x14ac:dyDescent="0.25">
      <c r="A8" s="25" t="s">
        <v>2510</v>
      </c>
      <c r="B8" s="15"/>
      <c r="C8" s="26"/>
      <c r="D8" s="15"/>
      <c r="E8" s="15"/>
      <c r="F8" s="15"/>
      <c r="G8" s="15"/>
      <c r="H8" s="15"/>
      <c r="I8" s="15"/>
      <c r="J8" s="15"/>
      <c r="K8" s="15"/>
      <c r="L8" s="15"/>
      <c r="M8" s="15"/>
      <c r="N8" s="29"/>
    </row>
    <row r="9" spans="1:14" x14ac:dyDescent="0.25">
      <c r="A9" s="25" t="s">
        <v>2511</v>
      </c>
      <c r="B9" s="15"/>
      <c r="C9" s="15"/>
      <c r="D9" s="26"/>
      <c r="E9" s="15"/>
      <c r="F9" s="15"/>
      <c r="G9" s="15"/>
      <c r="H9" s="15"/>
      <c r="I9" s="15"/>
      <c r="J9" s="15"/>
      <c r="K9" s="15"/>
      <c r="L9" s="15"/>
      <c r="M9" s="15"/>
      <c r="N9" s="29"/>
    </row>
    <row r="10" spans="1:14" x14ac:dyDescent="0.25">
      <c r="A10" s="25" t="s">
        <v>2512</v>
      </c>
      <c r="B10" s="15"/>
      <c r="C10" s="26"/>
      <c r="D10" s="15"/>
      <c r="E10" s="28"/>
      <c r="F10" s="15"/>
      <c r="G10" s="15"/>
      <c r="H10" s="15"/>
      <c r="I10" s="15"/>
      <c r="J10" s="15"/>
      <c r="K10" s="15"/>
      <c r="L10" s="15"/>
      <c r="M10" s="15"/>
      <c r="N10" s="29"/>
    </row>
    <row r="11" spans="1:14" x14ac:dyDescent="0.25">
      <c r="A11" s="25" t="s">
        <v>2513</v>
      </c>
      <c r="B11" s="15"/>
      <c r="C11" s="15"/>
      <c r="D11" s="15"/>
      <c r="E11" s="26"/>
      <c r="G11" s="15"/>
      <c r="H11" s="15"/>
      <c r="I11" s="15"/>
      <c r="J11" s="15"/>
      <c r="K11" s="15"/>
      <c r="L11" s="15"/>
      <c r="M11" s="15"/>
      <c r="N11" s="29"/>
    </row>
    <row r="12" spans="1:14" x14ac:dyDescent="0.25">
      <c r="A12" s="25" t="s">
        <v>2514</v>
      </c>
      <c r="B12" s="15"/>
      <c r="C12" s="15"/>
      <c r="D12" s="15"/>
      <c r="E12" s="15"/>
      <c r="F12" s="26"/>
      <c r="H12" s="15"/>
      <c r="I12" s="15"/>
      <c r="J12" s="15"/>
      <c r="K12" s="15"/>
      <c r="L12" s="15"/>
      <c r="M12" s="15"/>
      <c r="N12" s="29"/>
    </row>
    <row r="13" spans="1:14" x14ac:dyDescent="0.25">
      <c r="A13" s="25" t="s">
        <v>2515</v>
      </c>
      <c r="B13" s="26"/>
      <c r="C13" s="15"/>
      <c r="D13" s="15"/>
      <c r="E13" s="15"/>
      <c r="F13" s="15"/>
      <c r="G13" s="15"/>
      <c r="H13" s="15"/>
      <c r="I13" s="15"/>
      <c r="J13" s="15"/>
      <c r="K13" s="15"/>
      <c r="L13" s="15"/>
      <c r="M13" s="15"/>
      <c r="N13" s="29"/>
    </row>
    <row r="14" spans="1:14" x14ac:dyDescent="0.25">
      <c r="A14" s="25" t="s">
        <v>2516</v>
      </c>
      <c r="B14" s="15"/>
      <c r="C14" s="15"/>
      <c r="D14" s="15"/>
      <c r="E14" s="15"/>
      <c r="F14" s="15"/>
      <c r="G14" s="15"/>
      <c r="H14" s="15"/>
      <c r="I14" s="15"/>
      <c r="J14" s="15"/>
      <c r="K14" s="15"/>
      <c r="L14" s="26"/>
      <c r="M14" s="15"/>
      <c r="N14" s="29"/>
    </row>
    <row r="15" spans="1:14" x14ac:dyDescent="0.25">
      <c r="A15" s="25" t="s">
        <v>2517</v>
      </c>
      <c r="B15" s="15"/>
      <c r="C15" s="15"/>
      <c r="D15" s="26"/>
      <c r="E15" s="15"/>
      <c r="F15" s="15"/>
      <c r="G15" s="15"/>
      <c r="H15" s="15"/>
      <c r="I15" s="15"/>
      <c r="J15" s="15"/>
      <c r="K15" s="15"/>
      <c r="L15" s="15"/>
      <c r="M15" s="15"/>
      <c r="N15" s="29"/>
    </row>
    <row r="16" spans="1:14" x14ac:dyDescent="0.25">
      <c r="A16" s="25" t="s">
        <v>233</v>
      </c>
      <c r="C16" s="15"/>
      <c r="D16" s="15"/>
      <c r="E16" s="15"/>
      <c r="F16" s="15"/>
      <c r="G16" s="15"/>
      <c r="H16" s="26"/>
      <c r="I16" s="15"/>
      <c r="J16" s="15"/>
      <c r="K16" s="15"/>
      <c r="L16" s="15"/>
      <c r="M16" s="15"/>
      <c r="N16" s="29"/>
    </row>
    <row r="17" spans="1:14" x14ac:dyDescent="0.25">
      <c r="A17" s="25" t="s">
        <v>2518</v>
      </c>
      <c r="B17" s="15"/>
      <c r="C17" s="15"/>
      <c r="D17" s="15"/>
      <c r="E17" s="15"/>
      <c r="F17" s="15"/>
      <c r="G17" s="26"/>
      <c r="H17" s="15"/>
      <c r="I17" s="15"/>
      <c r="J17" s="15"/>
      <c r="K17" s="15"/>
      <c r="L17" s="15"/>
      <c r="M17" s="15"/>
      <c r="N17" s="29"/>
    </row>
    <row r="18" spans="1:14" x14ac:dyDescent="0.25">
      <c r="A18" s="25" t="s">
        <v>2519</v>
      </c>
      <c r="B18" s="15"/>
      <c r="C18" s="15"/>
      <c r="E18" s="15"/>
      <c r="F18" s="15"/>
      <c r="G18" s="26"/>
      <c r="H18" s="15"/>
      <c r="I18" s="15"/>
      <c r="J18" s="15"/>
      <c r="K18" s="15"/>
      <c r="L18" s="15"/>
      <c r="M18" s="15"/>
      <c r="N18" s="29"/>
    </row>
    <row r="19" spans="1:14" x14ac:dyDescent="0.25">
      <c r="A19" s="25" t="s">
        <v>164</v>
      </c>
      <c r="B19" s="15"/>
      <c r="C19" s="15"/>
      <c r="D19" s="26"/>
      <c r="E19" s="15"/>
      <c r="F19" s="15"/>
      <c r="G19" s="15"/>
      <c r="H19" s="15"/>
      <c r="I19" s="15"/>
      <c r="J19" s="15"/>
      <c r="K19" s="15"/>
      <c r="L19" s="15"/>
      <c r="M19" s="15"/>
      <c r="N19" s="29"/>
    </row>
    <row r="20" spans="1:14" x14ac:dyDescent="0.25">
      <c r="A20" s="25" t="s">
        <v>1043</v>
      </c>
      <c r="B20" s="15"/>
      <c r="C20" s="15"/>
      <c r="D20" s="15"/>
      <c r="E20" s="15"/>
      <c r="F20" s="15"/>
      <c r="G20" s="15"/>
      <c r="H20" s="15"/>
      <c r="I20" s="15"/>
      <c r="J20" s="26"/>
      <c r="K20" s="15"/>
      <c r="L20" s="15"/>
      <c r="M20" s="15"/>
      <c r="N20" s="29"/>
    </row>
    <row r="21" spans="1:14" x14ac:dyDescent="0.25">
      <c r="A21" s="25" t="s">
        <v>1045</v>
      </c>
      <c r="B21" s="15"/>
      <c r="C21" s="15"/>
      <c r="D21" s="26"/>
      <c r="E21" s="15"/>
      <c r="F21" s="15"/>
      <c r="G21" s="15"/>
      <c r="H21" s="15"/>
      <c r="I21" s="15"/>
      <c r="J21" s="15"/>
      <c r="K21" s="15"/>
      <c r="L21" s="15"/>
      <c r="M21" s="15"/>
      <c r="N21" s="29"/>
    </row>
    <row r="22" spans="1:14" x14ac:dyDescent="0.25">
      <c r="A22" s="25" t="s">
        <v>1047</v>
      </c>
      <c r="B22" s="15"/>
      <c r="C22" s="15"/>
      <c r="D22" s="26"/>
      <c r="E22" s="15"/>
      <c r="F22" s="15"/>
      <c r="G22" s="15"/>
      <c r="H22" s="15"/>
      <c r="I22" s="15"/>
      <c r="J22" s="15"/>
      <c r="K22" s="15"/>
      <c r="L22" s="15"/>
      <c r="M22" s="15"/>
      <c r="N22" s="29"/>
    </row>
    <row r="23" spans="1:14" x14ac:dyDescent="0.25">
      <c r="A23" s="25" t="s">
        <v>1049</v>
      </c>
      <c r="B23" s="15"/>
      <c r="C23" s="15"/>
      <c r="D23" s="26"/>
      <c r="E23" s="15"/>
      <c r="F23" s="15"/>
      <c r="G23" s="15"/>
      <c r="H23" s="15"/>
      <c r="I23" s="15"/>
      <c r="J23" s="15"/>
      <c r="K23" s="15"/>
      <c r="L23" s="15"/>
      <c r="M23" s="15"/>
      <c r="N23" s="29"/>
    </row>
    <row r="24" spans="1:14" x14ac:dyDescent="0.25">
      <c r="A24" s="25" t="s">
        <v>1051</v>
      </c>
      <c r="B24" s="15"/>
      <c r="C24" s="15"/>
      <c r="D24" s="26"/>
      <c r="E24" s="15"/>
      <c r="F24" s="15"/>
      <c r="G24" s="15"/>
      <c r="H24" s="15"/>
      <c r="I24" s="15"/>
      <c r="J24" s="15"/>
      <c r="K24" s="15"/>
      <c r="L24" s="15"/>
      <c r="M24" s="15"/>
      <c r="N24" s="29"/>
    </row>
    <row r="25" spans="1:14" x14ac:dyDescent="0.25">
      <c r="A25" s="25" t="s">
        <v>1299</v>
      </c>
      <c r="B25" s="15"/>
      <c r="C25" s="15"/>
      <c r="D25" s="15"/>
      <c r="E25" s="26"/>
      <c r="F25" s="15"/>
      <c r="G25" s="15"/>
      <c r="H25" s="15"/>
      <c r="I25" s="15"/>
      <c r="J25" s="15"/>
      <c r="K25" s="15"/>
      <c r="L25" s="15"/>
      <c r="M25" s="15"/>
      <c r="N25" s="29"/>
    </row>
    <row r="26" spans="1:14" x14ac:dyDescent="0.25">
      <c r="A26" s="25" t="s">
        <v>2520</v>
      </c>
      <c r="B26" s="15"/>
      <c r="C26" s="15"/>
      <c r="D26" s="26"/>
      <c r="E26" s="15"/>
      <c r="F26" s="15"/>
      <c r="G26" s="15"/>
      <c r="H26" s="15"/>
      <c r="I26" s="15"/>
      <c r="J26" s="15"/>
      <c r="K26" s="15"/>
      <c r="L26" s="15"/>
      <c r="M26" s="15"/>
      <c r="N26" s="29"/>
    </row>
    <row r="27" spans="1:14" x14ac:dyDescent="0.25">
      <c r="A27" s="25" t="s">
        <v>2521</v>
      </c>
      <c r="B27" s="15"/>
      <c r="C27" s="15"/>
      <c r="D27" s="26"/>
      <c r="E27" s="15"/>
      <c r="F27" s="15"/>
      <c r="G27" s="15"/>
      <c r="H27" s="15"/>
      <c r="I27" s="15"/>
      <c r="J27" s="15"/>
      <c r="K27" s="15"/>
      <c r="L27" s="15"/>
      <c r="M27" s="15"/>
      <c r="N27" s="29"/>
    </row>
    <row r="28" spans="1:14" x14ac:dyDescent="0.25">
      <c r="A28" s="25" t="s">
        <v>2522</v>
      </c>
      <c r="B28" s="15"/>
      <c r="C28" s="26"/>
      <c r="D28" s="15"/>
      <c r="E28" s="15"/>
      <c r="F28" s="15"/>
      <c r="G28" s="15"/>
      <c r="H28" s="15"/>
      <c r="J28" s="15"/>
      <c r="K28" s="15"/>
      <c r="L28" s="15"/>
      <c r="M28" s="15"/>
      <c r="N28" s="29"/>
    </row>
    <row r="29" spans="1:14" x14ac:dyDescent="0.25">
      <c r="A29" s="25" t="s">
        <v>1312</v>
      </c>
      <c r="B29" s="15"/>
      <c r="C29" s="15"/>
      <c r="D29" s="15"/>
      <c r="E29" s="15"/>
      <c r="F29" s="15"/>
      <c r="G29" s="15"/>
      <c r="H29" s="15"/>
      <c r="I29" s="15"/>
      <c r="J29" s="15"/>
      <c r="K29" s="26"/>
      <c r="L29" s="15"/>
      <c r="M29" s="15"/>
      <c r="N29" s="29"/>
    </row>
    <row r="30" spans="1:14" x14ac:dyDescent="0.25">
      <c r="A30" s="25" t="s">
        <v>351</v>
      </c>
      <c r="B30" s="15"/>
      <c r="C30" s="15"/>
      <c r="D30" s="15"/>
      <c r="E30" s="15"/>
      <c r="F30" s="15"/>
      <c r="G30" s="15"/>
      <c r="H30" s="15"/>
      <c r="I30" s="15"/>
      <c r="J30" s="15"/>
      <c r="K30" s="26"/>
      <c r="L30" s="15"/>
      <c r="M30" s="15"/>
      <c r="N30" s="29"/>
    </row>
    <row r="31" spans="1:14" x14ac:dyDescent="0.25">
      <c r="A31" s="25" t="s">
        <v>2523</v>
      </c>
      <c r="B31" s="15"/>
      <c r="C31" s="15"/>
      <c r="D31" s="15"/>
      <c r="E31" s="15"/>
      <c r="F31" s="15"/>
      <c r="G31" s="15"/>
      <c r="H31" s="15"/>
      <c r="I31" s="15"/>
      <c r="J31" s="15"/>
      <c r="K31" s="26"/>
      <c r="L31" s="15"/>
      <c r="M31" s="15"/>
      <c r="N31" s="29"/>
    </row>
    <row r="32" spans="1:14" x14ac:dyDescent="0.25">
      <c r="A32" s="25" t="s">
        <v>2524</v>
      </c>
      <c r="B32" s="15"/>
      <c r="C32" s="15"/>
      <c r="D32" s="15"/>
      <c r="E32" s="15"/>
      <c r="F32" s="15"/>
      <c r="G32" s="15"/>
      <c r="H32" s="15"/>
      <c r="I32" s="15"/>
      <c r="J32" s="26"/>
      <c r="K32" s="15"/>
      <c r="L32" s="15"/>
      <c r="M32" s="15"/>
      <c r="N32" s="29"/>
    </row>
    <row r="33" spans="1:14" x14ac:dyDescent="0.25">
      <c r="A33" s="25" t="s">
        <v>2525</v>
      </c>
      <c r="B33" s="15"/>
      <c r="C33" s="15"/>
      <c r="D33" s="15"/>
      <c r="E33" s="15"/>
      <c r="F33" s="15"/>
      <c r="G33" s="15"/>
      <c r="H33" s="15"/>
      <c r="I33" s="15"/>
      <c r="J33" s="26"/>
      <c r="K33" s="15"/>
      <c r="L33" s="15"/>
      <c r="M33" s="15"/>
      <c r="N33" s="29"/>
    </row>
    <row r="34" spans="1:14" x14ac:dyDescent="0.25">
      <c r="A34" s="25" t="s">
        <v>2526</v>
      </c>
      <c r="B34" s="15"/>
      <c r="C34" s="15"/>
      <c r="D34" s="15"/>
      <c r="E34" s="15"/>
      <c r="F34" s="15"/>
      <c r="G34" s="15"/>
      <c r="H34" s="15"/>
      <c r="I34" s="15"/>
      <c r="J34" s="26"/>
      <c r="K34" s="15"/>
      <c r="L34" s="15"/>
      <c r="M34" s="15"/>
      <c r="N34" s="29"/>
    </row>
    <row r="35" spans="1:14" x14ac:dyDescent="0.25">
      <c r="A35" s="25" t="s">
        <v>2527</v>
      </c>
      <c r="B35" s="15"/>
      <c r="C35" s="15"/>
      <c r="D35" s="15"/>
      <c r="E35" s="15"/>
      <c r="F35" s="15"/>
      <c r="G35" s="15"/>
      <c r="H35" s="15"/>
      <c r="I35" s="15"/>
      <c r="J35" s="26"/>
      <c r="K35" s="15"/>
      <c r="L35" s="15"/>
      <c r="M35" s="15"/>
      <c r="N35" s="29"/>
    </row>
    <row r="36" spans="1:14" x14ac:dyDescent="0.25">
      <c r="A36" s="25" t="s">
        <v>2528</v>
      </c>
      <c r="B36" s="15"/>
      <c r="C36" s="15"/>
      <c r="D36" s="15"/>
      <c r="E36" s="15"/>
      <c r="F36" s="15"/>
      <c r="G36" s="15"/>
      <c r="H36" s="15"/>
      <c r="I36" s="15"/>
      <c r="J36" s="26"/>
      <c r="K36" s="15"/>
      <c r="L36" s="15"/>
      <c r="M36" s="15"/>
      <c r="N36" s="29"/>
    </row>
    <row r="37" spans="1:14" x14ac:dyDescent="0.25">
      <c r="A37" s="25" t="s">
        <v>2529</v>
      </c>
      <c r="B37" s="15"/>
      <c r="C37" s="15"/>
      <c r="D37" s="15"/>
      <c r="E37" s="15"/>
      <c r="F37" s="15"/>
      <c r="G37" s="15"/>
      <c r="H37" s="15"/>
      <c r="I37" s="15"/>
      <c r="J37" s="26"/>
      <c r="K37" s="15"/>
      <c r="L37" s="15"/>
      <c r="M37" s="15"/>
      <c r="N37" s="29"/>
    </row>
    <row r="38" spans="1:14" x14ac:dyDescent="0.25">
      <c r="A38" s="25" t="s">
        <v>76</v>
      </c>
      <c r="B38" s="15"/>
      <c r="C38" s="15"/>
      <c r="D38" s="15"/>
      <c r="E38" s="15"/>
      <c r="F38" s="26"/>
      <c r="G38" s="15"/>
      <c r="H38" s="15"/>
      <c r="I38" s="15"/>
      <c r="J38" s="15"/>
      <c r="K38" s="15"/>
      <c r="L38" s="15"/>
      <c r="M38" s="15"/>
      <c r="N38" s="29"/>
    </row>
    <row r="39" spans="1:14" x14ac:dyDescent="0.25">
      <c r="A39" s="25" t="s">
        <v>78</v>
      </c>
      <c r="B39" s="15"/>
      <c r="C39" s="26"/>
      <c r="D39" s="15"/>
      <c r="E39" s="15"/>
      <c r="G39" s="15"/>
      <c r="H39" s="15"/>
      <c r="I39" s="15"/>
      <c r="J39" s="15"/>
      <c r="K39" s="15"/>
      <c r="L39" s="15"/>
      <c r="M39" s="15"/>
      <c r="N39" s="29"/>
    </row>
    <row r="40" spans="1:14" x14ac:dyDescent="0.25">
      <c r="A40" s="25" t="s">
        <v>1359</v>
      </c>
      <c r="B40" s="26"/>
      <c r="C40" s="15"/>
      <c r="D40" s="15"/>
      <c r="E40" s="15"/>
      <c r="F40" s="15"/>
      <c r="G40" s="15"/>
      <c r="H40" s="15"/>
      <c r="I40" s="15"/>
      <c r="J40" s="15"/>
      <c r="K40" s="15"/>
      <c r="L40" s="15"/>
      <c r="M40" s="15"/>
      <c r="N40" s="29"/>
    </row>
    <row r="41" spans="1:14" x14ac:dyDescent="0.25">
      <c r="A41" s="25" t="s">
        <v>1365</v>
      </c>
      <c r="B41" s="15"/>
      <c r="C41" s="26"/>
      <c r="D41" s="15"/>
      <c r="E41" s="15"/>
      <c r="F41" s="15"/>
      <c r="G41" s="15"/>
      <c r="H41" s="15"/>
      <c r="I41" s="15"/>
      <c r="J41" s="15"/>
      <c r="K41" s="15"/>
      <c r="L41" s="15"/>
      <c r="M41" s="15"/>
      <c r="N41" s="29"/>
    </row>
    <row r="42" spans="1:14" x14ac:dyDescent="0.25">
      <c r="A42" s="25" t="s">
        <v>1390</v>
      </c>
      <c r="B42" s="15"/>
      <c r="C42" s="15"/>
      <c r="E42" s="15"/>
      <c r="F42" s="15"/>
      <c r="G42" s="15"/>
      <c r="H42" s="15"/>
      <c r="I42" s="15"/>
      <c r="J42" s="26"/>
      <c r="K42" s="15"/>
      <c r="L42" s="15"/>
      <c r="M42" s="15"/>
      <c r="N42" s="29"/>
    </row>
    <row r="43" spans="1:14" x14ac:dyDescent="0.25">
      <c r="A43" s="25" t="s">
        <v>1394</v>
      </c>
      <c r="B43" s="15"/>
      <c r="C43" s="15"/>
      <c r="D43" s="15"/>
      <c r="E43" s="26"/>
      <c r="F43" s="15"/>
      <c r="G43" s="15"/>
      <c r="H43" s="15"/>
      <c r="I43" s="15"/>
      <c r="J43" s="15"/>
      <c r="K43" s="15"/>
      <c r="L43" s="15"/>
      <c r="M43" s="15"/>
      <c r="N43" s="29"/>
    </row>
    <row r="44" spans="1:14" x14ac:dyDescent="0.25">
      <c r="A44" s="25" t="s">
        <v>574</v>
      </c>
      <c r="B44" s="15"/>
      <c r="C44" s="15"/>
      <c r="D44" s="15"/>
      <c r="E44" s="15"/>
      <c r="F44" s="26"/>
      <c r="G44" s="15"/>
      <c r="H44" s="15"/>
      <c r="I44" s="15"/>
      <c r="J44" s="15"/>
      <c r="K44" s="15"/>
      <c r="L44" s="15"/>
      <c r="M44" s="15"/>
      <c r="N44" s="29"/>
    </row>
    <row r="45" spans="1:14" x14ac:dyDescent="0.25">
      <c r="A45" s="25" t="s">
        <v>1403</v>
      </c>
      <c r="C45" s="15"/>
      <c r="D45" s="26"/>
      <c r="E45" s="15"/>
      <c r="F45" s="15"/>
      <c r="G45" s="15"/>
      <c r="H45" s="15"/>
      <c r="I45" s="15"/>
      <c r="J45" s="15"/>
      <c r="K45" s="15"/>
      <c r="L45" s="15"/>
      <c r="M45" s="15"/>
      <c r="N45" s="29"/>
    </row>
    <row r="46" spans="1:14" x14ac:dyDescent="0.25">
      <c r="A46" s="25" t="s">
        <v>576</v>
      </c>
      <c r="B46" s="15"/>
      <c r="D46" s="26"/>
      <c r="E46" s="15"/>
      <c r="F46" s="15"/>
      <c r="G46" s="15"/>
      <c r="H46" s="15"/>
      <c r="I46" s="15"/>
      <c r="J46" s="15"/>
      <c r="K46" s="15"/>
      <c r="L46" s="15"/>
      <c r="M46" s="15"/>
      <c r="N46" s="29"/>
    </row>
    <row r="47" spans="1:14" x14ac:dyDescent="0.25">
      <c r="A47" s="25" t="s">
        <v>1414</v>
      </c>
      <c r="B47" s="15"/>
      <c r="C47" s="15"/>
      <c r="E47" s="15"/>
      <c r="F47" s="15"/>
      <c r="G47" s="15"/>
      <c r="H47" s="15"/>
      <c r="I47" s="15"/>
      <c r="J47" s="26"/>
      <c r="K47" s="15"/>
      <c r="L47" s="15"/>
      <c r="M47" s="15"/>
      <c r="N47" s="29"/>
    </row>
    <row r="48" spans="1:14" x14ac:dyDescent="0.25">
      <c r="A48" s="25" t="s">
        <v>2530</v>
      </c>
      <c r="B48" s="15"/>
      <c r="C48" s="15"/>
      <c r="D48" s="26"/>
      <c r="F48" s="15"/>
      <c r="G48" s="15"/>
      <c r="H48" s="15"/>
      <c r="I48" s="15"/>
      <c r="J48" s="15"/>
      <c r="K48" s="15"/>
      <c r="L48" s="15"/>
      <c r="M48" s="15"/>
      <c r="N48" s="29"/>
    </row>
    <row r="49" spans="1:14" x14ac:dyDescent="0.25">
      <c r="A49" s="25" t="s">
        <v>1369</v>
      </c>
      <c r="B49" s="15"/>
      <c r="C49" s="15"/>
      <c r="D49" s="15"/>
      <c r="E49" s="15"/>
      <c r="F49" s="26"/>
      <c r="G49" s="15"/>
      <c r="H49" s="15"/>
      <c r="I49" s="15"/>
      <c r="J49" s="15"/>
      <c r="K49" s="15"/>
      <c r="L49" s="15"/>
      <c r="M49" s="15"/>
      <c r="N49" s="29"/>
    </row>
    <row r="50" spans="1:14" x14ac:dyDescent="0.25">
      <c r="A50" s="25" t="s">
        <v>1377</v>
      </c>
      <c r="B50" s="15"/>
      <c r="C50" s="15"/>
      <c r="D50" s="15"/>
      <c r="E50" s="15"/>
      <c r="F50" s="15"/>
      <c r="G50" s="26"/>
      <c r="H50" s="15"/>
      <c r="I50" s="15"/>
      <c r="J50" s="15"/>
      <c r="K50" s="15"/>
      <c r="L50" s="15"/>
      <c r="M50" s="15"/>
      <c r="N50" s="29"/>
    </row>
    <row r="51" spans="1:14" x14ac:dyDescent="0.25">
      <c r="A51" s="25" t="s">
        <v>1384</v>
      </c>
      <c r="B51" s="15"/>
      <c r="C51" s="15"/>
      <c r="D51" s="15"/>
      <c r="E51" s="15"/>
      <c r="F51" s="15"/>
      <c r="G51" s="15"/>
      <c r="H51" s="26"/>
      <c r="I51" s="15"/>
      <c r="J51" s="15"/>
      <c r="K51" s="15"/>
      <c r="L51" s="15"/>
      <c r="M51" s="15"/>
      <c r="N51" s="29"/>
    </row>
    <row r="52" spans="1:14" x14ac:dyDescent="0.25">
      <c r="A52" s="25" t="s">
        <v>1418</v>
      </c>
      <c r="B52" s="15"/>
      <c r="D52" s="15"/>
      <c r="E52" s="15"/>
      <c r="F52" s="15"/>
      <c r="G52" s="26"/>
      <c r="H52" s="15"/>
      <c r="I52" s="15"/>
      <c r="J52" s="15"/>
      <c r="K52" s="15"/>
      <c r="L52" s="15"/>
      <c r="M52" s="15"/>
      <c r="N52" s="29"/>
    </row>
    <row r="53" spans="1:14" x14ac:dyDescent="0.25">
      <c r="A53" s="25" t="s">
        <v>2531</v>
      </c>
      <c r="B53" s="15"/>
      <c r="C53" s="26"/>
      <c r="D53" s="15"/>
      <c r="E53" s="15"/>
      <c r="F53" s="15"/>
      <c r="G53" s="15"/>
      <c r="H53" s="15"/>
      <c r="J53" s="15"/>
      <c r="K53" s="15"/>
      <c r="L53" s="15"/>
      <c r="M53" s="15"/>
      <c r="N53" s="29"/>
    </row>
    <row r="54" spans="1:14" x14ac:dyDescent="0.25">
      <c r="A54" s="25" t="s">
        <v>2532</v>
      </c>
      <c r="B54" s="15"/>
      <c r="C54" s="15"/>
      <c r="D54" s="15"/>
      <c r="E54" s="15"/>
      <c r="F54" s="15"/>
      <c r="G54" s="15"/>
      <c r="H54" s="15"/>
      <c r="I54" s="26"/>
      <c r="J54" s="15"/>
      <c r="K54" s="15"/>
      <c r="L54" s="15"/>
      <c r="M54" s="15"/>
      <c r="N54" s="29"/>
    </row>
    <row r="55" spans="1:14" x14ac:dyDescent="0.25">
      <c r="A55" s="25" t="s">
        <v>2533</v>
      </c>
      <c r="B55" s="15"/>
      <c r="C55" s="26"/>
      <c r="E55" s="15"/>
      <c r="F55" s="15"/>
      <c r="G55" s="15"/>
      <c r="H55" s="15"/>
      <c r="I55" s="15"/>
      <c r="J55" s="15"/>
      <c r="K55" s="15"/>
      <c r="L55" s="15"/>
      <c r="M55" s="15"/>
      <c r="N55" s="29"/>
    </row>
    <row r="56" spans="1:14" x14ac:dyDescent="0.25">
      <c r="A56" s="25" t="s">
        <v>452</v>
      </c>
      <c r="B56" s="15"/>
      <c r="C56" s="15"/>
      <c r="D56" s="26"/>
      <c r="E56" s="15"/>
      <c r="F56" s="15"/>
      <c r="G56" s="15"/>
      <c r="H56" s="15"/>
      <c r="I56" s="15"/>
      <c r="J56" s="15"/>
      <c r="K56" s="15"/>
      <c r="L56" s="15"/>
      <c r="M56" s="15"/>
      <c r="N56" s="29"/>
    </row>
    <row r="57" spans="1:14" x14ac:dyDescent="0.25">
      <c r="A57" s="25" t="s">
        <v>454</v>
      </c>
      <c r="B57" s="15"/>
      <c r="C57" s="15"/>
      <c r="D57" s="26"/>
      <c r="E57" s="15"/>
      <c r="F57" s="15"/>
      <c r="G57" s="15"/>
      <c r="H57" s="15"/>
      <c r="I57" s="15"/>
      <c r="J57" s="15"/>
      <c r="K57" s="15"/>
      <c r="L57" s="15"/>
      <c r="M57" s="15"/>
      <c r="N57" s="29"/>
    </row>
    <row r="58" spans="1:14" x14ac:dyDescent="0.25">
      <c r="A58" s="25" t="s">
        <v>456</v>
      </c>
      <c r="B58" s="15"/>
      <c r="C58" s="15"/>
      <c r="D58" s="26"/>
      <c r="E58" s="15"/>
      <c r="F58" s="15"/>
      <c r="G58" s="15"/>
      <c r="H58" s="15"/>
      <c r="I58" s="15"/>
      <c r="J58" s="15"/>
      <c r="K58" s="15"/>
      <c r="L58" s="15"/>
      <c r="M58" s="15"/>
      <c r="N58" s="29"/>
    </row>
    <row r="59" spans="1:14" x14ac:dyDescent="0.25">
      <c r="A59" s="25" t="s">
        <v>523</v>
      </c>
      <c r="B59" s="15"/>
      <c r="C59" s="15"/>
      <c r="D59" s="26"/>
      <c r="E59" s="15"/>
      <c r="F59" s="15"/>
      <c r="G59" s="15"/>
      <c r="H59" s="15"/>
      <c r="I59" s="15"/>
      <c r="J59" s="15"/>
      <c r="K59" s="15"/>
      <c r="L59" s="15"/>
      <c r="M59" s="15"/>
      <c r="N59" s="29"/>
    </row>
    <row r="60" spans="1:14" x14ac:dyDescent="0.25">
      <c r="A60" s="25" t="s">
        <v>2534</v>
      </c>
      <c r="B60" s="15"/>
      <c r="C60" s="15"/>
      <c r="D60" s="15"/>
      <c r="E60" s="15"/>
      <c r="F60" s="15"/>
      <c r="G60" s="26"/>
      <c r="H60" s="15"/>
      <c r="I60" s="15"/>
      <c r="J60" s="15"/>
      <c r="K60" s="15"/>
      <c r="L60" s="15"/>
      <c r="M60" s="15"/>
      <c r="N60" s="29"/>
    </row>
    <row r="61" spans="1:14" x14ac:dyDescent="0.25">
      <c r="A61" s="25" t="s">
        <v>2535</v>
      </c>
      <c r="B61" s="15"/>
      <c r="C61" s="26"/>
      <c r="D61" s="15"/>
      <c r="E61" s="15"/>
      <c r="F61" s="15"/>
      <c r="H61" s="15"/>
      <c r="I61" s="15"/>
      <c r="J61" s="15"/>
      <c r="K61" s="15"/>
      <c r="L61" s="15"/>
      <c r="M61" s="15"/>
      <c r="N61" s="29"/>
    </row>
    <row r="62" spans="1:14" x14ac:dyDescent="0.25">
      <c r="A62" s="25" t="s">
        <v>2536</v>
      </c>
      <c r="B62" s="15"/>
      <c r="D62" s="15"/>
      <c r="E62" s="15"/>
      <c r="F62" s="15"/>
      <c r="G62" s="26"/>
      <c r="H62" s="15"/>
      <c r="I62" s="15"/>
      <c r="J62" s="15"/>
      <c r="K62" s="15"/>
      <c r="L62" s="15"/>
      <c r="M62" s="15"/>
      <c r="N62" s="29"/>
    </row>
    <row r="63" spans="1:14" x14ac:dyDescent="0.25">
      <c r="A63" s="25" t="s">
        <v>2537</v>
      </c>
      <c r="C63" s="15"/>
      <c r="D63" s="15"/>
      <c r="E63" s="15"/>
      <c r="F63" s="15"/>
      <c r="G63" s="26"/>
      <c r="H63" s="15"/>
      <c r="I63" s="15"/>
      <c r="J63" s="15"/>
      <c r="K63" s="15"/>
      <c r="L63" s="15"/>
      <c r="M63" s="15"/>
      <c r="N63" s="29"/>
    </row>
    <row r="64" spans="1:14" x14ac:dyDescent="0.25">
      <c r="A64" s="25" t="s">
        <v>688</v>
      </c>
      <c r="B64" s="26"/>
      <c r="D64" s="15"/>
      <c r="E64" s="15"/>
      <c r="F64" s="15"/>
      <c r="G64" s="15"/>
      <c r="H64" s="15"/>
      <c r="I64" s="15"/>
      <c r="J64" s="15"/>
      <c r="K64" s="15"/>
      <c r="L64" s="15"/>
      <c r="M64" s="15"/>
      <c r="N64" s="29"/>
    </row>
    <row r="65" spans="1:14" x14ac:dyDescent="0.25">
      <c r="A65" s="25" t="s">
        <v>436</v>
      </c>
      <c r="B65" s="15"/>
      <c r="C65" s="26"/>
      <c r="D65" s="15"/>
      <c r="E65" s="15"/>
      <c r="F65" s="15"/>
      <c r="G65" s="15"/>
      <c r="H65" s="15"/>
      <c r="I65" s="15"/>
      <c r="J65" s="15"/>
      <c r="K65" s="15"/>
      <c r="L65" s="15"/>
      <c r="M65" s="15"/>
      <c r="N65" s="29"/>
    </row>
    <row r="66" spans="1:14" x14ac:dyDescent="0.25">
      <c r="A66" s="25" t="s">
        <v>1537</v>
      </c>
      <c r="B66" s="15"/>
      <c r="C66" s="26"/>
      <c r="D66" s="15"/>
      <c r="E66" s="15"/>
      <c r="F66" s="15"/>
      <c r="G66" s="15"/>
      <c r="H66" s="15"/>
      <c r="I66" s="15"/>
      <c r="J66" s="15"/>
      <c r="K66" s="15"/>
      <c r="L66" s="15"/>
      <c r="M66" s="15"/>
      <c r="N66" s="29"/>
    </row>
    <row r="67" spans="1:14" x14ac:dyDescent="0.25">
      <c r="A67" s="25" t="s">
        <v>1552</v>
      </c>
      <c r="B67" s="26"/>
      <c r="C67" s="15"/>
      <c r="D67" s="15"/>
      <c r="E67" s="15"/>
      <c r="F67" s="15"/>
      <c r="G67" s="15"/>
      <c r="H67" s="15"/>
      <c r="I67" s="15"/>
      <c r="J67" s="15"/>
      <c r="K67" s="15"/>
      <c r="L67" s="15"/>
      <c r="M67" s="15"/>
      <c r="N67" s="29"/>
    </row>
    <row r="68" spans="1:14" x14ac:dyDescent="0.25">
      <c r="A68" s="25" t="s">
        <v>2538</v>
      </c>
      <c r="B68" s="15"/>
      <c r="C68" s="26"/>
      <c r="D68" s="15"/>
      <c r="E68" s="15"/>
      <c r="F68" s="15"/>
      <c r="G68" s="15"/>
      <c r="H68" s="15"/>
      <c r="I68" s="15"/>
      <c r="J68" s="15"/>
      <c r="K68" s="15"/>
      <c r="L68" s="15"/>
      <c r="M68" s="15"/>
      <c r="N68" s="29"/>
    </row>
    <row r="69" spans="1:14" x14ac:dyDescent="0.25">
      <c r="A69" s="25" t="s">
        <v>584</v>
      </c>
      <c r="B69" s="15"/>
      <c r="C69" s="15"/>
      <c r="E69" s="15"/>
      <c r="F69" s="15"/>
      <c r="G69" s="15"/>
      <c r="H69" s="15"/>
      <c r="I69" s="15"/>
      <c r="J69" s="15"/>
      <c r="K69" s="26"/>
      <c r="L69" s="15"/>
      <c r="M69" s="15"/>
      <c r="N69" s="29"/>
    </row>
    <row r="70" spans="1:14" x14ac:dyDescent="0.25">
      <c r="A70" s="25" t="s">
        <v>151</v>
      </c>
      <c r="B70" s="15"/>
      <c r="C70" s="26"/>
      <c r="D70" s="15"/>
      <c r="F70" s="15"/>
      <c r="G70" s="15"/>
      <c r="H70" s="15"/>
      <c r="I70" s="15"/>
      <c r="J70" s="15"/>
      <c r="K70" s="15"/>
      <c r="L70" s="15"/>
      <c r="M70" s="15"/>
      <c r="N70" s="29"/>
    </row>
    <row r="71" spans="1:14" x14ac:dyDescent="0.25">
      <c r="A71" s="25" t="s">
        <v>1625</v>
      </c>
      <c r="B71" s="15"/>
      <c r="C71" s="15"/>
      <c r="D71" s="15"/>
      <c r="E71" s="15"/>
      <c r="F71" s="15"/>
      <c r="G71" s="15"/>
      <c r="H71" s="15"/>
      <c r="I71" s="15"/>
      <c r="J71" s="15"/>
      <c r="K71" s="26"/>
      <c r="L71" s="15"/>
      <c r="M71" s="15"/>
      <c r="N71" s="29"/>
    </row>
    <row r="72" spans="1:14" x14ac:dyDescent="0.25">
      <c r="A72" s="25" t="s">
        <v>142</v>
      </c>
      <c r="B72" s="15"/>
      <c r="C72" s="15"/>
      <c r="D72" s="15"/>
      <c r="E72" s="15"/>
      <c r="F72" s="26"/>
      <c r="G72" s="15"/>
      <c r="H72" s="15"/>
      <c r="I72" s="15"/>
      <c r="J72" s="15"/>
      <c r="K72" s="15"/>
      <c r="L72" s="15"/>
      <c r="M72" s="15"/>
      <c r="N72" s="29"/>
    </row>
    <row r="73" spans="1:14" x14ac:dyDescent="0.25">
      <c r="A73" s="25" t="s">
        <v>145</v>
      </c>
      <c r="B73" s="15"/>
      <c r="C73" s="15"/>
      <c r="D73" s="15"/>
      <c r="E73" s="15"/>
      <c r="F73" s="26"/>
      <c r="G73" s="15"/>
      <c r="H73" s="15"/>
      <c r="I73" s="15"/>
      <c r="J73" s="15"/>
      <c r="K73" s="15"/>
      <c r="L73" s="15"/>
      <c r="M73" s="15"/>
      <c r="N73" s="29"/>
    </row>
    <row r="74" spans="1:14" x14ac:dyDescent="0.25">
      <c r="A74" s="25" t="s">
        <v>798</v>
      </c>
      <c r="B74" s="26"/>
      <c r="C74" s="15"/>
      <c r="D74" s="15"/>
      <c r="E74" s="15"/>
      <c r="F74" s="15"/>
      <c r="G74" s="15"/>
      <c r="H74" s="15"/>
      <c r="I74" s="15"/>
      <c r="J74" s="15"/>
      <c r="K74" s="15"/>
      <c r="L74" s="15"/>
      <c r="M74" s="15"/>
      <c r="N74" s="29"/>
    </row>
    <row r="75" spans="1:14" x14ac:dyDescent="0.25">
      <c r="A75" s="25" t="s">
        <v>208</v>
      </c>
      <c r="B75" s="26"/>
      <c r="C75" s="15"/>
      <c r="D75" s="15"/>
      <c r="E75" s="15"/>
      <c r="F75" s="15"/>
      <c r="G75" s="15"/>
      <c r="H75" s="15"/>
      <c r="I75" s="15"/>
      <c r="J75" s="15"/>
      <c r="K75" s="15"/>
      <c r="L75" s="15"/>
      <c r="M75" s="15"/>
      <c r="N75" s="29"/>
    </row>
    <row r="76" spans="1:14" x14ac:dyDescent="0.25">
      <c r="A76" s="25" t="s">
        <v>212</v>
      </c>
      <c r="B76" s="15"/>
      <c r="C76" s="26"/>
      <c r="D76" s="15"/>
      <c r="E76" s="15"/>
      <c r="F76" s="15"/>
      <c r="G76" s="15"/>
      <c r="H76" s="15"/>
      <c r="I76" s="15"/>
      <c r="J76" s="15"/>
      <c r="K76" s="15"/>
      <c r="L76" s="15"/>
      <c r="M76" s="15"/>
      <c r="N76" s="29"/>
    </row>
    <row r="77" spans="1:14" x14ac:dyDescent="0.25">
      <c r="A77" s="25" t="s">
        <v>214</v>
      </c>
      <c r="B77" s="26"/>
      <c r="C77" s="15"/>
      <c r="E77" s="15"/>
      <c r="F77" s="15"/>
      <c r="G77" s="15"/>
      <c r="H77" s="15"/>
      <c r="I77" s="15"/>
      <c r="J77" s="15"/>
      <c r="K77" s="15"/>
      <c r="L77" s="15"/>
      <c r="M77" s="15"/>
      <c r="N77" s="29"/>
    </row>
    <row r="78" spans="1:14" x14ac:dyDescent="0.25">
      <c r="A78" s="25" t="s">
        <v>216</v>
      </c>
      <c r="B78" s="15"/>
      <c r="C78" s="15"/>
      <c r="D78" s="15"/>
      <c r="E78" s="26"/>
      <c r="F78" s="15"/>
      <c r="G78" s="15"/>
      <c r="H78" s="15"/>
      <c r="I78" s="15"/>
      <c r="J78" s="15"/>
      <c r="K78" s="15"/>
      <c r="L78" s="15"/>
      <c r="M78" s="15"/>
      <c r="N78" s="29"/>
    </row>
    <row r="79" spans="1:14" x14ac:dyDescent="0.25">
      <c r="A79" s="25" t="s">
        <v>924</v>
      </c>
      <c r="B79" s="15"/>
      <c r="C79" s="15"/>
      <c r="D79" s="15"/>
      <c r="E79" s="26"/>
      <c r="F79" s="15"/>
      <c r="G79" s="15"/>
      <c r="H79" s="15"/>
      <c r="I79" s="15"/>
      <c r="J79" s="15"/>
      <c r="K79" s="15"/>
      <c r="L79" s="15"/>
      <c r="M79" s="15"/>
      <c r="N79" s="29"/>
    </row>
    <row r="80" spans="1:14" x14ac:dyDescent="0.25">
      <c r="A80" s="25" t="s">
        <v>2539</v>
      </c>
      <c r="B80" s="15"/>
      <c r="C80" s="15"/>
      <c r="D80" s="15"/>
      <c r="E80" s="15"/>
      <c r="F80" s="15"/>
      <c r="G80" s="15"/>
      <c r="H80" s="15"/>
      <c r="I80" s="15"/>
      <c r="J80" s="15"/>
      <c r="L80" s="15"/>
      <c r="M80" s="26"/>
      <c r="N80" s="29"/>
    </row>
    <row r="81" spans="1:14" x14ac:dyDescent="0.25">
      <c r="A81" s="25" t="s">
        <v>2540</v>
      </c>
      <c r="B81" s="15"/>
      <c r="C81" s="15"/>
      <c r="D81" s="15"/>
      <c r="E81" s="26"/>
      <c r="G81" s="15"/>
      <c r="H81" s="15"/>
      <c r="I81" s="15"/>
      <c r="J81" s="15"/>
      <c r="K81" s="15"/>
      <c r="L81" s="15"/>
      <c r="M81" s="15"/>
      <c r="N81" s="29"/>
    </row>
    <row r="82" spans="1:14" x14ac:dyDescent="0.25">
      <c r="A82" s="25" t="s">
        <v>2541</v>
      </c>
      <c r="B82" s="15"/>
      <c r="C82" s="15"/>
      <c r="D82" s="15"/>
      <c r="E82" s="15"/>
      <c r="F82" s="15"/>
      <c r="G82" s="15"/>
      <c r="H82" s="15"/>
      <c r="I82" s="15"/>
      <c r="J82" s="26"/>
      <c r="K82" s="15"/>
      <c r="L82" s="15"/>
      <c r="M82" s="15"/>
      <c r="N82" s="29"/>
    </row>
    <row r="83" spans="1:14" x14ac:dyDescent="0.25">
      <c r="A83" s="25" t="s">
        <v>2542</v>
      </c>
      <c r="B83" s="15"/>
      <c r="C83" s="15"/>
      <c r="D83" s="15"/>
      <c r="E83" s="15"/>
      <c r="F83" s="15"/>
      <c r="G83" s="26"/>
      <c r="H83" s="15"/>
      <c r="I83" s="15"/>
      <c r="J83" s="15"/>
      <c r="K83" s="15"/>
      <c r="L83" s="15"/>
      <c r="M83" s="15"/>
      <c r="N83" s="29"/>
    </row>
    <row r="84" spans="1:14" x14ac:dyDescent="0.25">
      <c r="A84" s="25" t="s">
        <v>140</v>
      </c>
      <c r="B84" s="15"/>
      <c r="C84" s="26"/>
      <c r="D84" s="15"/>
      <c r="E84" s="15"/>
      <c r="F84" s="15"/>
      <c r="G84" s="15"/>
      <c r="H84" s="15"/>
      <c r="I84" s="15"/>
      <c r="J84" s="15"/>
      <c r="K84" s="15"/>
      <c r="L84" s="15"/>
      <c r="M84" s="15"/>
      <c r="N84" s="29"/>
    </row>
    <row r="85" spans="1:14" x14ac:dyDescent="0.25">
      <c r="A85" s="25" t="s">
        <v>458</v>
      </c>
      <c r="B85" s="15"/>
      <c r="C85" s="15"/>
      <c r="D85" s="15"/>
      <c r="E85" s="15"/>
      <c r="F85" s="15"/>
      <c r="G85" s="26"/>
      <c r="H85" s="15"/>
      <c r="I85" s="15"/>
      <c r="J85" s="15"/>
      <c r="K85" s="15"/>
      <c r="L85" s="15"/>
      <c r="M85" s="15"/>
      <c r="N85" s="29"/>
    </row>
    <row r="86" spans="1:14" x14ac:dyDescent="0.25">
      <c r="A86" s="25" t="s">
        <v>1104</v>
      </c>
      <c r="B86" s="26"/>
      <c r="C86" s="15"/>
      <c r="D86" s="15"/>
      <c r="E86" s="15"/>
      <c r="F86" s="15"/>
      <c r="G86" s="15"/>
      <c r="H86" s="15"/>
      <c r="I86" s="15"/>
      <c r="J86" s="15"/>
      <c r="K86" s="15"/>
      <c r="L86" s="15"/>
      <c r="M86" s="15"/>
      <c r="N86" s="29"/>
    </row>
    <row r="87" spans="1:14" x14ac:dyDescent="0.25">
      <c r="A87" s="25" t="s">
        <v>2543</v>
      </c>
      <c r="B87" s="15"/>
      <c r="C87" s="26"/>
      <c r="D87" s="15"/>
      <c r="E87" s="15"/>
      <c r="F87" s="15"/>
      <c r="G87" s="15"/>
      <c r="H87" s="15"/>
      <c r="I87" s="15"/>
      <c r="J87" s="15"/>
      <c r="K87" s="15"/>
      <c r="L87" s="15"/>
      <c r="M87" s="15"/>
      <c r="N87" s="29"/>
    </row>
    <row r="88" spans="1:14" x14ac:dyDescent="0.25">
      <c r="A88" s="25" t="s">
        <v>138</v>
      </c>
      <c r="B88" s="15"/>
      <c r="C88" s="26"/>
      <c r="D88" s="15"/>
      <c r="E88" s="15"/>
      <c r="F88" s="15"/>
      <c r="G88" s="15"/>
      <c r="H88" s="15"/>
      <c r="I88" s="15"/>
      <c r="J88" s="15"/>
      <c r="K88" s="15"/>
      <c r="L88" s="15"/>
      <c r="M88" s="15"/>
      <c r="N88" s="29"/>
    </row>
    <row r="89" spans="1:14" x14ac:dyDescent="0.25">
      <c r="A89" s="25" t="s">
        <v>1163</v>
      </c>
      <c r="B89" s="26"/>
      <c r="C89" s="15"/>
      <c r="D89" s="15"/>
      <c r="E89" s="15"/>
      <c r="F89" s="15"/>
      <c r="G89" s="15"/>
      <c r="H89" s="15"/>
      <c r="I89" s="15"/>
      <c r="J89" s="15"/>
      <c r="K89" s="15"/>
      <c r="L89" s="15"/>
      <c r="M89" s="15"/>
      <c r="N89" s="29"/>
    </row>
    <row r="90" spans="1:14" x14ac:dyDescent="0.25">
      <c r="A90" s="25" t="s">
        <v>2544</v>
      </c>
      <c r="B90" s="15"/>
      <c r="C90" s="26"/>
      <c r="D90" s="15"/>
      <c r="E90" s="15"/>
      <c r="F90" s="15"/>
      <c r="G90" s="15"/>
      <c r="H90" s="15"/>
      <c r="I90" s="15"/>
      <c r="J90" s="15"/>
      <c r="K90" s="15"/>
      <c r="L90" s="15"/>
      <c r="M90" s="15"/>
      <c r="N90" s="29"/>
    </row>
    <row r="91" spans="1:14" x14ac:dyDescent="0.25">
      <c r="A91" s="25" t="s">
        <v>1980</v>
      </c>
      <c r="B91" s="15"/>
      <c r="C91" s="15"/>
      <c r="D91" s="26"/>
      <c r="E91" s="15"/>
      <c r="F91" s="15"/>
      <c r="G91" s="15"/>
      <c r="H91" s="15"/>
      <c r="I91" s="15"/>
      <c r="J91" s="15"/>
      <c r="K91" s="15"/>
      <c r="L91" s="15"/>
      <c r="M91" s="15"/>
      <c r="N91" s="29"/>
    </row>
    <row r="92" spans="1:14" x14ac:dyDescent="0.25">
      <c r="A92" s="25" t="s">
        <v>1988</v>
      </c>
      <c r="B92" s="26"/>
      <c r="C92" s="15"/>
      <c r="D92" s="15"/>
      <c r="F92" s="15"/>
      <c r="G92" s="15"/>
      <c r="H92" s="15"/>
      <c r="I92" s="15"/>
      <c r="J92" s="15"/>
      <c r="K92" s="15"/>
      <c r="L92" s="15"/>
      <c r="M92" s="15"/>
      <c r="N92" s="29"/>
    </row>
    <row r="93" spans="1:14" x14ac:dyDescent="0.25">
      <c r="A93" s="25" t="s">
        <v>1994</v>
      </c>
      <c r="B93" s="26"/>
      <c r="C93" s="15"/>
      <c r="D93" s="15"/>
      <c r="E93" s="15"/>
      <c r="G93" s="15"/>
      <c r="H93" s="15"/>
      <c r="I93" s="15"/>
      <c r="J93" s="15"/>
      <c r="K93" s="15"/>
      <c r="L93" s="15"/>
      <c r="M93" s="15"/>
      <c r="N93" s="29"/>
    </row>
    <row r="94" spans="1:14" x14ac:dyDescent="0.25">
      <c r="A94" s="25" t="s">
        <v>2545</v>
      </c>
      <c r="B94" s="15"/>
      <c r="C94" s="15"/>
      <c r="D94" s="26"/>
      <c r="E94" s="15"/>
      <c r="F94" s="15"/>
      <c r="G94" s="15"/>
      <c r="H94" s="15"/>
      <c r="I94" s="15"/>
      <c r="J94" s="15"/>
      <c r="K94" s="15"/>
      <c r="L94" s="15"/>
      <c r="M94" s="15"/>
      <c r="N94" s="29"/>
    </row>
  </sheetData>
  <mergeCells count="2">
    <mergeCell ref="B1:M1"/>
    <mergeCell ref="N1:N2"/>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BDF26-1530-4041-933D-FD3334C2A188}">
  <dimension ref="A1:O94"/>
  <sheetViews>
    <sheetView workbookViewId="0">
      <selection activeCell="E9" sqref="E9"/>
    </sheetView>
  </sheetViews>
  <sheetFormatPr defaultRowHeight="15" x14ac:dyDescent="0.25"/>
  <cols>
    <col min="1" max="1" width="25.7109375" style="27" bestFit="1" customWidth="1"/>
    <col min="2" max="2" width="25.7109375" style="27" customWidth="1"/>
    <col min="3" max="3" width="6.140625" bestFit="1" customWidth="1"/>
    <col min="4" max="4" width="8" bestFit="1" customWidth="1"/>
    <col min="5" max="5" width="6.42578125" bestFit="1" customWidth="1"/>
    <col min="6" max="6" width="5.28515625" bestFit="1" customWidth="1"/>
    <col min="7" max="7" width="5.85546875" bestFit="1" customWidth="1"/>
    <col min="8" max="8" width="5.7109375" bestFit="1" customWidth="1"/>
    <col min="9" max="9" width="5.140625" bestFit="1" customWidth="1"/>
    <col min="10" max="10" width="7.140625" bestFit="1" customWidth="1"/>
    <col min="11" max="11" width="11.42578125" bestFit="1" customWidth="1"/>
    <col min="12" max="12" width="8.140625" bestFit="1" customWidth="1"/>
    <col min="13" max="13" width="11" bestFit="1" customWidth="1"/>
    <col min="14" max="14" width="10.140625" bestFit="1" customWidth="1"/>
  </cols>
  <sheetData>
    <row r="1" spans="1:15" x14ac:dyDescent="0.25">
      <c r="A1" s="89" t="s">
        <v>2</v>
      </c>
      <c r="B1" s="91" t="s">
        <v>2546</v>
      </c>
      <c r="C1" s="84" t="s">
        <v>2492</v>
      </c>
      <c r="D1" s="85"/>
      <c r="E1" s="85"/>
      <c r="F1" s="85"/>
      <c r="G1" s="85"/>
      <c r="H1" s="85"/>
      <c r="I1" s="85"/>
      <c r="J1" s="85"/>
      <c r="K1" s="85"/>
      <c r="L1" s="85"/>
      <c r="M1" s="85"/>
      <c r="N1" s="86"/>
      <c r="O1" s="87" t="s">
        <v>2493</v>
      </c>
    </row>
    <row r="2" spans="1:15" x14ac:dyDescent="0.25">
      <c r="A2" s="90"/>
      <c r="B2" s="92"/>
      <c r="C2" s="34" t="s">
        <v>2494</v>
      </c>
      <c r="D2" s="25" t="s">
        <v>2495</v>
      </c>
      <c r="E2" s="25" t="s">
        <v>2496</v>
      </c>
      <c r="F2" s="25" t="s">
        <v>2497</v>
      </c>
      <c r="G2" s="25" t="s">
        <v>2498</v>
      </c>
      <c r="H2" s="25" t="s">
        <v>2499</v>
      </c>
      <c r="I2" s="25" t="s">
        <v>2500</v>
      </c>
      <c r="J2" s="25" t="s">
        <v>2501</v>
      </c>
      <c r="K2" s="25" t="s">
        <v>2502</v>
      </c>
      <c r="L2" s="25" t="s">
        <v>2503</v>
      </c>
      <c r="M2" s="25" t="s">
        <v>2504</v>
      </c>
      <c r="N2" s="35" t="s">
        <v>2505</v>
      </c>
      <c r="O2" s="88"/>
    </row>
    <row r="3" spans="1:15" x14ac:dyDescent="0.25">
      <c r="A3" s="30" t="s">
        <v>2519</v>
      </c>
      <c r="B3" s="31" t="s">
        <v>1298</v>
      </c>
      <c r="C3" s="36"/>
      <c r="D3" s="28"/>
      <c r="E3" s="38"/>
      <c r="F3" s="28"/>
      <c r="G3" s="28"/>
      <c r="H3" s="38"/>
      <c r="I3" s="28"/>
      <c r="J3" s="28"/>
      <c r="K3" s="38"/>
      <c r="L3" s="28"/>
      <c r="M3" s="28"/>
      <c r="N3" s="38"/>
      <c r="O3" s="42"/>
    </row>
    <row r="4" spans="1:15" x14ac:dyDescent="0.25">
      <c r="A4" s="30" t="s">
        <v>164</v>
      </c>
      <c r="B4" s="31" t="s">
        <v>1205</v>
      </c>
      <c r="C4" s="36"/>
      <c r="D4" s="28"/>
      <c r="E4" s="38"/>
      <c r="F4" s="28"/>
      <c r="G4" s="28"/>
      <c r="H4" s="38"/>
      <c r="I4" s="28"/>
      <c r="J4" s="28"/>
      <c r="K4" s="38"/>
      <c r="L4" s="28"/>
      <c r="M4" s="28"/>
      <c r="N4" s="38"/>
      <c r="O4" s="42"/>
    </row>
    <row r="5" spans="1:15" x14ac:dyDescent="0.25">
      <c r="A5" s="30" t="s">
        <v>193</v>
      </c>
      <c r="B5" s="31" t="s">
        <v>2547</v>
      </c>
      <c r="C5" s="36"/>
      <c r="D5" s="28"/>
      <c r="E5" s="38"/>
      <c r="F5" s="28"/>
      <c r="G5" s="28"/>
      <c r="H5" s="38"/>
      <c r="I5" s="28"/>
      <c r="J5" s="28"/>
      <c r="K5" s="38"/>
      <c r="L5" s="28"/>
      <c r="M5" s="28"/>
      <c r="N5" s="38"/>
      <c r="O5" s="42"/>
    </row>
    <row r="6" spans="1:15" x14ac:dyDescent="0.25">
      <c r="A6" s="30" t="s">
        <v>1263</v>
      </c>
      <c r="B6" s="31" t="s">
        <v>1264</v>
      </c>
      <c r="C6" s="36"/>
      <c r="D6" s="28"/>
      <c r="E6" s="38"/>
      <c r="F6" s="28"/>
      <c r="G6" s="28"/>
      <c r="H6" s="38"/>
      <c r="I6" s="28"/>
      <c r="J6" s="28"/>
      <c r="K6" s="38"/>
      <c r="L6" s="28"/>
      <c r="M6" s="28"/>
      <c r="N6" s="38"/>
      <c r="O6" s="42"/>
    </row>
    <row r="7" spans="1:15" x14ac:dyDescent="0.25">
      <c r="A7" s="30" t="s">
        <v>233</v>
      </c>
      <c r="B7" s="31" t="s">
        <v>1274</v>
      </c>
      <c r="C7" s="36"/>
      <c r="D7" s="28"/>
      <c r="E7" s="38"/>
      <c r="F7" s="28"/>
      <c r="G7" s="28"/>
      <c r="H7" s="38"/>
      <c r="I7" s="28"/>
      <c r="J7" s="28"/>
      <c r="K7" s="38"/>
      <c r="L7" s="28"/>
      <c r="M7" s="28"/>
      <c r="N7" s="38"/>
      <c r="O7" s="42"/>
    </row>
    <row r="8" spans="1:15" x14ac:dyDescent="0.25">
      <c r="A8" s="30" t="s">
        <v>233</v>
      </c>
      <c r="B8" s="31" t="s">
        <v>1276</v>
      </c>
      <c r="C8" s="36"/>
      <c r="D8" s="28"/>
      <c r="E8" s="38"/>
      <c r="F8" s="28"/>
      <c r="G8" s="28"/>
      <c r="H8" s="38"/>
      <c r="I8" s="28"/>
      <c r="J8" s="28"/>
      <c r="K8" s="38"/>
      <c r="L8" s="28"/>
      <c r="M8" s="28"/>
      <c r="N8" s="38"/>
      <c r="O8" s="42"/>
    </row>
    <row r="9" spans="1:15" x14ac:dyDescent="0.25">
      <c r="A9" s="30" t="s">
        <v>226</v>
      </c>
      <c r="B9" s="31" t="s">
        <v>2548</v>
      </c>
      <c r="C9" s="36"/>
      <c r="D9" s="28"/>
      <c r="E9" s="38"/>
      <c r="F9" s="28"/>
      <c r="G9" s="28"/>
      <c r="H9" s="38"/>
      <c r="I9" s="28"/>
      <c r="J9" s="28"/>
      <c r="K9" s="38"/>
      <c r="L9" s="28"/>
      <c r="M9" s="28"/>
      <c r="N9" s="38"/>
      <c r="O9" s="42"/>
    </row>
    <row r="10" spans="1:15" x14ac:dyDescent="0.25">
      <c r="A10" s="30" t="s">
        <v>293</v>
      </c>
      <c r="B10" s="31" t="s">
        <v>1306</v>
      </c>
      <c r="C10" s="36"/>
      <c r="D10" s="28"/>
      <c r="E10" s="38"/>
      <c r="F10" s="28"/>
      <c r="G10" s="28"/>
      <c r="H10" s="38"/>
      <c r="I10" s="28"/>
      <c r="J10" s="28"/>
      <c r="K10" s="38"/>
      <c r="L10" s="28"/>
      <c r="M10" s="28"/>
      <c r="N10" s="38"/>
      <c r="O10" s="42"/>
    </row>
    <row r="11" spans="1:15" x14ac:dyDescent="0.25">
      <c r="A11" s="30" t="s">
        <v>1332</v>
      </c>
      <c r="B11" s="31" t="s">
        <v>1348</v>
      </c>
      <c r="C11" s="36"/>
      <c r="D11" s="28"/>
      <c r="E11" s="38"/>
      <c r="F11" s="28"/>
      <c r="G11" s="28"/>
      <c r="H11" s="38"/>
      <c r="I11" s="28"/>
      <c r="J11" s="28"/>
      <c r="K11" s="38"/>
      <c r="L11" s="28"/>
      <c r="M11" s="28"/>
      <c r="N11" s="38"/>
      <c r="O11" s="42"/>
    </row>
    <row r="12" spans="1:15" x14ac:dyDescent="0.25">
      <c r="A12" s="30" t="s">
        <v>1332</v>
      </c>
      <c r="B12" s="31" t="s">
        <v>1349</v>
      </c>
      <c r="C12" s="36"/>
      <c r="D12" s="28"/>
      <c r="E12" s="38"/>
      <c r="F12" s="28"/>
      <c r="G12" s="28"/>
      <c r="H12" s="38"/>
      <c r="I12" s="28"/>
      <c r="J12" s="28"/>
      <c r="K12" s="38"/>
      <c r="L12" s="28"/>
      <c r="M12" s="28"/>
      <c r="N12" s="38"/>
      <c r="O12" s="42"/>
    </row>
    <row r="13" spans="1:15" x14ac:dyDescent="0.25">
      <c r="A13" s="30" t="s">
        <v>76</v>
      </c>
      <c r="B13" s="31" t="s">
        <v>1353</v>
      </c>
      <c r="C13" s="36"/>
      <c r="D13" s="28"/>
      <c r="E13" s="38"/>
      <c r="F13" s="28"/>
      <c r="G13" s="28"/>
      <c r="H13" s="38"/>
      <c r="I13" s="28"/>
      <c r="J13" s="28"/>
      <c r="K13" s="38"/>
      <c r="L13" s="28"/>
      <c r="M13" s="28"/>
      <c r="N13" s="38"/>
      <c r="O13" s="42"/>
    </row>
    <row r="14" spans="1:15" x14ac:dyDescent="0.25">
      <c r="A14" s="30" t="s">
        <v>78</v>
      </c>
      <c r="B14" s="31" t="s">
        <v>1357</v>
      </c>
      <c r="C14" s="36"/>
      <c r="D14" s="28"/>
      <c r="E14" s="38"/>
      <c r="F14" s="28"/>
      <c r="G14" s="28"/>
      <c r="H14" s="38"/>
      <c r="I14" s="28"/>
      <c r="J14" s="28"/>
      <c r="K14" s="38"/>
      <c r="L14" s="28"/>
      <c r="M14" s="28"/>
      <c r="N14" s="38"/>
      <c r="O14" s="42"/>
    </row>
    <row r="15" spans="1:15" x14ac:dyDescent="0.25">
      <c r="A15" s="30" t="s">
        <v>78</v>
      </c>
      <c r="B15" s="31" t="s">
        <v>1358</v>
      </c>
      <c r="C15" s="36"/>
      <c r="D15" s="28"/>
      <c r="E15" s="38"/>
      <c r="F15" s="28"/>
      <c r="G15" s="28"/>
      <c r="H15" s="38"/>
      <c r="I15" s="28"/>
      <c r="J15" s="28"/>
      <c r="K15" s="38"/>
      <c r="L15" s="28"/>
      <c r="M15" s="28"/>
      <c r="N15" s="38"/>
      <c r="O15" s="42"/>
    </row>
    <row r="16" spans="1:15" x14ac:dyDescent="0.25">
      <c r="A16" s="30" t="s">
        <v>449</v>
      </c>
      <c r="B16" s="31" t="s">
        <v>1434</v>
      </c>
      <c r="C16" s="36"/>
      <c r="D16" s="38"/>
      <c r="E16" s="28"/>
      <c r="F16" s="28"/>
      <c r="G16" s="38"/>
      <c r="H16" s="28"/>
      <c r="I16" s="28"/>
      <c r="J16" s="38"/>
      <c r="K16" s="28"/>
      <c r="L16" s="28"/>
      <c r="M16" s="38"/>
      <c r="N16" s="37"/>
      <c r="O16" s="42"/>
    </row>
    <row r="17" spans="1:15" x14ac:dyDescent="0.25">
      <c r="A17" s="30" t="s">
        <v>452</v>
      </c>
      <c r="B17" s="31" t="s">
        <v>1489</v>
      </c>
      <c r="C17" s="36"/>
      <c r="D17" s="38"/>
      <c r="E17" s="28"/>
      <c r="F17" s="28"/>
      <c r="G17" s="38"/>
      <c r="H17" s="28"/>
      <c r="I17" s="28"/>
      <c r="J17" s="38"/>
      <c r="K17" s="28"/>
      <c r="L17" s="28"/>
      <c r="M17" s="38"/>
      <c r="N17" s="37"/>
      <c r="O17" s="42"/>
    </row>
    <row r="18" spans="1:15" x14ac:dyDescent="0.25">
      <c r="A18" s="30" t="s">
        <v>454</v>
      </c>
      <c r="B18" s="31" t="s">
        <v>1498</v>
      </c>
      <c r="C18" s="36"/>
      <c r="D18" s="38"/>
      <c r="E18" s="28"/>
      <c r="F18" s="28"/>
      <c r="G18" s="38"/>
      <c r="H18" s="28"/>
      <c r="I18" s="28"/>
      <c r="J18" s="38"/>
      <c r="K18" s="28"/>
      <c r="L18" s="28"/>
      <c r="M18" s="38"/>
      <c r="N18" s="37"/>
      <c r="O18" s="42"/>
    </row>
    <row r="19" spans="1:15" x14ac:dyDescent="0.25">
      <c r="A19" s="30" t="s">
        <v>456</v>
      </c>
      <c r="B19" s="31" t="s">
        <v>1506</v>
      </c>
      <c r="C19" s="36"/>
      <c r="D19" s="38"/>
      <c r="E19" s="28"/>
      <c r="F19" s="28"/>
      <c r="G19" s="38"/>
      <c r="H19" s="28"/>
      <c r="I19" s="28"/>
      <c r="J19" s="38"/>
      <c r="K19" s="28"/>
      <c r="L19" s="28"/>
      <c r="M19" s="38"/>
      <c r="N19" s="37"/>
      <c r="O19" s="42"/>
    </row>
    <row r="20" spans="1:15" x14ac:dyDescent="0.25">
      <c r="A20" s="30" t="s">
        <v>523</v>
      </c>
      <c r="B20" s="31" t="s">
        <v>1514</v>
      </c>
      <c r="C20" s="36"/>
      <c r="D20" s="38"/>
      <c r="E20" s="28"/>
      <c r="F20" s="28"/>
      <c r="G20" s="38"/>
      <c r="H20" s="28"/>
      <c r="I20" s="28"/>
      <c r="J20" s="38"/>
      <c r="K20" s="28"/>
      <c r="L20" s="28"/>
      <c r="M20" s="38"/>
      <c r="N20" s="37"/>
      <c r="O20" s="42"/>
    </row>
    <row r="21" spans="1:15" x14ac:dyDescent="0.25">
      <c r="A21" s="30" t="s">
        <v>1552</v>
      </c>
      <c r="B21" s="31" t="s">
        <v>1553</v>
      </c>
      <c r="C21" s="36"/>
      <c r="D21" s="38"/>
      <c r="E21" s="28"/>
      <c r="F21" s="28"/>
      <c r="G21" s="38"/>
      <c r="H21" s="28"/>
      <c r="I21" s="28"/>
      <c r="J21" s="38"/>
      <c r="K21" s="28"/>
      <c r="L21" s="28"/>
      <c r="M21" s="38"/>
      <c r="N21" s="37"/>
      <c r="O21" s="42"/>
    </row>
    <row r="22" spans="1:15" x14ac:dyDescent="0.25">
      <c r="A22" s="30" t="s">
        <v>584</v>
      </c>
      <c r="B22" s="31" t="s">
        <v>1590</v>
      </c>
      <c r="C22" s="36"/>
      <c r="D22" s="38"/>
      <c r="E22" s="28"/>
      <c r="F22" s="28"/>
      <c r="G22" s="38"/>
      <c r="H22" s="28"/>
      <c r="I22" s="28"/>
      <c r="J22" s="38"/>
      <c r="K22" s="28"/>
      <c r="L22" s="28"/>
      <c r="M22" s="38"/>
      <c r="N22" s="37"/>
      <c r="O22" s="42"/>
    </row>
    <row r="23" spans="1:15" x14ac:dyDescent="0.25">
      <c r="A23" s="30" t="s">
        <v>151</v>
      </c>
      <c r="B23" s="31" t="s">
        <v>1623</v>
      </c>
      <c r="C23" s="36"/>
      <c r="D23" s="38"/>
      <c r="E23" s="28"/>
      <c r="F23" s="28"/>
      <c r="G23" s="38"/>
      <c r="H23" s="28"/>
      <c r="I23" s="28"/>
      <c r="J23" s="38"/>
      <c r="K23" s="28"/>
      <c r="L23" s="28"/>
      <c r="M23" s="38"/>
      <c r="N23" s="37"/>
      <c r="O23" s="42"/>
    </row>
    <row r="24" spans="1:15" x14ac:dyDescent="0.25">
      <c r="A24" s="30" t="s">
        <v>151</v>
      </c>
      <c r="B24" s="31" t="s">
        <v>1624</v>
      </c>
      <c r="C24" s="36"/>
      <c r="D24" s="38"/>
      <c r="E24" s="28"/>
      <c r="F24" s="28"/>
      <c r="G24" s="38"/>
      <c r="H24" s="28"/>
      <c r="I24" s="28"/>
      <c r="J24" s="38"/>
      <c r="K24" s="28"/>
      <c r="L24" s="28"/>
      <c r="M24" s="38"/>
      <c r="N24" s="37"/>
      <c r="O24" s="42"/>
    </row>
    <row r="25" spans="1:15" x14ac:dyDescent="0.25">
      <c r="A25" s="30" t="s">
        <v>798</v>
      </c>
      <c r="B25" s="31" t="s">
        <v>799</v>
      </c>
      <c r="C25" s="39"/>
      <c r="D25" s="28"/>
      <c r="E25" s="28"/>
      <c r="F25" s="39"/>
      <c r="G25" s="28"/>
      <c r="H25" s="28"/>
      <c r="I25" s="39"/>
      <c r="J25" s="28"/>
      <c r="K25" s="28"/>
      <c r="L25" s="39"/>
      <c r="M25" s="28"/>
      <c r="N25" s="37"/>
      <c r="O25" s="42"/>
    </row>
    <row r="26" spans="1:15" x14ac:dyDescent="0.25">
      <c r="A26" s="30" t="s">
        <v>208</v>
      </c>
      <c r="B26" s="31" t="s">
        <v>1662</v>
      </c>
      <c r="C26" s="39"/>
      <c r="D26" s="28"/>
      <c r="E26" s="28"/>
      <c r="F26" s="39"/>
      <c r="G26" s="28"/>
      <c r="H26" s="28"/>
      <c r="I26" s="39"/>
      <c r="J26" s="28"/>
      <c r="K26" s="28"/>
      <c r="L26" s="39"/>
      <c r="M26" s="28"/>
      <c r="N26" s="37"/>
      <c r="O26" s="42"/>
    </row>
    <row r="27" spans="1:15" x14ac:dyDescent="0.25">
      <c r="A27" s="30" t="s">
        <v>212</v>
      </c>
      <c r="B27" s="31" t="s">
        <v>1690</v>
      </c>
      <c r="C27" s="39"/>
      <c r="D27" s="28"/>
      <c r="E27" s="28"/>
      <c r="F27" s="39"/>
      <c r="G27" s="28"/>
      <c r="H27" s="28"/>
      <c r="I27" s="39"/>
      <c r="J27" s="28"/>
      <c r="K27" s="28"/>
      <c r="L27" s="39"/>
      <c r="M27" s="28"/>
      <c r="N27" s="37"/>
      <c r="O27" s="42"/>
    </row>
    <row r="28" spans="1:15" x14ac:dyDescent="0.25">
      <c r="A28" s="30" t="s">
        <v>214</v>
      </c>
      <c r="B28" s="31" t="s">
        <v>1720</v>
      </c>
      <c r="C28" s="39"/>
      <c r="D28" s="28"/>
      <c r="E28" s="28"/>
      <c r="F28" s="39"/>
      <c r="G28" s="28"/>
      <c r="H28" s="28"/>
      <c r="I28" s="39"/>
      <c r="J28" s="28"/>
      <c r="K28" s="28"/>
      <c r="L28" s="39"/>
      <c r="M28" s="28"/>
      <c r="N28" s="37"/>
      <c r="O28" s="42"/>
    </row>
    <row r="29" spans="1:15" x14ac:dyDescent="0.25">
      <c r="A29" s="30" t="s">
        <v>216</v>
      </c>
      <c r="B29" s="31" t="s">
        <v>1755</v>
      </c>
      <c r="C29" s="39"/>
      <c r="D29" s="28"/>
      <c r="E29" s="28"/>
      <c r="F29" s="39"/>
      <c r="G29" s="28"/>
      <c r="H29" s="28"/>
      <c r="I29" s="39"/>
      <c r="J29" s="28"/>
      <c r="K29" s="28"/>
      <c r="L29" s="39"/>
      <c r="M29" s="28"/>
      <c r="N29" s="37"/>
      <c r="O29" s="42"/>
    </row>
    <row r="30" spans="1:15" x14ac:dyDescent="0.25">
      <c r="A30" s="30" t="s">
        <v>924</v>
      </c>
      <c r="B30" s="31" t="s">
        <v>925</v>
      </c>
      <c r="C30" s="39"/>
      <c r="D30" s="28"/>
      <c r="E30" s="28"/>
      <c r="F30" s="39"/>
      <c r="G30" s="28"/>
      <c r="H30" s="28"/>
      <c r="I30" s="39"/>
      <c r="J30" s="28"/>
      <c r="K30" s="28"/>
      <c r="L30" s="39"/>
      <c r="M30" s="28"/>
      <c r="N30" s="37"/>
      <c r="O30" s="42"/>
    </row>
    <row r="31" spans="1:15" x14ac:dyDescent="0.25">
      <c r="A31" s="30" t="s">
        <v>124</v>
      </c>
      <c r="B31" s="31" t="s">
        <v>1793</v>
      </c>
      <c r="C31" s="39"/>
      <c r="D31" s="28"/>
      <c r="E31" s="28"/>
      <c r="F31" s="39"/>
      <c r="G31" s="28"/>
      <c r="H31" s="28"/>
      <c r="I31" s="39"/>
      <c r="J31" s="28"/>
      <c r="K31" s="28"/>
      <c r="L31" s="39"/>
      <c r="M31" s="28"/>
      <c r="N31" s="37"/>
      <c r="O31" s="42"/>
    </row>
    <row r="32" spans="1:15" x14ac:dyDescent="0.25">
      <c r="A32" s="30" t="s">
        <v>218</v>
      </c>
      <c r="B32" s="31" t="s">
        <v>1823</v>
      </c>
      <c r="C32" s="39"/>
      <c r="D32" s="28"/>
      <c r="E32" s="28"/>
      <c r="F32" s="39"/>
      <c r="G32" s="28"/>
      <c r="H32" s="28"/>
      <c r="I32" s="39"/>
      <c r="J32" s="28"/>
      <c r="K32" s="28"/>
      <c r="L32" s="39"/>
      <c r="M32" s="28"/>
      <c r="N32" s="37"/>
      <c r="O32" s="42"/>
    </row>
    <row r="33" spans="1:15" x14ac:dyDescent="0.25">
      <c r="A33" s="30" t="s">
        <v>220</v>
      </c>
      <c r="B33" s="31" t="s">
        <v>1853</v>
      </c>
      <c r="C33" s="39"/>
      <c r="D33" s="28"/>
      <c r="E33" s="28"/>
      <c r="F33" s="39"/>
      <c r="G33" s="28"/>
      <c r="H33" s="28"/>
      <c r="I33" s="39"/>
      <c r="J33" s="28"/>
      <c r="K33" s="28"/>
      <c r="L33" s="39"/>
      <c r="M33" s="28"/>
      <c r="N33" s="37"/>
      <c r="O33" s="42"/>
    </row>
    <row r="34" spans="1:15" x14ac:dyDescent="0.25">
      <c r="A34" s="30" t="s">
        <v>140</v>
      </c>
      <c r="B34" s="31" t="s">
        <v>1894</v>
      </c>
      <c r="C34" s="36"/>
      <c r="D34" s="38"/>
      <c r="E34" s="28"/>
      <c r="F34" s="28"/>
      <c r="G34" s="38"/>
      <c r="H34" s="28"/>
      <c r="I34" s="28"/>
      <c r="J34" s="38"/>
      <c r="K34" s="28"/>
      <c r="L34" s="28"/>
      <c r="M34" s="38"/>
      <c r="N34" s="28"/>
      <c r="O34" s="42"/>
    </row>
    <row r="35" spans="1:15" x14ac:dyDescent="0.25">
      <c r="A35" s="30" t="s">
        <v>140</v>
      </c>
      <c r="B35" s="31" t="s">
        <v>1895</v>
      </c>
      <c r="C35" s="36"/>
      <c r="D35" s="38"/>
      <c r="E35" s="28"/>
      <c r="F35" s="28"/>
      <c r="G35" s="38"/>
      <c r="H35" s="28"/>
      <c r="I35" s="28"/>
      <c r="J35" s="38"/>
      <c r="K35" s="28"/>
      <c r="L35" s="28"/>
      <c r="M35" s="38"/>
      <c r="N35" s="28"/>
      <c r="O35" s="42"/>
    </row>
    <row r="36" spans="1:15" x14ac:dyDescent="0.25">
      <c r="A36" s="30" t="s">
        <v>1104</v>
      </c>
      <c r="B36" s="31" t="s">
        <v>1105</v>
      </c>
      <c r="C36" s="36"/>
      <c r="D36" s="38"/>
      <c r="E36" s="28"/>
      <c r="F36" s="28"/>
      <c r="G36" s="38"/>
      <c r="H36" s="28"/>
      <c r="I36" s="28"/>
      <c r="J36" s="38"/>
      <c r="K36" s="28"/>
      <c r="L36" s="28"/>
      <c r="M36" s="38"/>
      <c r="N36" s="28"/>
      <c r="O36" s="42"/>
    </row>
    <row r="37" spans="1:15" x14ac:dyDescent="0.25">
      <c r="A37" s="30" t="s">
        <v>2543</v>
      </c>
      <c r="B37" s="31" t="s">
        <v>1954</v>
      </c>
      <c r="C37" s="36"/>
      <c r="D37" s="38"/>
      <c r="E37" s="28"/>
      <c r="F37" s="28"/>
      <c r="G37" s="38"/>
      <c r="H37" s="28"/>
      <c r="I37" s="28"/>
      <c r="J37" s="38"/>
      <c r="K37" s="28"/>
      <c r="L37" s="28"/>
      <c r="M37" s="38"/>
      <c r="N37" s="28"/>
      <c r="O37" s="42"/>
    </row>
    <row r="38" spans="1:15" x14ac:dyDescent="0.25">
      <c r="A38" s="30" t="s">
        <v>2543</v>
      </c>
      <c r="B38" s="31" t="s">
        <v>1955</v>
      </c>
      <c r="C38" s="36"/>
      <c r="D38" s="38"/>
      <c r="E38" s="28"/>
      <c r="F38" s="28"/>
      <c r="G38" s="38"/>
      <c r="H38" s="28"/>
      <c r="I38" s="28"/>
      <c r="J38" s="38"/>
      <c r="K38" s="28"/>
      <c r="L38" s="28"/>
      <c r="M38" s="38"/>
      <c r="N38" s="28"/>
      <c r="O38" s="42"/>
    </row>
    <row r="39" spans="1:15" x14ac:dyDescent="0.25">
      <c r="A39" s="30" t="s">
        <v>2543</v>
      </c>
      <c r="B39" s="31" t="s">
        <v>1956</v>
      </c>
      <c r="C39" s="36"/>
      <c r="D39" s="38"/>
      <c r="E39" s="28"/>
      <c r="F39" s="28"/>
      <c r="G39" s="38"/>
      <c r="H39" s="28"/>
      <c r="I39" s="28"/>
      <c r="J39" s="38"/>
      <c r="K39" s="28"/>
      <c r="L39" s="28"/>
      <c r="M39" s="38"/>
      <c r="N39" s="28"/>
      <c r="O39" s="42"/>
    </row>
    <row r="40" spans="1:15" x14ac:dyDescent="0.25">
      <c r="A40" s="30" t="s">
        <v>138</v>
      </c>
      <c r="B40" s="31" t="s">
        <v>1957</v>
      </c>
      <c r="C40" s="36"/>
      <c r="D40" s="38"/>
      <c r="E40" s="28"/>
      <c r="F40" s="28"/>
      <c r="G40" s="38"/>
      <c r="H40" s="28"/>
      <c r="I40" s="28"/>
      <c r="J40" s="38"/>
      <c r="K40" s="28"/>
      <c r="L40" s="28"/>
      <c r="M40" s="38"/>
      <c r="N40" s="28"/>
      <c r="O40" s="42"/>
    </row>
    <row r="41" spans="1:15" x14ac:dyDescent="0.25">
      <c r="A41" s="30" t="s">
        <v>138</v>
      </c>
      <c r="B41" s="31" t="s">
        <v>1958</v>
      </c>
      <c r="C41" s="36"/>
      <c r="D41" s="38"/>
      <c r="E41" s="28"/>
      <c r="F41" s="28"/>
      <c r="G41" s="38"/>
      <c r="H41" s="28"/>
      <c r="I41" s="28"/>
      <c r="J41" s="38"/>
      <c r="K41" s="28"/>
      <c r="L41" s="28"/>
      <c r="M41" s="38"/>
      <c r="N41" s="28"/>
      <c r="O41" s="42"/>
    </row>
    <row r="42" spans="1:15" ht="15.75" thickBot="1" x14ac:dyDescent="0.3">
      <c r="A42" s="32" t="s">
        <v>138</v>
      </c>
      <c r="B42" s="33" t="s">
        <v>1959</v>
      </c>
      <c r="C42" s="40"/>
      <c r="D42" s="38"/>
      <c r="E42" s="41"/>
      <c r="F42" s="41"/>
      <c r="G42" s="38"/>
      <c r="H42" s="41"/>
      <c r="I42" s="41"/>
      <c r="J42" s="38"/>
      <c r="K42" s="41"/>
      <c r="L42" s="41"/>
      <c r="M42" s="38"/>
      <c r="N42" s="41"/>
      <c r="O42" s="43"/>
    </row>
    <row r="43" spans="1:15" x14ac:dyDescent="0.25">
      <c r="A43"/>
      <c r="B43"/>
    </row>
    <row r="44" spans="1:15" x14ac:dyDescent="0.25">
      <c r="A44"/>
      <c r="B44"/>
    </row>
    <row r="45" spans="1:15" x14ac:dyDescent="0.25">
      <c r="A45"/>
      <c r="B45"/>
    </row>
    <row r="46" spans="1:15" x14ac:dyDescent="0.25">
      <c r="A46"/>
      <c r="B46"/>
    </row>
    <row r="47" spans="1:15" x14ac:dyDescent="0.25">
      <c r="A47"/>
      <c r="B47"/>
    </row>
    <row r="48" spans="1:15" x14ac:dyDescent="0.25">
      <c r="A48"/>
      <c r="B48"/>
    </row>
    <row r="49" spans="1:2" x14ac:dyDescent="0.25">
      <c r="A49"/>
      <c r="B49"/>
    </row>
    <row r="50" spans="1:2" x14ac:dyDescent="0.25">
      <c r="A50"/>
      <c r="B50"/>
    </row>
    <row r="51" spans="1:2" x14ac:dyDescent="0.25">
      <c r="A51"/>
      <c r="B51"/>
    </row>
    <row r="52" spans="1:2" x14ac:dyDescent="0.25">
      <c r="A52"/>
      <c r="B52"/>
    </row>
    <row r="53" spans="1:2" x14ac:dyDescent="0.25">
      <c r="A53"/>
      <c r="B53"/>
    </row>
    <row r="54" spans="1:2" x14ac:dyDescent="0.25">
      <c r="A54"/>
      <c r="B54"/>
    </row>
    <row r="55" spans="1:2" x14ac:dyDescent="0.25">
      <c r="A55"/>
      <c r="B55"/>
    </row>
    <row r="56" spans="1:2" x14ac:dyDescent="0.25">
      <c r="A56"/>
      <c r="B56"/>
    </row>
    <row r="57" spans="1:2" x14ac:dyDescent="0.25">
      <c r="A57"/>
      <c r="B57"/>
    </row>
    <row r="58" spans="1:2" x14ac:dyDescent="0.25">
      <c r="A58"/>
      <c r="B58"/>
    </row>
    <row r="59" spans="1:2" x14ac:dyDescent="0.25">
      <c r="A59"/>
      <c r="B59"/>
    </row>
    <row r="60" spans="1:2" x14ac:dyDescent="0.25">
      <c r="A60"/>
      <c r="B60"/>
    </row>
    <row r="61" spans="1:2" x14ac:dyDescent="0.25">
      <c r="A61"/>
      <c r="B61"/>
    </row>
    <row r="62" spans="1:2" x14ac:dyDescent="0.25">
      <c r="A62"/>
      <c r="B62"/>
    </row>
    <row r="63" spans="1:2" x14ac:dyDescent="0.25">
      <c r="A63"/>
      <c r="B63"/>
    </row>
    <row r="64" spans="1:2" x14ac:dyDescent="0.25">
      <c r="A64"/>
      <c r="B64"/>
    </row>
    <row r="65" spans="1:2" x14ac:dyDescent="0.25">
      <c r="A65"/>
      <c r="B65"/>
    </row>
    <row r="66" spans="1:2" x14ac:dyDescent="0.25">
      <c r="A66"/>
      <c r="B66"/>
    </row>
    <row r="67" spans="1:2" x14ac:dyDescent="0.25">
      <c r="A67"/>
      <c r="B67"/>
    </row>
    <row r="68" spans="1:2" x14ac:dyDescent="0.25">
      <c r="A68"/>
      <c r="B68"/>
    </row>
    <row r="69" spans="1:2" x14ac:dyDescent="0.25">
      <c r="A69"/>
      <c r="B69"/>
    </row>
    <row r="70" spans="1:2" x14ac:dyDescent="0.25">
      <c r="A70"/>
      <c r="B70"/>
    </row>
    <row r="71" spans="1:2" x14ac:dyDescent="0.25">
      <c r="A71"/>
      <c r="B71"/>
    </row>
    <row r="72" spans="1:2" x14ac:dyDescent="0.25">
      <c r="A72"/>
      <c r="B72"/>
    </row>
    <row r="73" spans="1:2" x14ac:dyDescent="0.25">
      <c r="A73"/>
      <c r="B73"/>
    </row>
    <row r="74" spans="1:2" x14ac:dyDescent="0.25">
      <c r="A74"/>
      <c r="B74"/>
    </row>
    <row r="75" spans="1:2" x14ac:dyDescent="0.25">
      <c r="A75"/>
      <c r="B75"/>
    </row>
    <row r="76" spans="1:2" x14ac:dyDescent="0.25">
      <c r="A76"/>
      <c r="B76"/>
    </row>
    <row r="77" spans="1:2" x14ac:dyDescent="0.25">
      <c r="A77"/>
      <c r="B77"/>
    </row>
    <row r="78" spans="1:2" x14ac:dyDescent="0.25">
      <c r="A78"/>
      <c r="B78"/>
    </row>
    <row r="79" spans="1:2" x14ac:dyDescent="0.25">
      <c r="A79"/>
      <c r="B79"/>
    </row>
    <row r="80" spans="1:2" x14ac:dyDescent="0.25">
      <c r="A80"/>
      <c r="B80"/>
    </row>
    <row r="81" spans="1:2" x14ac:dyDescent="0.25">
      <c r="A81"/>
      <c r="B81"/>
    </row>
    <row r="82" spans="1:2" x14ac:dyDescent="0.25">
      <c r="A82"/>
      <c r="B82"/>
    </row>
    <row r="83" spans="1:2" x14ac:dyDescent="0.25">
      <c r="A83"/>
      <c r="B83"/>
    </row>
    <row r="84" spans="1:2" x14ac:dyDescent="0.25">
      <c r="A84"/>
      <c r="B84"/>
    </row>
    <row r="85" spans="1:2" x14ac:dyDescent="0.25">
      <c r="A85"/>
      <c r="B85"/>
    </row>
    <row r="86" spans="1:2" x14ac:dyDescent="0.25">
      <c r="A86"/>
      <c r="B86"/>
    </row>
    <row r="87" spans="1:2" x14ac:dyDescent="0.25">
      <c r="A87"/>
      <c r="B87"/>
    </row>
    <row r="88" spans="1:2" x14ac:dyDescent="0.25">
      <c r="A88"/>
      <c r="B88"/>
    </row>
    <row r="89" spans="1:2" x14ac:dyDescent="0.25">
      <c r="A89"/>
      <c r="B89"/>
    </row>
    <row r="90" spans="1:2" x14ac:dyDescent="0.25">
      <c r="A90"/>
      <c r="B90"/>
    </row>
    <row r="91" spans="1:2" x14ac:dyDescent="0.25">
      <c r="A91"/>
      <c r="B91"/>
    </row>
    <row r="92" spans="1:2" x14ac:dyDescent="0.25">
      <c r="A92"/>
      <c r="B92"/>
    </row>
    <row r="93" spans="1:2" x14ac:dyDescent="0.25">
      <c r="A93"/>
      <c r="B93"/>
    </row>
    <row r="94" spans="1:2" x14ac:dyDescent="0.25">
      <c r="A94"/>
      <c r="B94"/>
    </row>
  </sheetData>
  <autoFilter ref="A1:O2" xr:uid="{F34BDF26-1530-4041-933D-FD3334C2A188}">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sortState xmlns:xlrd2="http://schemas.microsoft.com/office/spreadsheetml/2017/richdata2" ref="A4:O42">
      <sortCondition ref="A1:A2"/>
    </sortState>
  </autoFilter>
  <mergeCells count="4">
    <mergeCell ref="C1:N1"/>
    <mergeCell ref="O1:O2"/>
    <mergeCell ref="A1:A2"/>
    <mergeCell ref="B1:B2"/>
  </mergeCells>
  <conditionalFormatting sqref="A3:B42">
    <cfRule type="expression" dxfId="1" priority="2">
      <formula>$P3="NO OPERATIVO"</formula>
    </cfRule>
  </conditionalFormatting>
  <conditionalFormatting sqref="B3:B42">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87F02-FA04-4504-9551-B3559DF7EA5E}">
  <dimension ref="A1:J5"/>
  <sheetViews>
    <sheetView zoomScale="120" zoomScaleNormal="120" workbookViewId="0">
      <selection activeCell="J2" sqref="J2:J5"/>
    </sheetView>
  </sheetViews>
  <sheetFormatPr defaultRowHeight="15" x14ac:dyDescent="0.25"/>
  <cols>
    <col min="1" max="1" width="10.7109375" bestFit="1" customWidth="1"/>
    <col min="2" max="2" width="12.7109375" bestFit="1" customWidth="1"/>
    <col min="3" max="3" width="11.7109375" bestFit="1" customWidth="1"/>
    <col min="4" max="4" width="17.5703125" bestFit="1" customWidth="1"/>
    <col min="5" max="5" width="16.42578125" bestFit="1" customWidth="1"/>
    <col min="6" max="6" width="13.28515625" bestFit="1" customWidth="1"/>
    <col min="7" max="7" width="13.85546875" bestFit="1" customWidth="1"/>
    <col min="8" max="8" width="20.28515625" bestFit="1" customWidth="1"/>
    <col min="9" max="9" width="19.140625" bestFit="1" customWidth="1"/>
    <col min="10" max="10" width="15.7109375" bestFit="1" customWidth="1"/>
    <col min="13" max="13" width="11" bestFit="1" customWidth="1"/>
  </cols>
  <sheetData>
    <row r="1" spans="1:10" x14ac:dyDescent="0.25">
      <c r="B1" s="48" t="s">
        <v>2549</v>
      </c>
      <c r="C1" s="48" t="s">
        <v>2550</v>
      </c>
      <c r="D1" s="48" t="s">
        <v>2551</v>
      </c>
      <c r="E1" s="48" t="s">
        <v>2552</v>
      </c>
      <c r="F1" s="49" t="s">
        <v>2553</v>
      </c>
      <c r="G1" s="49" t="s">
        <v>2554</v>
      </c>
      <c r="H1" s="49" t="s">
        <v>2555</v>
      </c>
      <c r="I1" s="49" t="s">
        <v>2556</v>
      </c>
      <c r="J1" s="49" t="s">
        <v>2557</v>
      </c>
    </row>
    <row r="2" spans="1:10" x14ac:dyDescent="0.25">
      <c r="A2" s="48" t="s">
        <v>2558</v>
      </c>
      <c r="B2" s="18">
        <v>8610000</v>
      </c>
      <c r="C2" s="18">
        <v>5870000</v>
      </c>
      <c r="D2" s="18">
        <v>2880000</v>
      </c>
      <c r="E2" s="18">
        <v>2900000</v>
      </c>
      <c r="F2" s="18">
        <f>B2-D2</f>
        <v>5730000</v>
      </c>
      <c r="G2" s="18">
        <f>C2-E2</f>
        <v>2970000</v>
      </c>
      <c r="H2" s="50">
        <f>((F2*100)/1000000000)</f>
        <v>0.57299999999999995</v>
      </c>
      <c r="I2" s="50">
        <f>((G2*100)/1000000000)</f>
        <v>0.29699999999999999</v>
      </c>
      <c r="J2" s="51">
        <f>AVERAGE(H2:I2)</f>
        <v>0.43499999999999994</v>
      </c>
    </row>
    <row r="3" spans="1:10" x14ac:dyDescent="0.25">
      <c r="A3" s="48" t="s">
        <v>2559</v>
      </c>
      <c r="B3" s="18">
        <v>11160000</v>
      </c>
      <c r="C3" s="18">
        <v>5870000</v>
      </c>
      <c r="D3" s="18">
        <v>3040000</v>
      </c>
      <c r="E3" s="18">
        <v>3290000</v>
      </c>
      <c r="F3" s="18">
        <f t="shared" ref="F3:F5" si="0">B3-D3</f>
        <v>8120000</v>
      </c>
      <c r="G3" s="18">
        <f t="shared" ref="G3:G5" si="1">C3-E3</f>
        <v>2580000</v>
      </c>
      <c r="H3" s="50">
        <f t="shared" ref="H3:H5" si="2">((F3*100)/1000000000)</f>
        <v>0.81200000000000006</v>
      </c>
      <c r="I3" s="50">
        <f t="shared" ref="I3:I5" si="3">((G3*100)/1000000000)</f>
        <v>0.25800000000000001</v>
      </c>
      <c r="J3" s="51">
        <f t="shared" ref="J3:J5" si="4">AVERAGE(H3:I3)</f>
        <v>0.53500000000000003</v>
      </c>
    </row>
    <row r="4" spans="1:10" x14ac:dyDescent="0.25">
      <c r="A4" s="48" t="s">
        <v>2560</v>
      </c>
      <c r="B4" s="18">
        <v>11340000</v>
      </c>
      <c r="C4" s="18">
        <v>7340000</v>
      </c>
      <c r="D4" s="18">
        <v>3380000</v>
      </c>
      <c r="E4" s="18">
        <v>3410000</v>
      </c>
      <c r="F4" s="18">
        <f t="shared" si="0"/>
        <v>7960000</v>
      </c>
      <c r="G4" s="18">
        <f t="shared" si="1"/>
        <v>3930000</v>
      </c>
      <c r="H4" s="50">
        <f t="shared" si="2"/>
        <v>0.79600000000000004</v>
      </c>
      <c r="I4" s="50">
        <f t="shared" si="3"/>
        <v>0.39300000000000002</v>
      </c>
      <c r="J4" s="51">
        <f t="shared" si="4"/>
        <v>0.59450000000000003</v>
      </c>
    </row>
    <row r="5" spans="1:10" x14ac:dyDescent="0.25">
      <c r="A5" s="48" t="s">
        <v>2561</v>
      </c>
      <c r="B5" s="18">
        <v>9380000</v>
      </c>
      <c r="C5" s="18">
        <v>11160000</v>
      </c>
      <c r="D5" s="18">
        <v>3500000</v>
      </c>
      <c r="E5" s="18">
        <v>3520000</v>
      </c>
      <c r="F5" s="18">
        <f t="shared" si="0"/>
        <v>5880000</v>
      </c>
      <c r="G5" s="18">
        <f t="shared" si="1"/>
        <v>7640000</v>
      </c>
      <c r="H5" s="50">
        <f t="shared" si="2"/>
        <v>0.58799999999999997</v>
      </c>
      <c r="I5" s="50">
        <f t="shared" si="3"/>
        <v>0.76400000000000001</v>
      </c>
      <c r="J5" s="51">
        <f t="shared" si="4"/>
        <v>0.67599999999999993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31C98-DC08-4F68-9A5C-51A76752C580}">
  <dimension ref="A1:A2"/>
  <sheetViews>
    <sheetView workbookViewId="0">
      <selection activeCell="E13" sqref="E13"/>
    </sheetView>
  </sheetViews>
  <sheetFormatPr defaultRowHeight="15" x14ac:dyDescent="0.25"/>
  <cols>
    <col min="1" max="1" width="14.7109375" bestFit="1" customWidth="1"/>
  </cols>
  <sheetData>
    <row r="1" spans="1:1" x14ac:dyDescent="0.25">
      <c r="A1" s="15" t="s">
        <v>228</v>
      </c>
    </row>
    <row r="2" spans="1:1" x14ac:dyDescent="0.25">
      <c r="A2" s="15" t="s">
        <v>25</v>
      </c>
    </row>
  </sheetData>
  <pageMargins left="0.7" right="0.7" top="0.75" bottom="0.75" header="0.3" footer="0.3"/>
</worksheet>
</file>

<file path=docMetadata/LabelInfo.xml><?xml version="1.0" encoding="utf-8"?>
<clbl:labelList xmlns:clbl="http://schemas.microsoft.com/office/2020/mipLabelMetadata">
  <clbl:label id="{682f5152-33b6-40dd-8fe1-a6bc42e8554d}" enabled="1" method="Standard" siteId="{a3d0403d-64c5-41a0-b87d-aaf9fe44273c}"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MOBILIARIO</vt:lpstr>
      <vt:lpstr>PISO</vt:lpstr>
      <vt:lpstr>Magazines</vt:lpstr>
      <vt:lpstr>Calendario de líneas</vt:lpstr>
      <vt:lpstr>Calendario de Ionizador</vt:lpstr>
      <vt:lpstr>Percentage Variation Calculator</vt:lpstr>
      <vt:lpstr>Sheet1</vt:lpstr>
    </vt:vector>
  </TitlesOfParts>
  <Manager/>
  <Company>BCS Automotive Interface Solutions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Aldo Orozco</dc:creator>
  <cp:keywords/>
  <dc:description/>
  <cp:lastModifiedBy>Aldo Orozco</cp:lastModifiedBy>
  <cp:revision/>
  <dcterms:created xsi:type="dcterms:W3CDTF">2024-11-19T17:43:14Z</dcterms:created>
  <dcterms:modified xsi:type="dcterms:W3CDTF">2026-04-06T21:44:48Z</dcterms:modified>
  <cp:category/>
  <cp:contentStatus/>
</cp:coreProperties>
</file>